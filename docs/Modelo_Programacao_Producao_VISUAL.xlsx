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4ef70d8e4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62f89eefcdb14dd8"/>
    <x:sheet xmlns:r="http://schemas.openxmlformats.org/officeDocument/2006/relationships" name="BASE CONSISTEM" sheetId="2" r:id="R1dc33dfc2d224e3a"/>
    <x:sheet xmlns:r="http://schemas.openxmlformats.org/officeDocument/2006/relationships" name="PREPARAÇÃO" sheetId="3" r:id="R0790835f34fd4580"/>
    <x:sheet xmlns:r="http://schemas.openxmlformats.org/officeDocument/2006/relationships" name="USINAGEM 1" sheetId="4" r:id="R157cc4cdaa714d3f"/>
    <x:sheet xmlns:r="http://schemas.openxmlformats.org/officeDocument/2006/relationships" name="LIXAR" sheetId="5" r:id="R66435785178c4ab7"/>
    <x:sheet xmlns:r="http://schemas.openxmlformats.org/officeDocument/2006/relationships" name="RECOBRIDORA" sheetId="6" r:id="R2e541618de0c4a5a"/>
    <x:sheet xmlns:r="http://schemas.openxmlformats.org/officeDocument/2006/relationships" name="USINAGEM 2" sheetId="7" r:id="R95c8bfbee83c4ca2"/>
    <x:sheet xmlns:r="http://schemas.openxmlformats.org/officeDocument/2006/relationships" name="LUSTRAÇÃO" sheetId="8" r:id="R757097f22a7b4636"/>
    <x:sheet xmlns:r="http://schemas.openxmlformats.org/officeDocument/2006/relationships" name="TERCEIROS" sheetId="9" r:id="R8070fcd7d2684133"/>
    <x:sheet xmlns:r="http://schemas.openxmlformats.org/officeDocument/2006/relationships" name="EMBALAGEM" sheetId="10" r:id="R9c2a5411ecc341fa"/>
    <x:sheet xmlns:r="http://schemas.openxmlformats.org/officeDocument/2006/relationships" name="EXPEDIÇÃO" sheetId="11" r:id="R5a7ce44a667f4096"/>
    <x:sheet xmlns:r="http://schemas.openxmlformats.org/officeDocument/2006/relationships" name="CONTROLE GERENTE" sheetId="12" r:id="Re9de667a7c5d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8"/>
      <x:color rgb="FFFFFFFF"/>
      <x:name val="Carlito"/>
    </x:font>
    <x:font>
      <x:sz val="8"/>
      <x:name val="Carlito"/>
    </x:font>
    <x:font>
      <x:b/>
      <x:sz val="11"/>
      <x:color rgb="FF70AD47"/>
      <x:name val="Carlito"/>
    </x:font>
    <x:font>
      <x:b/>
      <x:sz val="14"/>
      <x:color rgb="FFFFFFFF"/>
      <x:name val="Carlito"/>
    </x:font>
    <x:font>
      <x:b/>
      <x:sz val="10"/>
      <x:color rgb="FF173B2D"/>
      <x:name val="Carlito"/>
    </x:font>
    <x:font>
      <x:b/>
      <x:sz val="10"/>
      <x:color rgb="FFFFFFFF"/>
      <x:name val="Carlito"/>
    </x:font>
    <x:font>
      <x:sz val="10"/>
      <x:color rgb="FF1B2620"/>
      <x:name val="Carlito"/>
    </x:font>
    <x:font>
      <x:b/>
      <x:sz val="11"/>
      <x:color rgb="FF173B2D"/>
      <x:name val="Carlito"/>
    </x:font>
    <x:font>
      <x:sz val="11"/>
      <x:color rgb="FF1B2620"/>
      <x:name val="Carlito"/>
    </x:font>
    <x:font>
      <x:b/>
      <x:sz val="11"/>
      <x:color rgb="FF1B262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173B2D"/>
      </x:patternFill>
    </x:fill>
    <x:fill>
      <x:patternFill patternType="solid">
        <x:fgColor rgb="FFEAF0ED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5F8F6"/>
      </x:patternFill>
    </x:fill>
    <x:fill>
      <x:patternFill patternType="solid">
        <x:fgColor rgb="FFEEF3F0"/>
      </x:patternFill>
    </x:fill>
  </x:fills>
  <x:borders count="18"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2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3" borderId="2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0" fillId="5" borderId="5" xfId="0" applyNumberFormat="1" applyFont="1" applyFill="1" applyBorder="1"/>
    <x:xf numFmtId="0" fontId="0" fillId="6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200" fontId="0" fillId="5" borderId="8" xfId="0" applyNumberFormat="1" applyFont="1" applyFill="1" applyBorder="1"/>
    <x:xf numFmtId="0" fontId="0" fillId="6" borderId="8" xfId="0" applyNumberFormat="1" applyFont="1" applyFill="1" applyBorder="1"/>
    <x:xf numFmtId="201" fontId="0" fillId="5" borderId="8" xfId="0" applyNumberFormat="1" applyFont="1" applyFill="1" applyBorder="1"/>
    <x:xf numFmtId="0" fontId="0" fillId="6" borderId="9" xfId="0" applyNumberFormat="1" applyFont="1" applyFill="1" applyBorder="1"/>
    <x:xf numFmtId="0" fontId="6" fillId="3" borderId="10" xfId="0" applyNumberFormat="1" applyFont="1" applyFill="1" applyBorder="1" applyAlignment="1">
      <x:alignment horizontal="center" wrapText="1"/>
    </x:xf>
    <x:xf numFmtId="0" fontId="6" fillId="3" borderId="11" xfId="0" applyNumberFormat="1" applyFont="1" applyFill="1" applyBorder="1" applyAlignment="1">
      <x:alignment horizontal="center" wrapText="1"/>
    </x:xf>
    <x:xf numFmtId="0" fontId="6" fillId="3" borderId="12" xfId="0" applyNumberFormat="1" applyFont="1" applyFill="1" applyBorder="1" applyAlignment="1">
      <x:alignment horizontal="center" wrapText="1"/>
    </x:xf>
    <x:xf numFmtId="0" fontId="0" fillId="5" borderId="13" xfId="0" applyNumberFormat="1" applyFont="1" applyFill="1" applyBorder="1"/>
    <x:xf numFmtId="0" fontId="0" fillId="6" borderId="14" xfId="0" applyNumberFormat="1" applyFont="1" applyFill="1" applyBorder="1"/>
    <x:xf numFmtId="0" fontId="0" fillId="0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200" fontId="0" fillId="5" borderId="16" xfId="0" applyNumberFormat="1" applyFont="1" applyFill="1" applyBorder="1"/>
    <x:xf numFmtId="0" fontId="0" fillId="6" borderId="16" xfId="0" applyNumberFormat="1" applyFont="1" applyFill="1" applyBorder="1"/>
    <x:xf numFmtId="201" fontId="0" fillId="5" borderId="16" xfId="0" applyNumberFormat="1" applyFont="1" applyFill="1" applyBorder="1"/>
    <x:xf numFmtId="0" fontId="0" fillId="6" borderId="17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7" fillId="5" borderId="5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7" fillId="6" borderId="0" xfId="0" applyNumberFormat="1" applyFont="1" applyFill="1" applyBorder="1"/>
    <x:xf numFmtId="201" fontId="7" fillId="5" borderId="0" xfId="0" applyNumberFormat="1" applyFont="1" applyFill="1" applyBorder="1"/>
    <x:xf numFmtId="0" fontId="7" fillId="6" borderId="6" xfId="0" applyNumberFormat="1" applyFont="1" applyFill="1" applyBorder="1"/>
    <x:xf numFmtId="0" fontId="7" fillId="0" borderId="5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200" fontId="7" fillId="5" borderId="8" xfId="0" applyNumberFormat="1" applyFont="1" applyFill="1" applyBorder="1"/>
    <x:xf numFmtId="0" fontId="7" fillId="6" borderId="8" xfId="0" applyNumberFormat="1" applyFont="1" applyFill="1" applyBorder="1"/>
    <x:xf numFmtId="201" fontId="7" fillId="5" borderId="8" xfId="0" applyNumberFormat="1" applyFont="1" applyFill="1" applyBorder="1"/>
    <x:xf numFmtId="0" fontId="7" fillId="6" borderId="9" xfId="0" applyNumberFormat="1" applyFont="1" applyFill="1" applyBorder="1"/>
    <x:xf numFmtId="0" fontId="7" fillId="5" borderId="13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0" fontId="7" fillId="6" borderId="1" xfId="0" applyNumberFormat="1" applyFont="1" applyFill="1" applyBorder="1"/>
    <x:xf numFmtId="201" fontId="7" fillId="5" borderId="1" xfId="0" applyNumberFormat="1" applyFont="1" applyFill="1" applyBorder="1"/>
    <x:xf numFmtId="0" fontId="7" fillId="6" borderId="14" xfId="0" applyNumberFormat="1" applyFont="1" applyFill="1" applyBorder="1"/>
    <x:xf numFmtId="0" fontId="7" fillId="0" borderId="13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200" fontId="7" fillId="5" borderId="16" xfId="0" applyNumberFormat="1" applyFont="1" applyFill="1" applyBorder="1"/>
    <x:xf numFmtId="0" fontId="7" fillId="6" borderId="16" xfId="0" applyNumberFormat="1" applyFont="1" applyFill="1" applyBorder="1"/>
    <x:xf numFmtId="201" fontId="7" fillId="5" borderId="16" xfId="0" applyNumberFormat="1" applyFont="1" applyFill="1" applyBorder="1"/>
    <x:xf numFmtId="0" fontId="7" fillId="6" borderId="1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200" fontId="7" fillId="0" borderId="8" xfId="0" applyNumberFormat="1" applyFont="1" applyFill="1" applyBorder="1"/>
    <x:xf numFmtId="201" fontId="7" fillId="0" borderId="8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200" fontId="7" fillId="0" borderId="16" xfId="0" applyNumberFormat="1" applyFont="1" applyFill="1" applyBorder="1"/>
    <x:xf numFmtId="201" fontId="7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7" fillId="0" borderId="9" xfId="0" applyNumberFormat="1" applyFont="1" applyFill="1" applyBorder="1"/>
    <x:xf numFmtId="0" fontId="7" fillId="0" borderId="17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0" borderId="0" xfId="0" applyNumberFormat="1" applyFont="1" applyFill="1" applyBorder="1"/>
    <x:xf numFmtId="0" fontId="8" fillId="5" borderId="1" xfId="0" applyNumberFormat="1" applyFont="1" applyFill="1" applyBorder="1"/>
    <x:xf numFmtId="0" fontId="8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/>
    <x:xf numFmtId="0" fontId="0" fillId="0" borderId="6" xfId="0" applyNumberFormat="1" applyFont="1" applyFill="1" applyBorder="1"/>
    <x:xf numFmtId="0" fontId="8" fillId="5" borderId="8" xfId="0" applyNumberFormat="1" applyFont="1" applyFill="1" applyBorder="1"/>
    <x:xf numFmtId="0" fontId="0" fillId="5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/>
    <x:xf numFmtId="0" fontId="0" fillId="0" borderId="14" xfId="0" applyNumberFormat="1" applyFont="1" applyFill="1" applyBorder="1"/>
    <x:xf numFmtId="0" fontId="8" fillId="5" borderId="16" xfId="0" applyNumberFormat="1" applyFont="1" applyFill="1" applyBorder="1"/>
    <x:xf numFmtId="0" fontId="0" fillId="5" borderId="17" xfId="0" applyNumberFormat="1" applyFont="1" applyFill="1" applyBorder="1"/>
    <x:xf numFmtId="0" fontId="4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horizontal="center" wrapText="1"/>
    </x:xf>
    <x:xf numFmtId="0" fontId="6" fillId="9" borderId="3" xfId="0" applyNumberFormat="1" applyFont="1" applyFill="1" applyBorder="1" applyAlignment="1">
      <x:alignment horizontal="center" wrapText="1"/>
    </x:xf>
    <x:xf numFmtId="0" fontId="6" fillId="9" borderId="4" xfId="0" applyNumberFormat="1" applyFont="1" applyFill="1" applyBorder="1" applyAlignment="1">
      <x:alignment horizontal="center" wrapText="1"/>
    </x:xf>
    <x:xf numFmtId="0" fontId="11" fillId="9" borderId="2" xfId="0" applyNumberFormat="1" applyFont="1" applyFill="1" applyBorder="1" applyAlignment="1">
      <x:alignment horizontal="center" wrapText="1"/>
    </x:xf>
    <x:xf numFmtId="0" fontId="11" fillId="9" borderId="3" xfId="0" applyNumberFormat="1" applyFont="1" applyFill="1" applyBorder="1" applyAlignment="1">
      <x:alignment horizontal="center" wrapText="1"/>
    </x:xf>
    <x:xf numFmtId="0" fontId="11" fillId="9" borderId="4" xfId="0" applyNumberFormat="1" applyFont="1" applyFill="1" applyBorder="1" applyAlignment="1">
      <x:alignment horizontal="center" wrapText="1"/>
    </x:xf>
    <x:xf numFmtId="0" fontId="11" fillId="9" borderId="2" xfId="0" applyNumberFormat="1" applyFont="1" applyFill="1" applyBorder="1" applyAlignment="1">
      <x:alignment horizontal="center" vertical="center" wrapText="1"/>
    </x:xf>
    <x:xf numFmtId="0" fontId="11" fillId="9" borderId="3" xfId="0" applyNumberFormat="1" applyFont="1" applyFill="1" applyBorder="1" applyAlignment="1">
      <x:alignment horizontal="center" vertical="center" wrapText="1"/>
    </x:xf>
    <x:xf numFmtId="0" fontId="11" fillId="9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/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0" fontId="12" fillId="6" borderId="0" xfId="0" applyNumberFormat="1" applyFont="1" applyFill="1" applyBorder="1"/>
    <x:xf numFmtId="201" fontId="12" fillId="5" borderId="0" xfId="0" applyNumberFormat="1" applyFont="1" applyFill="1" applyBorder="1"/>
    <x:xf numFmtId="0" fontId="12" fillId="6" borderId="6" xfId="0" applyNumberFormat="1" applyFont="1" applyFill="1" applyBorder="1"/>
    <x:xf numFmtId="0" fontId="12" fillId="0" borderId="5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1" fontId="12" fillId="0" borderId="0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200" fontId="12" fillId="5" borderId="8" xfId="0" applyNumberFormat="1" applyFont="1" applyFill="1" applyBorder="1"/>
    <x:xf numFmtId="0" fontId="12" fillId="6" borderId="8" xfId="0" applyNumberFormat="1" applyFont="1" applyFill="1" applyBorder="1"/>
    <x:xf numFmtId="201" fontId="12" fillId="5" borderId="8" xfId="0" applyNumberFormat="1" applyFont="1" applyFill="1" applyBorder="1"/>
    <x:xf numFmtId="0" fontId="12" fillId="6" borderId="9" xfId="0" applyNumberFormat="1" applyFont="1" applyFill="1" applyBorder="1"/>
    <x:xf numFmtId="0" fontId="12" fillId="5" borderId="5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200" fontId="12" fillId="5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201" fontId="12" fillId="5" borderId="0" xfId="0" applyNumberFormat="1" applyFont="1" applyFill="1" applyBorder="1" applyAlignment="1">
      <x:alignment vertical="center"/>
    </x:xf>
    <x:xf numFmtId="0" fontId="12" fillId="6" borderId="6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0" fontId="12" fillId="5" borderId="7" xfId="0" applyNumberFormat="1" applyFont="1" applyFill="1" applyBorder="1" applyAlignment="1">
      <x:alignment vertical="center"/>
    </x:xf>
    <x:xf numFmtId="0" fontId="12" fillId="5" borderId="8" xfId="0" applyNumberFormat="1" applyFont="1" applyFill="1" applyBorder="1" applyAlignment="1">
      <x:alignment vertical="center"/>
    </x:xf>
    <x:xf numFmtId="200" fontId="12" fillId="5" borderId="8" xfId="0" applyNumberFormat="1" applyFont="1" applyFill="1" applyBorder="1" applyAlignment="1">
      <x:alignment vertical="center"/>
    </x:xf>
    <x:xf numFmtId="0" fontId="12" fillId="6" borderId="8" xfId="0" applyNumberFormat="1" applyFont="1" applyFill="1" applyBorder="1" applyAlignment="1">
      <x:alignment vertical="center"/>
    </x:xf>
    <x:xf numFmtId="201" fontId="12" fillId="5" borderId="8" xfId="0" applyNumberFormat="1" applyFont="1" applyFill="1" applyBorder="1" applyAlignment="1">
      <x:alignment vertical="center"/>
    </x:xf>
    <x:xf numFmtId="0" fontId="12" fillId="6" borderId="9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2" fillId="10" borderId="8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201" fontId="12" fillId="11" borderId="0" xfId="0" applyNumberFormat="1" applyFont="1" applyFill="1" applyBorder="1" applyAlignment="1">
      <x:alignment vertical="center"/>
    </x:xf>
    <x:xf numFmtId="0" fontId="12" fillId="11" borderId="8" xfId="0" applyNumberFormat="1" applyFont="1" applyFill="1" applyBorder="1" applyAlignment="1">
      <x:alignment vertical="center"/>
    </x:xf>
    <x:xf numFmtId="201" fontId="12" fillId="11" borderId="8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horizontal="right" vertical="center"/>
    </x:xf>
    <x:xf numFmtId="200" fontId="12" fillId="5" borderId="0" xfId="0" applyNumberFormat="1" applyFont="1" applyFill="1" applyBorder="1" applyAlignment="1">
      <x:alignment horizontal="right" vertical="center"/>
    </x:xf>
    <x:xf numFmtId="0" fontId="12" fillId="10" borderId="0" xfId="0" applyNumberFormat="1" applyFont="1" applyFill="1" applyBorder="1" applyAlignment="1">
      <x:alignment horizontal="right" vertical="center"/>
    </x:xf>
    <x:xf numFmtId="0" fontId="12" fillId="11" borderId="0" xfId="0" applyNumberFormat="1" applyFont="1" applyFill="1" applyBorder="1" applyAlignment="1">
      <x:alignment horizontal="right" vertical="center"/>
    </x:xf>
    <x:xf numFmtId="201" fontId="12" fillId="11" borderId="0" xfId="0" applyNumberFormat="1" applyFont="1" applyFill="1" applyBorder="1" applyAlignment="1">
      <x:alignment horizontal="right" vertical="center"/>
    </x:xf>
    <x:xf numFmtId="0" fontId="12" fillId="0" borderId="0" xfId="0" applyNumberFormat="1" applyFont="1" applyFill="1" applyBorder="1" applyAlignment="1">
      <x:alignment horizontal="right" vertical="center"/>
    </x:xf>
    <x:xf numFmtId="200" fontId="12" fillId="0" borderId="0" xfId="0" applyNumberFormat="1" applyFont="1" applyFill="1" applyBorder="1" applyAlignment="1">
      <x:alignment horizontal="right" vertical="center"/>
    </x:xf>
    <x:xf numFmtId="0" fontId="12" fillId="5" borderId="8" xfId="0" applyNumberFormat="1" applyFont="1" applyFill="1" applyBorder="1" applyAlignment="1">
      <x:alignment horizontal="right" vertical="center"/>
    </x:xf>
    <x:xf numFmtId="200" fontId="12" fillId="5" borderId="8" xfId="0" applyNumberFormat="1" applyFont="1" applyFill="1" applyBorder="1" applyAlignment="1">
      <x:alignment horizontal="right" vertical="center"/>
    </x:xf>
    <x:xf numFmtId="0" fontId="12" fillId="10" borderId="8" xfId="0" applyNumberFormat="1" applyFont="1" applyFill="1" applyBorder="1" applyAlignment="1">
      <x:alignment horizontal="right" vertical="center"/>
    </x:xf>
    <x:xf numFmtId="0" fontId="12" fillId="11" borderId="8" xfId="0" applyNumberFormat="1" applyFont="1" applyFill="1" applyBorder="1" applyAlignment="1">
      <x:alignment horizontal="right" vertical="center"/>
    </x:xf>
    <x:xf numFmtId="201" fontId="12" fillId="11" borderId="8" xfId="0" applyNumberFormat="1" applyFont="1" applyFill="1" applyBorder="1" applyAlignment="1">
      <x:alignment horizontal="right" vertic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2" fillId="0" borderId="5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200" fontId="9" fillId="7" borderId="0" xfId="0" applyNumberFormat="1" applyFont="1" applyFill="1" applyBorder="1" applyAlignment="1">
      <x:alignment horizontal="center" vertical="center" wrapText="1"/>
    </x:xf>
    <x:xf numFmtId="201" fontId="9" fillId="7" borderId="0" xfId="0" applyNumberFormat="1" applyFont="1" applyFill="1" applyBorder="1" applyAlignment="1">
      <x:alignment horizontal="center" vertical="center" wrapText="1"/>
    </x:xf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200" fontId="12" fillId="0" borderId="8" xfId="0" applyNumberFormat="1" applyFont="1" applyFill="1" applyBorder="1"/>
    <x:xf numFmtId="201" fontId="12" fillId="0" borderId="8" xfId="0" applyNumberFormat="1" applyFont="1" applyFill="1" applyBorder="1"/>
    <x:xf numFmtId="0" fontId="12" fillId="0" borderId="7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vertical="center"/>
    </x:xf>
    <x:xf numFmtId="200" fontId="12" fillId="0" borderId="8" xfId="0" applyNumberFormat="1" applyFont="1" applyFill="1" applyBorder="1" applyAlignment="1">
      <x:alignment vertical="center"/>
    </x:xf>
    <x:xf numFmtId="201" fontId="12" fillId="0" borderId="8" xfId="0" applyNumberFormat="1" applyFont="1" applyFill="1" applyBorder="1" applyAlignment="1">
      <x:alignment vertical="center"/>
    </x:xf>
    <x:xf numFmtId="0" fontId="12" fillId="0" borderId="8" xfId="0" applyNumberFormat="1" applyFont="1" applyFill="1" applyBorder="1" applyAlignment="1">
      <x:alignment horizontal="right" vertical="center"/>
    </x:xf>
    <x:xf numFmtId="200" fontId="12" fillId="0" borderId="8" xfId="0" applyNumberFormat="1" applyFont="1" applyFill="1" applyBorder="1" applyAlignment="1">
      <x:alignment horizontal="right" vertical="center"/>
    </x:xf>
    <x:xf numFmtId="0" fontId="12" fillId="0" borderId="7" xfId="0" applyNumberFormat="1" applyFont="1" applyFill="1" applyBorder="1" applyAlignment="1">
      <x:alignment horizontal="center" vertical="center"/>
    </x:xf>
    <x:xf numFmtId="0" fontId="12" fillId="0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horizontal="center"/>
    </x:xf>
    <x:xf numFmtId="0" fontId="2" fillId="9" borderId="3" xfId="0" applyNumberFormat="1" applyFont="1" applyFill="1" applyBorder="1" applyAlignment="1">
      <x:alignment horizontal="center"/>
    </x:xf>
    <x:xf numFmtId="0" fontId="2" fillId="9" borderId="4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11" fillId="9" borderId="2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horizontal="center" wrapText="1"/>
    </x:xf>
    <x:xf numFmtId="0" fontId="14" fillId="5" borderId="5" xfId="0" applyNumberFormat="1" applyFont="1" applyFill="1" applyBorder="1"/>
    <x:xf numFmtId="0" fontId="14" fillId="5" borderId="0" xfId="0" applyNumberFormat="1" applyFont="1" applyFill="1" applyBorder="1"/>
    <x:xf numFmtId="201" fontId="14" fillId="5" borderId="0" xfId="0" applyNumberFormat="1" applyFont="1" applyFill="1" applyBorder="1"/>
    <x:xf numFmtId="0" fontId="15" fillId="5" borderId="0" xfId="0" applyNumberFormat="1" applyFont="1" applyFill="1" applyBorder="1"/>
    <x:xf numFmtId="0" fontId="14" fillId="5" borderId="6" xfId="0" applyNumberFormat="1" applyFont="1" applyFill="1" applyBorder="1"/>
    <x:xf numFmtId="0" fontId="14" fillId="0" borderId="0" xfId="0" applyNumberFormat="1" applyFont="1" applyFill="1" applyBorder="1"/>
    <x:xf numFmtId="0" fontId="14" fillId="0" borderId="5" xfId="0" applyNumberFormat="1" applyFont="1" applyFill="1" applyBorder="1"/>
    <x:xf numFmtId="201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4" fillId="0" borderId="6" xfId="0" applyNumberFormat="1" applyFont="1" applyFill="1" applyBorder="1"/>
    <x:xf numFmtId="0" fontId="14" fillId="5" borderId="7" xfId="0" applyNumberFormat="1" applyFont="1" applyFill="1" applyBorder="1"/>
    <x:xf numFmtId="0" fontId="14" fillId="5" borderId="8" xfId="0" applyNumberFormat="1" applyFont="1" applyFill="1" applyBorder="1"/>
    <x:xf numFmtId="201" fontId="14" fillId="5" borderId="8" xfId="0" applyNumberFormat="1" applyFont="1" applyFill="1" applyBorder="1"/>
    <x:xf numFmtId="0" fontId="15" fillId="5" borderId="8" xfId="0" applyNumberFormat="1" applyFont="1" applyFill="1" applyBorder="1"/>
    <x:xf numFmtId="0" fontId="14" fillId="5" borderId="9" xfId="0" applyNumberFormat="1" applyFont="1" applyFill="1" applyBorder="1"/>
    <x:xf numFmtId="0" fontId="14" fillId="5" borderId="5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201" fontId="14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/>
    </x:xf>
    <x:xf numFmtId="0" fontId="14" fillId="5" borderId="6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vertical="center"/>
    </x:xf>
    <x:xf numFmtId="0" fontId="14" fillId="5" borderId="7" xfId="0" applyNumberFormat="1" applyFont="1" applyFill="1" applyBorder="1" applyAlignment="1">
      <x:alignment vertical="center"/>
    </x:xf>
    <x:xf numFmtId="0" fontId="14" fillId="5" borderId="8" xfId="0" applyNumberFormat="1" applyFont="1" applyFill="1" applyBorder="1" applyAlignment="1">
      <x:alignment vertical="center"/>
    </x:xf>
    <x:xf numFmtId="201" fontId="14" fillId="5" borderId="8" xfId="0" applyNumberFormat="1" applyFont="1" applyFill="1" applyBorder="1" applyAlignment="1">
      <x:alignment vertical="center"/>
    </x:xf>
    <x:xf numFmtId="0" fontId="15" fillId="5" borderId="8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b6f9142114072" /><Relationship Type="http://schemas.openxmlformats.org/officeDocument/2006/relationships/theme" Target="/xl/theme/theme1.xml" Id="R068d50f39df041a4" /><Relationship Type="http://schemas.openxmlformats.org/officeDocument/2006/relationships/sharedStrings" Target="/xl/sharedStrings.xml" Id="Rad49d1cfd06d465b" /><Relationship Type="http://schemas.openxmlformats.org/officeDocument/2006/relationships/worksheet" Target="/xl/worksheets/sheet1.xml" Id="R62f89eefcdb14dd8" /><Relationship Type="http://schemas.openxmlformats.org/officeDocument/2006/relationships/worksheet" Target="/xl/worksheets/sheet2.xml" Id="R1dc33dfc2d224e3a" /><Relationship Type="http://schemas.openxmlformats.org/officeDocument/2006/relationships/worksheet" Target="/xl/worksheets/sheet3.xml" Id="R0790835f34fd4580" /><Relationship Type="http://schemas.openxmlformats.org/officeDocument/2006/relationships/worksheet" Target="/xl/worksheets/sheet4.xml" Id="R157cc4cdaa714d3f" /><Relationship Type="http://schemas.openxmlformats.org/officeDocument/2006/relationships/worksheet" Target="/xl/worksheets/sheet5.xml" Id="R66435785178c4ab7" /><Relationship Type="http://schemas.openxmlformats.org/officeDocument/2006/relationships/worksheet" Target="/xl/worksheets/sheet6.xml" Id="R2e541618de0c4a5a" /><Relationship Type="http://schemas.openxmlformats.org/officeDocument/2006/relationships/worksheet" Target="/xl/worksheets/sheet7.xml" Id="R95c8bfbee83c4ca2" /><Relationship Type="http://schemas.openxmlformats.org/officeDocument/2006/relationships/worksheet" Target="/xl/worksheets/sheet8.xml" Id="R757097f22a7b4636" /><Relationship Type="http://schemas.openxmlformats.org/officeDocument/2006/relationships/worksheet" Target="/xl/worksheets/sheet9.xml" Id="R8070fcd7d2684133" /><Relationship Type="http://schemas.openxmlformats.org/officeDocument/2006/relationships/worksheet" Target="/xl/worksheets/sheet10.xml" Id="R9c2a5411ecc341fa" /><Relationship Type="http://schemas.openxmlformats.org/officeDocument/2006/relationships/worksheet" Target="/xl/worksheets/sheet11.xml" Id="R5a7ce44a667f4096" /><Relationship Type="http://schemas.openxmlformats.org/officeDocument/2006/relationships/worksheet" Target="/xl/worksheets/sheet12.xml" Id="Re9de667a7c5d46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6" hidden="0" customWidth="1"/>
  </x:cols>
  <x:sheetData>
    <x:row r="1">
      <x:c r="A1" s="149" t="str">
        <x:v>FAMOSSUL | PROGRAMAÇÃO DE PRODUÇÃO</x:v>
      </x:c>
      <x:c r="B1" s="149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282" t="str">
        <x:v>VERSÃO COMPATÍVEL COM EXCEL</x:v>
      </x:c>
      <x:c r="B3" s="282" t="str"/>
      <x:c r="C3" s="13"/>
      <x:c r="D3" s="13"/>
      <x:c r="E3" s="13"/>
      <x:c r="F3" s="13"/>
      <x:c r="G3" s="13"/>
      <x:c r="H3" s="13"/>
    </x:row>
    <x:row r="4">
      <x:c r="A4" s="284" t="str">
        <x:v>1</x:v>
      </x:c>
      <x:c r="B4" s="284" t="str">
        <x:v>Sem tabelas estruturadas, macros, validações ou formatações condicionais.</x:v>
      </x:c>
      <x:c r="C4" s="13"/>
      <x:c r="D4" s="13"/>
      <x:c r="E4" s="13"/>
      <x:c r="F4" s="13"/>
      <x:c r="G4" s="13"/>
      <x:c r="H4" s="13"/>
    </x:row>
    <x:row r="5">
      <x:c r="A5" s="284" t="str">
        <x:v>2</x:v>
      </x:c>
      <x:c r="B5" s="284" t="str">
        <x:v>Cores e bordas são formatação simples para evitar mensagem de reparo.</x:v>
      </x:c>
      <x:c r="C5" s="13"/>
      <x:c r="D5" s="13"/>
      <x:c r="E5" s="13"/>
      <x:c r="F5" s="13"/>
      <x:c r="G5" s="13"/>
      <x:c r="H5" s="13"/>
    </x:row>
    <x:row r="6">
      <x:c r="A6" s="284" t="str">
        <x:v>3</x:v>
      </x:c>
      <x:c r="B6" s="284" t="str">
        <x:v>Cada aba contém apenas os itens que passam pelo respectivo processo.</x:v>
      </x:c>
      <x:c r="C6" s="13"/>
      <x:c r="D6" s="13"/>
      <x:c r="E6" s="13"/>
      <x:c r="F6" s="13"/>
      <x:c r="G6" s="13"/>
      <x:c r="H6" s="13"/>
    </x:row>
    <x:row r="7">
      <x:c r="A7" s="284" t="str">
        <x:v>4</x:v>
      </x:c>
      <x:c r="B7" s="284" t="str">
        <x:v>Itens ordenados pelas maiores medidas primeiro.</x:v>
      </x:c>
      <x:c r="C7" s="13"/>
      <x:c r="D7" s="13"/>
      <x:c r="E7" s="13"/>
      <x:c r="F7" s="13"/>
      <x:c r="G7" s="13"/>
      <x:c r="H7" s="13"/>
    </x:row>
    <x:row r="8">
      <x:c r="A8" s="284" t="str">
        <x:v>5</x:v>
      </x:c>
      <x:c r="B8" s="284" t="str">
        <x:v>O líder preenche Turno, Máquina, Líder e Qtd Produzida.</x:v>
      </x:c>
      <x:c r="C8" s="13"/>
      <x:c r="D8" s="13"/>
      <x:c r="E8" s="13"/>
      <x:c r="F8" s="13"/>
      <x:c r="G8" s="13"/>
      <x:c r="H8" s="13"/>
    </x:row>
    <x:row r="9">
      <x:c r="A9" s="284" t="str">
        <x:v>6</x:v>
      </x:c>
      <x:c r="B9" s="284" t="str">
        <x:v>Saldo, % Concluído e Status são calculados por fórmulas simples.</x:v>
      </x:c>
      <x:c r="C9" s="13"/>
      <x:c r="D9" s="13"/>
      <x:c r="E9" s="13"/>
      <x:c r="F9" s="13"/>
      <x:c r="G9" s="13"/>
      <x:c r="H9" s="13"/>
    </x:row>
    <x:row r="10">
      <x:c r="A10" s="284" t="str">
        <x:v>7</x:v>
      </x:c>
      <x:c r="B10" s="284" t="str">
        <x:v>CONTROLE GERENTE consolida o andamento de todas as abas.</x:v>
      </x:c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4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6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>
      <x:c r="A1" s="19" t="str">
        <x:v>Filtro</x:v>
      </x:c>
      <x:c r="B1" s="19" t="str">
        <x:v>Pedido</x:v>
      </x:c>
      <x:c r="C1" s="19" t="str">
        <x:v>Item</x:v>
      </x:c>
      <x:c r="D1" s="19" t="str">
        <x:v>Produto</x:v>
      </x:c>
      <x:c r="E1" s="19" t="str">
        <x:v>Descrição</x:v>
      </x:c>
      <x:c r="F1" s="19" t="str">
        <x:v>Tipo</x:v>
      </x:c>
      <x:c r="G1" s="19" t="str">
        <x:v>Canal</x:v>
      </x:c>
      <x:c r="H1" s="19" t="str">
        <x:v>Rebaixo</x:v>
      </x:c>
      <x:c r="I1" s="19" t="str">
        <x:v>Acabamento</x:v>
      </x:c>
      <x:c r="J1" s="19" t="str">
        <x:v>Cor</x:v>
      </x:c>
      <x:c r="K1" s="19" t="str">
        <x:v>Quantidade Estoque</x:v>
      </x:c>
      <x:c r="L1" s="19" t="str">
        <x:v>Quantidade Pecas</x:v>
      </x:c>
      <x:c r="M1" s="19" t="str">
        <x:v>Metros Cúbicos</x:v>
      </x:c>
      <x:c r="N1" s="19" t="str">
        <x:v>Pedido Cliente</x:v>
      </x:c>
      <x:c r="O1" s="19" t="str">
        <x:v>Término Embalagem</x:v>
      </x:c>
      <x:c r="P1" s="19" t="str">
        <x:v>Status Engenharia</x:v>
      </x:c>
      <x:c r="Q1" s="19" t="str">
        <x:v>OF's</x:v>
      </x:c>
      <x:c r="R1" s="19" t="str">
        <x:v>% Concluído Produto</x:v>
      </x:c>
      <x:c r="S1" s="19" t="str">
        <x:v>Código Modelo</x:v>
      </x:c>
      <x:c r="T1" s="19" t="str">
        <x:v>Descrição Modelo</x:v>
      </x:c>
      <x:c r="U1" s="19" t="str">
        <x:v>Outras Características</x:v>
      </x:c>
      <x:c r="V1" s="19" t="str">
        <x:v>Código Nota Item</x:v>
      </x:c>
      <x:c r="W1" s="19" t="str">
        <x:v>PREPARACAO</x:v>
      </x:c>
      <x:c r="X1" s="19" t="str">
        <x:v>USINAGEM-1</x:v>
      </x:c>
      <x:c r="Y1" s="19" t="str">
        <x:v>LIXAR</x:v>
      </x:c>
      <x:c r="Z1" s="19" t="str">
        <x:v>RECOBRIDORA</x:v>
      </x:c>
      <x:c r="AA1" s="19" t="str">
        <x:v>USINAGEM-2</x:v>
      </x:c>
      <x:c r="AB1" s="19" t="str">
        <x:v>LUSTRACAO</x:v>
      </x:c>
      <x:c r="AC1" s="19" t="str">
        <x:v>TERCEIROS</x:v>
      </x:c>
      <x:c r="AD1" s="19" t="str">
        <x:v>EMBALAGEM</x:v>
      </x:c>
      <x:c r="AE1" s="19" t="str">
        <x:v>EXPEDICAO</x:v>
      </x:c>
    </x:row>
    <x:row r="2">
      <x:c r="A2" t="str">
        <x:v>51</x:v>
      </x:c>
      <x:c r="B2" t="str">
        <x:v>26520</x:v>
      </x:c>
      <x:c r="C2" t="str">
        <x:v>1</x:v>
      </x:c>
      <x:c r="D2" t="str">
        <x:v>971114</x:v>
      </x:c>
      <x:c r="E2" t="str">
        <x:v>P A 2200X70X9 RTO RL55 PET CIN VER ULTRA</x:v>
      </x:c>
      <x:c r="F2" t="str"/>
      <x:c r="G2" t="str"/>
      <x:c r="H2" t="str"/>
      <x:c r="I2" t="str">
        <x:v>RECOBERTO PET</x:v>
      </x:c>
      <x:c r="J2" t="str">
        <x:v>CINZA VERONA</x:v>
      </x:c>
      <x:c r="K2" t="str">
        <x:v>0</x:v>
      </x:c>
      <x:c r="L2" t="str">
        <x:v>4</x:v>
      </x:c>
      <x:c r="M2" t="str">
        <x:v>0</x:v>
      </x:c>
      <x:c r="N2" t="str"/>
      <x:c r="O2" t="str"/>
      <x:c r="P2" t="str">
        <x:v>Liberada Para Producao</x:v>
      </x:c>
      <x:c r="Q2" t="str">
        <x:v>610063</x:v>
      </x:c>
      <x:c r="R2" t="str">
        <x:v>0</x:v>
      </x:c>
      <x:c r="S2" t="str"/>
      <x:c r="T2" t="str"/>
      <x:c r="U2" t="str"/>
      <x:c r="V2" t="str"/>
      <x:c r="W2" t="str">
        <x:v>N/A</x:v>
      </x:c>
      <x:c r="X2" t="str">
        <x:v>0</x:v>
      </x:c>
      <x:c r="Y2" t="str">
        <x:v>0</x:v>
      </x:c>
      <x:c r="Z2" t="str">
        <x:v>0</x:v>
      </x:c>
      <x:c r="AA2" t="str">
        <x:v>N/A</x:v>
      </x:c>
      <x:c r="AB2" t="str">
        <x:v>N/A</x:v>
      </x:c>
      <x:c r="AC2" t="str">
        <x:v>N/A</x:v>
      </x:c>
      <x:c r="AD2" t="str">
        <x:v>N/A</x:v>
      </x:c>
      <x:c r="AE2" t="str">
        <x:v>N/A</x:v>
      </x:c>
    </x:row>
    <x:row r="3">
      <x:c r="A3" t="str">
        <x:v>51</x:v>
      </x:c>
      <x:c r="B3" t="str">
        <x:v>26520</x:v>
      </x:c>
      <x:c r="C3" t="str">
        <x:v>1</x:v>
      </x:c>
      <x:c r="D3" t="str">
        <x:v>971116</x:v>
      </x:c>
      <x:c r="E3" t="str">
        <x:v>P A 2200X70X9 RTO LME PET CIN VER ULTRA</x:v>
      </x:c>
      <x:c r="F3" t="str"/>
      <x:c r="G3" t="str"/>
      <x:c r="H3" t="str"/>
      <x:c r="I3" t="str">
        <x:v>RECOBERTO PET</x:v>
      </x:c>
      <x:c r="J3" t="str">
        <x:v>CINZA VERONA</x:v>
      </x:c>
      <x:c r="K3" t="str">
        <x:v>0</x:v>
      </x:c>
      <x:c r="L3" t="str">
        <x:v>4</x:v>
      </x:c>
      <x:c r="M3" t="str">
        <x:v>0</x:v>
      </x:c>
      <x:c r="N3" t="str"/>
      <x:c r="O3" t="str"/>
      <x:c r="P3" t="str">
        <x:v>Liberada Para Producao</x:v>
      </x:c>
      <x:c r="Q3" t="str">
        <x:v>610064</x:v>
      </x:c>
      <x:c r="R3" t="str">
        <x:v>0</x:v>
      </x:c>
      <x:c r="S3" t="str"/>
      <x:c r="T3" t="str"/>
      <x:c r="U3" t="str"/>
      <x:c r="V3" t="str"/>
      <x:c r="W3" t="str">
        <x:v>N/A</x:v>
      </x:c>
      <x:c r="X3" t="str">
        <x:v>0</x:v>
      </x:c>
      <x:c r="Y3" t="str">
        <x:v>0</x:v>
      </x:c>
      <x:c r="Z3" t="str">
        <x:v>0</x:v>
      </x:c>
      <x:c r="AA3" t="str">
        <x:v>N/A</x:v>
      </x:c>
      <x:c r="AB3" t="str">
        <x:v>N/A</x:v>
      </x:c>
      <x:c r="AC3" t="str">
        <x:v>N/A</x:v>
      </x:c>
      <x:c r="AD3" t="str">
        <x:v>N/A</x:v>
      </x:c>
      <x:c r="AE3" t="str">
        <x:v>N/A</x:v>
      </x:c>
    </x:row>
    <x:row r="4">
      <x:c r="A4" t="str">
        <x:v>51</x:v>
      </x:c>
      <x:c r="B4" t="str">
        <x:v>26747</x:v>
      </x:c>
      <x:c r="C4" t="str">
        <x:v>11</x:v>
      </x:c>
      <x:c r="D4" t="str">
        <x:v>921859</x:v>
      </x:c>
      <x:c r="E4" t="str">
        <x:v>1000x130x30 S/RB R1L (MA) PET BC (UL)</x:v>
      </x:c>
      <x:c r="F4" t="str">
        <x:v>MDF ULTRA</x:v>
      </x:c>
      <x:c r="G4" t="str">
        <x:v>S/CANAL</x:v>
      </x:c>
      <x:c r="H4" t="str">
        <x:v>S/REB</x:v>
      </x:c>
      <x:c r="I4" t="str">
        <x:v>RECOBERTO PET</x:v>
      </x:c>
      <x:c r="J4" t="str">
        <x:v>BRANCO CARRARA</x:v>
      </x:c>
      <x:c r="K4" t="str">
        <x:v>0</x:v>
      </x:c>
      <x:c r="L4" t="str">
        <x:v>1</x:v>
      </x:c>
      <x:c r="M4" t="str">
        <x:v>0</x:v>
      </x:c>
      <x:c r="N4" t="str"/>
      <x:c r="O4" t="str"/>
      <x:c r="P4" t="str">
        <x:v>Liberada Para Producao</x:v>
      </x:c>
      <x:c r="Q4" t="str">
        <x:v>609020</x:v>
      </x:c>
      <x:c r="R4" t="str">
        <x:v>33,33</x:v>
      </x:c>
      <x:c r="S4" t="str"/>
      <x:c r="T4" t="str"/>
      <x:c r="U4" t="str"/>
      <x:c r="V4" t="str"/>
      <x:c r="W4" t="str">
        <x:v>N/A</x:v>
      </x:c>
      <x:c r="X4" t="str">
        <x:v>100</x:v>
      </x:c>
      <x:c r="Y4" t="str">
        <x:v>N/A</x:v>
      </x:c>
      <x:c r="Z4" t="str">
        <x:v>0</x:v>
      </x:c>
      <x:c r="AA4" t="str">
        <x:v>0</x:v>
      </x:c>
      <x:c r="AB4" t="str">
        <x:v>N/A</x:v>
      </x:c>
      <x:c r="AC4" t="str">
        <x:v>N/A</x:v>
      </x:c>
      <x:c r="AD4" t="str">
        <x:v>N/A</x:v>
      </x:c>
      <x:c r="AE4" t="str">
        <x:v>N/A</x:v>
      </x:c>
    </x:row>
    <x:row r="5">
      <x:c r="A5" t="str">
        <x:v>51</x:v>
      </x:c>
      <x:c r="B5" t="str">
        <x:v>26520</x:v>
      </x:c>
      <x:c r="C5" t="str">
        <x:v>1</x:v>
      </x:c>
      <x:c r="D5" t="str">
        <x:v>976441</x:v>
      </x:c>
      <x:c r="E5" t="str">
        <x:v>T A 1100X70X09 RTO RL55 PET CNZ VE ULT</x:v>
      </x:c>
      <x:c r="F5" t="str"/>
      <x:c r="G5" t="str"/>
      <x:c r="H5" t="str"/>
      <x:c r="I5" t="str">
        <x:v>RECOBERTO PET</x:v>
      </x:c>
      <x:c r="J5" t="str">
        <x:v>CINZA VERONA</x:v>
      </x:c>
      <x:c r="K5" t="str">
        <x:v>0</x:v>
      </x:c>
      <x:c r="L5" t="str">
        <x:v>2</x:v>
      </x:c>
      <x:c r="M5" t="str">
        <x:v>0,001</x:v>
      </x:c>
      <x:c r="N5" t="str"/>
      <x:c r="O5" t="str"/>
      <x:c r="P5" t="str">
        <x:v>Liberada Para Producao</x:v>
      </x:c>
      <x:c r="Q5" t="str">
        <x:v>610066</x:v>
      </x:c>
      <x:c r="R5" t="str">
        <x:v>0</x:v>
      </x:c>
      <x:c r="S5" t="str"/>
      <x:c r="T5" t="str"/>
      <x:c r="U5" t="str"/>
      <x:c r="V5" t="str"/>
      <x:c r="W5" t="str">
        <x:v>N/A</x:v>
      </x:c>
      <x:c r="X5" t="str">
        <x:v>0</x:v>
      </x:c>
      <x:c r="Y5" t="str">
        <x:v>0</x:v>
      </x:c>
      <x:c r="Z5" t="str">
        <x:v>0</x:v>
      </x:c>
      <x:c r="AA5" t="str">
        <x:v>0</x:v>
      </x:c>
      <x:c r="AB5" t="str">
        <x:v>N/A</x:v>
      </x:c>
      <x:c r="AC5" t="str">
        <x:v>N/A</x:v>
      </x:c>
      <x:c r="AD5" t="str">
        <x:v>N/A</x:v>
      </x:c>
      <x:c r="AE5" t="str">
        <x:v>N/A</x:v>
      </x:c>
    </x:row>
    <x:row r="6">
      <x:c r="A6" t="str">
        <x:v>51</x:v>
      </x:c>
      <x:c r="B6" t="str">
        <x:v>26520</x:v>
      </x:c>
      <x:c r="C6" t="str">
        <x:v>1</x:v>
      </x:c>
      <x:c r="D6" t="str">
        <x:v>976443</x:v>
      </x:c>
      <x:c r="E6" t="str">
        <x:v>T A 1100X70X09 RTO LME PET CNZ VE (UL</x:v>
      </x:c>
      <x:c r="F6" t="str"/>
      <x:c r="G6" t="str"/>
      <x:c r="H6" t="str"/>
      <x:c r="I6" t="str">
        <x:v>RECOBERTO PET</x:v>
      </x:c>
      <x:c r="J6" t="str">
        <x:v>CINZA VERONA</x:v>
      </x:c>
      <x:c r="K6" t="str">
        <x:v>0</x:v>
      </x:c>
      <x:c r="L6" t="str">
        <x:v>2</x:v>
      </x:c>
      <x:c r="M6" t="str">
        <x:v>0,001</x:v>
      </x:c>
      <x:c r="N6" t="str"/>
      <x:c r="O6" t="str"/>
      <x:c r="P6" t="str">
        <x:v>Liberada Para Producao</x:v>
      </x:c>
      <x:c r="Q6" t="str">
        <x:v>610067</x:v>
      </x:c>
      <x:c r="R6" t="str">
        <x:v>0</x:v>
      </x:c>
      <x:c r="S6" t="str"/>
      <x:c r="T6" t="str"/>
      <x:c r="U6" t="str"/>
      <x:c r="V6" t="str"/>
      <x:c r="W6" t="str">
        <x:v>N/A</x:v>
      </x:c>
      <x:c r="X6" t="str">
        <x:v>0</x:v>
      </x:c>
      <x:c r="Y6" t="str">
        <x:v>0</x:v>
      </x:c>
      <x:c r="Z6" t="str">
        <x:v>0</x:v>
      </x:c>
      <x:c r="AA6" t="str">
        <x:v>0</x:v>
      </x:c>
      <x:c r="AB6" t="str">
        <x:v>N/A</x:v>
      </x:c>
      <x:c r="AC6" t="str">
        <x:v>N/A</x:v>
      </x:c>
      <x:c r="AD6" t="str">
        <x:v>N/A</x:v>
      </x:c>
      <x:c r="AE6" t="str">
        <x:v>N/A</x:v>
      </x:c>
    </x:row>
    <x:row r="7">
      <x:c r="A7" t="str">
        <x:v>51</x:v>
      </x:c>
      <x:c r="B7" t="str">
        <x:v>26744</x:v>
      </x:c>
      <x:c r="C7" t="str">
        <x:v>5</x:v>
      </x:c>
      <x:c r="D7" t="str">
        <x:v>676650</x:v>
      </x:c>
      <x:c r="E7" t="str">
        <x:v>1000x130x30 S/REB R1L(MA) PET BCO (REC)</x:v>
      </x:c>
      <x:c r="F7" t="str">
        <x:v>MAD D/PINUS</x:v>
      </x:c>
      <x:c r="G7" t="str">
        <x:v>S/CANAL</x:v>
      </x:c>
      <x:c r="H7" t="str">
        <x:v>S/REB</x:v>
      </x:c>
      <x:c r="I7" t="str">
        <x:v>RECOBERTO PET</x:v>
      </x:c>
      <x:c r="J7" t="str">
        <x:v>BRANCO CARRARA</x:v>
      </x:c>
      <x:c r="K7" t="str">
        <x:v>0</x:v>
      </x:c>
      <x:c r="L7" t="str">
        <x:v>2</x:v>
      </x:c>
      <x:c r="M7" t="str">
        <x:v>0</x:v>
      </x:c>
      <x:c r="N7" t="str"/>
      <x:c r="O7" t="str"/>
      <x:c r="P7" t="str">
        <x:v>Liberada Para Producao</x:v>
      </x:c>
      <x:c r="Q7" t="str">
        <x:v>610016</x:v>
      </x:c>
      <x:c r="R7" t="str">
        <x:v>25</x:v>
      </x:c>
      <x:c r="S7" t="str"/>
      <x:c r="T7" t="str"/>
      <x:c r="U7" t="str"/>
      <x:c r="V7" t="str"/>
      <x:c r="W7" t="str">
        <x:v>100</x:v>
      </x:c>
      <x:c r="X7" t="str">
        <x:v>N/A</x:v>
      </x:c>
      <x:c r="Y7" t="str">
        <x:v>0</x:v>
      </x:c>
      <x:c r="Z7" t="str">
        <x:v>0</x:v>
      </x:c>
      <x:c r="AA7" t="str">
        <x:v>0</x:v>
      </x:c>
      <x:c r="AB7" t="str">
        <x:v>N/A</x:v>
      </x:c>
      <x:c r="AC7" t="str">
        <x:v>N/A</x:v>
      </x:c>
      <x:c r="AD7" t="str">
        <x:v>N/A</x:v>
      </x:c>
      <x:c r="AE7" t="str">
        <x:v>N/A</x:v>
      </x:c>
    </x:row>
    <x:row r="8">
      <x:c r="A8" t="str">
        <x:v>51</x:v>
      </x:c>
      <x:c r="B8" t="str">
        <x:v>26520</x:v>
      </x:c>
      <x:c r="C8" t="str">
        <x:v>1</x:v>
      </x:c>
      <x:c r="D8" t="str">
        <x:v>3041300547</x:v>
      </x:c>
      <x:c r="E8" t="str">
        <x:v>FO POR SEM HDF 3 2100X820X35 PET CI VE C</x:v>
      </x:c>
      <x:c r="F8" t="str"/>
      <x:c r="G8" t="str"/>
      <x:c r="H8" t="str"/>
      <x:c r="I8" t="str">
        <x:v>RECOBERTO PET</x:v>
      </x:c>
      <x:c r="J8" t="str">
        <x:v>CINZA VERONA</x:v>
      </x:c>
      <x:c r="K8" t="str">
        <x:v>0</x:v>
      </x:c>
      <x:c r="L8" t="str">
        <x:v>2</x:v>
      </x:c>
      <x:c r="M8" t="str">
        <x:v>0,121</x:v>
      </x:c>
      <x:c r="N8" t="str"/>
      <x:c r="O8" t="str"/>
      <x:c r="P8" t="str">
        <x:v>Liberada Para Producao</x:v>
      </x:c>
      <x:c r="Q8" t="str">
        <x:v>610069</x:v>
      </x:c>
      <x:c r="R8" t="str">
        <x:v>0</x:v>
      </x:c>
      <x:c r="S8" t="str">
        <x:v>2</x:v>
      </x:c>
      <x:c r="T8" t="str">
        <x:v>PORTA LINHA VANGUARD</x:v>
      </x:c>
      <x:c r="U8" t="str"/>
      <x:c r="V8" t="str"/>
      <x:c r="W8" t="str">
        <x:v>N/A</x:v>
      </x:c>
      <x:c r="X8" t="str">
        <x:v>N/A</x:v>
      </x:c>
      <x:c r="Y8" t="str">
        <x:v>N/A</x:v>
      </x:c>
      <x:c r="Z8" t="str">
        <x:v>N/A</x:v>
      </x:c>
      <x:c r="AA8" t="str">
        <x:v>N/A</x:v>
      </x:c>
      <x:c r="AB8" t="str">
        <x:v>N/A</x:v>
      </x:c>
      <x:c r="AC8" t="str">
        <x:v>N/A</x:v>
      </x:c>
      <x:c r="AD8" t="str">
        <x:v>0</x:v>
      </x:c>
      <x:c r="AE8" t="str">
        <x:v>N/A</x:v>
      </x:c>
    </x:row>
    <x:row r="9">
      <x:c r="A9" t="str">
        <x:v>51</x:v>
      </x:c>
      <x:c r="B9" t="str">
        <x:v>26520</x:v>
      </x:c>
      <x:c r="C9" t="str">
        <x:v>2</x:v>
      </x:c>
      <x:c r="D9" t="str">
        <x:v>971114</x:v>
      </x:c>
      <x:c r="E9" t="str">
        <x:v>P A 2200X70X9 RTO RL55 PET CIN VER ULTRA</x:v>
      </x:c>
      <x:c r="F9" t="str"/>
      <x:c r="G9" t="str"/>
      <x:c r="H9" t="str"/>
      <x:c r="I9" t="str">
        <x:v>RECOBERTO PET</x:v>
      </x:c>
      <x:c r="J9" t="str">
        <x:v>CINZA VERONA</x:v>
      </x:c>
      <x:c r="K9" t="str">
        <x:v>0</x:v>
      </x:c>
      <x:c r="L9" t="str">
        <x:v>12</x:v>
      </x:c>
      <x:c r="M9" t="str">
        <x:v>0</x:v>
      </x:c>
      <x:c r="N9" t="str"/>
      <x:c r="O9" t="str"/>
      <x:c r="P9" t="str">
        <x:v>Liberada Para Producao</x:v>
      </x:c>
      <x:c r="Q9" t="str">
        <x:v>610071</x:v>
      </x:c>
      <x:c r="R9" t="str">
        <x:v>0</x:v>
      </x:c>
      <x:c r="S9" t="str"/>
      <x:c r="T9" t="str"/>
      <x:c r="U9" t="str"/>
      <x:c r="V9" t="str"/>
      <x:c r="W9" t="str">
        <x:v>N/A</x:v>
      </x:c>
      <x:c r="X9" t="str">
        <x:v>0</x:v>
      </x:c>
      <x:c r="Y9" t="str">
        <x:v>0</x:v>
      </x:c>
      <x:c r="Z9" t="str">
        <x:v>0</x:v>
      </x:c>
      <x:c r="AA9" t="str">
        <x:v>N/A</x:v>
      </x:c>
      <x:c r="AB9" t="str">
        <x:v>N/A</x:v>
      </x:c>
      <x:c r="AC9" t="str">
        <x:v>N/A</x:v>
      </x:c>
      <x:c r="AD9" t="str">
        <x:v>N/A</x:v>
      </x:c>
      <x:c r="AE9" t="str">
        <x:v>N/A</x:v>
      </x:c>
    </x:row>
    <x:row r="10">
      <x:c r="A10" t="str">
        <x:v>51</x:v>
      </x:c>
      <x:c r="B10" t="str">
        <x:v>26520</x:v>
      </x:c>
      <x:c r="C10" t="str">
        <x:v>2</x:v>
      </x:c>
      <x:c r="D10" t="str">
        <x:v>971116</x:v>
      </x:c>
      <x:c r="E10" t="str">
        <x:v>P A 2200X70X9 RTO LME PET CIN VER ULTRA</x:v>
      </x:c>
      <x:c r="F10" t="str"/>
      <x:c r="G10" t="str"/>
      <x:c r="H10" t="str"/>
      <x:c r="I10" t="str">
        <x:v>RECOBERTO PET</x:v>
      </x:c>
      <x:c r="J10" t="str">
        <x:v>CINZA VERONA</x:v>
      </x:c>
      <x:c r="K10" t="str">
        <x:v>0</x:v>
      </x:c>
      <x:c r="L10" t="str">
        <x:v>12</x:v>
      </x:c>
      <x:c r="M10" t="str">
        <x:v>0</x:v>
      </x:c>
      <x:c r="N10" t="str"/>
      <x:c r="O10" t="str"/>
      <x:c r="P10" t="str">
        <x:v>Liberada Para Producao</x:v>
      </x:c>
      <x:c r="Q10" t="str">
        <x:v>610072</x:v>
      </x:c>
      <x:c r="R10" t="str">
        <x:v>0</x:v>
      </x:c>
      <x:c r="S10" t="str"/>
      <x:c r="T10" t="str"/>
      <x:c r="U10" t="str"/>
      <x:c r="V10" t="str"/>
      <x:c r="W10" t="str">
        <x:v>N/A</x:v>
      </x:c>
      <x:c r="X10" t="str">
        <x:v>0</x:v>
      </x:c>
      <x:c r="Y10" t="str">
        <x:v>0</x:v>
      </x:c>
      <x:c r="Z10" t="str">
        <x:v>0</x:v>
      </x:c>
      <x:c r="AA10" t="str">
        <x:v>N/A</x:v>
      </x:c>
      <x:c r="AB10" t="str">
        <x:v>N/A</x:v>
      </x:c>
      <x:c r="AC10" t="str">
        <x:v>N/A</x:v>
      </x:c>
      <x:c r="AD10" t="str">
        <x:v>N/A</x:v>
      </x:c>
      <x:c r="AE10" t="str">
        <x:v>N/A</x:v>
      </x:c>
    </x:row>
    <x:row r="11">
      <x:c r="A11" t="str">
        <x:v>51</x:v>
      </x:c>
      <x:c r="B11" t="str">
        <x:v>26520</x:v>
      </x:c>
      <x:c r="C11" t="str">
        <x:v>2</x:v>
      </x:c>
      <x:c r="D11" t="str">
        <x:v>975453</x:v>
      </x:c>
      <x:c r="E11" t="str">
        <x:v>2110x110x30 42x10 R2L RT BIA PET CNZ U(U</x:v>
      </x:c>
      <x:c r="F11" t="str"/>
      <x:c r="G11" t="str"/>
      <x:c r="H11" t="str"/>
      <x:c r="I11" t="str">
        <x:v>RECOBERTO PET</x:v>
      </x:c>
      <x:c r="J11" t="str">
        <x:v>CINZA VERONA</x:v>
      </x:c>
      <x:c r="K11" t="str">
        <x:v>0</x:v>
      </x:c>
      <x:c r="L11" t="str">
        <x:v>12</x:v>
      </x:c>
      <x:c r="M11" t="str">
        <x:v>0,084</x:v>
      </x:c>
      <x:c r="N11" t="str"/>
      <x:c r="O11" t="str"/>
      <x:c r="P11" t="str">
        <x:v>Liberada Para Producao</x:v>
      </x:c>
      <x:c r="Q11" t="str">
        <x:v>610073</x:v>
      </x:c>
      <x:c r="R11" t="str">
        <x:v>0</x:v>
      </x:c>
      <x:c r="S11" t="str"/>
      <x:c r="T11" t="str"/>
      <x:c r="U11" t="str"/>
      <x:c r="V11" t="str"/>
      <x:c r="W11" t="str">
        <x:v>N/A</x:v>
      </x:c>
      <x:c r="X11" t="str">
        <x:v>N/A</x:v>
      </x:c>
      <x:c r="Y11" t="str">
        <x:v>N/A</x:v>
      </x:c>
      <x:c r="Z11" t="str">
        <x:v>0</x:v>
      </x:c>
      <x:c r="AA11" t="str">
        <x:v>0</x:v>
      </x:c>
      <x:c r="AB11" t="str">
        <x:v>N/A</x:v>
      </x:c>
      <x:c r="AC11" t="str">
        <x:v>N/A</x:v>
      </x:c>
      <x:c r="AD11" t="str">
        <x:v>N/A</x:v>
      </x:c>
      <x:c r="AE11" t="str">
        <x:v>N/A</x:v>
      </x:c>
    </x:row>
    <x:row r="12">
      <x:c r="A12" t="str">
        <x:v>51</x:v>
      </x:c>
      <x:c r="B12" t="str">
        <x:v>26520</x:v>
      </x:c>
      <x:c r="C12" t="str">
        <x:v>2</x:v>
      </x:c>
      <x:c r="D12" t="str">
        <x:v>976441</x:v>
      </x:c>
      <x:c r="E12" t="str">
        <x:v>T A 1100X70X09 RTO RL55 PET CNZ VE ULT</x:v>
      </x:c>
      <x:c r="F12" t="str"/>
      <x:c r="G12" t="str"/>
      <x:c r="H12" t="str"/>
      <x:c r="I12" t="str">
        <x:v>RECOBERTO PET</x:v>
      </x:c>
      <x:c r="J12" t="str">
        <x:v>CINZA VERONA</x:v>
      </x:c>
      <x:c r="K12" t="str">
        <x:v>0</x:v>
      </x:c>
      <x:c r="L12" t="str">
        <x:v>6</x:v>
      </x:c>
      <x:c r="M12" t="str">
        <x:v>0,004</x:v>
      </x:c>
      <x:c r="N12" t="str"/>
      <x:c r="O12" t="str"/>
      <x:c r="P12" t="str">
        <x:v>Liberada Para Producao</x:v>
      </x:c>
      <x:c r="Q12" t="str">
        <x:v>610074</x:v>
      </x:c>
      <x:c r="R12" t="str">
        <x:v>0</x:v>
      </x:c>
      <x:c r="S12" t="str"/>
      <x:c r="T12" t="str"/>
      <x:c r="U12" t="str"/>
      <x:c r="V12" t="str"/>
      <x:c r="W12" t="str">
        <x:v>N/A</x:v>
      </x:c>
      <x:c r="X12" t="str">
        <x:v>0</x:v>
      </x:c>
      <x:c r="Y12" t="str">
        <x:v>0</x:v>
      </x:c>
      <x:c r="Z12" t="str">
        <x:v>0</x:v>
      </x:c>
      <x:c r="AA12" t="str">
        <x:v>0</x:v>
      </x:c>
      <x:c r="AB12" t="str">
        <x:v>N/A</x:v>
      </x:c>
      <x:c r="AC12" t="str">
        <x:v>N/A</x:v>
      </x:c>
      <x:c r="AD12" t="str">
        <x:v>N/A</x:v>
      </x:c>
      <x:c r="AE12" t="str">
        <x:v>N/A</x:v>
      </x:c>
    </x:row>
    <x:row r="13">
      <x:c r="A13" t="str">
        <x:v>51</x:v>
      </x:c>
      <x:c r="B13" t="str">
        <x:v>26520</x:v>
      </x:c>
      <x:c r="C13" t="str">
        <x:v>2</x:v>
      </x:c>
      <x:c r="D13" t="str">
        <x:v>976443</x:v>
      </x:c>
      <x:c r="E13" t="str">
        <x:v>T A 1100X70X09 RTO LME PET CNZ VE (UL</x:v>
      </x:c>
      <x:c r="F13" t="str"/>
      <x:c r="G13" t="str"/>
      <x:c r="H13" t="str"/>
      <x:c r="I13" t="str">
        <x:v>RECOBERTO PET</x:v>
      </x:c>
      <x:c r="J13" t="str">
        <x:v>CINZA VERONA</x:v>
      </x:c>
      <x:c r="K13" t="str">
        <x:v>0</x:v>
      </x:c>
      <x:c r="L13" t="str">
        <x:v>6</x:v>
      </x:c>
      <x:c r="M13" t="str">
        <x:v>0,004</x:v>
      </x:c>
      <x:c r="N13" t="str"/>
      <x:c r="O13" t="str"/>
      <x:c r="P13" t="str">
        <x:v>Liberada Para Producao</x:v>
      </x:c>
      <x:c r="Q13" t="str">
        <x:v>610075</x:v>
      </x:c>
      <x:c r="R13" t="str">
        <x:v>0</x:v>
      </x:c>
      <x:c r="S13" t="str"/>
      <x:c r="T13" t="str"/>
      <x:c r="U13" t="str"/>
      <x:c r="V13" t="str"/>
      <x:c r="W13" t="str">
        <x:v>N/A</x:v>
      </x:c>
      <x:c r="X13" t="str">
        <x:v>0</x:v>
      </x:c>
      <x:c r="Y13" t="str">
        <x:v>0</x:v>
      </x:c>
      <x:c r="Z13" t="str">
        <x:v>0</x:v>
      </x:c>
      <x:c r="AA13" t="str">
        <x:v>0</x:v>
      </x:c>
      <x:c r="AB13" t="str">
        <x:v>N/A</x:v>
      </x:c>
      <x:c r="AC13" t="str">
        <x:v>N/A</x:v>
      </x:c>
      <x:c r="AD13" t="str">
        <x:v>N/A</x:v>
      </x:c>
      <x:c r="AE13" t="str">
        <x:v>N/A</x:v>
      </x:c>
    </x:row>
    <x:row r="14">
      <x:c r="A14" t="str">
        <x:v>51</x:v>
      </x:c>
      <x:c r="B14" t="str">
        <x:v>26520</x:v>
      </x:c>
      <x:c r="C14" t="str">
        <x:v>2</x:v>
      </x:c>
      <x:c r="D14" t="str">
        <x:v>985066</x:v>
      </x:c>
      <x:c r="E14" t="str">
        <x:v>867x110x30 42x10 R2L R1 BIA PET CNZ (UL)</x:v>
      </x:c>
      <x:c r="F14" t="str"/>
      <x:c r="G14" t="str"/>
      <x:c r="H14" t="str"/>
      <x:c r="I14" t="str">
        <x:v>RECOBERTO PET</x:v>
      </x:c>
      <x:c r="J14" t="str">
        <x:v>CINZA VERONA</x:v>
      </x:c>
      <x:c r="K14" t="str">
        <x:v>0</x:v>
      </x:c>
      <x:c r="L14" t="str">
        <x:v>6</x:v>
      </x:c>
      <x:c r="M14" t="str">
        <x:v>0,017</x:v>
      </x:c>
      <x:c r="N14" t="str"/>
      <x:c r="O14" t="str"/>
      <x:c r="P14" t="str">
        <x:v>Liberada Para Producao</x:v>
      </x:c>
      <x:c r="Q14" t="str">
        <x:v>610076</x:v>
      </x:c>
      <x:c r="R14" t="str">
        <x:v>0</x:v>
      </x:c>
      <x:c r="S14" t="str"/>
      <x:c r="T14" t="str"/>
      <x:c r="U14" t="str"/>
      <x:c r="V14" t="str"/>
      <x:c r="W14" t="str">
        <x:v>N/A</x:v>
      </x:c>
      <x:c r="X14" t="str">
        <x:v>N/A</x:v>
      </x:c>
      <x:c r="Y14" t="str">
        <x:v>N/A</x:v>
      </x:c>
      <x:c r="Z14" t="str">
        <x:v>0</x:v>
      </x:c>
      <x:c r="AA14" t="str">
        <x:v>0</x:v>
      </x:c>
      <x:c r="AB14" t="str">
        <x:v>N/A</x:v>
      </x:c>
      <x:c r="AC14" t="str">
        <x:v>N/A</x:v>
      </x:c>
      <x:c r="AD14" t="str">
        <x:v>N/A</x:v>
      </x:c>
      <x:c r="AE14" t="str">
        <x:v>N/A</x:v>
      </x:c>
    </x:row>
    <x:row r="15">
      <x:c r="A15" t="str">
        <x:v>51</x:v>
      </x:c>
      <x:c r="B15" t="str">
        <x:v>26520</x:v>
      </x:c>
      <x:c r="C15" t="str">
        <x:v>2</x:v>
      </x:c>
      <x:c r="D15" t="str">
        <x:v>3041300547</x:v>
      </x:c>
      <x:c r="E15" t="str">
        <x:v>FO POR SEM HDF 3 2100X820X35 PET CI VE C</x:v>
      </x:c>
      <x:c r="F15" t="str"/>
      <x:c r="G15" t="str"/>
      <x:c r="H15" t="str"/>
      <x:c r="I15" t="str">
        <x:v>RECOBERTO PET</x:v>
      </x:c>
      <x:c r="J15" t="str">
        <x:v>CINZA VERONA</x:v>
      </x:c>
      <x:c r="K15" t="str">
        <x:v>0</x:v>
      </x:c>
      <x:c r="L15" t="str">
        <x:v>6</x:v>
      </x:c>
      <x:c r="M15" t="str">
        <x:v>0,362</x:v>
      </x:c>
      <x:c r="N15" t="str"/>
      <x:c r="O15" t="str"/>
      <x:c r="P15" t="str">
        <x:v>Liberada Para Producao</x:v>
      </x:c>
      <x:c r="Q15" t="str">
        <x:v>610077</x:v>
      </x:c>
      <x:c r="R15" t="str">
        <x:v>0</x:v>
      </x:c>
      <x:c r="S15" t="str">
        <x:v>2</x:v>
      </x:c>
      <x:c r="T15" t="str">
        <x:v>PORTA LINHA VANGUARD</x:v>
      </x:c>
      <x:c r="U15" t="str"/>
      <x:c r="V15" t="str"/>
      <x:c r="W15" t="str">
        <x:v>N/A</x:v>
      </x:c>
      <x:c r="X15" t="str">
        <x:v>N/A</x:v>
      </x:c>
      <x:c r="Y15" t="str">
        <x:v>N/A</x:v>
      </x:c>
      <x:c r="Z15" t="str">
        <x:v>N/A</x:v>
      </x:c>
      <x:c r="AA15" t="str">
        <x:v>N/A</x:v>
      </x:c>
      <x:c r="AB15" t="str">
        <x:v>N/A</x:v>
      </x:c>
      <x:c r="AC15" t="str">
        <x:v>N/A</x:v>
      </x:c>
      <x:c r="AD15" t="str">
        <x:v>0</x:v>
      </x:c>
      <x:c r="AE15" t="str">
        <x:v>N/A</x:v>
      </x:c>
    </x:row>
    <x:row r="16">
      <x:c r="A16" t="str">
        <x:v>51</x:v>
      </x:c>
      <x:c r="B16" t="str">
        <x:v>26520</x:v>
      </x:c>
      <x:c r="C16" t="str">
        <x:v>3</x:v>
      </x:c>
      <x:c r="D16" t="str">
        <x:v>969662</x:v>
      </x:c>
      <x:c r="E16" t="str">
        <x:v>P A 2200X50X9 RTO RL55 PET CIN VER ULTRA</x:v>
      </x:c>
      <x:c r="F16" t="str"/>
      <x:c r="G16" t="str"/>
      <x:c r="H16" t="str"/>
      <x:c r="I16" t="str">
        <x:v>RECOBERTO PET</x:v>
      </x:c>
      <x:c r="J16" t="str">
        <x:v>CINZA VERONA</x:v>
      </x:c>
      <x:c r="K16" t="str">
        <x:v>0</x:v>
      </x:c>
      <x:c r="L16" t="str">
        <x:v>8</x:v>
      </x:c>
      <x:c r="M16" t="str">
        <x:v>0</x:v>
      </x:c>
      <x:c r="N16" t="str"/>
      <x:c r="O16" t="str"/>
      <x:c r="P16" t="str">
        <x:v>Liberada Para Producao</x:v>
      </x:c>
      <x:c r="Q16" t="str">
        <x:v>610079</x:v>
      </x:c>
      <x:c r="R16" t="str">
        <x:v>0</x:v>
      </x:c>
      <x:c r="S16" t="str"/>
      <x:c r="T16" t="str"/>
      <x:c r="U16" t="str"/>
      <x:c r="V16" t="str"/>
      <x:c r="W16" t="str">
        <x:v>N/A</x:v>
      </x:c>
      <x:c r="X16" t="str">
        <x:v>0</x:v>
      </x:c>
      <x:c r="Y16" t="str">
        <x:v>0</x:v>
      </x:c>
      <x:c r="Z16" t="str">
        <x:v>0</x:v>
      </x:c>
      <x:c r="AA16" t="str">
        <x:v>N/A</x:v>
      </x:c>
      <x:c r="AB16" t="str">
        <x:v>N/A</x:v>
      </x:c>
      <x:c r="AC16" t="str">
        <x:v>N/A</x:v>
      </x:c>
      <x:c r="AD16" t="str">
        <x:v>N/A</x:v>
      </x:c>
      <x:c r="AE16" t="str">
        <x:v>N/A</x:v>
      </x:c>
    </x:row>
    <x:row r="17">
      <x:c r="A17" t="str">
        <x:v>51</x:v>
      </x:c>
      <x:c r="B17" t="str">
        <x:v>26520</x:v>
      </x:c>
      <x:c r="C17" t="str">
        <x:v>3</x:v>
      </x:c>
      <x:c r="D17" t="str">
        <x:v>969663</x:v>
      </x:c>
      <x:c r="E17" t="str">
        <x:v>T A 1000X50X9 RTO RL55 PET CIN VER ULT)</x:v>
      </x:c>
      <x:c r="F17" t="str"/>
      <x:c r="G17" t="str"/>
      <x:c r="H17" t="str"/>
      <x:c r="I17" t="str">
        <x:v>RECOBERTO PET</x:v>
      </x:c>
      <x:c r="J17" t="str">
        <x:v>CINZA VERONA</x:v>
      </x:c>
      <x:c r="K17" t="str">
        <x:v>0</x:v>
      </x:c>
      <x:c r="L17" t="str">
        <x:v>4</x:v>
      </x:c>
      <x:c r="M17" t="str">
        <x:v>0</x:v>
      </x:c>
      <x:c r="N17" t="str"/>
      <x:c r="O17" t="str"/>
      <x:c r="P17" t="str">
        <x:v>Liberada Para Producao</x:v>
      </x:c>
      <x:c r="Q17" t="str">
        <x:v>610080</x:v>
      </x:c>
      <x:c r="R17" t="str">
        <x:v>0</x:v>
      </x:c>
      <x:c r="S17" t="str"/>
      <x:c r="T17" t="str"/>
      <x:c r="U17" t="str"/>
      <x:c r="V17" t="str"/>
      <x:c r="W17" t="str">
        <x:v>N/A</x:v>
      </x:c>
      <x:c r="X17" t="str">
        <x:v>0</x:v>
      </x:c>
      <x:c r="Y17" t="str">
        <x:v>0</x:v>
      </x:c>
      <x:c r="Z17" t="str">
        <x:v>0</x:v>
      </x:c>
      <x:c r="AA17" t="str">
        <x:v>0</x:v>
      </x:c>
      <x:c r="AB17" t="str">
        <x:v>N/A</x:v>
      </x:c>
      <x:c r="AC17" t="str">
        <x:v>N/A</x:v>
      </x:c>
      <x:c r="AD17" t="str">
        <x:v>N/A</x:v>
      </x:c>
      <x:c r="AE17" t="str">
        <x:v>N/A</x:v>
      </x:c>
    </x:row>
    <x:row r="18">
      <x:c r="A18" t="str">
        <x:v>51</x:v>
      </x:c>
      <x:c r="B18" t="str">
        <x:v>26520</x:v>
      </x:c>
      <x:c r="C18" t="str">
        <x:v>3</x:v>
      </x:c>
      <x:c r="D18" t="str">
        <x:v>969664</x:v>
      </x:c>
      <x:c r="E18" t="str">
        <x:v>P A 2200X50X9 RTO LME PET CIN VER ULTRA</x:v>
      </x:c>
      <x:c r="F18" t="str"/>
      <x:c r="G18" t="str"/>
      <x:c r="H18" t="str"/>
      <x:c r="I18" t="str">
        <x:v>RECOBERTO PET</x:v>
      </x:c>
      <x:c r="J18" t="str">
        <x:v>CINZA VERONA</x:v>
      </x:c>
      <x:c r="K18" t="str">
        <x:v>0</x:v>
      </x:c>
      <x:c r="L18" t="str">
        <x:v>8</x:v>
      </x:c>
      <x:c r="M18" t="str">
        <x:v>0</x:v>
      </x:c>
      <x:c r="N18" t="str"/>
      <x:c r="O18" t="str"/>
      <x:c r="P18" t="str">
        <x:v>Liberada Para Producao</x:v>
      </x:c>
      <x:c r="Q18" t="str">
        <x:v>610081</x:v>
      </x:c>
      <x:c r="R18" t="str">
        <x:v>0</x:v>
      </x:c>
      <x:c r="S18" t="str"/>
      <x:c r="T18" t="str"/>
      <x:c r="U18" t="str"/>
      <x:c r="V18" t="str"/>
      <x:c r="W18" t="str">
        <x:v>N/A</x:v>
      </x:c>
      <x:c r="X18" t="str">
        <x:v>0</x:v>
      </x:c>
      <x:c r="Y18" t="str">
        <x:v>0</x:v>
      </x:c>
      <x:c r="Z18" t="str">
        <x:v>0</x:v>
      </x:c>
      <x:c r="AA18" t="str">
        <x:v>N/A</x:v>
      </x:c>
      <x:c r="AB18" t="str">
        <x:v>N/A</x:v>
      </x:c>
      <x:c r="AC18" t="str">
        <x:v>N/A</x:v>
      </x:c>
      <x:c r="AD18" t="str">
        <x:v>N/A</x:v>
      </x:c>
      <x:c r="AE18" t="str">
        <x:v>N/A</x:v>
      </x:c>
    </x:row>
    <x:row r="19">
      <x:c r="A19" t="str">
        <x:v>51</x:v>
      </x:c>
      <x:c r="B19" t="str">
        <x:v>26520</x:v>
      </x:c>
      <x:c r="C19" t="str">
        <x:v>3</x:v>
      </x:c>
      <x:c r="D19" t="str">
        <x:v>969665</x:v>
      </x:c>
      <x:c r="E19" t="str">
        <x:v>T A 1000X50X9 RTO LME PET CIN VER ULTRA</x:v>
      </x:c>
      <x:c r="F19" t="str"/>
      <x:c r="G19" t="str"/>
      <x:c r="H19" t="str"/>
      <x:c r="I19" t="str">
        <x:v>RECOBERTO PET</x:v>
      </x:c>
      <x:c r="J19" t="str">
        <x:v>CINZA VERONA</x:v>
      </x:c>
      <x:c r="K19" t="str">
        <x:v>0</x:v>
      </x:c>
      <x:c r="L19" t="str">
        <x:v>4</x:v>
      </x:c>
      <x:c r="M19" t="str">
        <x:v>0</x:v>
      </x:c>
      <x:c r="N19" t="str"/>
      <x:c r="O19" t="str"/>
      <x:c r="P19" t="str">
        <x:v>Liberada Para Producao</x:v>
      </x:c>
      <x:c r="Q19" t="str">
        <x:v>610082</x:v>
      </x:c>
      <x:c r="R19" t="str">
        <x:v>0</x:v>
      </x:c>
      <x:c r="S19" t="str"/>
      <x:c r="T19" t="str"/>
      <x:c r="U19" t="str"/>
      <x:c r="V19" t="str"/>
      <x:c r="W19" t="str">
        <x:v>N/A</x:v>
      </x:c>
      <x:c r="X19" t="str">
        <x:v>0</x:v>
      </x:c>
      <x:c r="Y19" t="str">
        <x:v>0</x:v>
      </x:c>
      <x:c r="Z19" t="str">
        <x:v>0</x:v>
      </x:c>
      <x:c r="AA19" t="str">
        <x:v>0</x:v>
      </x:c>
      <x:c r="AB19" t="str">
        <x:v>N/A</x:v>
      </x:c>
      <x:c r="AC19" t="str">
        <x:v>N/A</x:v>
      </x:c>
      <x:c r="AD19" t="str">
        <x:v>N/A</x:v>
      </x:c>
      <x:c r="AE19" t="str">
        <x:v>N/A</x:v>
      </x:c>
    </x:row>
    <x:row r="20">
      <x:c r="A20" t="str">
        <x:v>51</x:v>
      </x:c>
      <x:c r="B20" t="str">
        <x:v>26739</x:v>
      </x:c>
      <x:c r="C20" t="str">
        <x:v>11</x:v>
      </x:c>
      <x:c r="D20" t="str">
        <x:v>959094</x:v>
      </x:c>
      <x:c r="E20" t="str">
        <x:v>2110x130x30 42x10 R2 BIA RT PET BC U(UL)</x:v>
      </x:c>
      <x:c r="F20" t="str"/>
      <x:c r="G20" t="str"/>
      <x:c r="H20" t="str"/>
      <x:c r="I20" t="str">
        <x:v>ESMALTE</x:v>
      </x:c>
      <x:c r="J20" t="str">
        <x:v>BRANCO CARRARA</x:v>
      </x:c>
      <x:c r="K20" t="str">
        <x:v>0</x:v>
      </x:c>
      <x:c r="L20" t="str">
        <x:v>32</x:v>
      </x:c>
      <x:c r="M20" t="str">
        <x:v>0</x:v>
      </x:c>
      <x:c r="N20" t="str"/>
      <x:c r="O20" t="str"/>
      <x:c r="P20" t="str">
        <x:v>Liberada Para Producao</x:v>
      </x:c>
      <x:c r="Q20" t="str">
        <x:v>609664</x:v>
      </x:c>
      <x:c r="R20" t="str">
        <x:v>0</x:v>
      </x:c>
      <x:c r="S20" t="str"/>
      <x:c r="T20" t="str"/>
      <x:c r="U20" t="str"/>
      <x:c r="V20" t="str"/>
      <x:c r="W20" t="str">
        <x:v>N/A</x:v>
      </x:c>
      <x:c r="X20" t="str">
        <x:v>N/A</x:v>
      </x:c>
      <x:c r="Y20" t="str">
        <x:v>N/A</x:v>
      </x:c>
      <x:c r="Z20" t="str">
        <x:v>0</x:v>
      </x:c>
      <x:c r="AA20" t="str">
        <x:v>0</x:v>
      </x:c>
      <x:c r="AB20" t="str">
        <x:v>N/A</x:v>
      </x:c>
      <x:c r="AC20" t="str">
        <x:v>N/A</x:v>
      </x:c>
      <x:c r="AD20" t="str">
        <x:v>N/A</x:v>
      </x:c>
      <x:c r="AE20" t="str">
        <x:v>N/A</x:v>
      </x:c>
    </x:row>
    <x:row r="21">
      <x:c r="A21" t="str">
        <x:v>51</x:v>
      </x:c>
      <x:c r="B21" t="str">
        <x:v>26739</x:v>
      </x:c>
      <x:c r="C21" t="str">
        <x:v>20</x:v>
      </x:c>
      <x:c r="D21" t="str">
        <x:v>959094</x:v>
      </x:c>
      <x:c r="E21" t="str">
        <x:v>2110x130x30 42x10 R2 BIA RT PET BC U(UL)</x:v>
      </x:c>
      <x:c r="F21" t="str"/>
      <x:c r="G21" t="str"/>
      <x:c r="H21" t="str"/>
      <x:c r="I21" t="str">
        <x:v>ESMALTE</x:v>
      </x:c>
      <x:c r="J21" t="str">
        <x:v>BRANCO CARRARA</x:v>
      </x:c>
      <x:c r="K21" t="str">
        <x:v>0</x:v>
      </x:c>
      <x:c r="L21" t="str">
        <x:v>6</x:v>
      </x:c>
      <x:c r="M21" t="str">
        <x:v>0</x:v>
      </x:c>
      <x:c r="N21" t="str"/>
      <x:c r="O21" t="str"/>
      <x:c r="P21" t="str">
        <x:v>Liberada Para Producao</x:v>
      </x:c>
      <x:c r="Q21" t="str">
        <x:v>609719</x:v>
      </x:c>
      <x:c r="R21" t="str">
        <x:v>0</x:v>
      </x:c>
      <x:c r="S21" t="str"/>
      <x:c r="T21" t="str"/>
      <x:c r="U21" t="str"/>
      <x:c r="V21" t="str"/>
      <x:c r="W21" t="str">
        <x:v>N/A</x:v>
      </x:c>
      <x:c r="X21" t="str">
        <x:v>N/A</x:v>
      </x:c>
      <x:c r="Y21" t="str">
        <x:v>N/A</x:v>
      </x:c>
      <x:c r="Z21" t="str">
        <x:v>0</x:v>
      </x:c>
      <x:c r="AA21" t="str">
        <x:v>0</x:v>
      </x:c>
      <x:c r="AB21" t="str">
        <x:v>N/A</x:v>
      </x:c>
      <x:c r="AC21" t="str">
        <x:v>N/A</x:v>
      </x:c>
      <x:c r="AD21" t="str">
        <x:v>N/A</x:v>
      </x:c>
      <x:c r="AE21" t="str">
        <x:v>N/A</x:v>
      </x:c>
    </x:row>
    <x:row r="22">
      <x:c r="A22" t="str">
        <x:v>51</x:v>
      </x:c>
      <x:c r="B22" t="str">
        <x:v>26520</x:v>
      </x:c>
      <x:c r="C22" t="str">
        <x:v>3</x:v>
      </x:c>
      <x:c r="D22" t="str">
        <x:v>3041300548</x:v>
      </x:c>
      <x:c r="E22" t="str">
        <x:v>FO POR SEM HDF 3 2100X720X35 PET CI VE C</x:v>
      </x:c>
      <x:c r="F22" t="str"/>
      <x:c r="G22" t="str"/>
      <x:c r="H22" t="str"/>
      <x:c r="I22" t="str">
        <x:v>RECOBERTO PET</x:v>
      </x:c>
      <x:c r="J22" t="str">
        <x:v>CINZA VERONA</x:v>
      </x:c>
      <x:c r="K22" t="str">
        <x:v>0</x:v>
      </x:c>
      <x:c r="L22" t="str">
        <x:v>4</x:v>
      </x:c>
      <x:c r="M22" t="str">
        <x:v>0,212</x:v>
      </x:c>
      <x:c r="N22" t="str"/>
      <x:c r="O22" t="str"/>
      <x:c r="P22" t="str">
        <x:v>Liberada Para Producao</x:v>
      </x:c>
      <x:c r="Q22" t="str">
        <x:v>610085</x:v>
      </x:c>
      <x:c r="R22" t="str">
        <x:v>0</x:v>
      </x:c>
      <x:c r="S22" t="str">
        <x:v>2</x:v>
      </x:c>
      <x:c r="T22" t="str">
        <x:v>PORTA LINHA VANGUARD</x:v>
      </x:c>
      <x:c r="U22" t="str"/>
      <x:c r="V22" t="str"/>
      <x:c r="W22" t="str">
        <x:v>N/A</x:v>
      </x:c>
      <x:c r="X22" t="str">
        <x:v>N/A</x:v>
      </x:c>
      <x:c r="Y22" t="str">
        <x:v>N/A</x:v>
      </x:c>
      <x:c r="Z22" t="str">
        <x:v>N/A</x:v>
      </x:c>
      <x:c r="AA22" t="str">
        <x:v>N/A</x:v>
      </x:c>
      <x:c r="AB22" t="str">
        <x:v>N/A</x:v>
      </x:c>
      <x:c r="AC22" t="str">
        <x:v>N/A</x:v>
      </x:c>
      <x:c r="AD22" t="str">
        <x:v>0</x:v>
      </x:c>
      <x:c r="AE22" t="str">
        <x:v>N/A</x:v>
      </x:c>
    </x:row>
    <x:row r="23">
      <x:c r="A23" t="str">
        <x:v>51</x:v>
      </x:c>
      <x:c r="B23" t="str">
        <x:v>26520</x:v>
      </x:c>
      <x:c r="C23" t="str">
        <x:v>4</x:v>
      </x:c>
      <x:c r="D23" t="str">
        <x:v>969662</x:v>
      </x:c>
      <x:c r="E23" t="str">
        <x:v>P A 2200X50X9 RTO RL55 PET CIN VER ULTRA</x:v>
      </x:c>
      <x:c r="F23" t="str"/>
      <x:c r="G23" t="str"/>
      <x:c r="H23" t="str"/>
      <x:c r="I23" t="str">
        <x:v>RECOBERTO PET</x:v>
      </x:c>
      <x:c r="J23" t="str">
        <x:v>CINZA VERONA</x:v>
      </x:c>
      <x:c r="K23" t="str">
        <x:v>0</x:v>
      </x:c>
      <x:c r="L23" t="str">
        <x:v>8</x:v>
      </x:c>
      <x:c r="M23" t="str">
        <x:v>0</x:v>
      </x:c>
      <x:c r="N23" t="str"/>
      <x:c r="O23" t="str"/>
      <x:c r="P23" t="str">
        <x:v>Liberada Para Producao</x:v>
      </x:c>
      <x:c r="Q23" t="str">
        <x:v>610087</x:v>
      </x:c>
      <x:c r="R23" t="str">
        <x:v>0</x:v>
      </x:c>
      <x:c r="S23" t="str"/>
      <x:c r="T23" t="str"/>
      <x:c r="U23" t="str"/>
      <x:c r="V23" t="str"/>
      <x:c r="W23" t="str">
        <x:v>N/A</x:v>
      </x:c>
      <x:c r="X23" t="str">
        <x:v>0</x:v>
      </x:c>
      <x:c r="Y23" t="str">
        <x:v>0</x:v>
      </x:c>
      <x:c r="Z23" t="str">
        <x:v>0</x:v>
      </x:c>
      <x:c r="AA23" t="str">
        <x:v>N/A</x:v>
      </x:c>
      <x:c r="AB23" t="str">
        <x:v>N/A</x:v>
      </x:c>
      <x:c r="AC23" t="str">
        <x:v>N/A</x:v>
      </x:c>
      <x:c r="AD23" t="str">
        <x:v>N/A</x:v>
      </x:c>
      <x:c r="AE23" t="str">
        <x:v>N/A</x:v>
      </x:c>
    </x:row>
    <x:row r="24">
      <x:c r="A24" t="str">
        <x:v>51</x:v>
      </x:c>
      <x:c r="B24" t="str">
        <x:v>26520</x:v>
      </x:c>
      <x:c r="C24" t="str">
        <x:v>4</x:v>
      </x:c>
      <x:c r="D24" t="str">
        <x:v>969663</x:v>
      </x:c>
      <x:c r="E24" t="str">
        <x:v>T A 1000X50X9 RTO RL55 PET CIN VER ULT)</x:v>
      </x:c>
      <x:c r="F24" t="str"/>
      <x:c r="G24" t="str"/>
      <x:c r="H24" t="str"/>
      <x:c r="I24" t="str">
        <x:v>RECOBERTO PET</x:v>
      </x:c>
      <x:c r="J24" t="str">
        <x:v>CINZA VERONA</x:v>
      </x:c>
      <x:c r="K24" t="str">
        <x:v>0</x:v>
      </x:c>
      <x:c r="L24" t="str">
        <x:v>4</x:v>
      </x:c>
      <x:c r="M24" t="str">
        <x:v>0</x:v>
      </x:c>
      <x:c r="N24" t="str"/>
      <x:c r="O24" t="str"/>
      <x:c r="P24" t="str">
        <x:v>Liberada Para Producao</x:v>
      </x:c>
      <x:c r="Q24" t="str">
        <x:v>610088</x:v>
      </x:c>
      <x:c r="R24" t="str">
        <x:v>0</x:v>
      </x:c>
      <x:c r="S24" t="str"/>
      <x:c r="T24" t="str"/>
      <x:c r="U24" t="str"/>
      <x:c r="V24" t="str"/>
      <x:c r="W24" t="str">
        <x:v>N/A</x:v>
      </x:c>
      <x:c r="X24" t="str">
        <x:v>0</x:v>
      </x:c>
      <x:c r="Y24" t="str">
        <x:v>0</x:v>
      </x:c>
      <x:c r="Z24" t="str">
        <x:v>0</x:v>
      </x:c>
      <x:c r="AA24" t="str">
        <x:v>0</x:v>
      </x:c>
      <x:c r="AB24" t="str">
        <x:v>N/A</x:v>
      </x:c>
      <x:c r="AC24" t="str">
        <x:v>N/A</x:v>
      </x:c>
      <x:c r="AD24" t="str">
        <x:v>N/A</x:v>
      </x:c>
      <x:c r="AE24" t="str">
        <x:v>N/A</x:v>
      </x:c>
    </x:row>
    <x:row r="25">
      <x:c r="A25" t="str">
        <x:v>51</x:v>
      </x:c>
      <x:c r="B25" t="str">
        <x:v>26520</x:v>
      </x:c>
      <x:c r="C25" t="str">
        <x:v>4</x:v>
      </x:c>
      <x:c r="D25" t="str">
        <x:v>969664</x:v>
      </x:c>
      <x:c r="E25" t="str">
        <x:v>P A 2200X50X9 RTO LME PET CIN VER ULTRA</x:v>
      </x:c>
      <x:c r="F25" t="str"/>
      <x:c r="G25" t="str"/>
      <x:c r="H25" t="str"/>
      <x:c r="I25" t="str">
        <x:v>RECOBERTO PET</x:v>
      </x:c>
      <x:c r="J25" t="str">
        <x:v>CINZA VERONA</x:v>
      </x:c>
      <x:c r="K25" t="str">
        <x:v>0</x:v>
      </x:c>
      <x:c r="L25" t="str">
        <x:v>8</x:v>
      </x:c>
      <x:c r="M25" t="str">
        <x:v>0</x:v>
      </x:c>
      <x:c r="N25" t="str"/>
      <x:c r="O25" t="str"/>
      <x:c r="P25" t="str">
        <x:v>Liberada Para Producao</x:v>
      </x:c>
      <x:c r="Q25" t="str">
        <x:v>610089</x:v>
      </x:c>
      <x:c r="R25" t="str">
        <x:v>0</x:v>
      </x:c>
      <x:c r="S25" t="str"/>
      <x:c r="T25" t="str"/>
      <x:c r="U25" t="str"/>
      <x:c r="V25" t="str"/>
      <x:c r="W25" t="str">
        <x:v>N/A</x:v>
      </x:c>
      <x:c r="X25" t="str">
        <x:v>0</x:v>
      </x:c>
      <x:c r="Y25" t="str">
        <x:v>0</x:v>
      </x:c>
      <x:c r="Z25" t="str">
        <x:v>0</x:v>
      </x:c>
      <x:c r="AA25" t="str">
        <x:v>N/A</x:v>
      </x:c>
      <x:c r="AB25" t="str">
        <x:v>N/A</x:v>
      </x:c>
      <x:c r="AC25" t="str">
        <x:v>N/A</x:v>
      </x:c>
      <x:c r="AD25" t="str">
        <x:v>N/A</x:v>
      </x:c>
      <x:c r="AE25" t="str">
        <x:v>N/A</x:v>
      </x:c>
    </x:row>
    <x:row r="26">
      <x:c r="A26" t="str">
        <x:v>51</x:v>
      </x:c>
      <x:c r="B26" t="str">
        <x:v>26520</x:v>
      </x:c>
      <x:c r="C26" t="str">
        <x:v>4</x:v>
      </x:c>
      <x:c r="D26" t="str">
        <x:v>969665</x:v>
      </x:c>
      <x:c r="E26" t="str">
        <x:v>T A 1000X50X9 RTO LME PET CIN VER ULTRA</x:v>
      </x:c>
      <x:c r="F26" t="str"/>
      <x:c r="G26" t="str"/>
      <x:c r="H26" t="str"/>
      <x:c r="I26" t="str">
        <x:v>RECOBERTO PET</x:v>
      </x:c>
      <x:c r="J26" t="str">
        <x:v>CINZA VERONA</x:v>
      </x:c>
      <x:c r="K26" t="str">
        <x:v>0</x:v>
      </x:c>
      <x:c r="L26" t="str">
        <x:v>4</x:v>
      </x:c>
      <x:c r="M26" t="str">
        <x:v>0</x:v>
      </x:c>
      <x:c r="N26" t="str"/>
      <x:c r="O26" t="str"/>
      <x:c r="P26" t="str">
        <x:v>Liberada Para Producao</x:v>
      </x:c>
      <x:c r="Q26" t="str">
        <x:v>610090</x:v>
      </x:c>
      <x:c r="R26" t="str">
        <x:v>0</x:v>
      </x:c>
      <x:c r="S26" t="str"/>
      <x:c r="T26" t="str"/>
      <x:c r="U26" t="str"/>
      <x:c r="V26" t="str"/>
      <x:c r="W26" t="str">
        <x:v>N/A</x:v>
      </x:c>
      <x:c r="X26" t="str">
        <x:v>0</x:v>
      </x:c>
      <x:c r="Y26" t="str">
        <x:v>0</x:v>
      </x:c>
      <x:c r="Z26" t="str">
        <x:v>0</x:v>
      </x:c>
      <x:c r="AA26" t="str">
        <x:v>0</x:v>
      </x:c>
      <x:c r="AB26" t="str">
        <x:v>N/A</x:v>
      </x:c>
      <x:c r="AC26" t="str">
        <x:v>N/A</x:v>
      </x:c>
      <x:c r="AD26" t="str">
        <x:v>N/A</x:v>
      </x:c>
      <x:c r="AE26" t="str">
        <x:v>N/A</x:v>
      </x:c>
    </x:row>
    <x:row r="27">
      <x:c r="A27" t="str">
        <x:v>51</x:v>
      </x:c>
      <x:c r="B27" t="str">
        <x:v>26520</x:v>
      </x:c>
      <x:c r="C27" t="str">
        <x:v>4</x:v>
      </x:c>
      <x:c r="D27" t="str">
        <x:v>2010700177</x:v>
      </x:c>
      <x:c r="E27" t="str">
        <x:v>M P ULTRA PET CI VE 2110X110X30 42X10 R2</x:v>
      </x:c>
      <x:c r="F27" t="str"/>
      <x:c r="G27" t="str"/>
      <x:c r="H27" t="str"/>
      <x:c r="I27" t="str">
        <x:v>RECOBERTO PET</x:v>
      </x:c>
      <x:c r="J27" t="str">
        <x:v>CINZA VERONA</x:v>
      </x:c>
      <x:c r="K27" t="str">
        <x:v>0</x:v>
      </x:c>
      <x:c r="L27" t="str">
        <x:v>8</x:v>
      </x:c>
      <x:c r="M27" t="str">
        <x:v>0,056</x:v>
      </x:c>
      <x:c r="N27" t="str"/>
      <x:c r="O27" t="str"/>
      <x:c r="P27" t="str">
        <x:v>Liberada Para Producao</x:v>
      </x:c>
      <x:c r="Q27" t="str">
        <x:v>610091</x:v>
      </x:c>
      <x:c r="R27" t="str">
        <x:v>0</x:v>
      </x:c>
      <x:c r="S27" t="str">
        <x:v>1500</x:v>
      </x:c>
      <x:c r="T27" t="str">
        <x:v>PERNA DE BATENTE PREMIUM(SEMIA</x:v>
      </x:c>
      <x:c r="U27" t="str"/>
      <x:c r="V27" t="str"/>
      <x:c r="W27" t="str">
        <x:v>N/A</x:v>
      </x:c>
      <x:c r="X27" t="str">
        <x:v>N/A</x:v>
      </x:c>
      <x:c r="Y27" t="str">
        <x:v>N/A</x:v>
      </x:c>
      <x:c r="Z27" t="str">
        <x:v>0</x:v>
      </x:c>
      <x:c r="AA27" t="str">
        <x:v>0</x:v>
      </x:c>
      <x:c r="AB27" t="str">
        <x:v>N/A</x:v>
      </x:c>
      <x:c r="AC27" t="str">
        <x:v>N/A</x:v>
      </x:c>
      <x:c r="AD27" t="str">
        <x:v>N/A</x:v>
      </x:c>
      <x:c r="AE27" t="str">
        <x:v>N/A</x:v>
      </x:c>
    </x:row>
    <x:row r="28">
      <x:c r="A28" t="str">
        <x:v>51</x:v>
      </x:c>
      <x:c r="B28" t="str">
        <x:v>26520</x:v>
      </x:c>
      <x:c r="C28" t="str">
        <x:v>4</x:v>
      </x:c>
      <x:c r="D28" t="str">
        <x:v>2010701216</x:v>
      </x:c>
      <x:c r="E28" t="str">
        <x:v>M ULTRA PET CI VE 767X110X30 42X10 R2L M</x:v>
      </x:c>
      <x:c r="F28" t="str"/>
      <x:c r="G28" t="str"/>
      <x:c r="H28" t="str"/>
      <x:c r="I28" t="str">
        <x:v>RECOBERTO PET</x:v>
      </x:c>
      <x:c r="J28" t="str">
        <x:v>CINZA VERONA</x:v>
      </x:c>
      <x:c r="K28" t="str">
        <x:v>0</x:v>
      </x:c>
      <x:c r="L28" t="str">
        <x:v>4</x:v>
      </x:c>
      <x:c r="M28" t="str">
        <x:v>0,01</x:v>
      </x:c>
      <x:c r="N28" t="str"/>
      <x:c r="O28" t="str"/>
      <x:c r="P28" t="str">
        <x:v>Liberada Para Producao</x:v>
      </x:c>
      <x:c r="Q28" t="str">
        <x:v>610092</x:v>
      </x:c>
      <x:c r="R28" t="str">
        <x:v>0</x:v>
      </x:c>
      <x:c r="S28" t="str">
        <x:v>1502</x:v>
      </x:c>
      <x:c r="T28" t="str">
        <x:v>TV.BAT. 680-1100 PET/PVC(SEMI)</x:v>
      </x:c>
      <x:c r="U28" t="str"/>
      <x:c r="V28" t="str"/>
      <x:c r="W28" t="str">
        <x:v>N/A</x:v>
      </x:c>
      <x:c r="X28" t="str">
        <x:v>N/A</x:v>
      </x:c>
      <x:c r="Y28" t="str">
        <x:v>N/A</x:v>
      </x:c>
      <x:c r="Z28" t="str">
        <x:v>0</x:v>
      </x:c>
      <x:c r="AA28" t="str">
        <x:v>0</x:v>
      </x:c>
      <x:c r="AB28" t="str">
        <x:v>N/A</x:v>
      </x:c>
      <x:c r="AC28" t="str">
        <x:v>N/A</x:v>
      </x:c>
      <x:c r="AD28" t="str">
        <x:v>N/A</x:v>
      </x:c>
      <x:c r="AE28" t="str">
        <x:v>N/A</x:v>
      </x:c>
    </x:row>
    <x:row r="29">
      <x:c r="A29" t="str">
        <x:v>51</x:v>
      </x:c>
      <x:c r="B29" t="str">
        <x:v>26520</x:v>
      </x:c>
      <x:c r="C29" t="str">
        <x:v>4</x:v>
      </x:c>
      <x:c r="D29" t="str">
        <x:v>3041300548</x:v>
      </x:c>
      <x:c r="E29" t="str">
        <x:v>FO POR SEM HDF 3 2100X720X35 PET CI VE C</x:v>
      </x:c>
      <x:c r="F29" t="str"/>
      <x:c r="G29" t="str"/>
      <x:c r="H29" t="str"/>
      <x:c r="I29" t="str">
        <x:v>RECOBERTO PET</x:v>
      </x:c>
      <x:c r="J29" t="str">
        <x:v>CINZA VERONA</x:v>
      </x:c>
      <x:c r="K29" t="str">
        <x:v>0</x:v>
      </x:c>
      <x:c r="L29" t="str">
        <x:v>4</x:v>
      </x:c>
      <x:c r="M29" t="str">
        <x:v>0,212</x:v>
      </x:c>
      <x:c r="N29" t="str"/>
      <x:c r="O29" t="str"/>
      <x:c r="P29" t="str">
        <x:v>Liberada Para Producao</x:v>
      </x:c>
      <x:c r="Q29" t="str">
        <x:v>610093</x:v>
      </x:c>
      <x:c r="R29" t="str">
        <x:v>0</x:v>
      </x:c>
      <x:c r="S29" t="str">
        <x:v>2</x:v>
      </x:c>
      <x:c r="T29" t="str">
        <x:v>PORTA LINHA VANGUARD</x:v>
      </x:c>
      <x:c r="U29" t="str"/>
      <x:c r="V29" t="str"/>
      <x:c r="W29" t="str">
        <x:v>N/A</x:v>
      </x:c>
      <x:c r="X29" t="str">
        <x:v>N/A</x:v>
      </x:c>
      <x:c r="Y29" t="str">
        <x:v>N/A</x:v>
      </x:c>
      <x:c r="Z29" t="str">
        <x:v>N/A</x:v>
      </x:c>
      <x:c r="AA29" t="str">
        <x:v>N/A</x:v>
      </x:c>
      <x:c r="AB29" t="str">
        <x:v>N/A</x:v>
      </x:c>
      <x:c r="AC29" t="str">
        <x:v>N/A</x:v>
      </x:c>
      <x:c r="AD29" t="str">
        <x:v>0</x:v>
      </x:c>
      <x:c r="AE29" t="str">
        <x:v>N/A</x:v>
      </x:c>
    </x:row>
    <x:row r="30">
      <x:c r="A30" t="str">
        <x:v>51</x:v>
      </x:c>
      <x:c r="B30" t="str">
        <x:v>26520</x:v>
      </x:c>
      <x:c r="C30" t="str">
        <x:v>5</x:v>
      </x:c>
      <x:c r="D30" t="str">
        <x:v>969662</x:v>
      </x:c>
      <x:c r="E30" t="str">
        <x:v>P A 2200X50X9 RTO RL55 PET CIN VER ULTRA</x:v>
      </x:c>
      <x:c r="F30" t="str"/>
      <x:c r="G30" t="str"/>
      <x:c r="H30" t="str"/>
      <x:c r="I30" t="str">
        <x:v>RECOBERTO PET</x:v>
      </x:c>
      <x:c r="J30" t="str">
        <x:v>CINZA VERONA</x:v>
      </x:c>
      <x:c r="K30" t="str">
        <x:v>0</x:v>
      </x:c>
      <x:c r="L30" t="str">
        <x:v>2</x:v>
      </x:c>
      <x:c r="M30" t="str">
        <x:v>0</x:v>
      </x:c>
      <x:c r="N30" t="str"/>
      <x:c r="O30" t="str"/>
      <x:c r="P30" t="str">
        <x:v>Liberada Para Producao</x:v>
      </x:c>
      <x:c r="Q30" t="str">
        <x:v>610095</x:v>
      </x:c>
      <x:c r="R30" t="str">
        <x:v>0</x:v>
      </x:c>
      <x:c r="S30" t="str"/>
      <x:c r="T30" t="str"/>
      <x:c r="U30" t="str"/>
      <x:c r="V30" t="str"/>
      <x:c r="W30" t="str">
        <x:v>N/A</x:v>
      </x:c>
      <x:c r="X30" t="str">
        <x:v>0</x:v>
      </x:c>
      <x:c r="Y30" t="str">
        <x:v>0</x:v>
      </x:c>
      <x:c r="Z30" t="str">
        <x:v>0</x:v>
      </x:c>
      <x:c r="AA30" t="str">
        <x:v>N/A</x:v>
      </x:c>
      <x:c r="AB30" t="str">
        <x:v>N/A</x:v>
      </x:c>
      <x:c r="AC30" t="str">
        <x:v>N/A</x:v>
      </x:c>
      <x:c r="AD30" t="str">
        <x:v>N/A</x:v>
      </x:c>
      <x:c r="AE30" t="str">
        <x:v>N/A</x:v>
      </x:c>
    </x:row>
    <x:row r="31">
      <x:c r="A31" t="str">
        <x:v>51</x:v>
      </x:c>
      <x:c r="B31" t="str">
        <x:v>26520</x:v>
      </x:c>
      <x:c r="C31" t="str">
        <x:v>5</x:v>
      </x:c>
      <x:c r="D31" t="str">
        <x:v>969663</x:v>
      </x:c>
      <x:c r="E31" t="str">
        <x:v>T A 1000X50X9 RTO RL55 PET CIN VER ULT)</x:v>
      </x:c>
      <x:c r="F31" t="str"/>
      <x:c r="G31" t="str"/>
      <x:c r="H31" t="str"/>
      <x:c r="I31" t="str">
        <x:v>RECOBERTO PET</x:v>
      </x:c>
      <x:c r="J31" t="str">
        <x:v>CINZA VERONA</x:v>
      </x:c>
      <x:c r="K31" t="str">
        <x:v>0</x:v>
      </x:c>
      <x:c r="L31" t="str">
        <x:v>1</x:v>
      </x:c>
      <x:c r="M31" t="str">
        <x:v>0</x:v>
      </x:c>
      <x:c r="N31" t="str"/>
      <x:c r="O31" t="str"/>
      <x:c r="P31" t="str">
        <x:v>Liberada Para Producao</x:v>
      </x:c>
      <x:c r="Q31" t="str">
        <x:v>610096</x:v>
      </x:c>
      <x:c r="R31" t="str">
        <x:v>0</x:v>
      </x:c>
      <x:c r="S31" t="str"/>
      <x:c r="T31" t="str"/>
      <x:c r="U31" t="str"/>
      <x:c r="V31" t="str"/>
      <x:c r="W31" t="str">
        <x:v>N/A</x:v>
      </x:c>
      <x:c r="X31" t="str">
        <x:v>0</x:v>
      </x:c>
      <x:c r="Y31" t="str">
        <x:v>0</x:v>
      </x:c>
      <x:c r="Z31" t="str">
        <x:v>0</x:v>
      </x:c>
      <x:c r="AA31" t="str">
        <x:v>0</x:v>
      </x:c>
      <x:c r="AB31" t="str">
        <x:v>N/A</x:v>
      </x:c>
      <x:c r="AC31" t="str">
        <x:v>N/A</x:v>
      </x:c>
      <x:c r="AD31" t="str">
        <x:v>N/A</x:v>
      </x:c>
      <x:c r="AE31" t="str">
        <x:v>N/A</x:v>
      </x:c>
    </x:row>
    <x:row r="32">
      <x:c r="A32" t="str">
        <x:v>51</x:v>
      </x:c>
      <x:c r="B32" t="str">
        <x:v>26520</x:v>
      </x:c>
      <x:c r="C32" t="str">
        <x:v>5</x:v>
      </x:c>
      <x:c r="D32" t="str">
        <x:v>969664</x:v>
      </x:c>
      <x:c r="E32" t="str">
        <x:v>P A 2200X50X9 RTO LME PET CIN VER ULTRA</x:v>
      </x:c>
      <x:c r="F32" t="str"/>
      <x:c r="G32" t="str"/>
      <x:c r="H32" t="str"/>
      <x:c r="I32" t="str">
        <x:v>RECOBERTO PET</x:v>
      </x:c>
      <x:c r="J32" t="str">
        <x:v>CINZA VERONA</x:v>
      </x:c>
      <x:c r="K32" t="str">
        <x:v>0</x:v>
      </x:c>
      <x:c r="L32" t="str">
        <x:v>2</x:v>
      </x:c>
      <x:c r="M32" t="str">
        <x:v>0</x:v>
      </x:c>
      <x:c r="N32" t="str"/>
      <x:c r="O32" t="str"/>
      <x:c r="P32" t="str">
        <x:v>Liberada Para Producao</x:v>
      </x:c>
      <x:c r="Q32" t="str">
        <x:v>610097</x:v>
      </x:c>
      <x:c r="R32" t="str">
        <x:v>0</x:v>
      </x:c>
      <x:c r="S32" t="str"/>
      <x:c r="T32" t="str"/>
      <x:c r="U32" t="str"/>
      <x:c r="V32" t="str"/>
      <x:c r="W32" t="str">
        <x:v>N/A</x:v>
      </x:c>
      <x:c r="X32" t="str">
        <x:v>0</x:v>
      </x:c>
      <x:c r="Y32" t="str">
        <x:v>0</x:v>
      </x:c>
      <x:c r="Z32" t="str">
        <x:v>0</x:v>
      </x:c>
      <x:c r="AA32" t="str">
        <x:v>N/A</x:v>
      </x:c>
      <x:c r="AB32" t="str">
        <x:v>N/A</x:v>
      </x:c>
      <x:c r="AC32" t="str">
        <x:v>N/A</x:v>
      </x:c>
      <x:c r="AD32" t="str">
        <x:v>N/A</x:v>
      </x:c>
      <x:c r="AE32" t="str">
        <x:v>N/A</x:v>
      </x:c>
    </x:row>
    <x:row r="33">
      <x:c r="A33" t="str">
        <x:v>51</x:v>
      </x:c>
      <x:c r="B33" t="str">
        <x:v>26520</x:v>
      </x:c>
      <x:c r="C33" t="str">
        <x:v>5</x:v>
      </x:c>
      <x:c r="D33" t="str">
        <x:v>969665</x:v>
      </x:c>
      <x:c r="E33" t="str">
        <x:v>T A 1000X50X9 RTO LME PET CIN VER ULTRA</x:v>
      </x:c>
      <x:c r="F33" t="str"/>
      <x:c r="G33" t="str"/>
      <x:c r="H33" t="str"/>
      <x:c r="I33" t="str">
        <x:v>RECOBERTO PET</x:v>
      </x:c>
      <x:c r="J33" t="str">
        <x:v>CINZA VERONA</x:v>
      </x:c>
      <x:c r="K33" t="str">
        <x:v>0</x:v>
      </x:c>
      <x:c r="L33" t="str">
        <x:v>1</x:v>
      </x:c>
      <x:c r="M33" t="str">
        <x:v>0</x:v>
      </x:c>
      <x:c r="N33" t="str"/>
      <x:c r="O33" t="str"/>
      <x:c r="P33" t="str">
        <x:v>Liberada Para Producao</x:v>
      </x:c>
      <x:c r="Q33" t="str">
        <x:v>610098</x:v>
      </x:c>
      <x:c r="R33" t="str">
        <x:v>0</x:v>
      </x:c>
      <x:c r="S33" t="str"/>
      <x:c r="T33" t="str"/>
      <x:c r="U33" t="str"/>
      <x:c r="V33" t="str"/>
      <x:c r="W33" t="str">
        <x:v>N/A</x:v>
      </x:c>
      <x:c r="X33" t="str">
        <x:v>0</x:v>
      </x:c>
      <x:c r="Y33" t="str">
        <x:v>0</x:v>
      </x:c>
      <x:c r="Z33" t="str">
        <x:v>0</x:v>
      </x:c>
      <x:c r="AA33" t="str">
        <x:v>0</x:v>
      </x:c>
      <x:c r="AB33" t="str">
        <x:v>N/A</x:v>
      </x:c>
      <x:c r="AC33" t="str">
        <x:v>N/A</x:v>
      </x:c>
      <x:c r="AD33" t="str">
        <x:v>N/A</x:v>
      </x:c>
      <x:c r="AE33" t="str">
        <x:v>N/A</x:v>
      </x:c>
    </x:row>
    <x:row r="34">
      <x:c r="A34" t="str">
        <x:v>51</x:v>
      </x:c>
      <x:c r="B34" t="str">
        <x:v>26739</x:v>
      </x:c>
      <x:c r="C34" t="str">
        <x:v>25</x:v>
      </x:c>
      <x:c r="D34" t="str">
        <x:v>959094</x:v>
      </x:c>
      <x:c r="E34" t="str">
        <x:v>2110x130x30 42x10 R2 BIA RT PET BC U(UL)</x:v>
      </x:c>
      <x:c r="F34" t="str"/>
      <x:c r="G34" t="str"/>
      <x:c r="H34" t="str"/>
      <x:c r="I34" t="str">
        <x:v>ESMALTE</x:v>
      </x:c>
      <x:c r="J34" t="str">
        <x:v>BRANCO CARRARA</x:v>
      </x:c>
      <x:c r="K34" t="str">
        <x:v>0</x:v>
      </x:c>
      <x:c r="L34" t="str">
        <x:v>2</x:v>
      </x:c>
      <x:c r="M34" t="str">
        <x:v>0</x:v>
      </x:c>
      <x:c r="N34" t="str"/>
      <x:c r="O34" t="str"/>
      <x:c r="P34" t="str">
        <x:v>Liberada Para Producao</x:v>
      </x:c>
      <x:c r="Q34" t="str">
        <x:v>609770</x:v>
      </x:c>
      <x:c r="R34" t="str">
        <x:v>0</x:v>
      </x:c>
      <x:c r="S34" t="str"/>
      <x:c r="T34" t="str"/>
      <x:c r="U34" t="str"/>
      <x:c r="V34" t="str"/>
      <x:c r="W34" t="str">
        <x:v>N/A</x:v>
      </x:c>
      <x:c r="X34" t="str">
        <x:v>N/A</x:v>
      </x:c>
      <x:c r="Y34" t="str">
        <x:v>N/A</x:v>
      </x:c>
      <x:c r="Z34" t="str">
        <x:v>0</x:v>
      </x:c>
      <x:c r="AA34" t="str">
        <x:v>0</x:v>
      </x:c>
      <x:c r="AB34" t="str">
        <x:v>N/A</x:v>
      </x:c>
      <x:c r="AC34" t="str">
        <x:v>N/A</x:v>
      </x:c>
      <x:c r="AD34" t="str">
        <x:v>N/A</x:v>
      </x:c>
      <x:c r="AE34" t="str">
        <x:v>N/A</x:v>
      </x:c>
    </x:row>
    <x:row r="35">
      <x:c r="A35" t="str">
        <x:v>51</x:v>
      </x:c>
      <x:c r="B35" t="str">
        <x:v>26747</x:v>
      </x:c>
      <x:c r="C35" t="str">
        <x:v>6</x:v>
      </x:c>
      <x:c r="D35" t="str">
        <x:v>959094</x:v>
      </x:c>
      <x:c r="E35" t="str">
        <x:v>2110x130x30 42x10 R2 BIA RT PET BC U(UL)</x:v>
      </x:c>
      <x:c r="F35" t="str"/>
      <x:c r="G35" t="str"/>
      <x:c r="H35" t="str"/>
      <x:c r="I35" t="str">
        <x:v>RECOBERTO MELAMINICO</x:v>
      </x:c>
      <x:c r="J35" t="str">
        <x:v>BRANCO CARRARA</x:v>
      </x:c>
      <x:c r="K35" t="str">
        <x:v>0</x:v>
      </x:c>
      <x:c r="L35" t="str">
        <x:v>2</x:v>
      </x:c>
      <x:c r="M35" t="str">
        <x:v>0</x:v>
      </x:c>
      <x:c r="N35" t="str"/>
      <x:c r="O35" t="str"/>
      <x:c r="P35" t="str">
        <x:v>Liberada Para Producao</x:v>
      </x:c>
      <x:c r="Q35" t="str">
        <x:v>609011</x:v>
      </x:c>
      <x:c r="R35" t="str">
        <x:v>0</x:v>
      </x:c>
      <x:c r="S35" t="str"/>
      <x:c r="T35" t="str"/>
      <x:c r="U35" t="str"/>
      <x:c r="V35" t="str"/>
      <x:c r="W35" t="str">
        <x:v>N/A</x:v>
      </x:c>
      <x:c r="X35" t="str">
        <x:v>N/A</x:v>
      </x:c>
      <x:c r="Y35" t="str">
        <x:v>N/A</x:v>
      </x:c>
      <x:c r="Z35" t="str">
        <x:v>0</x:v>
      </x:c>
      <x:c r="AA35" t="str">
        <x:v>0</x:v>
      </x:c>
      <x:c r="AB35" t="str">
        <x:v>N/A</x:v>
      </x:c>
      <x:c r="AC35" t="str">
        <x:v>N/A</x:v>
      </x:c>
      <x:c r="AD35" t="str">
        <x:v>N/A</x:v>
      </x:c>
      <x:c r="AE35" t="str">
        <x:v>N/A</x:v>
      </x:c>
    </x:row>
    <x:row r="36">
      <x:c r="A36" t="str">
        <x:v>51</x:v>
      </x:c>
      <x:c r="B36" t="str">
        <x:v>26520</x:v>
      </x:c>
      <x:c r="C36" t="str">
        <x:v>5</x:v>
      </x:c>
      <x:c r="D36" t="str">
        <x:v>3041300549</x:v>
      </x:c>
      <x:c r="E36" t="str">
        <x:v>FO POR SEM HDF 3 2100X600X35 PET CI VE C</x:v>
      </x:c>
      <x:c r="F36" t="str"/>
      <x:c r="G36" t="str"/>
      <x:c r="H36" t="str"/>
      <x:c r="I36" t="str">
        <x:v>RECOBERTO PET</x:v>
      </x:c>
      <x:c r="J36" t="str">
        <x:v>CINZA VERONA</x:v>
      </x:c>
      <x:c r="K36" t="str">
        <x:v>0</x:v>
      </x:c>
      <x:c r="L36" t="str">
        <x:v>1</x:v>
      </x:c>
      <x:c r="M36" t="str">
        <x:v>0,044</x:v>
      </x:c>
      <x:c r="N36" t="str"/>
      <x:c r="O36" t="str"/>
      <x:c r="P36" t="str">
        <x:v>Liberada Para Producao</x:v>
      </x:c>
      <x:c r="Q36" t="str">
        <x:v>610101</x:v>
      </x:c>
      <x:c r="R36" t="str">
        <x:v>0</x:v>
      </x:c>
      <x:c r="S36" t="str">
        <x:v>2</x:v>
      </x:c>
      <x:c r="T36" t="str">
        <x:v>PORTA LINHA VANGUARD</x:v>
      </x:c>
      <x:c r="U36" t="str"/>
      <x:c r="V36" t="str"/>
      <x:c r="W36" t="str">
        <x:v>N/A</x:v>
      </x:c>
      <x:c r="X36" t="str">
        <x:v>N/A</x:v>
      </x:c>
      <x:c r="Y36" t="str">
        <x:v>N/A</x:v>
      </x:c>
      <x:c r="Z36" t="str">
        <x:v>N/A</x:v>
      </x:c>
      <x:c r="AA36" t="str">
        <x:v>N/A</x:v>
      </x:c>
      <x:c r="AB36" t="str">
        <x:v>N/A</x:v>
      </x:c>
      <x:c r="AC36" t="str">
        <x:v>N/A</x:v>
      </x:c>
      <x:c r="AD36" t="str">
        <x:v>0</x:v>
      </x:c>
      <x:c r="AE36" t="str">
        <x:v>N/A</x:v>
      </x:c>
    </x:row>
    <x:row r="37">
      <x:c r="A37" t="str">
        <x:v>51</x:v>
      </x:c>
      <x:c r="B37" t="str">
        <x:v>26520</x:v>
      </x:c>
      <x:c r="C37" t="str">
        <x:v>6</x:v>
      </x:c>
      <x:c r="D37" t="str">
        <x:v>969662</x:v>
      </x:c>
      <x:c r="E37" t="str">
        <x:v>P A 2200X50X9 RTO RL55 PET CIN VER ULTRA</x:v>
      </x:c>
      <x:c r="F37" t="str"/>
      <x:c r="G37" t="str"/>
      <x:c r="H37" t="str"/>
      <x:c r="I37" t="str">
        <x:v>RECOBERTO PET</x:v>
      </x:c>
      <x:c r="J37" t="str">
        <x:v>CINZA VERONA</x:v>
      </x:c>
      <x:c r="K37" t="str">
        <x:v>0</x:v>
      </x:c>
      <x:c r="L37" t="str">
        <x:v>2</x:v>
      </x:c>
      <x:c r="M37" t="str">
        <x:v>0</x:v>
      </x:c>
      <x:c r="N37" t="str"/>
      <x:c r="O37" t="str"/>
      <x:c r="P37" t="str">
        <x:v>Liberada Para Producao</x:v>
      </x:c>
      <x:c r="Q37" t="str">
        <x:v>610103</x:v>
      </x:c>
      <x:c r="R37" t="str">
        <x:v>0</x:v>
      </x:c>
      <x:c r="S37" t="str"/>
      <x:c r="T37" t="str"/>
      <x:c r="U37" t="str"/>
      <x:c r="V37" t="str"/>
      <x:c r="W37" t="str">
        <x:v>N/A</x:v>
      </x:c>
      <x:c r="X37" t="str">
        <x:v>0</x:v>
      </x:c>
      <x:c r="Y37" t="str">
        <x:v>0</x:v>
      </x:c>
      <x:c r="Z37" t="str">
        <x:v>0</x:v>
      </x:c>
      <x:c r="AA37" t="str">
        <x:v>N/A</x:v>
      </x:c>
      <x:c r="AB37" t="str">
        <x:v>N/A</x:v>
      </x:c>
      <x:c r="AC37" t="str">
        <x:v>N/A</x:v>
      </x:c>
      <x:c r="AD37" t="str">
        <x:v>N/A</x:v>
      </x:c>
      <x:c r="AE37" t="str">
        <x:v>N/A</x:v>
      </x:c>
    </x:row>
    <x:row r="38">
      <x:c r="A38" t="str">
        <x:v>51</x:v>
      </x:c>
      <x:c r="B38" t="str">
        <x:v>26520</x:v>
      </x:c>
      <x:c r="C38" t="str">
        <x:v>6</x:v>
      </x:c>
      <x:c r="D38" t="str">
        <x:v>969663</x:v>
      </x:c>
      <x:c r="E38" t="str">
        <x:v>T A 1000X50X9 RTO RL55 PET CIN VER ULT)</x:v>
      </x:c>
      <x:c r="F38" t="str"/>
      <x:c r="G38" t="str"/>
      <x:c r="H38" t="str"/>
      <x:c r="I38" t="str">
        <x:v>RECOBERTO PET</x:v>
      </x:c>
      <x:c r="J38" t="str">
        <x:v>CINZA VERONA</x:v>
      </x:c>
      <x:c r="K38" t="str">
        <x:v>0</x:v>
      </x:c>
      <x:c r="L38" t="str">
        <x:v>1</x:v>
      </x:c>
      <x:c r="M38" t="str">
        <x:v>0</x:v>
      </x:c>
      <x:c r="N38" t="str"/>
      <x:c r="O38" t="str"/>
      <x:c r="P38" t="str">
        <x:v>Liberada Para Producao</x:v>
      </x:c>
      <x:c r="Q38" t="str">
        <x:v>610104</x:v>
      </x:c>
      <x:c r="R38" t="str">
        <x:v>0</x:v>
      </x:c>
      <x:c r="S38" t="str"/>
      <x:c r="T38" t="str"/>
      <x:c r="U38" t="str"/>
      <x:c r="V38" t="str"/>
      <x:c r="W38" t="str">
        <x:v>N/A</x:v>
      </x:c>
      <x:c r="X38" t="str">
        <x:v>0</x:v>
      </x:c>
      <x:c r="Y38" t="str">
        <x:v>0</x:v>
      </x:c>
      <x:c r="Z38" t="str">
        <x:v>0</x:v>
      </x:c>
      <x:c r="AA38" t="str">
        <x:v>0</x:v>
      </x:c>
      <x:c r="AB38" t="str">
        <x:v>N/A</x:v>
      </x:c>
      <x:c r="AC38" t="str">
        <x:v>N/A</x:v>
      </x:c>
      <x:c r="AD38" t="str">
        <x:v>N/A</x:v>
      </x:c>
      <x:c r="AE38" t="str">
        <x:v>N/A</x:v>
      </x:c>
    </x:row>
    <x:row r="39">
      <x:c r="A39" t="str">
        <x:v>51</x:v>
      </x:c>
      <x:c r="B39" t="str">
        <x:v>26520</x:v>
      </x:c>
      <x:c r="C39" t="str">
        <x:v>6</x:v>
      </x:c>
      <x:c r="D39" t="str">
        <x:v>969664</x:v>
      </x:c>
      <x:c r="E39" t="str">
        <x:v>P A 2200X50X9 RTO LME PET CIN VER ULTRA</x:v>
      </x:c>
      <x:c r="F39" t="str"/>
      <x:c r="G39" t="str"/>
      <x:c r="H39" t="str"/>
      <x:c r="I39" t="str">
        <x:v>RECOBERTO PET</x:v>
      </x:c>
      <x:c r="J39" t="str">
        <x:v>CINZA VERONA</x:v>
      </x:c>
      <x:c r="K39" t="str">
        <x:v>0</x:v>
      </x:c>
      <x:c r="L39" t="str">
        <x:v>2</x:v>
      </x:c>
      <x:c r="M39" t="str">
        <x:v>0</x:v>
      </x:c>
      <x:c r="N39" t="str"/>
      <x:c r="O39" t="str"/>
      <x:c r="P39" t="str">
        <x:v>Liberada Para Producao</x:v>
      </x:c>
      <x:c r="Q39" t="str">
        <x:v>610105</x:v>
      </x:c>
      <x:c r="R39" t="str">
        <x:v>0</x:v>
      </x:c>
      <x:c r="S39" t="str"/>
      <x:c r="T39" t="str"/>
      <x:c r="U39" t="str"/>
      <x:c r="V39" t="str"/>
      <x:c r="W39" t="str">
        <x:v>N/A</x:v>
      </x:c>
      <x:c r="X39" t="str">
        <x:v>0</x:v>
      </x:c>
      <x:c r="Y39" t="str">
        <x:v>0</x:v>
      </x:c>
      <x:c r="Z39" t="str">
        <x:v>0</x:v>
      </x:c>
      <x:c r="AA39" t="str">
        <x:v>N/A</x:v>
      </x:c>
      <x:c r="AB39" t="str">
        <x:v>N/A</x:v>
      </x:c>
      <x:c r="AC39" t="str">
        <x:v>N/A</x:v>
      </x:c>
      <x:c r="AD39" t="str">
        <x:v>N/A</x:v>
      </x:c>
      <x:c r="AE39" t="str">
        <x:v>N/A</x:v>
      </x:c>
    </x:row>
    <x:row r="40">
      <x:c r="A40" t="str">
        <x:v>51</x:v>
      </x:c>
      <x:c r="B40" t="str">
        <x:v>26520</x:v>
      </x:c>
      <x:c r="C40" t="str">
        <x:v>6</x:v>
      </x:c>
      <x:c r="D40" t="str">
        <x:v>969665</x:v>
      </x:c>
      <x:c r="E40" t="str">
        <x:v>T A 1000X50X9 RTO LME PET CIN VER ULTRA</x:v>
      </x:c>
      <x:c r="F40" t="str"/>
      <x:c r="G40" t="str"/>
      <x:c r="H40" t="str"/>
      <x:c r="I40" t="str">
        <x:v>RECOBERTO PET</x:v>
      </x:c>
      <x:c r="J40" t="str">
        <x:v>CINZA VERONA</x:v>
      </x:c>
      <x:c r="K40" t="str">
        <x:v>0</x:v>
      </x:c>
      <x:c r="L40" t="str">
        <x:v>1</x:v>
      </x:c>
      <x:c r="M40" t="str">
        <x:v>0</x:v>
      </x:c>
      <x:c r="N40" t="str"/>
      <x:c r="O40" t="str"/>
      <x:c r="P40" t="str">
        <x:v>Liberada Para Producao</x:v>
      </x:c>
      <x:c r="Q40" t="str">
        <x:v>610106</x:v>
      </x:c>
      <x:c r="R40" t="str">
        <x:v>0</x:v>
      </x:c>
      <x:c r="S40" t="str"/>
      <x:c r="T40" t="str"/>
      <x:c r="U40" t="str"/>
      <x:c r="V40" t="str"/>
      <x:c r="W40" t="str">
        <x:v>N/A</x:v>
      </x:c>
      <x:c r="X40" t="str">
        <x:v>0</x:v>
      </x:c>
      <x:c r="Y40" t="str">
        <x:v>0</x:v>
      </x:c>
      <x:c r="Z40" t="str">
        <x:v>0</x:v>
      </x:c>
      <x:c r="AA40" t="str">
        <x:v>0</x:v>
      </x:c>
      <x:c r="AB40" t="str">
        <x:v>N/A</x:v>
      </x:c>
      <x:c r="AC40" t="str">
        <x:v>N/A</x:v>
      </x:c>
      <x:c r="AD40" t="str">
        <x:v>N/A</x:v>
      </x:c>
      <x:c r="AE40" t="str">
        <x:v>N/A</x:v>
      </x:c>
    </x:row>
    <x:row r="41">
      <x:c r="A41" t="str">
        <x:v>51</x:v>
      </x:c>
      <x:c r="B41" t="str">
        <x:v>26520</x:v>
      </x:c>
      <x:c r="C41" t="str">
        <x:v>6</x:v>
      </x:c>
      <x:c r="D41" t="str">
        <x:v>2010700125</x:v>
      </x:c>
      <x:c r="E41" t="str">
        <x:v>M P ULTRA PET CI VE 2110X70X30 42X10 R2L</x:v>
      </x:c>
      <x:c r="F41" t="str"/>
      <x:c r="G41" t="str"/>
      <x:c r="H41" t="str"/>
      <x:c r="I41" t="str">
        <x:v>RECOBERTO PET</x:v>
      </x:c>
      <x:c r="J41" t="str">
        <x:v>CINZA VERONA</x:v>
      </x:c>
      <x:c r="K41" t="str">
        <x:v>0</x:v>
      </x:c>
      <x:c r="L41" t="str">
        <x:v>2</x:v>
      </x:c>
      <x:c r="M41" t="str">
        <x:v>0,009</x:v>
      </x:c>
      <x:c r="N41" t="str"/>
      <x:c r="O41" t="str"/>
      <x:c r="P41" t="str">
        <x:v>Liberada Para Producao</x:v>
      </x:c>
      <x:c r="Q41" t="str">
        <x:v>610107</x:v>
      </x:c>
      <x:c r="R41" t="str">
        <x:v>50</x:v>
      </x:c>
      <x:c r="S41" t="str">
        <x:v>1500</x:v>
      </x:c>
      <x:c r="T41" t="str">
        <x:v>PERNA DE BATENTE PREMIUM(SEMIA</x:v>
      </x:c>
      <x:c r="U41" t="str"/>
      <x:c r="V41" t="str"/>
      <x:c r="W41" t="str">
        <x:v>100</x:v>
      </x:c>
      <x:c r="X41" t="str">
        <x:v>100</x:v>
      </x:c>
      <x:c r="Y41" t="str">
        <x:v>N/A</x:v>
      </x:c>
      <x:c r="Z41" t="str">
        <x:v>0</x:v>
      </x:c>
      <x:c r="AA41" t="str">
        <x:v>0</x:v>
      </x:c>
      <x:c r="AB41" t="str">
        <x:v>N/A</x:v>
      </x:c>
      <x:c r="AC41" t="str">
        <x:v>N/A</x:v>
      </x:c>
      <x:c r="AD41" t="str">
        <x:v>N/A</x:v>
      </x:c>
      <x:c r="AE41" t="str">
        <x:v>N/A</x:v>
      </x:c>
    </x:row>
    <x:row r="42">
      <x:c r="A42" t="str">
        <x:v>51</x:v>
      </x:c>
      <x:c r="B42" t="str">
        <x:v>26520</x:v>
      </x:c>
      <x:c r="C42" t="str">
        <x:v>6</x:v>
      </x:c>
      <x:c r="D42" t="str">
        <x:v>2010701217</x:v>
      </x:c>
      <x:c r="E42" t="str">
        <x:v>M ULTRA PET CI VE 647X70X30 42X10 R2L ME</x:v>
      </x:c>
      <x:c r="F42" t="str"/>
      <x:c r="G42" t="str"/>
      <x:c r="H42" t="str"/>
      <x:c r="I42" t="str">
        <x:v>RECOBERTO PET</x:v>
      </x:c>
      <x:c r="J42" t="str">
        <x:v>CINZA VERONA</x:v>
      </x:c>
      <x:c r="K42" t="str">
        <x:v>0</x:v>
      </x:c>
      <x:c r="L42" t="str">
        <x:v>1</x:v>
      </x:c>
      <x:c r="M42" t="str">
        <x:v>0,001</x:v>
      </x:c>
      <x:c r="N42" t="str"/>
      <x:c r="O42" t="str"/>
      <x:c r="P42" t="str">
        <x:v>Liberada Para Producao</x:v>
      </x:c>
      <x:c r="Q42" t="str">
        <x:v>610108</x:v>
      </x:c>
      <x:c r="R42" t="str">
        <x:v>50</x:v>
      </x:c>
      <x:c r="S42" t="str">
        <x:v>1501</x:v>
      </x:c>
      <x:c r="T42" t="str">
        <x:v>TRAV. BAT. 680 PET/PVC(SEMI)</x:v>
      </x:c>
      <x:c r="U42" t="str"/>
      <x:c r="V42" t="str"/>
      <x:c r="W42" t="str">
        <x:v>100</x:v>
      </x:c>
      <x:c r="X42" t="str">
        <x:v>100</x:v>
      </x:c>
      <x:c r="Y42" t="str">
        <x:v>N/A</x:v>
      </x:c>
      <x:c r="Z42" t="str">
        <x:v>0</x:v>
      </x:c>
      <x:c r="AA42" t="str">
        <x:v>0</x:v>
      </x:c>
      <x:c r="AB42" t="str">
        <x:v>N/A</x:v>
      </x:c>
      <x:c r="AC42" t="str">
        <x:v>N/A</x:v>
      </x:c>
      <x:c r="AD42" t="str">
        <x:v>N/A</x:v>
      </x:c>
      <x:c r="AE42" t="str">
        <x:v>N/A</x:v>
      </x:c>
    </x:row>
    <x:row r="43">
      <x:c r="A43" t="str">
        <x:v>51</x:v>
      </x:c>
      <x:c r="B43" t="str">
        <x:v>26520</x:v>
      </x:c>
      <x:c r="C43" t="str">
        <x:v>6</x:v>
      </x:c>
      <x:c r="D43" t="str">
        <x:v>3041300549</x:v>
      </x:c>
      <x:c r="E43" t="str">
        <x:v>FO POR SEM HDF 3 2100X600X35 PET CI VE C</x:v>
      </x:c>
      <x:c r="F43" t="str"/>
      <x:c r="G43" t="str"/>
      <x:c r="H43" t="str"/>
      <x:c r="I43" t="str">
        <x:v>RECOBERTO PET</x:v>
      </x:c>
      <x:c r="J43" t="str">
        <x:v>CINZA VERONA</x:v>
      </x:c>
      <x:c r="K43" t="str">
        <x:v>0</x:v>
      </x:c>
      <x:c r="L43" t="str">
        <x:v>1</x:v>
      </x:c>
      <x:c r="M43" t="str">
        <x:v>0,044</x:v>
      </x:c>
      <x:c r="N43" t="str"/>
      <x:c r="O43" t="str"/>
      <x:c r="P43" t="str">
        <x:v>Liberada Para Producao</x:v>
      </x:c>
      <x:c r="Q43" t="str">
        <x:v>610109</x:v>
      </x:c>
      <x:c r="R43" t="str">
        <x:v>0</x:v>
      </x:c>
      <x:c r="S43" t="str">
        <x:v>2</x:v>
      </x:c>
      <x:c r="T43" t="str">
        <x:v>PORTA LINHA VANGUARD</x:v>
      </x:c>
      <x:c r="U43" t="str"/>
      <x:c r="V43" t="str"/>
      <x:c r="W43" t="str">
        <x:v>N/A</x:v>
      </x:c>
      <x:c r="X43" t="str">
        <x:v>N/A</x:v>
      </x:c>
      <x:c r="Y43" t="str">
        <x:v>N/A</x:v>
      </x:c>
      <x:c r="Z43" t="str">
        <x:v>N/A</x:v>
      </x:c>
      <x:c r="AA43" t="str">
        <x:v>N/A</x:v>
      </x:c>
      <x:c r="AB43" t="str">
        <x:v>N/A</x:v>
      </x:c>
      <x:c r="AC43" t="str">
        <x:v>N/A</x:v>
      </x:c>
      <x:c r="AD43" t="str">
        <x:v>0</x:v>
      </x:c>
      <x:c r="AE43" t="str">
        <x:v>N/A</x:v>
      </x:c>
    </x:row>
    <x:row r="44">
      <x:c r="A44" t="str">
        <x:v>51</x:v>
      </x:c>
      <x:c r="B44" t="str">
        <x:v>26520</x:v>
      </x:c>
      <x:c r="C44" t="str">
        <x:v>7</x:v>
      </x:c>
      <x:c r="D44" t="str">
        <x:v>3051300070</x:v>
      </x:c>
      <x:c r="E44" t="str">
        <x:v>FO P COR SEM HDF 3 2100X720X35 PET C RA</x:v>
      </x:c>
      <x:c r="F44" t="str">
        <x:v>LISA</x:v>
      </x:c>
      <x:c r="G44" t="str"/>
      <x:c r="H44" t="str"/>
      <x:c r="I44" t="str">
        <x:v>RECOBERTO PET</x:v>
      </x:c>
      <x:c r="J44" t="str">
        <x:v>CURUPIXA RAVENNA</x:v>
      </x:c>
      <x:c r="K44" t="str">
        <x:v>0</x:v>
      </x:c>
      <x:c r="L44" t="str">
        <x:v>1</x:v>
      </x:c>
      <x:c r="M44" t="str">
        <x:v>0,053</x:v>
      </x:c>
      <x:c r="N44" t="str"/>
      <x:c r="O44" t="str"/>
      <x:c r="P44" t="str">
        <x:v>Liberada Para Producao</x:v>
      </x:c>
      <x:c r="Q44" t="str">
        <x:v>610110</x:v>
      </x:c>
      <x:c r="R44" t="str">
        <x:v>0</x:v>
      </x:c>
      <x:c r="S44" t="str">
        <x:v>2</x:v>
      </x:c>
      <x:c r="T44" t="str">
        <x:v>PORTA LINHA VANGUARD</x:v>
      </x:c>
      <x:c r="U44" t="str">
        <x:v>BORDA 2 LADOS</x:v>
      </x:c>
      <x:c r="V44" t="str"/>
      <x:c r="W44" t="str">
        <x:v>N/A</x:v>
      </x:c>
      <x:c r="X44" t="str">
        <x:v>N/A</x:v>
      </x:c>
      <x:c r="Y44" t="str">
        <x:v>N/A</x:v>
      </x:c>
      <x:c r="Z44" t="str">
        <x:v>N/A</x:v>
      </x:c>
      <x:c r="AA44" t="str">
        <x:v>N/A</x:v>
      </x:c>
      <x:c r="AB44" t="str">
        <x:v>N/A</x:v>
      </x:c>
      <x:c r="AC44" t="str">
        <x:v>0</x:v>
      </x:c>
      <x:c r="AD44" t="str">
        <x:v>0</x:v>
      </x:c>
      <x:c r="AE44" t="str">
        <x:v>N/A</x:v>
      </x:c>
    </x:row>
    <x:row r="45">
      <x:c r="A45" t="str">
        <x:v>51</x:v>
      </x:c>
      <x:c r="B45" t="str">
        <x:v>26747</x:v>
      </x:c>
      <x:c r="C45" t="str">
        <x:v>8</x:v>
      </x:c>
      <x:c r="D45" t="str">
        <x:v>959094</x:v>
      </x:c>
      <x:c r="E45" t="str">
        <x:v>2110x130x30 42x10 R2 BIA RT PET BC U(UL)</x:v>
      </x:c>
      <x:c r="F45" t="str">
        <x:v>MDF ULTRA</x:v>
      </x:c>
      <x:c r="G45" t="str">
        <x:v>C/BORRACHA I APLICADA</x:v>
      </x:c>
      <x:c r="H45" t="str">
        <x:v>C/REB 42X10</x:v>
      </x:c>
      <x:c r="I45" t="str">
        <x:v>RECOBERTO PET</x:v>
      </x:c>
      <x:c r="J45" t="str">
        <x:v>BRANCO CARRARA</x:v>
      </x:c>
      <x:c r="K45" t="str">
        <x:v>0</x:v>
      </x:c>
      <x:c r="L45" t="str">
        <x:v>8</x:v>
      </x:c>
      <x:c r="M45" t="str">
        <x:v>0</x:v>
      </x:c>
      <x:c r="N45" t="str"/>
      <x:c r="O45" t="str"/>
      <x:c r="P45" t="str">
        <x:v>Liberada Para Producao</x:v>
      </x:c>
      <x:c r="Q45" t="str">
        <x:v>609016</x:v>
      </x:c>
      <x:c r="R45" t="str">
        <x:v>0</x:v>
      </x:c>
      <x:c r="S45" t="str"/>
      <x:c r="T45" t="str"/>
      <x:c r="U45" t="str"/>
      <x:c r="V45" t="str"/>
      <x:c r="W45" t="str">
        <x:v>N/A</x:v>
      </x:c>
      <x:c r="X45" t="str">
        <x:v>N/A</x:v>
      </x:c>
      <x:c r="Y45" t="str">
        <x:v>N/A</x:v>
      </x:c>
      <x:c r="Z45" t="str">
        <x:v>0</x:v>
      </x:c>
      <x:c r="AA45" t="str">
        <x:v>0</x:v>
      </x:c>
      <x:c r="AB45" t="str">
        <x:v>N/A</x:v>
      </x:c>
      <x:c r="AC45" t="str">
        <x:v>N/A</x:v>
      </x:c>
      <x:c r="AD45" t="str">
        <x:v>N/A</x:v>
      </x:c>
      <x:c r="AE45" t="str">
        <x:v>N/A</x:v>
      </x:c>
    </x:row>
    <x:row r="46">
      <x:c r="A46" t="str">
        <x:v>51</x:v>
      </x:c>
      <x:c r="B46" t="str">
        <x:v>26520</x:v>
      </x:c>
      <x:c r="C46" t="str">
        <x:v>8</x:v>
      </x:c>
      <x:c r="D46" t="str">
        <x:v>2010701223</x:v>
      </x:c>
      <x:c r="E46" t="str">
        <x:v>M ULTRA PET C RA 1000X110X30 S/REB RG 1</x:v>
      </x:c>
      <x:c r="F46" t="str">
        <x:v>MDF ULTRA</x:v>
      </x:c>
      <x:c r="G46" t="str">
        <x:v>S/CANAL</x:v>
      </x:c>
      <x:c r="H46" t="str">
        <x:v>S/REB</x:v>
      </x:c>
      <x:c r="I46" t="str">
        <x:v>RECOBERTO PET</x:v>
      </x:c>
      <x:c r="J46" t="str">
        <x:v>CURUPIXA RAVENNA</x:v>
      </x:c>
      <x:c r="K46" t="str">
        <x:v>0</x:v>
      </x:c>
      <x:c r="L46" t="str">
        <x:v>1</x:v>
      </x:c>
      <x:c r="M46" t="str">
        <x:v>0,003</x:v>
      </x:c>
      <x:c r="N46" t="str"/>
      <x:c r="O46" t="str"/>
      <x:c r="P46" t="str">
        <x:v>Liberada Para Producao</x:v>
      </x:c>
      <x:c r="Q46" t="str">
        <x:v>610113</x:v>
      </x:c>
      <x:c r="R46" t="str">
        <x:v>50</x:v>
      </x:c>
      <x:c r="S46" t="str">
        <x:v>1552</x:v>
      </x:c>
      <x:c r="T46" t="str">
        <x:v>TV.BAT. 680-1100 PET/PVC(SEMI)</x:v>
      </x:c>
      <x:c r="U46" t="str"/>
      <x:c r="V46" t="str"/>
      <x:c r="W46" t="str">
        <x:v>100</x:v>
      </x:c>
      <x:c r="X46" t="str">
        <x:v>100</x:v>
      </x:c>
      <x:c r="Y46" t="str">
        <x:v>N/A</x:v>
      </x:c>
      <x:c r="Z46" t="str">
        <x:v>0</x:v>
      </x:c>
      <x:c r="AA46" t="str">
        <x:v>0</x:v>
      </x:c>
      <x:c r="AB46" t="str">
        <x:v>N/A</x:v>
      </x:c>
      <x:c r="AC46" t="str">
        <x:v>N/A</x:v>
      </x:c>
      <x:c r="AD46" t="str">
        <x:v>N/A</x:v>
      </x:c>
      <x:c r="AE46" t="str">
        <x:v>N/A</x:v>
      </x:c>
    </x:row>
    <x:row r="47">
      <x:c r="A47" t="str">
        <x:v>51</x:v>
      </x:c>
      <x:c r="B47" t="str">
        <x:v>26520</x:v>
      </x:c>
      <x:c r="C47" t="str">
        <x:v>9</x:v>
      </x:c>
      <x:c r="D47" t="str">
        <x:v>975915</x:v>
      </x:c>
      <x:c r="E47" t="str">
        <x:v>PE AL 2200X50X9 RTO RL55 REC PET CURUP(U</x:v>
      </x:c>
      <x:c r="F47" t="str">
        <x:v>REG 1L(MAIOR 55MM)</x:v>
      </x:c>
      <x:c r="G47" t="str"/>
      <x:c r="H47" t="str"/>
      <x:c r="I47" t="str">
        <x:v>RECOBERTO PET</x:v>
      </x:c>
      <x:c r="J47" t="str">
        <x:v>CURUPIXA RAVENNA</x:v>
      </x:c>
      <x:c r="K47" t="str">
        <x:v>0</x:v>
      </x:c>
      <x:c r="L47" t="str">
        <x:v>2</x:v>
      </x:c>
      <x:c r="M47" t="str">
        <x:v>0</x:v>
      </x:c>
      <x:c r="N47" t="str"/>
      <x:c r="O47" t="str"/>
      <x:c r="P47" t="str">
        <x:v>Liberada Para Producao</x:v>
      </x:c>
      <x:c r="Q47" t="str">
        <x:v>610115</x:v>
      </x:c>
      <x:c r="R47" t="str">
        <x:v>0</x:v>
      </x:c>
      <x:c r="S47" t="str"/>
      <x:c r="T47" t="str"/>
      <x:c r="U47" t="str"/>
      <x:c r="V47" t="str"/>
      <x:c r="W47" t="str">
        <x:v>N/A</x:v>
      </x:c>
      <x:c r="X47" t="str">
        <x:v>0</x:v>
      </x:c>
      <x:c r="Y47" t="str">
        <x:v>0</x:v>
      </x:c>
      <x:c r="Z47" t="str">
        <x:v>0</x:v>
      </x:c>
      <x:c r="AA47" t="str">
        <x:v>N/A</x:v>
      </x:c>
      <x:c r="AB47" t="str">
        <x:v>N/A</x:v>
      </x:c>
      <x:c r="AC47" t="str">
        <x:v>N/A</x:v>
      </x:c>
      <x:c r="AD47" t="str">
        <x:v>N/A</x:v>
      </x:c>
      <x:c r="AE47" t="str">
        <x:v>N/A</x:v>
      </x:c>
    </x:row>
    <x:row r="48">
      <x:c r="A48" t="str">
        <x:v>51</x:v>
      </x:c>
      <x:c r="B48" t="str">
        <x:v>26520</x:v>
      </x:c>
      <x:c r="C48" t="str">
        <x:v>9</x:v>
      </x:c>
      <x:c r="D48" t="str">
        <x:v>975916</x:v>
      </x:c>
      <x:c r="E48" t="str">
        <x:v>TR AL 1000X50X9 RTO RL55 REC PET CURUP(U</x:v>
      </x:c>
      <x:c r="F48" t="str">
        <x:v>REG 1L(MAIOR 55MM)</x:v>
      </x:c>
      <x:c r="G48" t="str"/>
      <x:c r="H48" t="str"/>
      <x:c r="I48" t="str">
        <x:v>RECOBERTO PET</x:v>
      </x:c>
      <x:c r="J48" t="str">
        <x:v>CURUPIXA RAVENNA</x:v>
      </x:c>
      <x:c r="K48" t="str">
        <x:v>0</x:v>
      </x:c>
      <x:c r="L48" t="str">
        <x:v>1</x:v>
      </x:c>
      <x:c r="M48" t="str">
        <x:v>0</x:v>
      </x:c>
      <x:c r="N48" t="str"/>
      <x:c r="O48" t="str"/>
      <x:c r="P48" t="str">
        <x:v>Liberada Para Producao</x:v>
      </x:c>
      <x:c r="Q48" t="str">
        <x:v>610116</x:v>
      </x:c>
      <x:c r="R48" t="str">
        <x:v>0</x:v>
      </x:c>
      <x:c r="S48" t="str"/>
      <x:c r="T48" t="str"/>
      <x:c r="U48" t="str"/>
      <x:c r="V48" t="str"/>
      <x:c r="W48" t="str">
        <x:v>N/A</x:v>
      </x:c>
      <x:c r="X48" t="str">
        <x:v>0</x:v>
      </x:c>
      <x:c r="Y48" t="str">
        <x:v>0</x:v>
      </x:c>
      <x:c r="Z48" t="str">
        <x:v>0</x:v>
      </x:c>
      <x:c r="AA48" t="str">
        <x:v>0</x:v>
      </x:c>
      <x:c r="AB48" t="str">
        <x:v>N/A</x:v>
      </x:c>
      <x:c r="AC48" t="str">
        <x:v>N/A</x:v>
      </x:c>
      <x:c r="AD48" t="str">
        <x:v>N/A</x:v>
      </x:c>
      <x:c r="AE48" t="str">
        <x:v>N/A</x:v>
      </x:c>
    </x:row>
    <x:row r="49">
      <x:c r="A49" t="str">
        <x:v>51</x:v>
      </x:c>
      <x:c r="B49" t="str">
        <x:v>26520</x:v>
      </x:c>
      <x:c r="C49" t="str">
        <x:v>10</x:v>
      </x:c>
      <x:c r="D49" t="str">
        <x:v>986110</x:v>
      </x:c>
      <x:c r="E49" t="str">
        <x:v>CA KIT L MA UL  KIT DE CORRER EM MDF ULTRA</x:v>
      </x:c>
      <x:c r="F49" t="str"/>
      <x:c r="G49" t="str"/>
      <x:c r="H49" t="str"/>
      <x:c r="I49" t="str">
        <x:v>RECOBERTO PET</x:v>
      </x:c>
      <x:c r="J49" t="str">
        <x:v>CURUPIXA RAVENNA</x:v>
      </x:c>
      <x:c r="K49" t="str">
        <x:v>0</x:v>
      </x:c>
      <x:c r="L49" t="str">
        <x:v>1</x:v>
      </x:c>
      <x:c r="M49" t="str">
        <x:v>0,002</x:v>
      </x:c>
      <x:c r="N49" t="str"/>
      <x:c r="O49" t="str"/>
      <x:c r="P49" t="str">
        <x:v>Liberada Para Producao</x:v>
      </x:c>
      <x:c r="Q49" t="str">
        <x:v>610162</x:v>
      </x:c>
      <x:c r="R49" t="str">
        <x:v>0</x:v>
      </x:c>
      <x:c r="S49" t="str"/>
      <x:c r="T49" t="str"/>
      <x:c r="U49" t="str"/>
      <x:c r="V49" t="str"/>
      <x:c r="W49" t="str">
        <x:v>N/A</x:v>
      </x:c>
      <x:c r="X49" t="str">
        <x:v>0</x:v>
      </x:c>
      <x:c r="Y49" t="str">
        <x:v>N/A</x:v>
      </x:c>
      <x:c r="Z49" t="str">
        <x:v>0</x:v>
      </x:c>
      <x:c r="AA49" t="str">
        <x:v>N/A</x:v>
      </x:c>
      <x:c r="AB49" t="str">
        <x:v>N/A</x:v>
      </x:c>
      <x:c r="AC49" t="str">
        <x:v>N/A</x:v>
      </x:c>
      <x:c r="AD49" t="str">
        <x:v>N/A</x:v>
      </x:c>
      <x:c r="AE49" t="str">
        <x:v>N/A</x:v>
      </x:c>
    </x:row>
    <x:row r="50">
      <x:c r="A50" t="str">
        <x:v>51</x:v>
      </x:c>
      <x:c r="B50" t="str">
        <x:v>26520</x:v>
      </x:c>
      <x:c r="C50" t="str">
        <x:v>10</x:v>
      </x:c>
      <x:c r="D50" t="str">
        <x:v>986111</x:v>
      </x:c>
      <x:c r="E50" t="str">
        <x:v>AL KIT LME UL  KIT DE CORRER EM MDF ULTRA</x:v>
      </x:c>
      <x:c r="F50" t="str"/>
      <x:c r="G50" t="str"/>
      <x:c r="H50" t="str"/>
      <x:c r="I50" t="str">
        <x:v>RECOBERTO PET</x:v>
      </x:c>
      <x:c r="J50" t="str">
        <x:v>CURUPIXA RAVENNA</x:v>
      </x:c>
      <x:c r="K50" t="str">
        <x:v>0</x:v>
      </x:c>
      <x:c r="L50" t="str">
        <x:v>3</x:v>
      </x:c>
      <x:c r="M50" t="str">
        <x:v>0,003</x:v>
      </x:c>
      <x:c r="N50" t="str"/>
      <x:c r="O50" t="str"/>
      <x:c r="P50" t="str">
        <x:v>Liberada Para Producao</x:v>
      </x:c>
      <x:c r="Q50" t="str">
        <x:v>610163</x:v>
      </x:c>
      <x:c r="R50" t="str">
        <x:v>0</x:v>
      </x:c>
      <x:c r="S50" t="str"/>
      <x:c r="T50" t="str"/>
      <x:c r="U50" t="str"/>
      <x:c r="V50" t="str"/>
      <x:c r="W50" t="str">
        <x:v>N/A</x:v>
      </x:c>
      <x:c r="X50" t="str">
        <x:v>0</x:v>
      </x:c>
      <x:c r="Y50" t="str">
        <x:v>N/A</x:v>
      </x:c>
      <x:c r="Z50" t="str">
        <x:v>0</x:v>
      </x:c>
      <x:c r="AA50" t="str">
        <x:v>N/A</x:v>
      </x:c>
      <x:c r="AB50" t="str">
        <x:v>N/A</x:v>
      </x:c>
      <x:c r="AC50" t="str">
        <x:v>N/A</x:v>
      </x:c>
      <x:c r="AD50" t="str">
        <x:v>N/A</x:v>
      </x:c>
      <x:c r="AE50" t="str">
        <x:v>N/A</x:v>
      </x:c>
    </x:row>
    <x:row r="51">
      <x:c r="A51" t="str">
        <x:v>51</x:v>
      </x:c>
      <x:c r="B51" t="str">
        <x:v>26520</x:v>
      </x:c>
      <x:c r="C51" t="str">
        <x:v>10</x:v>
      </x:c>
      <x:c r="D51" t="str">
        <x:v>1000075</x:v>
      </x:c>
      <x:c r="E51" t="str">
        <x:v> KIT DE CORRER EM MDF ULTRA</x:v>
      </x:c>
      <x:c r="F51" t="str"/>
      <x:c r="G51" t="str"/>
      <x:c r="H51" t="str"/>
      <x:c r="I51" t="str">
        <x:v>RECOBERTO PET</x:v>
      </x:c>
      <x:c r="J51" t="str">
        <x:v>CURUPIXA RAVENNA</x:v>
      </x:c>
      <x:c r="K51" t="str">
        <x:v>0</x:v>
      </x:c>
      <x:c r="L51" t="str">
        <x:v>1</x:v>
      </x:c>
      <x:c r="M51" t="str">
        <x:v>0</x:v>
      </x:c>
      <x:c r="N51" t="str"/>
      <x:c r="O51" t="str"/>
      <x:c r="P51" t="str">
        <x:v>Liberada Para Producao</x:v>
      </x:c>
      <x:c r="Q51" t="str">
        <x:v>610164</x:v>
      </x:c>
      <x:c r="R51" t="str">
        <x:v>0</x:v>
      </x:c>
      <x:c r="S51" t="str"/>
      <x:c r="T51" t="str"/>
      <x:c r="U51" t="str"/>
      <x:c r="V51" t="str"/>
      <x:c r="W51" t="str">
        <x:v>N/A</x:v>
      </x:c>
      <x:c r="X51" t="str">
        <x:v>N/A</x:v>
      </x:c>
      <x:c r="Y51" t="str">
        <x:v>N/A</x:v>
      </x:c>
      <x:c r="Z51" t="str">
        <x:v>N/A</x:v>
      </x:c>
      <x:c r="AA51" t="str">
        <x:v>N/A</x:v>
      </x:c>
      <x:c r="AB51" t="str">
        <x:v>N/A</x:v>
      </x:c>
      <x:c r="AC51" t="str">
        <x:v>N/A</x:v>
      </x:c>
      <x:c r="AD51" t="str">
        <x:v>0</x:v>
      </x:c>
      <x:c r="AE51" t="str">
        <x:v>N/A</x:v>
      </x:c>
    </x:row>
    <x:row r="52">
      <x:c r="A52" t="str">
        <x:v>51</x:v>
      </x:c>
      <x:c r="B52" t="str">
        <x:v>26520</x:v>
      </x:c>
      <x:c r="C52" t="str">
        <x:v>10</x:v>
      </x:c>
      <x:c r="D52" t="str">
        <x:v>2010701224</x:v>
      </x:c>
      <x:c r="E52" t="str">
        <x:v>P K COR ULTRA PET C RA  KIT DE CORRER EM MDF ULTRA</x:v>
      </x:c>
      <x:c r="F52" t="str"/>
      <x:c r="G52" t="str"/>
      <x:c r="H52" t="str"/>
      <x:c r="I52" t="str">
        <x:v>RECOBERTO PET</x:v>
      </x:c>
      <x:c r="J52" t="str">
        <x:v>CURUPIXA RAVENNA</x:v>
      </x:c>
      <x:c r="K52" t="str">
        <x:v>0</x:v>
      </x:c>
      <x:c r="L52" t="str">
        <x:v>2</x:v>
      </x:c>
      <x:c r="M52" t="str">
        <x:v>0,011</x:v>
      </x:c>
      <x:c r="N52" t="str"/>
      <x:c r="O52" t="str"/>
      <x:c r="P52" t="str">
        <x:v>Liberada Para Producao</x:v>
      </x:c>
      <x:c r="Q52" t="str">
        <x:v>610165</x:v>
      </x:c>
      <x:c r="R52" t="str">
        <x:v>0</x:v>
      </x:c>
      <x:c r="S52" t="str">
        <x:v>2500</x:v>
      </x:c>
      <x:c r="T52" t="str">
        <x:v>PERNA KIT DE CORRER</x:v>
      </x:c>
      <x:c r="U52" t="str"/>
      <x:c r="V52" t="str"/>
      <x:c r="W52" t="str">
        <x:v>0</x:v>
      </x:c>
      <x:c r="X52" t="str">
        <x:v>0</x:v>
      </x:c>
      <x:c r="Y52" t="str">
        <x:v>0</x:v>
      </x:c>
      <x:c r="Z52" t="str">
        <x:v>0</x:v>
      </x:c>
      <x:c r="AA52" t="str">
        <x:v>0</x:v>
      </x:c>
      <x:c r="AB52" t="str">
        <x:v>N/A</x:v>
      </x:c>
      <x:c r="AC52" t="str">
        <x:v>N/A</x:v>
      </x:c>
      <x:c r="AD52" t="str">
        <x:v>N/A</x:v>
      </x:c>
      <x:c r="AE52" t="str">
        <x:v>N/A</x:v>
      </x:c>
    </x:row>
    <x:row r="53">
      <x:c r="A53" t="str">
        <x:v>51</x:v>
      </x:c>
      <x:c r="B53" t="str">
        <x:v>26520</x:v>
      </x:c>
      <x:c r="C53" t="str">
        <x:v>10</x:v>
      </x:c>
      <x:c r="D53" t="str">
        <x:v>2010701225</x:v>
      </x:c>
      <x:c r="E53" t="str">
        <x:v>S K COR ULTRA PET C RA  KIT DE CORRER EM MDF ULTRA</x:v>
      </x:c>
      <x:c r="F53" t="str"/>
      <x:c r="G53" t="str"/>
      <x:c r="H53" t="str"/>
      <x:c r="I53" t="str">
        <x:v>RECOBERTO PET</x:v>
      </x:c>
      <x:c r="J53" t="str">
        <x:v>CURUPIXA RAVENNA</x:v>
      </x:c>
      <x:c r="K53" t="str">
        <x:v>0</x:v>
      </x:c>
      <x:c r="L53" t="str">
        <x:v>1</x:v>
      </x:c>
      <x:c r="M53" t="str">
        <x:v>0,005</x:v>
      </x:c>
      <x:c r="N53" t="str"/>
      <x:c r="O53" t="str"/>
      <x:c r="P53" t="str">
        <x:v>Liberada Para Producao</x:v>
      </x:c>
      <x:c r="Q53" t="str">
        <x:v>610166</x:v>
      </x:c>
      <x:c r="R53" t="str">
        <x:v>0</x:v>
      </x:c>
      <x:c r="S53" t="str">
        <x:v>2510</x:v>
      </x:c>
      <x:c r="T53" t="str">
        <x:v>SUPORTE KIT DE CORRER</x:v>
      </x:c>
      <x:c r="U53" t="str"/>
      <x:c r="V53" t="str"/>
      <x:c r="W53" t="str">
        <x:v>0</x:v>
      </x:c>
      <x:c r="X53" t="str">
        <x:v>0</x:v>
      </x:c>
      <x:c r="Y53" t="str">
        <x:v>0</x:v>
      </x:c>
      <x:c r="Z53" t="str">
        <x:v>0</x:v>
      </x:c>
      <x:c r="AA53" t="str">
        <x:v>N/A</x:v>
      </x:c>
      <x:c r="AB53" t="str">
        <x:v>N/A</x:v>
      </x:c>
      <x:c r="AC53" t="str">
        <x:v>N/A</x:v>
      </x:c>
      <x:c r="AD53" t="str">
        <x:v>N/A</x:v>
      </x:c>
      <x:c r="AE53" t="str">
        <x:v>N/A</x:v>
      </x:c>
    </x:row>
    <x:row r="54">
      <x:c r="A54" t="str">
        <x:v>51</x:v>
      </x:c>
      <x:c r="B54" t="str">
        <x:v>26520</x:v>
      </x:c>
      <x:c r="C54" t="str">
        <x:v>11</x:v>
      </x:c>
      <x:c r="D54" t="str">
        <x:v>975915</x:v>
      </x:c>
      <x:c r="E54" t="str">
        <x:v>PE AL 2200X50X9 RTO RL55 REC PET CURUP(U</x:v>
      </x:c>
      <x:c r="F54" t="str"/>
      <x:c r="G54" t="str"/>
      <x:c r="H54" t="str"/>
      <x:c r="I54" t="str">
        <x:v>RECOBERTO PET</x:v>
      </x:c>
      <x:c r="J54" t="str">
        <x:v>CURUPIXA RAVENNA</x:v>
      </x:c>
      <x:c r="K54" t="str">
        <x:v>0</x:v>
      </x:c>
      <x:c r="L54" t="str">
        <x:v>6</x:v>
      </x:c>
      <x:c r="M54" t="str">
        <x:v>0</x:v>
      </x:c>
      <x:c r="N54" t="str"/>
      <x:c r="O54" t="str"/>
      <x:c r="P54" t="str">
        <x:v>Liberada Para Producao</x:v>
      </x:c>
      <x:c r="Q54" t="str">
        <x:v>610124</x:v>
      </x:c>
      <x:c r="R54" t="str">
        <x:v>0</x:v>
      </x:c>
      <x:c r="S54" t="str"/>
      <x:c r="T54" t="str"/>
      <x:c r="U54" t="str"/>
      <x:c r="V54" t="str"/>
      <x:c r="W54" t="str">
        <x:v>N/A</x:v>
      </x:c>
      <x:c r="X54" t="str">
        <x:v>0</x:v>
      </x:c>
      <x:c r="Y54" t="str">
        <x:v>0</x:v>
      </x:c>
      <x:c r="Z54" t="str">
        <x:v>0</x:v>
      </x:c>
      <x:c r="AA54" t="str">
        <x:v>N/A</x:v>
      </x:c>
      <x:c r="AB54" t="str">
        <x:v>N/A</x:v>
      </x:c>
      <x:c r="AC54" t="str">
        <x:v>N/A</x:v>
      </x:c>
      <x:c r="AD54" t="str">
        <x:v>N/A</x:v>
      </x:c>
      <x:c r="AE54" t="str">
        <x:v>N/A</x:v>
      </x:c>
    </x:row>
    <x:row r="55">
      <x:c r="A55" t="str">
        <x:v>51</x:v>
      </x:c>
      <x:c r="B55" t="str">
        <x:v>26520</x:v>
      </x:c>
      <x:c r="C55" t="str">
        <x:v>11</x:v>
      </x:c>
      <x:c r="D55" t="str">
        <x:v>975916</x:v>
      </x:c>
      <x:c r="E55" t="str">
        <x:v>TR AL 1000X50X9 RTO RL55 REC PET CURUP(U</x:v>
      </x:c>
      <x:c r="F55" t="str"/>
      <x:c r="G55" t="str"/>
      <x:c r="H55" t="str"/>
      <x:c r="I55" t="str">
        <x:v>RECOBERTO PET</x:v>
      </x:c>
      <x:c r="J55" t="str">
        <x:v>CURUPIXA RAVENNA</x:v>
      </x:c>
      <x:c r="K55" t="str">
        <x:v>0</x:v>
      </x:c>
      <x:c r="L55" t="str">
        <x:v>3</x:v>
      </x:c>
      <x:c r="M55" t="str">
        <x:v>0</x:v>
      </x:c>
      <x:c r="N55" t="str"/>
      <x:c r="O55" t="str"/>
      <x:c r="P55" t="str">
        <x:v>Liberada Para Producao</x:v>
      </x:c>
      <x:c r="Q55" t="str">
        <x:v>610125</x:v>
      </x:c>
      <x:c r="R55" t="str">
        <x:v>0</x:v>
      </x:c>
      <x:c r="S55" t="str"/>
      <x:c r="T55" t="str"/>
      <x:c r="U55" t="str"/>
      <x:c r="V55" t="str"/>
      <x:c r="W55" t="str">
        <x:v>N/A</x:v>
      </x:c>
      <x:c r="X55" t="str">
        <x:v>0</x:v>
      </x:c>
      <x:c r="Y55" t="str">
        <x:v>0</x:v>
      </x:c>
      <x:c r="Z55" t="str">
        <x:v>0</x:v>
      </x:c>
      <x:c r="AA55" t="str">
        <x:v>0</x:v>
      </x:c>
      <x:c r="AB55" t="str">
        <x:v>N/A</x:v>
      </x:c>
      <x:c r="AC55" t="str">
        <x:v>N/A</x:v>
      </x:c>
      <x:c r="AD55" t="str">
        <x:v>N/A</x:v>
      </x:c>
      <x:c r="AE55" t="str">
        <x:v>N/A</x:v>
      </x:c>
    </x:row>
    <x:row r="56">
      <x:c r="A56" t="str">
        <x:v>51</x:v>
      </x:c>
      <x:c r="B56" t="str">
        <x:v>26520</x:v>
      </x:c>
      <x:c r="C56" t="str">
        <x:v>11</x:v>
      </x:c>
      <x:c r="D56" t="str">
        <x:v>975918</x:v>
      </x:c>
      <x:c r="E56" t="str">
        <x:v>PE AL 2200X50X9 RTO LME REC PET CURUP(UL</x:v>
      </x:c>
      <x:c r="F56" t="str"/>
      <x:c r="G56" t="str"/>
      <x:c r="H56" t="str"/>
      <x:c r="I56" t="str">
        <x:v>RECOBERTO PET</x:v>
      </x:c>
      <x:c r="J56" t="str">
        <x:v>CURUPIXA RAVENNA</x:v>
      </x:c>
      <x:c r="K56" t="str">
        <x:v>0</x:v>
      </x:c>
      <x:c r="L56" t="str">
        <x:v>6</x:v>
      </x:c>
      <x:c r="M56" t="str">
        <x:v>0</x:v>
      </x:c>
      <x:c r="N56" t="str"/>
      <x:c r="O56" t="str"/>
      <x:c r="P56" t="str">
        <x:v>Liberada Para Producao</x:v>
      </x:c>
      <x:c r="Q56" t="str">
        <x:v>610126</x:v>
      </x:c>
      <x:c r="R56" t="str">
        <x:v>0</x:v>
      </x:c>
      <x:c r="S56" t="str"/>
      <x:c r="T56" t="str"/>
      <x:c r="U56" t="str"/>
      <x:c r="V56" t="str"/>
      <x:c r="W56" t="str">
        <x:v>N/A</x:v>
      </x:c>
      <x:c r="X56" t="str">
        <x:v>0</x:v>
      </x:c>
      <x:c r="Y56" t="str">
        <x:v>0</x:v>
      </x:c>
      <x:c r="Z56" t="str">
        <x:v>0</x:v>
      </x:c>
      <x:c r="AA56" t="str">
        <x:v>N/A</x:v>
      </x:c>
      <x:c r="AB56" t="str">
        <x:v>N/A</x:v>
      </x:c>
      <x:c r="AC56" t="str">
        <x:v>N/A</x:v>
      </x:c>
      <x:c r="AD56" t="str">
        <x:v>N/A</x:v>
      </x:c>
      <x:c r="AE56" t="str">
        <x:v>N/A</x:v>
      </x:c>
    </x:row>
    <x:row r="57">
      <x:c r="A57" t="str">
        <x:v>51</x:v>
      </x:c>
      <x:c r="B57" t="str">
        <x:v>26520</x:v>
      </x:c>
      <x:c r="C57" t="str">
        <x:v>11</x:v>
      </x:c>
      <x:c r="D57" t="str">
        <x:v>975919</x:v>
      </x:c>
      <x:c r="E57" t="str">
        <x:v>TR AL 1000X50X9 RTO LME REC PET CURUP(UL</x:v>
      </x:c>
      <x:c r="F57" t="str"/>
      <x:c r="G57" t="str"/>
      <x:c r="H57" t="str"/>
      <x:c r="I57" t="str">
        <x:v>RECOBERTO PET</x:v>
      </x:c>
      <x:c r="J57" t="str">
        <x:v>CURUPIXA RAVENNA</x:v>
      </x:c>
      <x:c r="K57" t="str">
        <x:v>0</x:v>
      </x:c>
      <x:c r="L57" t="str">
        <x:v>3</x:v>
      </x:c>
      <x:c r="M57" t="str">
        <x:v>0</x:v>
      </x:c>
      <x:c r="N57" t="str"/>
      <x:c r="O57" t="str"/>
      <x:c r="P57" t="str">
        <x:v>Liberada Para Producao</x:v>
      </x:c>
      <x:c r="Q57" t="str">
        <x:v>610127</x:v>
      </x:c>
      <x:c r="R57" t="str">
        <x:v>0</x:v>
      </x:c>
      <x:c r="S57" t="str"/>
      <x:c r="T57" t="str"/>
      <x:c r="U57" t="str"/>
      <x:c r="V57" t="str"/>
      <x:c r="W57" t="str">
        <x:v>N/A</x:v>
      </x:c>
      <x:c r="X57" t="str">
        <x:v>0</x:v>
      </x:c>
      <x:c r="Y57" t="str">
        <x:v>0</x:v>
      </x:c>
      <x:c r="Z57" t="str">
        <x:v>0</x:v>
      </x:c>
      <x:c r="AA57" t="str">
        <x:v>0</x:v>
      </x:c>
      <x:c r="AB57" t="str">
        <x:v>N/A</x:v>
      </x:c>
      <x:c r="AC57" t="str">
        <x:v>N/A</x:v>
      </x:c>
      <x:c r="AD57" t="str">
        <x:v>N/A</x:v>
      </x:c>
      <x:c r="AE57" t="str">
        <x:v>N/A</x:v>
      </x:c>
    </x:row>
    <x:row r="58">
      <x:c r="A58" t="str">
        <x:v>51</x:v>
      </x:c>
      <x:c r="B58" t="str">
        <x:v>26520</x:v>
      </x:c>
      <x:c r="C58" t="str">
        <x:v>11</x:v>
      </x:c>
      <x:c r="D58" t="str">
        <x:v>2010701218</x:v>
      </x:c>
      <x:c r="E58" t="str">
        <x:v>M ULTRA PET C RA 2110X110X30 42X10 R2L M</x:v>
      </x:c>
      <x:c r="F58" t="str"/>
      <x:c r="G58" t="str"/>
      <x:c r="H58" t="str"/>
      <x:c r="I58" t="str">
        <x:v>RECOBERTO PET</x:v>
      </x:c>
      <x:c r="J58" t="str">
        <x:v>CURUPIXA RAVENNA</x:v>
      </x:c>
      <x:c r="K58" t="str">
        <x:v>0</x:v>
      </x:c>
      <x:c r="L58" t="str">
        <x:v>6</x:v>
      </x:c>
      <x:c r="M58" t="str">
        <x:v>0,042</x:v>
      </x:c>
      <x:c r="N58" t="str"/>
      <x:c r="O58" t="str"/>
      <x:c r="P58" t="str">
        <x:v>Liberada Para Producao</x:v>
      </x:c>
      <x:c r="Q58" t="str">
        <x:v>610128</x:v>
      </x:c>
      <x:c r="R58" t="str">
        <x:v>0</x:v>
      </x:c>
      <x:c r="S58" t="str">
        <x:v>1500</x:v>
      </x:c>
      <x:c r="T58" t="str">
        <x:v>PERNA DE BATENTE PREMIUM(SEMIA</x:v>
      </x:c>
      <x:c r="U58" t="str"/>
      <x:c r="V58" t="str"/>
      <x:c r="W58" t="str">
        <x:v>0</x:v>
      </x:c>
      <x:c r="X58" t="str">
        <x:v>0</x:v>
      </x:c>
      <x:c r="Y58" t="str">
        <x:v>N/A</x:v>
      </x:c>
      <x:c r="Z58" t="str">
        <x:v>0</x:v>
      </x:c>
      <x:c r="AA58" t="str">
        <x:v>0</x:v>
      </x:c>
      <x:c r="AB58" t="str">
        <x:v>N/A</x:v>
      </x:c>
      <x:c r="AC58" t="str">
        <x:v>N/A</x:v>
      </x:c>
      <x:c r="AD58" t="str">
        <x:v>N/A</x:v>
      </x:c>
      <x:c r="AE58" t="str">
        <x:v>N/A</x:v>
      </x:c>
    </x:row>
    <x:row r="59">
      <x:c r="A59" t="str">
        <x:v>51</x:v>
      </x:c>
      <x:c r="B59" t="str">
        <x:v>26520</x:v>
      </x:c>
      <x:c r="C59" t="str">
        <x:v>11</x:v>
      </x:c>
      <x:c r="D59" t="str">
        <x:v>2010701219</x:v>
      </x:c>
      <x:c r="E59" t="str">
        <x:v>M ULTRA PET C RA 767X110X30 42X10 R2L ME</x:v>
      </x:c>
      <x:c r="F59" t="str"/>
      <x:c r="G59" t="str"/>
      <x:c r="H59" t="str"/>
      <x:c r="I59" t="str">
        <x:v>RECOBERTO PET</x:v>
      </x:c>
      <x:c r="J59" t="str">
        <x:v>CURUPIXA RAVENNA</x:v>
      </x:c>
      <x:c r="K59" t="str">
        <x:v>0</x:v>
      </x:c>
      <x:c r="L59" t="str">
        <x:v>3</x:v>
      </x:c>
      <x:c r="M59" t="str">
        <x:v>0,008</x:v>
      </x:c>
      <x:c r="N59" t="str"/>
      <x:c r="O59" t="str"/>
      <x:c r="P59" t="str">
        <x:v>Liberada Para Producao</x:v>
      </x:c>
      <x:c r="Q59" t="str">
        <x:v>610129</x:v>
      </x:c>
      <x:c r="R59" t="str">
        <x:v>0</x:v>
      </x:c>
      <x:c r="S59" t="str">
        <x:v>1502</x:v>
      </x:c>
      <x:c r="T59" t="str">
        <x:v>TV.BAT. 680-1100 PET/PVC(SEMI)</x:v>
      </x:c>
      <x:c r="U59" t="str"/>
      <x:c r="V59" t="str"/>
      <x:c r="W59" t="str">
        <x:v>N/A</x:v>
      </x:c>
      <x:c r="X59" t="str">
        <x:v>N/A</x:v>
      </x:c>
      <x:c r="Y59" t="str">
        <x:v>N/A</x:v>
      </x:c>
      <x:c r="Z59" t="str">
        <x:v>0</x:v>
      </x:c>
      <x:c r="AA59" t="str">
        <x:v>0</x:v>
      </x:c>
      <x:c r="AB59" t="str">
        <x:v>N/A</x:v>
      </x:c>
      <x:c r="AC59" t="str">
        <x:v>N/A</x:v>
      </x:c>
      <x:c r="AD59" t="str">
        <x:v>N/A</x:v>
      </x:c>
      <x:c r="AE59" t="str">
        <x:v>N/A</x:v>
      </x:c>
    </x:row>
    <x:row r="60">
      <x:c r="A60" t="str">
        <x:v>51</x:v>
      </x:c>
      <x:c r="B60" t="str">
        <x:v>26520</x:v>
      </x:c>
      <x:c r="C60" t="str">
        <x:v>11</x:v>
      </x:c>
      <x:c r="D60" t="str">
        <x:v>3041300550</x:v>
      </x:c>
      <x:c r="E60" t="str">
        <x:v>FO POR SEM HDF 3 2100X720X35 PET C RA C/</x:v>
      </x:c>
      <x:c r="F60" t="str"/>
      <x:c r="G60" t="str"/>
      <x:c r="H60" t="str"/>
      <x:c r="I60" t="str">
        <x:v>RECOBERTO PET</x:v>
      </x:c>
      <x:c r="J60" t="str">
        <x:v>CURUPIXA RAVENNA</x:v>
      </x:c>
      <x:c r="K60" t="str">
        <x:v>0</x:v>
      </x:c>
      <x:c r="L60" t="str">
        <x:v>3</x:v>
      </x:c>
      <x:c r="M60" t="str">
        <x:v>0,159</x:v>
      </x:c>
      <x:c r="N60" t="str"/>
      <x:c r="O60" t="str"/>
      <x:c r="P60" t="str">
        <x:v>Liberada Para Producao</x:v>
      </x:c>
      <x:c r="Q60" t="str">
        <x:v>610130</x:v>
      </x:c>
      <x:c r="R60" t="str">
        <x:v>0</x:v>
      </x:c>
      <x:c r="S60" t="str">
        <x:v>2</x:v>
      </x:c>
      <x:c r="T60" t="str">
        <x:v>PORTA LINHA VANGUARD</x:v>
      </x:c>
      <x:c r="U60" t="str"/>
      <x:c r="V60" t="str"/>
      <x:c r="W60" t="str">
        <x:v>N/A</x:v>
      </x:c>
      <x:c r="X60" t="str">
        <x:v>N/A</x:v>
      </x:c>
      <x:c r="Y60" t="str">
        <x:v>N/A</x:v>
      </x:c>
      <x:c r="Z60" t="str">
        <x:v>N/A</x:v>
      </x:c>
      <x:c r="AA60" t="str">
        <x:v>N/A</x:v>
      </x:c>
      <x:c r="AB60" t="str">
        <x:v>N/A</x:v>
      </x:c>
      <x:c r="AC60" t="str">
        <x:v>N/A</x:v>
      </x:c>
      <x:c r="AD60" t="str">
        <x:v>0</x:v>
      </x:c>
      <x:c r="AE60" t="str">
        <x:v>N/A</x:v>
      </x:c>
    </x:row>
    <x:row r="61">
      <x:c r="A61" t="str">
        <x:v>51</x:v>
      </x:c>
      <x:c r="B61" t="str">
        <x:v>26520</x:v>
      </x:c>
      <x:c r="C61" t="str">
        <x:v>12</x:v>
      </x:c>
      <x:c r="D61" t="str">
        <x:v>975915</x:v>
      </x:c>
      <x:c r="E61" t="str">
        <x:v>PE AL 2200X50X9 RTO RL55 REC PET CURUP(U</x:v>
      </x:c>
      <x:c r="F61" t="str"/>
      <x:c r="G61" t="str"/>
      <x:c r="H61" t="str"/>
      <x:c r="I61" t="str">
        <x:v>RECOBERTO PET</x:v>
      </x:c>
      <x:c r="J61" t="str">
        <x:v>CURUPIXA RAVENNA</x:v>
      </x:c>
      <x:c r="K61" t="str">
        <x:v>0</x:v>
      </x:c>
      <x:c r="L61" t="str">
        <x:v>2</x:v>
      </x:c>
      <x:c r="M61" t="str">
        <x:v>0</x:v>
      </x:c>
      <x:c r="N61" t="str"/>
      <x:c r="O61" t="str"/>
      <x:c r="P61" t="str">
        <x:v>Liberada Para Producao</x:v>
      </x:c>
      <x:c r="Q61" t="str">
        <x:v>610132</x:v>
      </x:c>
      <x:c r="R61" t="str">
        <x:v>0</x:v>
      </x:c>
      <x:c r="S61" t="str"/>
      <x:c r="T61" t="str"/>
      <x:c r="U61" t="str"/>
      <x:c r="V61" t="str"/>
      <x:c r="W61" t="str">
        <x:v>N/A</x:v>
      </x:c>
      <x:c r="X61" t="str">
        <x:v>0</x:v>
      </x:c>
      <x:c r="Y61" t="str">
        <x:v>0</x:v>
      </x:c>
      <x:c r="Z61" t="str">
        <x:v>0</x:v>
      </x:c>
      <x:c r="AA61" t="str">
        <x:v>N/A</x:v>
      </x:c>
      <x:c r="AB61" t="str">
        <x:v>N/A</x:v>
      </x:c>
      <x:c r="AC61" t="str">
        <x:v>N/A</x:v>
      </x:c>
      <x:c r="AD61" t="str">
        <x:v>N/A</x:v>
      </x:c>
      <x:c r="AE61" t="str">
        <x:v>N/A</x:v>
      </x:c>
    </x:row>
    <x:row r="62">
      <x:c r="A62" t="str">
        <x:v>51</x:v>
      </x:c>
      <x:c r="B62" t="str">
        <x:v>26520</x:v>
      </x:c>
      <x:c r="C62" t="str">
        <x:v>12</x:v>
      </x:c>
      <x:c r="D62" t="str">
        <x:v>975916</x:v>
      </x:c>
      <x:c r="E62" t="str">
        <x:v>TR AL 1000X50X9 RTO RL55 REC PET CURUP(U</x:v>
      </x:c>
      <x:c r="F62" t="str"/>
      <x:c r="G62" t="str"/>
      <x:c r="H62" t="str"/>
      <x:c r="I62" t="str">
        <x:v>RECOBERTO PET</x:v>
      </x:c>
      <x:c r="J62" t="str">
        <x:v>CURUPIXA RAVENNA</x:v>
      </x:c>
      <x:c r="K62" t="str">
        <x:v>0</x:v>
      </x:c>
      <x:c r="L62" t="str">
        <x:v>1</x:v>
      </x:c>
      <x:c r="M62" t="str">
        <x:v>0</x:v>
      </x:c>
      <x:c r="N62" t="str"/>
      <x:c r="O62" t="str"/>
      <x:c r="P62" t="str">
        <x:v>Liberada Para Producao</x:v>
      </x:c>
      <x:c r="Q62" t="str">
        <x:v>610133</x:v>
      </x:c>
      <x:c r="R62" t="str">
        <x:v>0</x:v>
      </x:c>
      <x:c r="S62" t="str"/>
      <x:c r="T62" t="str"/>
      <x:c r="U62" t="str"/>
      <x:c r="V62" t="str"/>
      <x:c r="W62" t="str">
        <x:v>N/A</x:v>
      </x:c>
      <x:c r="X62" t="str">
        <x:v>0</x:v>
      </x:c>
      <x:c r="Y62" t="str">
        <x:v>0</x:v>
      </x:c>
      <x:c r="Z62" t="str">
        <x:v>0</x:v>
      </x:c>
      <x:c r="AA62" t="str">
        <x:v>0</x:v>
      </x:c>
      <x:c r="AB62" t="str">
        <x:v>N/A</x:v>
      </x:c>
      <x:c r="AC62" t="str">
        <x:v>N/A</x:v>
      </x:c>
      <x:c r="AD62" t="str">
        <x:v>N/A</x:v>
      </x:c>
      <x:c r="AE62" t="str">
        <x:v>N/A</x:v>
      </x:c>
    </x:row>
    <x:row r="63">
      <x:c r="A63" t="str">
        <x:v>51</x:v>
      </x:c>
      <x:c r="B63" t="str">
        <x:v>26520</x:v>
      </x:c>
      <x:c r="C63" t="str">
        <x:v>12</x:v>
      </x:c>
      <x:c r="D63" t="str">
        <x:v>975918</x:v>
      </x:c>
      <x:c r="E63" t="str">
        <x:v>PE AL 2200X50X9 RTO LME REC PET CURUP(UL</x:v>
      </x:c>
      <x:c r="F63" t="str"/>
      <x:c r="G63" t="str"/>
      <x:c r="H63" t="str"/>
      <x:c r="I63" t="str">
        <x:v>RECOBERTO PET</x:v>
      </x:c>
      <x:c r="J63" t="str">
        <x:v>CURUPIXA RAVENNA</x:v>
      </x:c>
      <x:c r="K63" t="str">
        <x:v>0</x:v>
      </x:c>
      <x:c r="L63" t="str">
        <x:v>2</x:v>
      </x:c>
      <x:c r="M63" t="str">
        <x:v>0</x:v>
      </x:c>
      <x:c r="N63" t="str"/>
      <x:c r="O63" t="str"/>
      <x:c r="P63" t="str">
        <x:v>Liberada Para Producao</x:v>
      </x:c>
      <x:c r="Q63" t="str">
        <x:v>610134</x:v>
      </x:c>
      <x:c r="R63" t="str">
        <x:v>0</x:v>
      </x:c>
      <x:c r="S63" t="str"/>
      <x:c r="T63" t="str"/>
      <x:c r="U63" t="str"/>
      <x:c r="V63" t="str"/>
      <x:c r="W63" t="str">
        <x:v>N/A</x:v>
      </x:c>
      <x:c r="X63" t="str">
        <x:v>0</x:v>
      </x:c>
      <x:c r="Y63" t="str">
        <x:v>0</x:v>
      </x:c>
      <x:c r="Z63" t="str">
        <x:v>0</x:v>
      </x:c>
      <x:c r="AA63" t="str">
        <x:v>N/A</x:v>
      </x:c>
      <x:c r="AB63" t="str">
        <x:v>N/A</x:v>
      </x:c>
      <x:c r="AC63" t="str">
        <x:v>N/A</x:v>
      </x:c>
      <x:c r="AD63" t="str">
        <x:v>N/A</x:v>
      </x:c>
      <x:c r="AE63" t="str">
        <x:v>N/A</x:v>
      </x:c>
    </x:row>
    <x:row r="64">
      <x:c r="A64" t="str">
        <x:v>51</x:v>
      </x:c>
      <x:c r="B64" t="str">
        <x:v>26520</x:v>
      </x:c>
      <x:c r="C64" t="str">
        <x:v>12</x:v>
      </x:c>
      <x:c r="D64" t="str">
        <x:v>975919</x:v>
      </x:c>
      <x:c r="E64" t="str">
        <x:v>TR AL 1000X50X9 RTO LME REC PET CURUP(UL</x:v>
      </x:c>
      <x:c r="F64" t="str"/>
      <x:c r="G64" t="str"/>
      <x:c r="H64" t="str"/>
      <x:c r="I64" t="str">
        <x:v>RECOBERTO PET</x:v>
      </x:c>
      <x:c r="J64" t="str">
        <x:v>CURUPIXA RAVENNA</x:v>
      </x:c>
      <x:c r="K64" t="str">
        <x:v>0</x:v>
      </x:c>
      <x:c r="L64" t="str">
        <x:v>1</x:v>
      </x:c>
      <x:c r="M64" t="str">
        <x:v>0</x:v>
      </x:c>
      <x:c r="N64" t="str"/>
      <x:c r="O64" t="str"/>
      <x:c r="P64" t="str">
        <x:v>Liberada Para Producao</x:v>
      </x:c>
      <x:c r="Q64" t="str">
        <x:v>610135</x:v>
      </x:c>
      <x:c r="R64" t="str">
        <x:v>0</x:v>
      </x:c>
      <x:c r="S64" t="str"/>
      <x:c r="T64" t="str"/>
      <x:c r="U64" t="str"/>
      <x:c r="V64" t="str"/>
      <x:c r="W64" t="str">
        <x:v>N/A</x:v>
      </x:c>
      <x:c r="X64" t="str">
        <x:v>0</x:v>
      </x:c>
      <x:c r="Y64" t="str">
        <x:v>0</x:v>
      </x:c>
      <x:c r="Z64" t="str">
        <x:v>0</x:v>
      </x:c>
      <x:c r="AA64" t="str">
        <x:v>0</x:v>
      </x:c>
      <x:c r="AB64" t="str">
        <x:v>N/A</x:v>
      </x:c>
      <x:c r="AC64" t="str">
        <x:v>N/A</x:v>
      </x:c>
      <x:c r="AD64" t="str">
        <x:v>N/A</x:v>
      </x:c>
      <x:c r="AE64" t="str">
        <x:v>N/A</x:v>
      </x:c>
    </x:row>
    <x:row r="65">
      <x:c r="A65" t="str">
        <x:v>51</x:v>
      </x:c>
      <x:c r="B65" t="str">
        <x:v>26520</x:v>
      </x:c>
      <x:c r="C65" t="str">
        <x:v>12</x:v>
      </x:c>
      <x:c r="D65" t="str">
        <x:v>2010701220</x:v>
      </x:c>
      <x:c r="E65" t="str">
        <x:v>M ULTRA PET C RA 2110X110X30 42X10 R2L M</x:v>
      </x:c>
      <x:c r="F65" t="str"/>
      <x:c r="G65" t="str"/>
      <x:c r="H65" t="str"/>
      <x:c r="I65" t="str">
        <x:v>RECOBERTO PET</x:v>
      </x:c>
      <x:c r="J65" t="str">
        <x:v>CURUPIXA RAVENNA</x:v>
      </x:c>
      <x:c r="K65" t="str">
        <x:v>0</x:v>
      </x:c>
      <x:c r="L65" t="str">
        <x:v>2</x:v>
      </x:c>
      <x:c r="M65" t="str">
        <x:v>0,014</x:v>
      </x:c>
      <x:c r="N65" t="str"/>
      <x:c r="O65" t="str"/>
      <x:c r="P65" t="str">
        <x:v>Liberada Para Producao</x:v>
      </x:c>
      <x:c r="Q65" t="str">
        <x:v>610136</x:v>
      </x:c>
      <x:c r="R65" t="str">
        <x:v>0</x:v>
      </x:c>
      <x:c r="S65" t="str">
        <x:v>1500</x:v>
      </x:c>
      <x:c r="T65" t="str">
        <x:v>PERNA DE BATENTE PREMIUM(SEMIA</x:v>
      </x:c>
      <x:c r="U65" t="str"/>
      <x:c r="V65" t="str"/>
      <x:c r="W65" t="str">
        <x:v>N/A</x:v>
      </x:c>
      <x:c r="X65" t="str">
        <x:v>N/A</x:v>
      </x:c>
      <x:c r="Y65" t="str">
        <x:v>N/A</x:v>
      </x:c>
      <x:c r="Z65" t="str">
        <x:v>0</x:v>
      </x:c>
      <x:c r="AA65" t="str">
        <x:v>0</x:v>
      </x:c>
      <x:c r="AB65" t="str">
        <x:v>N/A</x:v>
      </x:c>
      <x:c r="AC65" t="str">
        <x:v>N/A</x:v>
      </x:c>
      <x:c r="AD65" t="str">
        <x:v>N/A</x:v>
      </x:c>
      <x:c r="AE65" t="str">
        <x:v>N/A</x:v>
      </x:c>
    </x:row>
    <x:row r="66">
      <x:c r="A66" t="str">
        <x:v>51</x:v>
      </x:c>
      <x:c r="B66" t="str">
        <x:v>26520</x:v>
      </x:c>
      <x:c r="C66" t="str">
        <x:v>12</x:v>
      </x:c>
      <x:c r="D66" t="str">
        <x:v>2010701221</x:v>
      </x:c>
      <x:c r="E66" t="str">
        <x:v>M ULTRA PET C RA 647X110X30 42X10 R2L ME</x:v>
      </x:c>
      <x:c r="F66" t="str"/>
      <x:c r="G66" t="str"/>
      <x:c r="H66" t="str"/>
      <x:c r="I66" t="str">
        <x:v>RECOBERTO PET</x:v>
      </x:c>
      <x:c r="J66" t="str">
        <x:v>CURUPIXA RAVENNA</x:v>
      </x:c>
      <x:c r="K66" t="str">
        <x:v>0</x:v>
      </x:c>
      <x:c r="L66" t="str">
        <x:v>1</x:v>
      </x:c>
      <x:c r="M66" t="str">
        <x:v>0,002</x:v>
      </x:c>
      <x:c r="N66" t="str"/>
      <x:c r="O66" t="str"/>
      <x:c r="P66" t="str">
        <x:v>Liberada Para Producao</x:v>
      </x:c>
      <x:c r="Q66" t="str">
        <x:v>610137</x:v>
      </x:c>
      <x:c r="R66" t="str">
        <x:v>0</x:v>
      </x:c>
      <x:c r="S66" t="str">
        <x:v>1501</x:v>
      </x:c>
      <x:c r="T66" t="str">
        <x:v>TRAV. BAT. 680 PET/PVC(SEMI)</x:v>
      </x:c>
      <x:c r="U66" t="str"/>
      <x:c r="V66" t="str"/>
      <x:c r="W66" t="str">
        <x:v>N/A</x:v>
      </x:c>
      <x:c r="X66" t="str">
        <x:v>N/A</x:v>
      </x:c>
      <x:c r="Y66" t="str">
        <x:v>N/A</x:v>
      </x:c>
      <x:c r="Z66" t="str">
        <x:v>0</x:v>
      </x:c>
      <x:c r="AA66" t="str">
        <x:v>0</x:v>
      </x:c>
      <x:c r="AB66" t="str">
        <x:v>N/A</x:v>
      </x:c>
      <x:c r="AC66" t="str">
        <x:v>N/A</x:v>
      </x:c>
      <x:c r="AD66" t="str">
        <x:v>N/A</x:v>
      </x:c>
      <x:c r="AE66" t="str">
        <x:v>N/A</x:v>
      </x:c>
    </x:row>
    <x:row r="67">
      <x:c r="A67" t="str">
        <x:v>51</x:v>
      </x:c>
      <x:c r="B67" t="str">
        <x:v>26520</x:v>
      </x:c>
      <x:c r="C67" t="str">
        <x:v>12</x:v>
      </x:c>
      <x:c r="D67" t="str">
        <x:v>3041300551</x:v>
      </x:c>
      <x:c r="E67" t="str">
        <x:v>FO POR SEM HDF 3 2100X600X35 PET C RA C/</x:v>
      </x:c>
      <x:c r="F67" t="str"/>
      <x:c r="G67" t="str"/>
      <x:c r="H67" t="str"/>
      <x:c r="I67" t="str">
        <x:v>RECOBERTO PET</x:v>
      </x:c>
      <x:c r="J67" t="str">
        <x:v>CURUPIXA RAVENNA</x:v>
      </x:c>
      <x:c r="K67" t="str">
        <x:v>0</x:v>
      </x:c>
      <x:c r="L67" t="str">
        <x:v>1</x:v>
      </x:c>
      <x:c r="M67" t="str">
        <x:v>0,044</x:v>
      </x:c>
      <x:c r="N67" t="str"/>
      <x:c r="O67" t="str"/>
      <x:c r="P67" t="str">
        <x:v>Liberada Para Producao</x:v>
      </x:c>
      <x:c r="Q67" t="str">
        <x:v>610138</x:v>
      </x:c>
      <x:c r="R67" t="str">
        <x:v>0</x:v>
      </x:c>
      <x:c r="S67" t="str">
        <x:v>2</x:v>
      </x:c>
      <x:c r="T67" t="str">
        <x:v>PORTA LINHA VANGUARD</x:v>
      </x:c>
      <x:c r="U67" t="str"/>
      <x:c r="V67" t="str"/>
      <x:c r="W67" t="str">
        <x:v>N/A</x:v>
      </x:c>
      <x:c r="X67" t="str">
        <x:v>N/A</x:v>
      </x:c>
      <x:c r="Y67" t="str">
        <x:v>N/A</x:v>
      </x:c>
      <x:c r="Z67" t="str">
        <x:v>N/A</x:v>
      </x:c>
      <x:c r="AA67" t="str">
        <x:v>N/A</x:v>
      </x:c>
      <x:c r="AB67" t="str">
        <x:v>N/A</x:v>
      </x:c>
      <x:c r="AC67" t="str">
        <x:v>N/A</x:v>
      </x:c>
      <x:c r="AD67" t="str">
        <x:v>0</x:v>
      </x:c>
      <x:c r="AE67" t="str">
        <x:v>N/A</x:v>
      </x:c>
    </x:row>
    <x:row r="68">
      <x:c r="A68" t="str">
        <x:v>51</x:v>
      </x:c>
      <x:c r="B68" t="str">
        <x:v>26520</x:v>
      </x:c>
      <x:c r="C68" t="str">
        <x:v>13</x:v>
      </x:c>
      <x:c r="D68" t="str">
        <x:v>959646</x:v>
      </x:c>
      <x:c r="E68" t="str">
        <x:v>FEC CORRER-357504 CH.V BR 27-575-2 CONC</x:v>
      </x:c>
      <x:c r="F68" t="str"/>
      <x:c r="G68" t="str"/>
      <x:c r="H68" t="str"/>
      <x:c r="I68" t="str">
        <x:v>FERRAGENS</x:v>
      </x:c>
      <x:c r="J68" t="str">
        <x:v>FECHADURAS</x:v>
      </x:c>
      <x:c r="K68" t="str">
        <x:v>0</x:v>
      </x:c>
      <x:c r="L68" t="str">
        <x:v>1</x:v>
      </x:c>
      <x:c r="M68" t="str">
        <x:v>0,001</x:v>
      </x:c>
      <x:c r="N68" t="str"/>
      <x:c r="O68" t="str"/>
      <x:c r="P68" t="str">
        <x:v>SEM ENGENHARIA CADASTRADA</x:v>
      </x:c>
      <x:c r="Q68" t="str"/>
      <x:c r="R68" t="str">
        <x:v>0</x:v>
      </x:c>
      <x:c r="S68" t="str"/>
      <x:c r="T68" t="str"/>
      <x:c r="U68" t="str"/>
      <x:c r="V68" t="str"/>
      <x:c r="W68" t="str">
        <x:v>N/A</x:v>
      </x:c>
      <x:c r="X68" t="str">
        <x:v>N/A</x:v>
      </x:c>
      <x:c r="Y68" t="str">
        <x:v>N/A</x:v>
      </x:c>
      <x:c r="Z68" t="str">
        <x:v>N/A</x:v>
      </x:c>
      <x:c r="AA68" t="str">
        <x:v>N/A</x:v>
      </x:c>
      <x:c r="AB68" t="str">
        <x:v>N/A</x:v>
      </x:c>
      <x:c r="AC68" t="str">
        <x:v>N/A</x:v>
      </x:c>
      <x:c r="AD68" t="str">
        <x:v>N/A</x:v>
      </x:c>
      <x:c r="AE68" t="str">
        <x:v>N/A</x:v>
      </x:c>
    </x:row>
    <x:row r="69">
      <x:c r="A69" t="str">
        <x:v>51</x:v>
      </x:c>
      <x:c r="B69" t="str">
        <x:v>26684</x:v>
      </x:c>
      <x:c r="C69" t="str">
        <x:v>1</x:v>
      </x:c>
      <x:c r="D69" t="str">
        <x:v>956042</x:v>
      </x:c>
      <x:c r="E69" t="str">
        <x:v>2250X70X15 RTO LME REC PET BCO IMP(STD)</x:v>
      </x:c>
      <x:c r="F69" t="str"/>
      <x:c r="G69" t="str"/>
      <x:c r="H69" t="str"/>
      <x:c r="I69" t="str">
        <x:v>ESMALTE</x:v>
      </x:c>
      <x:c r="J69" t="str">
        <x:v>BRANCO CARRARA</x:v>
      </x:c>
      <x:c r="K69" t="str">
        <x:v>0</x:v>
      </x:c>
      <x:c r="L69" t="str">
        <x:v>2</x:v>
      </x:c>
      <x:c r="M69" t="str">
        <x:v>0</x:v>
      </x:c>
      <x:c r="N69" t="str">
        <x:v>4500262368</x:v>
      </x:c>
      <x:c r="O69" t="str"/>
      <x:c r="P69" t="str">
        <x:v>Liberada Para Producao</x:v>
      </x:c>
      <x:c r="Q69" t="str">
        <x:v>609110</x:v>
      </x:c>
      <x:c r="R69" t="str">
        <x:v>0</x:v>
      </x:c>
      <x:c r="S69" t="str"/>
      <x:c r="T69" t="str"/>
      <x:c r="U69" t="str"/>
      <x:c r="V69" t="str"/>
      <x:c r="W69" t="str">
        <x:v>N/A</x:v>
      </x:c>
      <x:c r="X69" t="str">
        <x:v>0</x:v>
      </x:c>
      <x:c r="Y69" t="str">
        <x:v>0</x:v>
      </x:c>
      <x:c r="Z69" t="str">
        <x:v>0</x:v>
      </x:c>
      <x:c r="AA69" t="str">
        <x:v>N/A</x:v>
      </x:c>
      <x:c r="AB69" t="str">
        <x:v>N/A</x:v>
      </x:c>
      <x:c r="AC69" t="str">
        <x:v>N/A</x:v>
      </x:c>
      <x:c r="AD69" t="str">
        <x:v>N/A</x:v>
      </x:c>
      <x:c r="AE69" t="str">
        <x:v>N/A</x:v>
      </x:c>
    </x:row>
    <x:row r="70">
      <x:c r="A70" t="str">
        <x:v>51</x:v>
      </x:c>
      <x:c r="B70" t="str">
        <x:v>26684</x:v>
      </x:c>
      <x:c r="C70" t="str">
        <x:v>1</x:v>
      </x:c>
      <x:c r="D70" t="str">
        <x:v>963653</x:v>
      </x:c>
      <x:c r="E70" t="str">
        <x:v>2110x110x30 42x10R2L R1BIA PET STD PRM U</x:v>
      </x:c>
      <x:c r="F70" t="str"/>
      <x:c r="G70" t="str"/>
      <x:c r="H70" t="str"/>
      <x:c r="I70" t="str">
        <x:v>ESMALTE</x:v>
      </x:c>
      <x:c r="J70" t="str">
        <x:v>BRANCO CARRARA</x:v>
      </x:c>
      <x:c r="K70" t="str">
        <x:v>0</x:v>
      </x:c>
      <x:c r="L70" t="str">
        <x:v>2</x:v>
      </x:c>
      <x:c r="M70" t="str">
        <x:v>0</x:v>
      </x:c>
      <x:c r="N70" t="str">
        <x:v>4500262368</x:v>
      </x:c>
      <x:c r="O70" t="str"/>
      <x:c r="P70" t="str">
        <x:v>Liberada Para Producao</x:v>
      </x:c>
      <x:c r="Q70" t="str">
        <x:v>609111</x:v>
      </x:c>
      <x:c r="R70" t="str">
        <x:v>0</x:v>
      </x:c>
      <x:c r="S70" t="str"/>
      <x:c r="T70" t="str"/>
      <x:c r="U70" t="str"/>
      <x:c r="V70" t="str"/>
      <x:c r="W70" t="str">
        <x:v>N/A</x:v>
      </x:c>
      <x:c r="X70" t="str">
        <x:v>N/A</x:v>
      </x:c>
      <x:c r="Y70" t="str">
        <x:v>N/A</x:v>
      </x:c>
      <x:c r="Z70" t="str">
        <x:v>0</x:v>
      </x:c>
      <x:c r="AA70" t="str">
        <x:v>0</x:v>
      </x:c>
      <x:c r="AB70" t="str">
        <x:v>N/A</x:v>
      </x:c>
      <x:c r="AC70" t="str">
        <x:v>N/A</x:v>
      </x:c>
      <x:c r="AD70" t="str">
        <x:v>N/A</x:v>
      </x:c>
      <x:c r="AE70" t="str">
        <x:v>N/A</x:v>
      </x:c>
    </x:row>
    <x:row r="71">
      <x:c r="A71" t="str">
        <x:v>51</x:v>
      </x:c>
      <x:c r="B71" t="str">
        <x:v>26684</x:v>
      </x:c>
      <x:c r="C71" t="str">
        <x:v>1</x:v>
      </x:c>
      <x:c r="D71" t="str">
        <x:v>966816</x:v>
      </x:c>
      <x:c r="E71" t="str">
        <x:v>867x110x30 42x10 R2L RT BIA PET STD PREM</x:v>
      </x:c>
      <x:c r="F71" t="str"/>
      <x:c r="G71" t="str"/>
      <x:c r="H71" t="str"/>
      <x:c r="I71" t="str">
        <x:v>ESMALTE</x:v>
      </x:c>
      <x:c r="J71" t="str">
        <x:v>BRANCO CARRARA</x:v>
      </x:c>
      <x:c r="K71" t="str">
        <x:v>0</x:v>
      </x:c>
      <x:c r="L71" t="str">
        <x:v>1</x:v>
      </x:c>
      <x:c r="M71" t="str">
        <x:v>0</x:v>
      </x:c>
      <x:c r="N71" t="str">
        <x:v>4500262368</x:v>
      </x:c>
      <x:c r="O71" t="str"/>
      <x:c r="P71" t="str">
        <x:v>Liberada Para Producao</x:v>
      </x:c>
      <x:c r="Q71" t="str">
        <x:v>609112</x:v>
      </x:c>
      <x:c r="R71" t="str">
        <x:v>0</x:v>
      </x:c>
      <x:c r="S71" t="str"/>
      <x:c r="T71" t="str"/>
      <x:c r="U71" t="str"/>
      <x:c r="V71" t="str"/>
      <x:c r="W71" t="str">
        <x:v>N/A</x:v>
      </x:c>
      <x:c r="X71" t="str">
        <x:v>N/A</x:v>
      </x:c>
      <x:c r="Y71" t="str">
        <x:v>N/A</x:v>
      </x:c>
      <x:c r="Z71" t="str">
        <x:v>0</x:v>
      </x:c>
      <x:c r="AA71" t="str">
        <x:v>0</x:v>
      </x:c>
      <x:c r="AB71" t="str">
        <x:v>N/A</x:v>
      </x:c>
      <x:c r="AC71" t="str">
        <x:v>N/A</x:v>
      </x:c>
      <x:c r="AD71" t="str">
        <x:v>N/A</x:v>
      </x:c>
      <x:c r="AE71" t="str">
        <x:v>N/A</x:v>
      </x:c>
    </x:row>
    <x:row r="72">
      <x:c r="A72" t="str">
        <x:v>51</x:v>
      </x:c>
      <x:c r="B72" t="str">
        <x:v>26684</x:v>
      </x:c>
      <x:c r="C72" t="str">
        <x:v>1</x:v>
      </x:c>
      <x:c r="D72" t="str">
        <x:v>971354</x:v>
      </x:c>
      <x:c r="E72" t="str">
        <x:v>PER ALI 2250X70X15 RT RL55RC PET BCO STD</x:v>
      </x:c>
      <x:c r="F72" t="str"/>
      <x:c r="G72" t="str"/>
      <x:c r="H72" t="str"/>
      <x:c r="I72" t="str">
        <x:v>ESMALTE</x:v>
      </x:c>
      <x:c r="J72" t="str">
        <x:v>BRANCO CARRARA</x:v>
      </x:c>
      <x:c r="K72" t="str">
        <x:v>0</x:v>
      </x:c>
      <x:c r="L72" t="str">
        <x:v>2</x:v>
      </x:c>
      <x:c r="M72" t="str">
        <x:v>0</x:v>
      </x:c>
      <x:c r="N72" t="str">
        <x:v>4500262368</x:v>
      </x:c>
      <x:c r="O72" t="str"/>
      <x:c r="P72" t="str">
        <x:v>Liberada Para Producao</x:v>
      </x:c>
      <x:c r="Q72" t="str">
        <x:v>609113</x:v>
      </x:c>
      <x:c r="R72" t="str">
        <x:v>0</x:v>
      </x:c>
      <x:c r="S72" t="str"/>
      <x:c r="T72" t="str"/>
      <x:c r="U72" t="str"/>
      <x:c r="V72" t="str"/>
      <x:c r="W72" t="str">
        <x:v>N/A</x:v>
      </x:c>
      <x:c r="X72" t="str">
        <x:v>0</x:v>
      </x:c>
      <x:c r="Y72" t="str">
        <x:v>0</x:v>
      </x:c>
      <x:c r="Z72" t="str">
        <x:v>0</x:v>
      </x:c>
      <x:c r="AA72" t="str">
        <x:v>N/A</x:v>
      </x:c>
      <x:c r="AB72" t="str">
        <x:v>N/A</x:v>
      </x:c>
      <x:c r="AC72" t="str">
        <x:v>N/A</x:v>
      </x:c>
      <x:c r="AD72" t="str">
        <x:v>N/A</x:v>
      </x:c>
      <x:c r="AE72" t="str">
        <x:v>N/A</x:v>
      </x:c>
    </x:row>
    <x:row r="73">
      <x:c r="A73" t="str">
        <x:v>51</x:v>
      </x:c>
      <x:c r="B73" t="str">
        <x:v>26684</x:v>
      </x:c>
      <x:c r="C73" t="str">
        <x:v>1</x:v>
      </x:c>
      <x:c r="D73" t="str">
        <x:v>981166</x:v>
      </x:c>
      <x:c r="E73" t="str">
        <x:v>T A 1100X70X15 RTO RL55 REC PET BCO(STD)</x:v>
      </x:c>
      <x:c r="F73" t="str"/>
      <x:c r="G73" t="str"/>
      <x:c r="H73" t="str"/>
      <x:c r="I73" t="str">
        <x:v>ESMALTE</x:v>
      </x:c>
      <x:c r="J73" t="str">
        <x:v>BRANCO CARRARA</x:v>
      </x:c>
      <x:c r="K73" t="str">
        <x:v>0</x:v>
      </x:c>
      <x:c r="L73" t="str">
        <x:v>1</x:v>
      </x:c>
      <x:c r="M73" t="str">
        <x:v>0</x:v>
      </x:c>
      <x:c r="N73" t="str">
        <x:v>4500262368</x:v>
      </x:c>
      <x:c r="O73" t="str"/>
      <x:c r="P73" t="str">
        <x:v>Liberada Para Producao</x:v>
      </x:c>
      <x:c r="Q73" t="str">
        <x:v>609114</x:v>
      </x:c>
      <x:c r="R73" t="str">
        <x:v>0</x:v>
      </x:c>
      <x:c r="S73" t="str"/>
      <x:c r="T73" t="str"/>
      <x:c r="U73" t="str"/>
      <x:c r="V73" t="str"/>
      <x:c r="W73" t="str">
        <x:v>N/A</x:v>
      </x:c>
      <x:c r="X73" t="str">
        <x:v>0</x:v>
      </x:c>
      <x:c r="Y73" t="str">
        <x:v>0</x:v>
      </x:c>
      <x:c r="Z73" t="str">
        <x:v>0</x:v>
      </x:c>
      <x:c r="AA73" t="str">
        <x:v>0</x:v>
      </x:c>
      <x:c r="AB73" t="str">
        <x:v>N/A</x:v>
      </x:c>
      <x:c r="AC73" t="str">
        <x:v>N/A</x:v>
      </x:c>
      <x:c r="AD73" t="str">
        <x:v>N/A</x:v>
      </x:c>
      <x:c r="AE73" t="str">
        <x:v>N/A</x:v>
      </x:c>
    </x:row>
    <x:row r="74">
      <x:c r="A74" t="str">
        <x:v>51</x:v>
      </x:c>
      <x:c r="B74" t="str">
        <x:v>26684</x:v>
      </x:c>
      <x:c r="C74" t="str">
        <x:v>1</x:v>
      </x:c>
      <x:c r="D74" t="str">
        <x:v>981556</x:v>
      </x:c>
      <x:c r="E74" t="str">
        <x:v>T A 1100X70X15 RTO LMN REC PET BCO(STD)</x:v>
      </x:c>
      <x:c r="F74" t="str"/>
      <x:c r="G74" t="str"/>
      <x:c r="H74" t="str"/>
      <x:c r="I74" t="str">
        <x:v>ESMALTE</x:v>
      </x:c>
      <x:c r="J74" t="str">
        <x:v>BRANCO CARRARA</x:v>
      </x:c>
      <x:c r="K74" t="str">
        <x:v>0</x:v>
      </x:c>
      <x:c r="L74" t="str">
        <x:v>1</x:v>
      </x:c>
      <x:c r="M74" t="str">
        <x:v>0</x:v>
      </x:c>
      <x:c r="N74" t="str">
        <x:v>4500262368</x:v>
      </x:c>
      <x:c r="O74" t="str"/>
      <x:c r="P74" t="str">
        <x:v>Liberada Para Producao</x:v>
      </x:c>
      <x:c r="Q74" t="str">
        <x:v>609115</x:v>
      </x:c>
      <x:c r="R74" t="str">
        <x:v>0</x:v>
      </x:c>
      <x:c r="S74" t="str"/>
      <x:c r="T74" t="str"/>
      <x:c r="U74" t="str"/>
      <x:c r="V74" t="str"/>
      <x:c r="W74" t="str">
        <x:v>N/A</x:v>
      </x:c>
      <x:c r="X74" t="str">
        <x:v>0</x:v>
      </x:c>
      <x:c r="Y74" t="str">
        <x:v>0</x:v>
      </x:c>
      <x:c r="Z74" t="str">
        <x:v>0</x:v>
      </x:c>
      <x:c r="AA74" t="str">
        <x:v>0</x:v>
      </x:c>
      <x:c r="AB74" t="str">
        <x:v>N/A</x:v>
      </x:c>
      <x:c r="AC74" t="str">
        <x:v>N/A</x:v>
      </x:c>
      <x:c r="AD74" t="str">
        <x:v>N/A</x:v>
      </x:c>
      <x:c r="AE74" t="str">
        <x:v>N/A</x:v>
      </x:c>
    </x:row>
    <x:row r="75">
      <x:c r="A75" t="str">
        <x:v>51</x:v>
      </x:c>
      <x:c r="B75" t="str">
        <x:v>26684</x:v>
      </x:c>
      <x:c r="C75" t="str">
        <x:v>1</x:v>
      </x:c>
      <x:c r="D75" t="str">
        <x:v>4993012047</x:v>
      </x:c>
      <x:c r="E75" t="str">
        <x:v>FP S BD HDF 3 2100x820x35 ESM BCO C C/US</x:v>
      </x:c>
      <x:c r="F75" t="str"/>
      <x:c r="G75" t="str"/>
      <x:c r="H75" t="str"/>
      <x:c r="I75" t="str">
        <x:v>ESMALTE</x:v>
      </x:c>
      <x:c r="J75" t="str">
        <x:v>BRANCO CARRARA</x:v>
      </x:c>
      <x:c r="K75" t="str">
        <x:v>0</x:v>
      </x:c>
      <x:c r="L75" t="str">
        <x:v>1</x:v>
      </x:c>
      <x:c r="M75" t="str">
        <x:v>0,06</x:v>
      </x:c>
      <x:c r="N75" t="str">
        <x:v>4500262368</x:v>
      </x:c>
      <x:c r="O75" t="str"/>
      <x:c r="P75" t="str">
        <x:v>Liberada Para Producao</x:v>
      </x:c>
      <x:c r="Q75" t="str">
        <x:v>609116</x:v>
      </x:c>
      <x:c r="R75" t="str">
        <x:v>33,33</x:v>
      </x:c>
      <x:c r="S75" t="str">
        <x:v>1</x:v>
      </x:c>
      <x:c r="T75" t="str">
        <x:v>PORTA LINHA PREMIUM</x:v>
      </x:c>
      <x:c r="U75" t="str"/>
      <x:c r="V75" t="str"/>
      <x:c r="W75" t="str">
        <x:v>N/A</x:v>
      </x:c>
      <x:c r="X75" t="str">
        <x:v>100</x:v>
      </x:c>
      <x:c r="Y75" t="str">
        <x:v>N/A</x:v>
      </x:c>
      <x:c r="Z75" t="str">
        <x:v>N/A</x:v>
      </x:c>
      <x:c r="AA75" t="str">
        <x:v>N/A</x:v>
      </x:c>
      <x:c r="AB75" t="str">
        <x:v>0</x:v>
      </x:c>
      <x:c r="AC75" t="str">
        <x:v>N/A</x:v>
      </x:c>
      <x:c r="AD75" t="str">
        <x:v>0</x:v>
      </x:c>
      <x:c r="AE75" t="str">
        <x:v>N/A</x:v>
      </x:c>
    </x:row>
    <x:row r="76">
      <x:c r="A76" t="str">
        <x:v>51</x:v>
      </x:c>
      <x:c r="B76" t="str">
        <x:v>26684</x:v>
      </x:c>
      <x:c r="C76" t="str">
        <x:v>2</x:v>
      </x:c>
      <x:c r="D76" t="str">
        <x:v>956042</x:v>
      </x:c>
      <x:c r="E76" t="str">
        <x:v>2250X70X15 RTO LME REC PET BCO IMP(STD)</x:v>
      </x:c>
      <x:c r="F76" t="str"/>
      <x:c r="G76" t="str"/>
      <x:c r="H76" t="str"/>
      <x:c r="I76" t="str">
        <x:v>ESMALTE</x:v>
      </x:c>
      <x:c r="J76" t="str">
        <x:v>BRANCO CARRARA</x:v>
      </x:c>
      <x:c r="K76" t="str">
        <x:v>0</x:v>
      </x:c>
      <x:c r="L76" t="str">
        <x:v>56</x:v>
      </x:c>
      <x:c r="M76" t="str">
        <x:v>0</x:v>
      </x:c>
      <x:c r="N76" t="str">
        <x:v>4500262368</x:v>
      </x:c>
      <x:c r="O76" t="str"/>
      <x:c r="P76" t="str">
        <x:v>Liberada Para Producao</x:v>
      </x:c>
      <x:c r="Q76" t="str">
        <x:v>609118</x:v>
      </x:c>
      <x:c r="R76" t="str">
        <x:v>0</x:v>
      </x:c>
      <x:c r="S76" t="str"/>
      <x:c r="T76" t="str"/>
      <x:c r="U76" t="str"/>
      <x:c r="V76" t="str"/>
      <x:c r="W76" t="str">
        <x:v>N/A</x:v>
      </x:c>
      <x:c r="X76" t="str">
        <x:v>0</x:v>
      </x:c>
      <x:c r="Y76" t="str">
        <x:v>0</x:v>
      </x:c>
      <x:c r="Z76" t="str">
        <x:v>0</x:v>
      </x:c>
      <x:c r="AA76" t="str">
        <x:v>N/A</x:v>
      </x:c>
      <x:c r="AB76" t="str">
        <x:v>N/A</x:v>
      </x:c>
      <x:c r="AC76" t="str">
        <x:v>N/A</x:v>
      </x:c>
      <x:c r="AD76" t="str">
        <x:v>N/A</x:v>
      </x:c>
      <x:c r="AE76" t="str">
        <x:v>N/A</x:v>
      </x:c>
    </x:row>
    <x:row r="77">
      <x:c r="A77" t="str">
        <x:v>51</x:v>
      </x:c>
      <x:c r="B77" t="str">
        <x:v>26684</x:v>
      </x:c>
      <x:c r="C77" t="str">
        <x:v>2</x:v>
      </x:c>
      <x:c r="D77" t="str">
        <x:v>971354</x:v>
      </x:c>
      <x:c r="E77" t="str">
        <x:v>PER ALI 2250X70X15 RT RL55RC PET BCO STD</x:v>
      </x:c>
      <x:c r="F77" t="str"/>
      <x:c r="G77" t="str"/>
      <x:c r="H77" t="str"/>
      <x:c r="I77" t="str">
        <x:v>ESMALTE</x:v>
      </x:c>
      <x:c r="J77" t="str">
        <x:v>BRANCO CARRARA</x:v>
      </x:c>
      <x:c r="K77" t="str">
        <x:v>0</x:v>
      </x:c>
      <x:c r="L77" t="str">
        <x:v>56</x:v>
      </x:c>
      <x:c r="M77" t="str">
        <x:v>0</x:v>
      </x:c>
      <x:c r="N77" t="str">
        <x:v>4500262368</x:v>
      </x:c>
      <x:c r="O77" t="str"/>
      <x:c r="P77" t="str">
        <x:v>Liberada Para Producao</x:v>
      </x:c>
      <x:c r="Q77" t="str">
        <x:v>609119</x:v>
      </x:c>
      <x:c r="R77" t="str">
        <x:v>0</x:v>
      </x:c>
      <x:c r="S77" t="str"/>
      <x:c r="T77" t="str"/>
      <x:c r="U77" t="str"/>
      <x:c r="V77" t="str"/>
      <x:c r="W77" t="str">
        <x:v>N/A</x:v>
      </x:c>
      <x:c r="X77" t="str">
        <x:v>0</x:v>
      </x:c>
      <x:c r="Y77" t="str">
        <x:v>0</x:v>
      </x:c>
      <x:c r="Z77" t="str">
        <x:v>0</x:v>
      </x:c>
      <x:c r="AA77" t="str">
        <x:v>N/A</x:v>
      </x:c>
      <x:c r="AB77" t="str">
        <x:v>N/A</x:v>
      </x:c>
      <x:c r="AC77" t="str">
        <x:v>N/A</x:v>
      </x:c>
      <x:c r="AD77" t="str">
        <x:v>N/A</x:v>
      </x:c>
      <x:c r="AE77" t="str">
        <x:v>N/A</x:v>
      </x:c>
    </x:row>
    <x:row r="78">
      <x:c r="A78" t="str">
        <x:v>51</x:v>
      </x:c>
      <x:c r="B78" t="str">
        <x:v>26684</x:v>
      </x:c>
      <x:c r="C78" t="str">
        <x:v>2</x:v>
      </x:c>
      <x:c r="D78" t="str">
        <x:v>981166</x:v>
      </x:c>
      <x:c r="E78" t="str">
        <x:v>T A 1100X70X15 RTO RL55 REC PET BCO(STD)</x:v>
      </x:c>
      <x:c r="F78" t="str"/>
      <x:c r="G78" t="str"/>
      <x:c r="H78" t="str"/>
      <x:c r="I78" t="str">
        <x:v>ESMALTE</x:v>
      </x:c>
      <x:c r="J78" t="str">
        <x:v>BRANCO CARRARA</x:v>
      </x:c>
      <x:c r="K78" t="str">
        <x:v>0</x:v>
      </x:c>
      <x:c r="L78" t="str">
        <x:v>28</x:v>
      </x:c>
      <x:c r="M78" t="str">
        <x:v>0</x:v>
      </x:c>
      <x:c r="N78" t="str">
        <x:v>4500262368</x:v>
      </x:c>
      <x:c r="O78" t="str"/>
      <x:c r="P78" t="str">
        <x:v>Liberada Para Producao</x:v>
      </x:c>
      <x:c r="Q78" t="str">
        <x:v>609120</x:v>
      </x:c>
      <x:c r="R78" t="str">
        <x:v>0</x:v>
      </x:c>
      <x:c r="S78" t="str"/>
      <x:c r="T78" t="str"/>
      <x:c r="U78" t="str"/>
      <x:c r="V78" t="str"/>
      <x:c r="W78" t="str">
        <x:v>N/A</x:v>
      </x:c>
      <x:c r="X78" t="str">
        <x:v>0</x:v>
      </x:c>
      <x:c r="Y78" t="str">
        <x:v>0</x:v>
      </x:c>
      <x:c r="Z78" t="str">
        <x:v>0</x:v>
      </x:c>
      <x:c r="AA78" t="str">
        <x:v>0</x:v>
      </x:c>
      <x:c r="AB78" t="str">
        <x:v>N/A</x:v>
      </x:c>
      <x:c r="AC78" t="str">
        <x:v>N/A</x:v>
      </x:c>
      <x:c r="AD78" t="str">
        <x:v>N/A</x:v>
      </x:c>
      <x:c r="AE78" t="str">
        <x:v>N/A</x:v>
      </x:c>
    </x:row>
    <x:row r="79">
      <x:c r="A79" t="str">
        <x:v>51</x:v>
      </x:c>
      <x:c r="B79" t="str">
        <x:v>26684</x:v>
      </x:c>
      <x:c r="C79" t="str">
        <x:v>2</x:v>
      </x:c>
      <x:c r="D79" t="str">
        <x:v>981556</x:v>
      </x:c>
      <x:c r="E79" t="str">
        <x:v>T A 1100X70X15 RTO LMN REC PET BCO(STD)</x:v>
      </x:c>
      <x:c r="F79" t="str"/>
      <x:c r="G79" t="str"/>
      <x:c r="H79" t="str"/>
      <x:c r="I79" t="str">
        <x:v>ESMALTE</x:v>
      </x:c>
      <x:c r="J79" t="str">
        <x:v>BRANCO CARRARA</x:v>
      </x:c>
      <x:c r="K79" t="str">
        <x:v>0</x:v>
      </x:c>
      <x:c r="L79" t="str">
        <x:v>28</x:v>
      </x:c>
      <x:c r="M79" t="str">
        <x:v>0</x:v>
      </x:c>
      <x:c r="N79" t="str">
        <x:v>4500262368</x:v>
      </x:c>
      <x:c r="O79" t="str"/>
      <x:c r="P79" t="str">
        <x:v>Liberada Para Producao</x:v>
      </x:c>
      <x:c r="Q79" t="str">
        <x:v>609121</x:v>
      </x:c>
      <x:c r="R79" t="str">
        <x:v>0</x:v>
      </x:c>
      <x:c r="S79" t="str"/>
      <x:c r="T79" t="str"/>
      <x:c r="U79" t="str"/>
      <x:c r="V79" t="str"/>
      <x:c r="W79" t="str">
        <x:v>N/A</x:v>
      </x:c>
      <x:c r="X79" t="str">
        <x:v>0</x:v>
      </x:c>
      <x:c r="Y79" t="str">
        <x:v>0</x:v>
      </x:c>
      <x:c r="Z79" t="str">
        <x:v>0</x:v>
      </x:c>
      <x:c r="AA79" t="str">
        <x:v>0</x:v>
      </x:c>
      <x:c r="AB79" t="str">
        <x:v>N/A</x:v>
      </x:c>
      <x:c r="AC79" t="str">
        <x:v>N/A</x:v>
      </x:c>
      <x:c r="AD79" t="str">
        <x:v>N/A</x:v>
      </x:c>
      <x:c r="AE79" t="str">
        <x:v>N/A</x:v>
      </x:c>
    </x:row>
    <x:row r="80">
      <x:c r="A80" t="str">
        <x:v>51</x:v>
      </x:c>
      <x:c r="B80" t="str">
        <x:v>26684</x:v>
      </x:c>
      <x:c r="C80" t="str">
        <x:v>2</x:v>
      </x:c>
      <x:c r="D80" t="str">
        <x:v>2010600483</x:v>
      </x:c>
      <x:c r="E80" t="str">
        <x:v>M STD PET BCO CAR 2110X120X30 42X10 R2L</x:v>
      </x:c>
      <x:c r="F80" t="str"/>
      <x:c r="G80" t="str"/>
      <x:c r="H80" t="str"/>
      <x:c r="I80" t="str">
        <x:v>ESMALTE</x:v>
      </x:c>
      <x:c r="J80" t="str">
        <x:v>BRANCO CARRARA</x:v>
      </x:c>
      <x:c r="K80" t="str">
        <x:v>0</x:v>
      </x:c>
      <x:c r="L80" t="str">
        <x:v>56</x:v>
      </x:c>
      <x:c r="M80" t="str">
        <x:v>0,425</x:v>
      </x:c>
      <x:c r="N80" t="str">
        <x:v>4500262368</x:v>
      </x:c>
      <x:c r="O80" t="str"/>
      <x:c r="P80" t="str">
        <x:v>Liberada Para Producao</x:v>
      </x:c>
      <x:c r="Q80" t="str">
        <x:v>609122</x:v>
      </x:c>
      <x:c r="R80" t="str">
        <x:v>0</x:v>
      </x:c>
      <x:c r="S80" t="str">
        <x:v>1500</x:v>
      </x:c>
      <x:c r="T80" t="str">
        <x:v>PERNA DE BATENTE PREMIUM(SEMIA</x:v>
      </x:c>
      <x:c r="U80" t="str"/>
      <x:c r="V80" t="str"/>
      <x:c r="W80" t="str">
        <x:v>N/A</x:v>
      </x:c>
      <x:c r="X80" t="str">
        <x:v>N/A</x:v>
      </x:c>
      <x:c r="Y80" t="str">
        <x:v>N/A</x:v>
      </x:c>
      <x:c r="Z80" t="str">
        <x:v>0</x:v>
      </x:c>
      <x:c r="AA80" t="str">
        <x:v>0</x:v>
      </x:c>
      <x:c r="AB80" t="str">
        <x:v>N/A</x:v>
      </x:c>
      <x:c r="AC80" t="str">
        <x:v>N/A</x:v>
      </x:c>
      <x:c r="AD80" t="str">
        <x:v>N/A</x:v>
      </x:c>
      <x:c r="AE80" t="str">
        <x:v>N/A</x:v>
      </x:c>
    </x:row>
    <x:row r="81">
      <x:c r="A81" t="str">
        <x:v>51</x:v>
      </x:c>
      <x:c r="B81" t="str">
        <x:v>26684</x:v>
      </x:c>
      <x:c r="C81" t="str">
        <x:v>2</x:v>
      </x:c>
      <x:c r="D81" t="str">
        <x:v>2010600484</x:v>
      </x:c>
      <x:c r="E81" t="str">
        <x:v>M STD PET BCO CAR 867X120X30 42X10 R2L M</x:v>
      </x:c>
      <x:c r="F81" t="str"/>
      <x:c r="G81" t="str"/>
      <x:c r="H81" t="str"/>
      <x:c r="I81" t="str">
        <x:v>ESMALTE</x:v>
      </x:c>
      <x:c r="J81" t="str">
        <x:v>BRANCO CARRARA</x:v>
      </x:c>
      <x:c r="K81" t="str">
        <x:v>0</x:v>
      </x:c>
      <x:c r="L81" t="str">
        <x:v>28</x:v>
      </x:c>
      <x:c r="M81" t="str">
        <x:v>0,087</x:v>
      </x:c>
      <x:c r="N81" t="str">
        <x:v>4500262368</x:v>
      </x:c>
      <x:c r="O81" t="str"/>
      <x:c r="P81" t="str">
        <x:v>Liberada Para Producao</x:v>
      </x:c>
      <x:c r="Q81" t="str">
        <x:v>609123</x:v>
      </x:c>
      <x:c r="R81" t="str">
        <x:v>0</x:v>
      </x:c>
      <x:c r="S81" t="str">
        <x:v>1502</x:v>
      </x:c>
      <x:c r="T81" t="str">
        <x:v>TV.BAT. 680-1100 PET/PVC(SEMI)</x:v>
      </x:c>
      <x:c r="U81" t="str"/>
      <x:c r="V81" t="str"/>
      <x:c r="W81" t="str">
        <x:v>N/A</x:v>
      </x:c>
      <x:c r="X81" t="str">
        <x:v>N/A</x:v>
      </x:c>
      <x:c r="Y81" t="str">
        <x:v>N/A</x:v>
      </x:c>
      <x:c r="Z81" t="str">
        <x:v>0</x:v>
      </x:c>
      <x:c r="AA81" t="str">
        <x:v>0</x:v>
      </x:c>
      <x:c r="AB81" t="str">
        <x:v>N/A</x:v>
      </x:c>
      <x:c r="AC81" t="str">
        <x:v>N/A</x:v>
      </x:c>
      <x:c r="AD81" t="str">
        <x:v>N/A</x:v>
      </x:c>
      <x:c r="AE81" t="str">
        <x:v>N/A</x:v>
      </x:c>
    </x:row>
    <x:row r="82">
      <x:c r="A82" t="str">
        <x:v>51</x:v>
      </x:c>
      <x:c r="B82" t="str">
        <x:v>26684</x:v>
      </x:c>
      <x:c r="C82" t="str">
        <x:v>2</x:v>
      </x:c>
      <x:c r="D82" t="str">
        <x:v>4993012047</x:v>
      </x:c>
      <x:c r="E82" t="str">
        <x:v>FP S BD HDF 3 2100x820x35 ESM BCO C C/US</x:v>
      </x:c>
      <x:c r="F82" t="str"/>
      <x:c r="G82" t="str"/>
      <x:c r="H82" t="str"/>
      <x:c r="I82" t="str">
        <x:v>ESMALTE</x:v>
      </x:c>
      <x:c r="J82" t="str">
        <x:v>BRANCO CARRARA</x:v>
      </x:c>
      <x:c r="K82" t="str">
        <x:v>0</x:v>
      </x:c>
      <x:c r="L82" t="str">
        <x:v>28</x:v>
      </x:c>
      <x:c r="M82" t="str">
        <x:v>1,688</x:v>
      </x:c>
      <x:c r="N82" t="str">
        <x:v>4500262368</x:v>
      </x:c>
      <x:c r="O82" t="str"/>
      <x:c r="P82" t="str">
        <x:v>Liberada Para Producao</x:v>
      </x:c>
      <x:c r="Q82" t="str">
        <x:v>609124</x:v>
      </x:c>
      <x:c r="R82" t="str">
        <x:v>33,33</x:v>
      </x:c>
      <x:c r="S82" t="str">
        <x:v>1</x:v>
      </x:c>
      <x:c r="T82" t="str">
        <x:v>PORTA LINHA PREMIUM</x:v>
      </x:c>
      <x:c r="U82" t="str"/>
      <x:c r="V82" t="str"/>
      <x:c r="W82" t="str">
        <x:v>N/A</x:v>
      </x:c>
      <x:c r="X82" t="str">
        <x:v>100</x:v>
      </x:c>
      <x:c r="Y82" t="str">
        <x:v>N/A</x:v>
      </x:c>
      <x:c r="Z82" t="str">
        <x:v>N/A</x:v>
      </x:c>
      <x:c r="AA82" t="str">
        <x:v>N/A</x:v>
      </x:c>
      <x:c r="AB82" t="str">
        <x:v>0</x:v>
      </x:c>
      <x:c r="AC82" t="str">
        <x:v>N/A</x:v>
      </x:c>
      <x:c r="AD82" t="str">
        <x:v>0</x:v>
      </x:c>
      <x:c r="AE82" t="str">
        <x:v>N/A</x:v>
      </x:c>
    </x:row>
    <x:row r="83">
      <x:c r="A83" t="str">
        <x:v>51</x:v>
      </x:c>
      <x:c r="B83" t="str">
        <x:v>26684</x:v>
      </x:c>
      <x:c r="C83" t="str">
        <x:v>3</x:v>
      </x:c>
      <x:c r="D83" t="str">
        <x:v>956042</x:v>
      </x:c>
      <x:c r="E83" t="str">
        <x:v>2250X70X15 RTO LME REC PET BCO IMP(STD)</x:v>
      </x:c>
      <x:c r="F83" t="str"/>
      <x:c r="G83" t="str"/>
      <x:c r="H83" t="str"/>
      <x:c r="I83" t="str">
        <x:v>ESMALTE</x:v>
      </x:c>
      <x:c r="J83" t="str">
        <x:v>BRANCO CARRARA</x:v>
      </x:c>
      <x:c r="K83" t="str">
        <x:v>0</x:v>
      </x:c>
      <x:c r="L83" t="str">
        <x:v>6</x:v>
      </x:c>
      <x:c r="M83" t="str">
        <x:v>0</x:v>
      </x:c>
      <x:c r="N83" t="str">
        <x:v>4500262368</x:v>
      </x:c>
      <x:c r="O83" t="str"/>
      <x:c r="P83" t="str">
        <x:v>Liberada Para Producao</x:v>
      </x:c>
      <x:c r="Q83" t="str">
        <x:v>609126</x:v>
      </x:c>
      <x:c r="R83" t="str">
        <x:v>0</x:v>
      </x:c>
      <x:c r="S83" t="str"/>
      <x:c r="T83" t="str"/>
      <x:c r="U83" t="str"/>
      <x:c r="V83" t="str"/>
      <x:c r="W83" t="str">
        <x:v>N/A</x:v>
      </x:c>
      <x:c r="X83" t="str">
        <x:v>0</x:v>
      </x:c>
      <x:c r="Y83" t="str">
        <x:v>0</x:v>
      </x:c>
      <x:c r="Z83" t="str">
        <x:v>0</x:v>
      </x:c>
      <x:c r="AA83" t="str">
        <x:v>N/A</x:v>
      </x:c>
      <x:c r="AB83" t="str">
        <x:v>N/A</x:v>
      </x:c>
      <x:c r="AC83" t="str">
        <x:v>N/A</x:v>
      </x:c>
      <x:c r="AD83" t="str">
        <x:v>N/A</x:v>
      </x:c>
      <x:c r="AE83" t="str">
        <x:v>N/A</x:v>
      </x:c>
    </x:row>
    <x:row r="84">
      <x:c r="A84" t="str">
        <x:v>51</x:v>
      </x:c>
      <x:c r="B84" t="str">
        <x:v>26750</x:v>
      </x:c>
      <x:c r="C84" t="str">
        <x:v>14</x:v>
      </x:c>
      <x:c r="D84" t="str">
        <x:v>959094</x:v>
      </x:c>
      <x:c r="E84" t="str">
        <x:v>2110x130x30 42x10 R2 BIA RT PET BC U(UL)</x:v>
      </x:c>
      <x:c r="F84" t="str"/>
      <x:c r="G84" t="str"/>
      <x:c r="H84" t="str"/>
      <x:c r="I84" t="str">
        <x:v>ESMALTE</x:v>
      </x:c>
      <x:c r="J84" t="str">
        <x:v>BRANCO CARRARA</x:v>
      </x:c>
      <x:c r="K84" t="str">
        <x:v>0</x:v>
      </x:c>
      <x:c r="L84" t="str">
        <x:v>38</x:v>
      </x:c>
      <x:c r="M84" t="str">
        <x:v>0</x:v>
      </x:c>
      <x:c r="N84" t="str"/>
      <x:c r="O84" t="str"/>
      <x:c r="P84" t="str">
        <x:v>Liberada Para Producao</x:v>
      </x:c>
      <x:c r="Q84" t="str">
        <x:v>609837</x:v>
      </x:c>
      <x:c r="R84" t="str">
        <x:v>0</x:v>
      </x:c>
      <x:c r="S84" t="str"/>
      <x:c r="T84" t="str"/>
      <x:c r="U84" t="str"/>
      <x:c r="V84" t="str"/>
      <x:c r="W84" t="str">
        <x:v>N/A</x:v>
      </x:c>
      <x:c r="X84" t="str">
        <x:v>N/A</x:v>
      </x:c>
      <x:c r="Y84" t="str">
        <x:v>N/A</x:v>
      </x:c>
      <x:c r="Z84" t="str">
        <x:v>0</x:v>
      </x:c>
      <x:c r="AA84" t="str">
        <x:v>0</x:v>
      </x:c>
      <x:c r="AB84" t="str">
        <x:v>N/A</x:v>
      </x:c>
      <x:c r="AC84" t="str">
        <x:v>N/A</x:v>
      </x:c>
      <x:c r="AD84" t="str">
        <x:v>N/A</x:v>
      </x:c>
      <x:c r="AE84" t="str">
        <x:v>N/A</x:v>
      </x:c>
    </x:row>
    <x:row r="85">
      <x:c r="A85" t="str">
        <x:v>51</x:v>
      </x:c>
      <x:c r="B85" t="str">
        <x:v>26750</x:v>
      </x:c>
      <x:c r="C85" t="str">
        <x:v>23</x:v>
      </x:c>
      <x:c r="D85" t="str">
        <x:v>959094</x:v>
      </x:c>
      <x:c r="E85" t="str">
        <x:v>2110x130x30 42x10 R2 BIA RT PET BC U(UL)</x:v>
      </x:c>
      <x:c r="F85" t="str"/>
      <x:c r="G85" t="str"/>
      <x:c r="H85" t="str"/>
      <x:c r="I85" t="str">
        <x:v>ESMALTE</x:v>
      </x:c>
      <x:c r="J85" t="str">
        <x:v>BRANCO CARRARA</x:v>
      </x:c>
      <x:c r="K85" t="str">
        <x:v>0</x:v>
      </x:c>
      <x:c r="L85" t="str">
        <x:v>8</x:v>
      </x:c>
      <x:c r="M85" t="str">
        <x:v>0</x:v>
      </x:c>
      <x:c r="N85" t="str"/>
      <x:c r="O85" t="str"/>
      <x:c r="P85" t="str">
        <x:v>Liberada Para Producao</x:v>
      </x:c>
      <x:c r="Q85" t="str">
        <x:v>609892</x:v>
      </x:c>
      <x:c r="R85" t="str">
        <x:v>0</x:v>
      </x:c>
      <x:c r="S85" t="str"/>
      <x:c r="T85" t="str"/>
      <x:c r="U85" t="str"/>
      <x:c r="V85" t="str"/>
      <x:c r="W85" t="str">
        <x:v>N/A</x:v>
      </x:c>
      <x:c r="X85" t="str">
        <x:v>N/A</x:v>
      </x:c>
      <x:c r="Y85" t="str">
        <x:v>N/A</x:v>
      </x:c>
      <x:c r="Z85" t="str">
        <x:v>0</x:v>
      </x:c>
      <x:c r="AA85" t="str">
        <x:v>0</x:v>
      </x:c>
      <x:c r="AB85" t="str">
        <x:v>N/A</x:v>
      </x:c>
      <x:c r="AC85" t="str">
        <x:v>N/A</x:v>
      </x:c>
      <x:c r="AD85" t="str">
        <x:v>N/A</x:v>
      </x:c>
      <x:c r="AE85" t="str">
        <x:v>N/A</x:v>
      </x:c>
    </x:row>
    <x:row r="86">
      <x:c r="A86" t="str">
        <x:v>51</x:v>
      </x:c>
      <x:c r="B86" t="str">
        <x:v>26684</x:v>
      </x:c>
      <x:c r="C86" t="str">
        <x:v>3</x:v>
      </x:c>
      <x:c r="D86" t="str">
        <x:v>971354</x:v>
      </x:c>
      <x:c r="E86" t="str">
        <x:v>PER ALI 2250X70X15 RT RL55RC PET BCO STD</x:v>
      </x:c>
      <x:c r="F86" t="str"/>
      <x:c r="G86" t="str"/>
      <x:c r="H86" t="str"/>
      <x:c r="I86" t="str">
        <x:v>ESMALTE</x:v>
      </x:c>
      <x:c r="J86" t="str">
        <x:v>BRANCO CARRARA</x:v>
      </x:c>
      <x:c r="K86" t="str">
        <x:v>0</x:v>
      </x:c>
      <x:c r="L86" t="str">
        <x:v>6</x:v>
      </x:c>
      <x:c r="M86" t="str">
        <x:v>0</x:v>
      </x:c>
      <x:c r="N86" t="str">
        <x:v>4500262368</x:v>
      </x:c>
      <x:c r="O86" t="str"/>
      <x:c r="P86" t="str">
        <x:v>Liberada Para Producao</x:v>
      </x:c>
      <x:c r="Q86" t="str">
        <x:v>609129</x:v>
      </x:c>
      <x:c r="R86" t="str">
        <x:v>0</x:v>
      </x:c>
      <x:c r="S86" t="str"/>
      <x:c r="T86" t="str"/>
      <x:c r="U86" t="str"/>
      <x:c r="V86" t="str"/>
      <x:c r="W86" t="str">
        <x:v>N/A</x:v>
      </x:c>
      <x:c r="X86" t="str">
        <x:v>0</x:v>
      </x:c>
      <x:c r="Y86" t="str">
        <x:v>0</x:v>
      </x:c>
      <x:c r="Z86" t="str">
        <x:v>0</x:v>
      </x:c>
      <x:c r="AA86" t="str">
        <x:v>N/A</x:v>
      </x:c>
      <x:c r="AB86" t="str">
        <x:v>N/A</x:v>
      </x:c>
      <x:c r="AC86" t="str">
        <x:v>N/A</x:v>
      </x:c>
      <x:c r="AD86" t="str">
        <x:v>N/A</x:v>
      </x:c>
      <x:c r="AE86" t="str">
        <x:v>N/A</x:v>
      </x:c>
    </x:row>
    <x:row r="87">
      <x:c r="A87" t="str">
        <x:v>51</x:v>
      </x:c>
      <x:c r="B87" t="str">
        <x:v>26684</x:v>
      </x:c>
      <x:c r="C87" t="str">
        <x:v>3</x:v>
      </x:c>
      <x:c r="D87" t="str">
        <x:v>981166</x:v>
      </x:c>
      <x:c r="E87" t="str">
        <x:v>T A 1100X70X15 RTO RL55 REC PET BCO(STD)</x:v>
      </x:c>
      <x:c r="F87" t="str"/>
      <x:c r="G87" t="str"/>
      <x:c r="H87" t="str"/>
      <x:c r="I87" t="str">
        <x:v>ESMALTE</x:v>
      </x:c>
      <x:c r="J87" t="str">
        <x:v>BRANCO CARRARA</x:v>
      </x:c>
      <x:c r="K87" t="str">
        <x:v>0</x:v>
      </x:c>
      <x:c r="L87" t="str">
        <x:v>3</x:v>
      </x:c>
      <x:c r="M87" t="str">
        <x:v>0</x:v>
      </x:c>
      <x:c r="N87" t="str">
        <x:v>4500262368</x:v>
      </x:c>
      <x:c r="O87" t="str"/>
      <x:c r="P87" t="str">
        <x:v>Liberada Para Producao</x:v>
      </x:c>
      <x:c r="Q87" t="str">
        <x:v>609130</x:v>
      </x:c>
      <x:c r="R87" t="str">
        <x:v>0</x:v>
      </x:c>
      <x:c r="S87" t="str"/>
      <x:c r="T87" t="str"/>
      <x:c r="U87" t="str"/>
      <x:c r="V87" t="str"/>
      <x:c r="W87" t="str">
        <x:v>N/A</x:v>
      </x:c>
      <x:c r="X87" t="str">
        <x:v>0</x:v>
      </x:c>
      <x:c r="Y87" t="str">
        <x:v>0</x:v>
      </x:c>
      <x:c r="Z87" t="str">
        <x:v>0</x:v>
      </x:c>
      <x:c r="AA87" t="str">
        <x:v>0</x:v>
      </x:c>
      <x:c r="AB87" t="str">
        <x:v>N/A</x:v>
      </x:c>
      <x:c r="AC87" t="str">
        <x:v>N/A</x:v>
      </x:c>
      <x:c r="AD87" t="str">
        <x:v>N/A</x:v>
      </x:c>
      <x:c r="AE87" t="str">
        <x:v>N/A</x:v>
      </x:c>
    </x:row>
    <x:row r="88">
      <x:c r="A88" t="str">
        <x:v>51</x:v>
      </x:c>
      <x:c r="B88" t="str">
        <x:v>26684</x:v>
      </x:c>
      <x:c r="C88" t="str">
        <x:v>3</x:v>
      </x:c>
      <x:c r="D88" t="str">
        <x:v>981556</x:v>
      </x:c>
      <x:c r="E88" t="str">
        <x:v>T A 1100X70X15 RTO LMN REC PET BCO(STD)</x:v>
      </x:c>
      <x:c r="F88" t="str"/>
      <x:c r="G88" t="str"/>
      <x:c r="H88" t="str"/>
      <x:c r="I88" t="str">
        <x:v>ESMALTE</x:v>
      </x:c>
      <x:c r="J88" t="str">
        <x:v>BRANCO CARRARA</x:v>
      </x:c>
      <x:c r="K88" t="str">
        <x:v>0</x:v>
      </x:c>
      <x:c r="L88" t="str">
        <x:v>3</x:v>
      </x:c>
      <x:c r="M88" t="str">
        <x:v>0</x:v>
      </x:c>
      <x:c r="N88" t="str">
        <x:v>4500262368</x:v>
      </x:c>
      <x:c r="O88" t="str"/>
      <x:c r="P88" t="str">
        <x:v>Liberada Para Producao</x:v>
      </x:c>
      <x:c r="Q88" t="str">
        <x:v>609131</x:v>
      </x:c>
      <x:c r="R88" t="str">
        <x:v>0</x:v>
      </x:c>
      <x:c r="S88" t="str"/>
      <x:c r="T88" t="str"/>
      <x:c r="U88" t="str"/>
      <x:c r="V88" t="str"/>
      <x:c r="W88" t="str">
        <x:v>N/A</x:v>
      </x:c>
      <x:c r="X88" t="str">
        <x:v>0</x:v>
      </x:c>
      <x:c r="Y88" t="str">
        <x:v>0</x:v>
      </x:c>
      <x:c r="Z88" t="str">
        <x:v>0</x:v>
      </x:c>
      <x:c r="AA88" t="str">
        <x:v>0</x:v>
      </x:c>
      <x:c r="AB88" t="str">
        <x:v>N/A</x:v>
      </x:c>
      <x:c r="AC88" t="str">
        <x:v>N/A</x:v>
      </x:c>
      <x:c r="AD88" t="str">
        <x:v>N/A</x:v>
      </x:c>
      <x:c r="AE88" t="str">
        <x:v>N/A</x:v>
      </x:c>
    </x:row>
    <x:row r="89">
      <x:c r="A89" t="str">
        <x:v>51</x:v>
      </x:c>
      <x:c r="B89" t="str">
        <x:v>26684</x:v>
      </x:c>
      <x:c r="C89" t="str">
        <x:v>3</x:v>
      </x:c>
      <x:c r="D89" t="str">
        <x:v>4993012047</x:v>
      </x:c>
      <x:c r="E89" t="str">
        <x:v>FP S BD HDF 3 2100x820x35 ESM BCO C C/US</x:v>
      </x:c>
      <x:c r="F89" t="str"/>
      <x:c r="G89" t="str"/>
      <x:c r="H89" t="str"/>
      <x:c r="I89" t="str">
        <x:v>ESMALTE</x:v>
      </x:c>
      <x:c r="J89" t="str">
        <x:v>BRANCO CARRARA</x:v>
      </x:c>
      <x:c r="K89" t="str">
        <x:v>0</x:v>
      </x:c>
      <x:c r="L89" t="str">
        <x:v>3</x:v>
      </x:c>
      <x:c r="M89" t="str">
        <x:v>0,181</x:v>
      </x:c>
      <x:c r="N89" t="str">
        <x:v>4500262368</x:v>
      </x:c>
      <x:c r="O89" t="str"/>
      <x:c r="P89" t="str">
        <x:v>Liberada Para Producao</x:v>
      </x:c>
      <x:c r="Q89" t="str">
        <x:v>609132</x:v>
      </x:c>
      <x:c r="R89" t="str">
        <x:v>33,33</x:v>
      </x:c>
      <x:c r="S89" t="str">
        <x:v>1</x:v>
      </x:c>
      <x:c r="T89" t="str">
        <x:v>PORTA LINHA PREMIUM</x:v>
      </x:c>
      <x:c r="U89" t="str"/>
      <x:c r="V89" t="str"/>
      <x:c r="W89" t="str">
        <x:v>N/A</x:v>
      </x:c>
      <x:c r="X89" t="str">
        <x:v>100</x:v>
      </x:c>
      <x:c r="Y89" t="str">
        <x:v>N/A</x:v>
      </x:c>
      <x:c r="Z89" t="str">
        <x:v>N/A</x:v>
      </x:c>
      <x:c r="AA89" t="str">
        <x:v>N/A</x:v>
      </x:c>
      <x:c r="AB89" t="str">
        <x:v>0</x:v>
      </x:c>
      <x:c r="AC89" t="str">
        <x:v>N/A</x:v>
      </x:c>
      <x:c r="AD89" t="str">
        <x:v>0</x:v>
      </x:c>
      <x:c r="AE89" t="str">
        <x:v>N/A</x:v>
      </x:c>
    </x:row>
    <x:row r="90">
      <x:c r="A90" t="str">
        <x:v>51</x:v>
      </x:c>
      <x:c r="B90" t="str">
        <x:v>26684</x:v>
      </x:c>
      <x:c r="C90" t="str">
        <x:v>4</x:v>
      </x:c>
      <x:c r="D90" t="str">
        <x:v>956042</x:v>
      </x:c>
      <x:c r="E90" t="str">
        <x:v>2250X70X15 RTO LME REC PET BCO IMP(STD)</x:v>
      </x:c>
      <x:c r="F90" t="str"/>
      <x:c r="G90" t="str"/>
      <x:c r="H90" t="str"/>
      <x:c r="I90" t="str">
        <x:v>ESMALTE</x:v>
      </x:c>
      <x:c r="J90" t="str">
        <x:v>BRANCO CARRARA</x:v>
      </x:c>
      <x:c r="K90" t="str">
        <x:v>0</x:v>
      </x:c>
      <x:c r="L90" t="str">
        <x:v>110</x:v>
      </x:c>
      <x:c r="M90" t="str">
        <x:v>0</x:v>
      </x:c>
      <x:c r="N90" t="str">
        <x:v>4500262368</x:v>
      </x:c>
      <x:c r="O90" t="str"/>
      <x:c r="P90" t="str">
        <x:v>Liberada Para Producao</x:v>
      </x:c>
      <x:c r="Q90" t="str">
        <x:v>609134</x:v>
      </x:c>
      <x:c r="R90" t="str">
        <x:v>0</x:v>
      </x:c>
      <x:c r="S90" t="str"/>
      <x:c r="T90" t="str"/>
      <x:c r="U90" t="str"/>
      <x:c r="V90" t="str"/>
      <x:c r="W90" t="str">
        <x:v>N/A</x:v>
      </x:c>
      <x:c r="X90" t="str">
        <x:v>0</x:v>
      </x:c>
      <x:c r="Y90" t="str">
        <x:v>0</x:v>
      </x:c>
      <x:c r="Z90" t="str">
        <x:v>0</x:v>
      </x:c>
      <x:c r="AA90" t="str">
        <x:v>N/A</x:v>
      </x:c>
      <x:c r="AB90" t="str">
        <x:v>N/A</x:v>
      </x:c>
      <x:c r="AC90" t="str">
        <x:v>N/A</x:v>
      </x:c>
      <x:c r="AD90" t="str">
        <x:v>N/A</x:v>
      </x:c>
      <x:c r="AE90" t="str">
        <x:v>N/A</x:v>
      </x:c>
    </x:row>
    <x:row r="91">
      <x:c r="A91" t="str">
        <x:v>51</x:v>
      </x:c>
      <x:c r="B91" t="str">
        <x:v>26684</x:v>
      </x:c>
      <x:c r="C91" t="str">
        <x:v>4</x:v>
      </x:c>
      <x:c r="D91" t="str">
        <x:v>971354</x:v>
      </x:c>
      <x:c r="E91" t="str">
        <x:v>PER ALI 2250X70X15 RT RL55RC PET BCO STD</x:v>
      </x:c>
      <x:c r="F91" t="str"/>
      <x:c r="G91" t="str"/>
      <x:c r="H91" t="str"/>
      <x:c r="I91" t="str">
        <x:v>ESMALTE</x:v>
      </x:c>
      <x:c r="J91" t="str">
        <x:v>BRANCO CARRARA</x:v>
      </x:c>
      <x:c r="K91" t="str">
        <x:v>0</x:v>
      </x:c>
      <x:c r="L91" t="str">
        <x:v>110</x:v>
      </x:c>
      <x:c r="M91" t="str">
        <x:v>0</x:v>
      </x:c>
      <x:c r="N91" t="str">
        <x:v>4500262368</x:v>
      </x:c>
      <x:c r="O91" t="str"/>
      <x:c r="P91" t="str">
        <x:v>Liberada Para Producao</x:v>
      </x:c>
      <x:c r="Q91" t="str">
        <x:v>609135</x:v>
      </x:c>
      <x:c r="R91" t="str">
        <x:v>0</x:v>
      </x:c>
      <x:c r="S91" t="str"/>
      <x:c r="T91" t="str"/>
      <x:c r="U91" t="str"/>
      <x:c r="V91" t="str"/>
      <x:c r="W91" t="str">
        <x:v>N/A</x:v>
      </x:c>
      <x:c r="X91" t="str">
        <x:v>0</x:v>
      </x:c>
      <x:c r="Y91" t="str">
        <x:v>0</x:v>
      </x:c>
      <x:c r="Z91" t="str">
        <x:v>0</x:v>
      </x:c>
      <x:c r="AA91" t="str">
        <x:v>N/A</x:v>
      </x:c>
      <x:c r="AB91" t="str">
        <x:v>N/A</x:v>
      </x:c>
      <x:c r="AC91" t="str">
        <x:v>N/A</x:v>
      </x:c>
      <x:c r="AD91" t="str">
        <x:v>N/A</x:v>
      </x:c>
      <x:c r="AE91" t="str">
        <x:v>N/A</x:v>
      </x:c>
    </x:row>
    <x:row r="92">
      <x:c r="A92" t="str">
        <x:v>51</x:v>
      </x:c>
      <x:c r="B92" t="str">
        <x:v>26684</x:v>
      </x:c>
      <x:c r="C92" t="str">
        <x:v>4</x:v>
      </x:c>
      <x:c r="D92" t="str">
        <x:v>972550</x:v>
      </x:c>
      <x:c r="E92" t="str">
        <x:v>2110x120x30 42x10R2L R1BIA PET STD PRM U</x:v>
      </x:c>
      <x:c r="F92" t="str"/>
      <x:c r="G92" t="str"/>
      <x:c r="H92" t="str"/>
      <x:c r="I92" t="str">
        <x:v>ESMALTE</x:v>
      </x:c>
      <x:c r="J92" t="str">
        <x:v>BRANCO CARRARA</x:v>
      </x:c>
      <x:c r="K92" t="str">
        <x:v>0</x:v>
      </x:c>
      <x:c r="L92" t="str">
        <x:v>110</x:v>
      </x:c>
      <x:c r="M92" t="str">
        <x:v>0</x:v>
      </x:c>
      <x:c r="N92" t="str">
        <x:v>4500262368</x:v>
      </x:c>
      <x:c r="O92" t="str"/>
      <x:c r="P92" t="str">
        <x:v>Liberada Para Producao</x:v>
      </x:c>
      <x:c r="Q92" t="str">
        <x:v>609136</x:v>
      </x:c>
      <x:c r="R92" t="str">
        <x:v>0</x:v>
      </x:c>
      <x:c r="S92" t="str"/>
      <x:c r="T92" t="str"/>
      <x:c r="U92" t="str"/>
      <x:c r="V92" t="str"/>
      <x:c r="W92" t="str">
        <x:v>N/A</x:v>
      </x:c>
      <x:c r="X92" t="str">
        <x:v>N/A</x:v>
      </x:c>
      <x:c r="Y92" t="str">
        <x:v>N/A</x:v>
      </x:c>
      <x:c r="Z92" t="str">
        <x:v>0</x:v>
      </x:c>
      <x:c r="AA92" t="str">
        <x:v>0</x:v>
      </x:c>
      <x:c r="AB92" t="str">
        <x:v>N/A</x:v>
      </x:c>
      <x:c r="AC92" t="str">
        <x:v>N/A</x:v>
      </x:c>
      <x:c r="AD92" t="str">
        <x:v>N/A</x:v>
      </x:c>
      <x:c r="AE92" t="str">
        <x:v>N/A</x:v>
      </x:c>
    </x:row>
    <x:row r="93">
      <x:c r="A93" t="str">
        <x:v>51</x:v>
      </x:c>
      <x:c r="B93" t="str">
        <x:v>26684</x:v>
      </x:c>
      <x:c r="C93" t="str">
        <x:v>4</x:v>
      </x:c>
      <x:c r="D93" t="str">
        <x:v>972551</x:v>
      </x:c>
      <x:c r="E93" t="str">
        <x:v>867x120x30 42x10 R2L RT BIA PET STD PREM</x:v>
      </x:c>
      <x:c r="F93" t="str"/>
      <x:c r="G93" t="str"/>
      <x:c r="H93" t="str"/>
      <x:c r="I93" t="str">
        <x:v>ESMALTE</x:v>
      </x:c>
      <x:c r="J93" t="str">
        <x:v>BRANCO CARRARA</x:v>
      </x:c>
      <x:c r="K93" t="str">
        <x:v>0</x:v>
      </x:c>
      <x:c r="L93" t="str">
        <x:v>55</x:v>
      </x:c>
      <x:c r="M93" t="str">
        <x:v>0</x:v>
      </x:c>
      <x:c r="N93" t="str">
        <x:v>4500262368</x:v>
      </x:c>
      <x:c r="O93" t="str"/>
      <x:c r="P93" t="str">
        <x:v>Liberada Para Producao</x:v>
      </x:c>
      <x:c r="Q93" t="str">
        <x:v>609137</x:v>
      </x:c>
      <x:c r="R93" t="str">
        <x:v>0</x:v>
      </x:c>
      <x:c r="S93" t="str"/>
      <x:c r="T93" t="str"/>
      <x:c r="U93" t="str"/>
      <x:c r="V93" t="str"/>
      <x:c r="W93" t="str">
        <x:v>N/A</x:v>
      </x:c>
      <x:c r="X93" t="str">
        <x:v>N/A</x:v>
      </x:c>
      <x:c r="Y93" t="str">
        <x:v>N/A</x:v>
      </x:c>
      <x:c r="Z93" t="str">
        <x:v>0</x:v>
      </x:c>
      <x:c r="AA93" t="str">
        <x:v>0</x:v>
      </x:c>
      <x:c r="AB93" t="str">
        <x:v>N/A</x:v>
      </x:c>
      <x:c r="AC93" t="str">
        <x:v>N/A</x:v>
      </x:c>
      <x:c r="AD93" t="str">
        <x:v>N/A</x:v>
      </x:c>
      <x:c r="AE93" t="str">
        <x:v>N/A</x:v>
      </x:c>
    </x:row>
    <x:row r="94">
      <x:c r="A94" t="str">
        <x:v>51</x:v>
      </x:c>
      <x:c r="B94" t="str">
        <x:v>26684</x:v>
      </x:c>
      <x:c r="C94" t="str">
        <x:v>4</x:v>
      </x:c>
      <x:c r="D94" t="str">
        <x:v>981166</x:v>
      </x:c>
      <x:c r="E94" t="str">
        <x:v>T A 1100X70X15 RTO RL55 REC PET BCO(STD)</x:v>
      </x:c>
      <x:c r="F94" t="str"/>
      <x:c r="G94" t="str"/>
      <x:c r="H94" t="str"/>
      <x:c r="I94" t="str">
        <x:v>ESMALTE</x:v>
      </x:c>
      <x:c r="J94" t="str">
        <x:v>BRANCO CARRARA</x:v>
      </x:c>
      <x:c r="K94" t="str">
        <x:v>0</x:v>
      </x:c>
      <x:c r="L94" t="str">
        <x:v>55</x:v>
      </x:c>
      <x:c r="M94" t="str">
        <x:v>0</x:v>
      </x:c>
      <x:c r="N94" t="str">
        <x:v>4500262368</x:v>
      </x:c>
      <x:c r="O94" t="str"/>
      <x:c r="P94" t="str">
        <x:v>Liberada Para Producao</x:v>
      </x:c>
      <x:c r="Q94" t="str">
        <x:v>609138</x:v>
      </x:c>
      <x:c r="R94" t="str">
        <x:v>0</x:v>
      </x:c>
      <x:c r="S94" t="str"/>
      <x:c r="T94" t="str"/>
      <x:c r="U94" t="str"/>
      <x:c r="V94" t="str"/>
      <x:c r="W94" t="str">
        <x:v>N/A</x:v>
      </x:c>
      <x:c r="X94" t="str">
        <x:v>0</x:v>
      </x:c>
      <x:c r="Y94" t="str">
        <x:v>0</x:v>
      </x:c>
      <x:c r="Z94" t="str">
        <x:v>0</x:v>
      </x:c>
      <x:c r="AA94" t="str">
        <x:v>0</x:v>
      </x:c>
      <x:c r="AB94" t="str">
        <x:v>N/A</x:v>
      </x:c>
      <x:c r="AC94" t="str">
        <x:v>N/A</x:v>
      </x:c>
      <x:c r="AD94" t="str">
        <x:v>N/A</x:v>
      </x:c>
      <x:c r="AE94" t="str">
        <x:v>N/A</x:v>
      </x:c>
    </x:row>
    <x:row r="95">
      <x:c r="A95" t="str">
        <x:v>51</x:v>
      </x:c>
      <x:c r="B95" t="str">
        <x:v>26684</x:v>
      </x:c>
      <x:c r="C95" t="str">
        <x:v>4</x:v>
      </x:c>
      <x:c r="D95" t="str">
        <x:v>981556</x:v>
      </x:c>
      <x:c r="E95" t="str">
        <x:v>T A 1100X70X15 RTO LMN REC PET BCO(STD)</x:v>
      </x:c>
      <x:c r="F95" t="str"/>
      <x:c r="G95" t="str"/>
      <x:c r="H95" t="str"/>
      <x:c r="I95" t="str">
        <x:v>ESMALTE</x:v>
      </x:c>
      <x:c r="J95" t="str">
        <x:v>BRANCO CARRARA</x:v>
      </x:c>
      <x:c r="K95" t="str">
        <x:v>0</x:v>
      </x:c>
      <x:c r="L95" t="str">
        <x:v>55</x:v>
      </x:c>
      <x:c r="M95" t="str">
        <x:v>0</x:v>
      </x:c>
      <x:c r="N95" t="str">
        <x:v>4500262368</x:v>
      </x:c>
      <x:c r="O95" t="str"/>
      <x:c r="P95" t="str">
        <x:v>Liberada Para Producao</x:v>
      </x:c>
      <x:c r="Q95" t="str">
        <x:v>609139</x:v>
      </x:c>
      <x:c r="R95" t="str">
        <x:v>0</x:v>
      </x:c>
      <x:c r="S95" t="str"/>
      <x:c r="T95" t="str"/>
      <x:c r="U95" t="str"/>
      <x:c r="V95" t="str"/>
      <x:c r="W95" t="str">
        <x:v>N/A</x:v>
      </x:c>
      <x:c r="X95" t="str">
        <x:v>0</x:v>
      </x:c>
      <x:c r="Y95" t="str">
        <x:v>0</x:v>
      </x:c>
      <x:c r="Z95" t="str">
        <x:v>0</x:v>
      </x:c>
      <x:c r="AA95" t="str">
        <x:v>0</x:v>
      </x:c>
      <x:c r="AB95" t="str">
        <x:v>N/A</x:v>
      </x:c>
      <x:c r="AC95" t="str">
        <x:v>N/A</x:v>
      </x:c>
      <x:c r="AD95" t="str">
        <x:v>N/A</x:v>
      </x:c>
      <x:c r="AE95" t="str">
        <x:v>N/A</x:v>
      </x:c>
    </x:row>
    <x:row r="96">
      <x:c r="A96" t="str">
        <x:v>51</x:v>
      </x:c>
      <x:c r="B96" t="str">
        <x:v>26684</x:v>
      </x:c>
      <x:c r="C96" t="str">
        <x:v>4</x:v>
      </x:c>
      <x:c r="D96" t="str">
        <x:v>4731234381</x:v>
      </x:c>
      <x:c r="E96" t="str">
        <x:v>FP COLM HDF 3 2100x820x35 ESM BCO C C/US</x:v>
      </x:c>
      <x:c r="F96" t="str"/>
      <x:c r="G96" t="str"/>
      <x:c r="H96" t="str"/>
      <x:c r="I96" t="str">
        <x:v>ESMALTE</x:v>
      </x:c>
      <x:c r="J96" t="str">
        <x:v>BRANCO CARRARA</x:v>
      </x:c>
      <x:c r="K96" t="str">
        <x:v>0</x:v>
      </x:c>
      <x:c r="L96" t="str">
        <x:v>55</x:v>
      </x:c>
      <x:c r="M96" t="str">
        <x:v>3,315</x:v>
      </x:c>
      <x:c r="N96" t="str">
        <x:v>4500262368</x:v>
      </x:c>
      <x:c r="O96" t="str"/>
      <x:c r="P96" t="str">
        <x:v>Liberada Para Producao</x:v>
      </x:c>
      <x:c r="Q96" t="str">
        <x:v>609140</x:v>
      </x:c>
      <x:c r="R96" t="str">
        <x:v>66,67</x:v>
      </x:c>
      <x:c r="S96" t="str">
        <x:v>1</x:v>
      </x:c>
      <x:c r="T96" t="str">
        <x:v>PORTA LINHA PREMIUM</x:v>
      </x:c>
      <x:c r="U96" t="str"/>
      <x:c r="V96" t="str"/>
      <x:c r="W96" t="str">
        <x:v>N/A</x:v>
      </x:c>
      <x:c r="X96" t="str">
        <x:v>100</x:v>
      </x:c>
      <x:c r="Y96" t="str">
        <x:v>N/A</x:v>
      </x:c>
      <x:c r="Z96" t="str">
        <x:v>N/A</x:v>
      </x:c>
      <x:c r="AA96" t="str">
        <x:v>N/A</x:v>
      </x:c>
      <x:c r="AB96" t="str">
        <x:v>100</x:v>
      </x:c>
      <x:c r="AC96" t="str">
        <x:v>N/A</x:v>
      </x:c>
      <x:c r="AD96" t="str">
        <x:v>0</x:v>
      </x:c>
      <x:c r="AE96" t="str">
        <x:v>N/A</x:v>
      </x:c>
    </x:row>
    <x:row r="97">
      <x:c r="A97" t="str">
        <x:v>51</x:v>
      </x:c>
      <x:c r="B97" t="str">
        <x:v>26684</x:v>
      </x:c>
      <x:c r="C97" t="str">
        <x:v>5</x:v>
      </x:c>
      <x:c r="D97" t="str">
        <x:v>956042</x:v>
      </x:c>
      <x:c r="E97" t="str">
        <x:v>2250X70X15 RTO LME REC PET BCO IMP(STD)</x:v>
      </x:c>
      <x:c r="F97" t="str"/>
      <x:c r="G97" t="str"/>
      <x:c r="H97" t="str"/>
      <x:c r="I97" t="str">
        <x:v>ESMALTE</x:v>
      </x:c>
      <x:c r="J97" t="str">
        <x:v>BRANCO CARRARA</x:v>
      </x:c>
      <x:c r="K97" t="str">
        <x:v>0</x:v>
      </x:c>
      <x:c r="L97" t="str">
        <x:v>12</x:v>
      </x:c>
      <x:c r="M97" t="str">
        <x:v>0</x:v>
      </x:c>
      <x:c r="N97" t="str">
        <x:v>4500262368</x:v>
      </x:c>
      <x:c r="O97" t="str"/>
      <x:c r="P97" t="str">
        <x:v>Liberada Para Producao</x:v>
      </x:c>
      <x:c r="Q97" t="str">
        <x:v>609142</x:v>
      </x:c>
      <x:c r="R97" t="str">
        <x:v>0</x:v>
      </x:c>
      <x:c r="S97" t="str"/>
      <x:c r="T97" t="str"/>
      <x:c r="U97" t="str"/>
      <x:c r="V97" t="str"/>
      <x:c r="W97" t="str">
        <x:v>N/A</x:v>
      </x:c>
      <x:c r="X97" t="str">
        <x:v>0</x:v>
      </x:c>
      <x:c r="Y97" t="str">
        <x:v>0</x:v>
      </x:c>
      <x:c r="Z97" t="str">
        <x:v>0</x:v>
      </x:c>
      <x:c r="AA97" t="str">
        <x:v>N/A</x:v>
      </x:c>
      <x:c r="AB97" t="str">
        <x:v>N/A</x:v>
      </x:c>
      <x:c r="AC97" t="str">
        <x:v>N/A</x:v>
      </x:c>
      <x:c r="AD97" t="str">
        <x:v>N/A</x:v>
      </x:c>
      <x:c r="AE97" t="str">
        <x:v>N/A</x:v>
      </x:c>
    </x:row>
    <x:row r="98">
      <x:c r="A98" t="str">
        <x:v>51</x:v>
      </x:c>
      <x:c r="B98" t="str">
        <x:v>26744</x:v>
      </x:c>
      <x:c r="C98" t="str">
        <x:v>1</x:v>
      </x:c>
      <x:c r="D98" t="str">
        <x:v>674790</x:v>
      </x:c>
      <x:c r="E98" t="str">
        <x:v>2110x130x30 42x10 R2L BIA R PET U(PREMIU</x:v>
      </x:c>
      <x:c r="F98" t="str"/>
      <x:c r="G98" t="str"/>
      <x:c r="H98" t="str"/>
      <x:c r="I98" t="str">
        <x:v>RECOBERTO PET</x:v>
      </x:c>
      <x:c r="J98" t="str">
        <x:v>BRANCO CARRARA</x:v>
      </x:c>
      <x:c r="K98" t="str">
        <x:v>0</x:v>
      </x:c>
      <x:c r="L98" t="str">
        <x:v>8</x:v>
      </x:c>
      <x:c r="M98" t="str">
        <x:v>0</x:v>
      </x:c>
      <x:c r="N98" t="str"/>
      <x:c r="O98" t="str"/>
      <x:c r="P98" t="str">
        <x:v>Liberada Para Producao</x:v>
      </x:c>
      <x:c r="Q98" t="str">
        <x:v>609987</x:v>
      </x:c>
      <x:c r="R98" t="str">
        <x:v>0</x:v>
      </x:c>
      <x:c r="S98" t="str"/>
      <x:c r="T98" t="str"/>
      <x:c r="U98" t="str"/>
      <x:c r="V98" t="str"/>
      <x:c r="W98" t="str">
        <x:v>N/A</x:v>
      </x:c>
      <x:c r="X98" t="str">
        <x:v>N/A</x:v>
      </x:c>
      <x:c r="Y98" t="str">
        <x:v>0</x:v>
      </x:c>
      <x:c r="Z98" t="str">
        <x:v>0</x:v>
      </x:c>
      <x:c r="AA98" t="str">
        <x:v>0</x:v>
      </x:c>
      <x:c r="AB98" t="str">
        <x:v>N/A</x:v>
      </x:c>
      <x:c r="AC98" t="str">
        <x:v>N/A</x:v>
      </x:c>
      <x:c r="AD98" t="str">
        <x:v>N/A</x:v>
      </x:c>
      <x:c r="AE98" t="str">
        <x:v>N/A</x:v>
      </x:c>
    </x:row>
    <x:row r="99">
      <x:c r="A99" t="str">
        <x:v>51</x:v>
      </x:c>
      <x:c r="B99" t="str">
        <x:v>26744</x:v>
      </x:c>
      <x:c r="C99" t="str">
        <x:v>2</x:v>
      </x:c>
      <x:c r="D99" t="str">
        <x:v>674790</x:v>
      </x:c>
      <x:c r="E99" t="str">
        <x:v>2110x130x30 42x10 R2L BIA R PET U(PREMIU</x:v>
      </x:c>
      <x:c r="F99" t="str"/>
      <x:c r="G99" t="str"/>
      <x:c r="H99" t="str"/>
      <x:c r="I99" t="str">
        <x:v>RECOBERTO PET</x:v>
      </x:c>
      <x:c r="J99" t="str">
        <x:v>BRANCO CARRARA</x:v>
      </x:c>
      <x:c r="K99" t="str">
        <x:v>0</x:v>
      </x:c>
      <x:c r="L99" t="str">
        <x:v>10</x:v>
      </x:c>
      <x:c r="M99" t="str">
        <x:v>0</x:v>
      </x:c>
      <x:c r="N99" t="str"/>
      <x:c r="O99" t="str"/>
      <x:c r="P99" t="str">
        <x:v>Liberada Para Producao</x:v>
      </x:c>
      <x:c r="Q99" t="str">
        <x:v>609996</x:v>
      </x:c>
      <x:c r="R99" t="str">
        <x:v>0</x:v>
      </x:c>
      <x:c r="S99" t="str"/>
      <x:c r="T99" t="str"/>
      <x:c r="U99" t="str"/>
      <x:c r="V99" t="str"/>
      <x:c r="W99" t="str">
        <x:v>N/A</x:v>
      </x:c>
      <x:c r="X99" t="str">
        <x:v>N/A</x:v>
      </x:c>
      <x:c r="Y99" t="str">
        <x:v>0</x:v>
      </x:c>
      <x:c r="Z99" t="str">
        <x:v>0</x:v>
      </x:c>
      <x:c r="AA99" t="str">
        <x:v>0</x:v>
      </x:c>
      <x:c r="AB99" t="str">
        <x:v>N/A</x:v>
      </x:c>
      <x:c r="AC99" t="str">
        <x:v>N/A</x:v>
      </x:c>
      <x:c r="AD99" t="str">
        <x:v>N/A</x:v>
      </x:c>
      <x:c r="AE99" t="str">
        <x:v>N/A</x:v>
      </x:c>
    </x:row>
    <x:row r="100">
      <x:c r="A100" t="str">
        <x:v>51</x:v>
      </x:c>
      <x:c r="B100" t="str">
        <x:v>26684</x:v>
      </x:c>
      <x:c r="C100" t="str">
        <x:v>5</x:v>
      </x:c>
      <x:c r="D100" t="str">
        <x:v>971354</x:v>
      </x:c>
      <x:c r="E100" t="str">
        <x:v>PER ALI 2250X70X15 RT RL55RC PET BCO STD</x:v>
      </x:c>
      <x:c r="F100" t="str"/>
      <x:c r="G100" t="str"/>
      <x:c r="H100" t="str"/>
      <x:c r="I100" t="str">
        <x:v>ESMALTE</x:v>
      </x:c>
      <x:c r="J100" t="str">
        <x:v>BRANCO CARRARA</x:v>
      </x:c>
      <x:c r="K100" t="str">
        <x:v>0</x:v>
      </x:c>
      <x:c r="L100" t="str">
        <x:v>12</x:v>
      </x:c>
      <x:c r="M100" t="str">
        <x:v>0</x:v>
      </x:c>
      <x:c r="N100" t="str">
        <x:v>4500262368</x:v>
      </x:c>
      <x:c r="O100" t="str"/>
      <x:c r="P100" t="str">
        <x:v>Liberada Para Producao</x:v>
      </x:c>
      <x:c r="Q100" t="str">
        <x:v>609145</x:v>
      </x:c>
      <x:c r="R100" t="str">
        <x:v>0</x:v>
      </x:c>
      <x:c r="S100" t="str"/>
      <x:c r="T100" t="str"/>
      <x:c r="U100" t="str"/>
      <x:c r="V100" t="str"/>
      <x:c r="W100" t="str">
        <x:v>N/A</x:v>
      </x:c>
      <x:c r="X100" t="str">
        <x:v>0</x:v>
      </x:c>
      <x:c r="Y100" t="str">
        <x:v>0</x:v>
      </x:c>
      <x:c r="Z100" t="str">
        <x:v>0</x:v>
      </x:c>
      <x:c r="AA100" t="str">
        <x:v>N/A</x:v>
      </x:c>
      <x:c r="AB100" t="str">
        <x:v>N/A</x:v>
      </x:c>
      <x:c r="AC100" t="str">
        <x:v>N/A</x:v>
      </x:c>
      <x:c r="AD100" t="str">
        <x:v>N/A</x:v>
      </x:c>
      <x:c r="AE100" t="str">
        <x:v>N/A</x:v>
      </x:c>
    </x:row>
    <x:row r="101">
      <x:c r="A101" t="str">
        <x:v>51</x:v>
      </x:c>
      <x:c r="B101" t="str">
        <x:v>26684</x:v>
      </x:c>
      <x:c r="C101" t="str">
        <x:v>5</x:v>
      </x:c>
      <x:c r="D101" t="str">
        <x:v>981166</x:v>
      </x:c>
      <x:c r="E101" t="str">
        <x:v>T A 1100X70X15 RTO RL55 REC PET BCO(STD)</x:v>
      </x:c>
      <x:c r="F101" t="str"/>
      <x:c r="G101" t="str"/>
      <x:c r="H101" t="str"/>
      <x:c r="I101" t="str">
        <x:v>ESMALTE</x:v>
      </x:c>
      <x:c r="J101" t="str">
        <x:v>BRANCO CARRARA</x:v>
      </x:c>
      <x:c r="K101" t="str">
        <x:v>0</x:v>
      </x:c>
      <x:c r="L101" t="str">
        <x:v>6</x:v>
      </x:c>
      <x:c r="M101" t="str">
        <x:v>0</x:v>
      </x:c>
      <x:c r="N101" t="str">
        <x:v>4500262368</x:v>
      </x:c>
      <x:c r="O101" t="str"/>
      <x:c r="P101" t="str">
        <x:v>Liberada Para Producao</x:v>
      </x:c>
      <x:c r="Q101" t="str">
        <x:v>609146</x:v>
      </x:c>
      <x:c r="R101" t="str">
        <x:v>0</x:v>
      </x:c>
      <x:c r="S101" t="str"/>
      <x:c r="T101" t="str"/>
      <x:c r="U101" t="str"/>
      <x:c r="V101" t="str"/>
      <x:c r="W101" t="str">
        <x:v>N/A</x:v>
      </x:c>
      <x:c r="X101" t="str">
        <x:v>0</x:v>
      </x:c>
      <x:c r="Y101" t="str">
        <x:v>0</x:v>
      </x:c>
      <x:c r="Z101" t="str">
        <x:v>0</x:v>
      </x:c>
      <x:c r="AA101" t="str">
        <x:v>0</x:v>
      </x:c>
      <x:c r="AB101" t="str">
        <x:v>N/A</x:v>
      </x:c>
      <x:c r="AC101" t="str">
        <x:v>N/A</x:v>
      </x:c>
      <x:c r="AD101" t="str">
        <x:v>N/A</x:v>
      </x:c>
      <x:c r="AE101" t="str">
        <x:v>N/A</x:v>
      </x:c>
    </x:row>
    <x:row r="102">
      <x:c r="A102" t="str">
        <x:v>51</x:v>
      </x:c>
      <x:c r="B102" t="str">
        <x:v>26684</x:v>
      </x:c>
      <x:c r="C102" t="str">
        <x:v>5</x:v>
      </x:c>
      <x:c r="D102" t="str">
        <x:v>981556</x:v>
      </x:c>
      <x:c r="E102" t="str">
        <x:v>T A 1100X70X15 RTO LMN REC PET BCO(STD)</x:v>
      </x:c>
      <x:c r="F102" t="str"/>
      <x:c r="G102" t="str"/>
      <x:c r="H102" t="str"/>
      <x:c r="I102" t="str">
        <x:v>ESMALTE</x:v>
      </x:c>
      <x:c r="J102" t="str">
        <x:v>BRANCO CARRARA</x:v>
      </x:c>
      <x:c r="K102" t="str">
        <x:v>0</x:v>
      </x:c>
      <x:c r="L102" t="str">
        <x:v>6</x:v>
      </x:c>
      <x:c r="M102" t="str">
        <x:v>0</x:v>
      </x:c>
      <x:c r="N102" t="str">
        <x:v>4500262368</x:v>
      </x:c>
      <x:c r="O102" t="str"/>
      <x:c r="P102" t="str">
        <x:v>Liberada Para Producao</x:v>
      </x:c>
      <x:c r="Q102" t="str">
        <x:v>609147</x:v>
      </x:c>
      <x:c r="R102" t="str">
        <x:v>0</x:v>
      </x:c>
      <x:c r="S102" t="str"/>
      <x:c r="T102" t="str"/>
      <x:c r="U102" t="str"/>
      <x:c r="V102" t="str"/>
      <x:c r="W102" t="str">
        <x:v>N/A</x:v>
      </x:c>
      <x:c r="X102" t="str">
        <x:v>0</x:v>
      </x:c>
      <x:c r="Y102" t="str">
        <x:v>0</x:v>
      </x:c>
      <x:c r="Z102" t="str">
        <x:v>0</x:v>
      </x:c>
      <x:c r="AA102" t="str">
        <x:v>0</x:v>
      </x:c>
      <x:c r="AB102" t="str">
        <x:v>N/A</x:v>
      </x:c>
      <x:c r="AC102" t="str">
        <x:v>N/A</x:v>
      </x:c>
      <x:c r="AD102" t="str">
        <x:v>N/A</x:v>
      </x:c>
      <x:c r="AE102" t="str">
        <x:v>N/A</x:v>
      </x:c>
    </x:row>
    <x:row r="103">
      <x:c r="A103" t="str">
        <x:v>51</x:v>
      </x:c>
      <x:c r="B103" t="str">
        <x:v>26684</x:v>
      </x:c>
      <x:c r="C103" t="str">
        <x:v>5</x:v>
      </x:c>
      <x:c r="D103" t="str">
        <x:v>4731234381</x:v>
      </x:c>
      <x:c r="E103" t="str">
        <x:v>FP COLM HDF 3 2100x820x35 ESM BCO C C/US</x:v>
      </x:c>
      <x:c r="F103" t="str"/>
      <x:c r="G103" t="str"/>
      <x:c r="H103" t="str"/>
      <x:c r="I103" t="str">
        <x:v>ESMALTE</x:v>
      </x:c>
      <x:c r="J103" t="str">
        <x:v>BRANCO CARRARA</x:v>
      </x:c>
      <x:c r="K103" t="str">
        <x:v>0</x:v>
      </x:c>
      <x:c r="L103" t="str">
        <x:v>6</x:v>
      </x:c>
      <x:c r="M103" t="str">
        <x:v>0,362</x:v>
      </x:c>
      <x:c r="N103" t="str">
        <x:v>4500262368</x:v>
      </x:c>
      <x:c r="O103" t="str"/>
      <x:c r="P103" t="str">
        <x:v>Liberada Para Producao</x:v>
      </x:c>
      <x:c r="Q103" t="str">
        <x:v>609148</x:v>
      </x:c>
      <x:c r="R103" t="str">
        <x:v>66,67</x:v>
      </x:c>
      <x:c r="S103" t="str">
        <x:v>1</x:v>
      </x:c>
      <x:c r="T103" t="str">
        <x:v>PORTA LINHA PREMIUM</x:v>
      </x:c>
      <x:c r="U103" t="str"/>
      <x:c r="V103" t="str"/>
      <x:c r="W103" t="str">
        <x:v>N/A</x:v>
      </x:c>
      <x:c r="X103" t="str">
        <x:v>100</x:v>
      </x:c>
      <x:c r="Y103" t="str">
        <x:v>N/A</x:v>
      </x:c>
      <x:c r="Z103" t="str">
        <x:v>N/A</x:v>
      </x:c>
      <x:c r="AA103" t="str">
        <x:v>N/A</x:v>
      </x:c>
      <x:c r="AB103" t="str">
        <x:v>100</x:v>
      </x:c>
      <x:c r="AC103" t="str">
        <x:v>N/A</x:v>
      </x:c>
      <x:c r="AD103" t="str">
        <x:v>0</x:v>
      </x:c>
      <x:c r="AE103" t="str">
        <x:v>N/A</x:v>
      </x:c>
    </x:row>
    <x:row r="104">
      <x:c r="A104" t="str">
        <x:v>51</x:v>
      </x:c>
      <x:c r="B104" t="str">
        <x:v>26684</x:v>
      </x:c>
      <x:c r="C104" t="str">
        <x:v>6</x:v>
      </x:c>
      <x:c r="D104" t="str">
        <x:v>971353</x:v>
      </x:c>
      <x:c r="E104" t="str">
        <x:v>2200X70X15 RTO RL55 REC PET BCO IMP(STD)</x:v>
      </x:c>
      <x:c r="F104" t="str"/>
      <x:c r="G104" t="str"/>
      <x:c r="H104" t="str"/>
      <x:c r="I104" t="str">
        <x:v>ESMALTE</x:v>
      </x:c>
      <x:c r="J104" t="str">
        <x:v>BRANCO CARRARA</x:v>
      </x:c>
      <x:c r="K104" t="str">
        <x:v>0</x:v>
      </x:c>
      <x:c r="L104" t="str">
        <x:v>4</x:v>
      </x:c>
      <x:c r="M104" t="str">
        <x:v>0,009</x:v>
      </x:c>
      <x:c r="N104" t="str">
        <x:v>4500262368</x:v>
      </x:c>
      <x:c r="O104" t="str"/>
      <x:c r="P104" t="str">
        <x:v>Liberada Para Producao</x:v>
      </x:c>
      <x:c r="Q104" t="str">
        <x:v>609150</x:v>
      </x:c>
      <x:c r="R104" t="str">
        <x:v>0</x:v>
      </x:c>
      <x:c r="S104" t="str"/>
      <x:c r="T104" t="str"/>
      <x:c r="U104" t="str"/>
      <x:c r="V104" t="str"/>
      <x:c r="W104" t="str">
        <x:v>N/A</x:v>
      </x:c>
      <x:c r="X104" t="str">
        <x:v>0</x:v>
      </x:c>
      <x:c r="Y104" t="str">
        <x:v>0</x:v>
      </x:c>
      <x:c r="Z104" t="str">
        <x:v>0</x:v>
      </x:c>
      <x:c r="AA104" t="str">
        <x:v>N/A</x:v>
      </x:c>
      <x:c r="AB104" t="str">
        <x:v>N/A</x:v>
      </x:c>
      <x:c r="AC104" t="str">
        <x:v>N/A</x:v>
      </x:c>
      <x:c r="AD104" t="str">
        <x:v>N/A</x:v>
      </x:c>
      <x:c r="AE104" t="str">
        <x:v>N/A</x:v>
      </x:c>
    </x:row>
    <x:row r="105">
      <x:c r="A105" t="str">
        <x:v>51</x:v>
      </x:c>
      <x:c r="B105" t="str">
        <x:v>26684</x:v>
      </x:c>
      <x:c r="C105" t="str">
        <x:v>6</x:v>
      </x:c>
      <x:c r="D105" t="str">
        <x:v>972552</x:v>
      </x:c>
      <x:c r="E105" t="str">
        <x:v>2110x140x30 42x10R2L R1BIA PET STD PRM U</x:v>
      </x:c>
      <x:c r="F105" t="str"/>
      <x:c r="G105" t="str"/>
      <x:c r="H105" t="str"/>
      <x:c r="I105" t="str">
        <x:v>ESMALTE</x:v>
      </x:c>
      <x:c r="J105" t="str">
        <x:v>BRANCO CARRARA</x:v>
      </x:c>
      <x:c r="K105" t="str">
        <x:v>0</x:v>
      </x:c>
      <x:c r="L105" t="str">
        <x:v>4</x:v>
      </x:c>
      <x:c r="M105" t="str">
        <x:v>0</x:v>
      </x:c>
      <x:c r="N105" t="str">
        <x:v>4500262368</x:v>
      </x:c>
      <x:c r="O105" t="str"/>
      <x:c r="P105" t="str">
        <x:v>Liberada Para Producao</x:v>
      </x:c>
      <x:c r="Q105" t="str">
        <x:v>609151</x:v>
      </x:c>
      <x:c r="R105" t="str">
        <x:v>0</x:v>
      </x:c>
      <x:c r="S105" t="str"/>
      <x:c r="T105" t="str"/>
      <x:c r="U105" t="str"/>
      <x:c r="V105" t="str"/>
      <x:c r="W105" t="str">
        <x:v>N/A</x:v>
      </x:c>
      <x:c r="X105" t="str">
        <x:v>N/A</x:v>
      </x:c>
      <x:c r="Y105" t="str">
        <x:v>N/A</x:v>
      </x:c>
      <x:c r="Z105" t="str">
        <x:v>0</x:v>
      </x:c>
      <x:c r="AA105" t="str">
        <x:v>0</x:v>
      </x:c>
      <x:c r="AB105" t="str">
        <x:v>N/A</x:v>
      </x:c>
      <x:c r="AC105" t="str">
        <x:v>N/A</x:v>
      </x:c>
      <x:c r="AD105" t="str">
        <x:v>N/A</x:v>
      </x:c>
      <x:c r="AE105" t="str">
        <x:v>N/A</x:v>
      </x:c>
    </x:row>
    <x:row r="106">
      <x:c r="A106" t="str">
        <x:v>51</x:v>
      </x:c>
      <x:c r="B106" t="str">
        <x:v>26684</x:v>
      </x:c>
      <x:c r="C106" t="str">
        <x:v>6</x:v>
      </x:c>
      <x:c r="D106" t="str">
        <x:v>972553</x:v>
      </x:c>
      <x:c r="E106" t="str">
        <x:v>867x140x30 42x10 R2L RT BIA PET STD PREM</x:v>
      </x:c>
      <x:c r="F106" t="str"/>
      <x:c r="G106" t="str"/>
      <x:c r="H106" t="str"/>
      <x:c r="I106" t="str">
        <x:v>ESMALTE</x:v>
      </x:c>
      <x:c r="J106" t="str">
        <x:v>BRANCO CARRARA</x:v>
      </x:c>
      <x:c r="K106" t="str">
        <x:v>0</x:v>
      </x:c>
      <x:c r="L106" t="str">
        <x:v>2</x:v>
      </x:c>
      <x:c r="M106" t="str">
        <x:v>0</x:v>
      </x:c>
      <x:c r="N106" t="str">
        <x:v>4500262368</x:v>
      </x:c>
      <x:c r="O106" t="str"/>
      <x:c r="P106" t="str">
        <x:v>Liberada Para Producao</x:v>
      </x:c>
      <x:c r="Q106" t="str">
        <x:v>609152</x:v>
      </x:c>
      <x:c r="R106" t="str">
        <x:v>0</x:v>
      </x:c>
      <x:c r="S106" t="str"/>
      <x:c r="T106" t="str"/>
      <x:c r="U106" t="str"/>
      <x:c r="V106" t="str"/>
      <x:c r="W106" t="str">
        <x:v>N/A</x:v>
      </x:c>
      <x:c r="X106" t="str">
        <x:v>N/A</x:v>
      </x:c>
      <x:c r="Y106" t="str">
        <x:v>N/A</x:v>
      </x:c>
      <x:c r="Z106" t="str">
        <x:v>0</x:v>
      </x:c>
      <x:c r="AA106" t="str">
        <x:v>0</x:v>
      </x:c>
      <x:c r="AB106" t="str">
        <x:v>N/A</x:v>
      </x:c>
      <x:c r="AC106" t="str">
        <x:v>N/A</x:v>
      </x:c>
      <x:c r="AD106" t="str">
        <x:v>N/A</x:v>
      </x:c>
      <x:c r="AE106" t="str">
        <x:v>N/A</x:v>
      </x:c>
    </x:row>
    <x:row r="107">
      <x:c r="A107" t="str">
        <x:v>51</x:v>
      </x:c>
      <x:c r="B107" t="str">
        <x:v>26684</x:v>
      </x:c>
      <x:c r="C107" t="str">
        <x:v>6</x:v>
      </x:c>
      <x:c r="D107" t="str">
        <x:v>981166</x:v>
      </x:c>
      <x:c r="E107" t="str">
        <x:v>T A 1100X70X15 RTO RL55 REC PET BCO(STD)</x:v>
      </x:c>
      <x:c r="F107" t="str"/>
      <x:c r="G107" t="str"/>
      <x:c r="H107" t="str"/>
      <x:c r="I107" t="str">
        <x:v>ESMALTE</x:v>
      </x:c>
      <x:c r="J107" t="str">
        <x:v>BRANCO CARRARA</x:v>
      </x:c>
      <x:c r="K107" t="str">
        <x:v>0</x:v>
      </x:c>
      <x:c r="L107" t="str">
        <x:v>2</x:v>
      </x:c>
      <x:c r="M107" t="str">
        <x:v>0</x:v>
      </x:c>
      <x:c r="N107" t="str">
        <x:v>4500262368</x:v>
      </x:c>
      <x:c r="O107" t="str"/>
      <x:c r="P107" t="str">
        <x:v>Liberada Para Producao</x:v>
      </x:c>
      <x:c r="Q107" t="str">
        <x:v>609153</x:v>
      </x:c>
      <x:c r="R107" t="str">
        <x:v>0</x:v>
      </x:c>
      <x:c r="S107" t="str"/>
      <x:c r="T107" t="str"/>
      <x:c r="U107" t="str"/>
      <x:c r="V107" t="str"/>
      <x:c r="W107" t="str">
        <x:v>N/A</x:v>
      </x:c>
      <x:c r="X107" t="str">
        <x:v>0</x:v>
      </x:c>
      <x:c r="Y107" t="str">
        <x:v>0</x:v>
      </x:c>
      <x:c r="Z107" t="str">
        <x:v>0</x:v>
      </x:c>
      <x:c r="AA107" t="str">
        <x:v>0</x:v>
      </x:c>
      <x:c r="AB107" t="str">
        <x:v>N/A</x:v>
      </x:c>
      <x:c r="AC107" t="str">
        <x:v>N/A</x:v>
      </x:c>
      <x:c r="AD107" t="str">
        <x:v>N/A</x:v>
      </x:c>
      <x:c r="AE107" t="str">
        <x:v>N/A</x:v>
      </x:c>
    </x:row>
    <x:row r="108">
      <x:c r="A108" t="str">
        <x:v>51</x:v>
      </x:c>
      <x:c r="B108" t="str">
        <x:v>26684</x:v>
      </x:c>
      <x:c r="C108" t="str">
        <x:v>6</x:v>
      </x:c>
      <x:c r="D108" t="str">
        <x:v>981167</x:v>
      </x:c>
      <x:c r="E108" t="str">
        <x:v>2200X70X15 RTO LME REC PET BCO IMP(STD)</x:v>
      </x:c>
      <x:c r="F108" t="str"/>
      <x:c r="G108" t="str"/>
      <x:c r="H108" t="str"/>
      <x:c r="I108" t="str">
        <x:v>ESMALTE</x:v>
      </x:c>
      <x:c r="J108" t="str">
        <x:v>BRANCO CARRARA</x:v>
      </x:c>
      <x:c r="K108" t="str">
        <x:v>0</x:v>
      </x:c>
      <x:c r="L108" t="str">
        <x:v>4</x:v>
      </x:c>
      <x:c r="M108" t="str">
        <x:v>0</x:v>
      </x:c>
      <x:c r="N108" t="str">
        <x:v>4500262368</x:v>
      </x:c>
      <x:c r="O108" t="str"/>
      <x:c r="P108" t="str">
        <x:v>Liberada Para Producao</x:v>
      </x:c>
      <x:c r="Q108" t="str">
        <x:v>609154</x:v>
      </x:c>
      <x:c r="R108" t="str">
        <x:v>0</x:v>
      </x:c>
      <x:c r="S108" t="str"/>
      <x:c r="T108" t="str"/>
      <x:c r="U108" t="str"/>
      <x:c r="V108" t="str"/>
      <x:c r="W108" t="str">
        <x:v>N/A</x:v>
      </x:c>
      <x:c r="X108" t="str">
        <x:v>0</x:v>
      </x:c>
      <x:c r="Y108" t="str">
        <x:v>0</x:v>
      </x:c>
      <x:c r="Z108" t="str">
        <x:v>0</x:v>
      </x:c>
      <x:c r="AA108" t="str">
        <x:v>N/A</x:v>
      </x:c>
      <x:c r="AB108" t="str">
        <x:v>N/A</x:v>
      </x:c>
      <x:c r="AC108" t="str">
        <x:v>N/A</x:v>
      </x:c>
      <x:c r="AD108" t="str">
        <x:v>N/A</x:v>
      </x:c>
      <x:c r="AE108" t="str">
        <x:v>N/A</x:v>
      </x:c>
    </x:row>
    <x:row r="109">
      <x:c r="A109" t="str">
        <x:v>51</x:v>
      </x:c>
      <x:c r="B109" t="str">
        <x:v>26684</x:v>
      </x:c>
      <x:c r="C109" t="str">
        <x:v>6</x:v>
      </x:c>
      <x:c r="D109" t="str">
        <x:v>981168</x:v>
      </x:c>
      <x:c r="E109" t="str">
        <x:v>T A 1000X70X15 RTO LMN REC PET BCO(STD)</x:v>
      </x:c>
      <x:c r="F109" t="str"/>
      <x:c r="G109" t="str"/>
      <x:c r="H109" t="str"/>
      <x:c r="I109" t="str">
        <x:v>ESMALTE</x:v>
      </x:c>
      <x:c r="J109" t="str">
        <x:v>BRANCO CARRARA</x:v>
      </x:c>
      <x:c r="K109" t="str">
        <x:v>0</x:v>
      </x:c>
      <x:c r="L109" t="str">
        <x:v>2</x:v>
      </x:c>
      <x:c r="M109" t="str">
        <x:v>0</x:v>
      </x:c>
      <x:c r="N109" t="str">
        <x:v>4500262368</x:v>
      </x:c>
      <x:c r="O109" t="str"/>
      <x:c r="P109" t="str">
        <x:v>Liberada Para Producao</x:v>
      </x:c>
      <x:c r="Q109" t="str">
        <x:v>609155</x:v>
      </x:c>
      <x:c r="R109" t="str">
        <x:v>0</x:v>
      </x:c>
      <x:c r="S109" t="str"/>
      <x:c r="T109" t="str"/>
      <x:c r="U109" t="str"/>
      <x:c r="V109" t="str"/>
      <x:c r="W109" t="str">
        <x:v>N/A</x:v>
      </x:c>
      <x:c r="X109" t="str">
        <x:v>0</x:v>
      </x:c>
      <x:c r="Y109" t="str">
        <x:v>0</x:v>
      </x:c>
      <x:c r="Z109" t="str">
        <x:v>0</x:v>
      </x:c>
      <x:c r="AA109" t="str">
        <x:v>0</x:v>
      </x:c>
      <x:c r="AB109" t="str">
        <x:v>N/A</x:v>
      </x:c>
      <x:c r="AC109" t="str">
        <x:v>N/A</x:v>
      </x:c>
      <x:c r="AD109" t="str">
        <x:v>N/A</x:v>
      </x:c>
      <x:c r="AE109" t="str">
        <x:v>N/A</x:v>
      </x:c>
    </x:row>
    <x:row r="110">
      <x:c r="A110" t="str">
        <x:v>51</x:v>
      </x:c>
      <x:c r="B110" t="str">
        <x:v>26684</x:v>
      </x:c>
      <x:c r="C110" t="str">
        <x:v>6</x:v>
      </x:c>
      <x:c r="D110" t="str">
        <x:v>4731234381</x:v>
      </x:c>
      <x:c r="E110" t="str">
        <x:v>FP COLM HDF 3 2100x820x35 ESM BCO C C/US</x:v>
      </x:c>
      <x:c r="F110" t="str"/>
      <x:c r="G110" t="str"/>
      <x:c r="H110" t="str"/>
      <x:c r="I110" t="str">
        <x:v>ESMALTE</x:v>
      </x:c>
      <x:c r="J110" t="str">
        <x:v>BRANCO CARRARA</x:v>
      </x:c>
      <x:c r="K110" t="str">
        <x:v>0</x:v>
      </x:c>
      <x:c r="L110" t="str">
        <x:v>2</x:v>
      </x:c>
      <x:c r="M110" t="str">
        <x:v>0,121</x:v>
      </x:c>
      <x:c r="N110" t="str">
        <x:v>4500262368</x:v>
      </x:c>
      <x:c r="O110" t="str"/>
      <x:c r="P110" t="str">
        <x:v>Liberada Para Producao</x:v>
      </x:c>
      <x:c r="Q110" t="str">
        <x:v>609156</x:v>
      </x:c>
      <x:c r="R110" t="str">
        <x:v>33,33</x:v>
      </x:c>
      <x:c r="S110" t="str">
        <x:v>1</x:v>
      </x:c>
      <x:c r="T110" t="str">
        <x:v>PORTA LINHA PREMIUM</x:v>
      </x:c>
      <x:c r="U110" t="str"/>
      <x:c r="V110" t="str"/>
      <x:c r="W110" t="str">
        <x:v>N/A</x:v>
      </x:c>
      <x:c r="X110" t="str">
        <x:v>100</x:v>
      </x:c>
      <x:c r="Y110" t="str">
        <x:v>N/A</x:v>
      </x:c>
      <x:c r="Z110" t="str">
        <x:v>N/A</x:v>
      </x:c>
      <x:c r="AA110" t="str">
        <x:v>N/A</x:v>
      </x:c>
      <x:c r="AB110" t="str">
        <x:v>0</x:v>
      </x:c>
      <x:c r="AC110" t="str">
        <x:v>N/A</x:v>
      </x:c>
      <x:c r="AD110" t="str">
        <x:v>0</x:v>
      </x:c>
      <x:c r="AE110" t="str">
        <x:v>N/A</x:v>
      </x:c>
    </x:row>
    <x:row r="111">
      <x:c r="A111" t="str">
        <x:v>51</x:v>
      </x:c>
      <x:c r="B111" t="str">
        <x:v>26684</x:v>
      </x:c>
      <x:c r="C111" t="str">
        <x:v>7</x:v>
      </x:c>
      <x:c r="D111" t="str">
        <x:v>956042</x:v>
      </x:c>
      <x:c r="E111" t="str">
        <x:v>2250X70X15 RTO LME REC PET BCO IMP(STD)</x:v>
      </x:c>
      <x:c r="F111" t="str"/>
      <x:c r="G111" t="str"/>
      <x:c r="H111" t="str"/>
      <x:c r="I111" t="str">
        <x:v>ESMALTE</x:v>
      </x:c>
      <x:c r="J111" t="str">
        <x:v>BRANCO CARRARA</x:v>
      </x:c>
      <x:c r="K111" t="str">
        <x:v>0</x:v>
      </x:c>
      <x:c r="L111" t="str">
        <x:v>2</x:v>
      </x:c>
      <x:c r="M111" t="str">
        <x:v>0</x:v>
      </x:c>
      <x:c r="N111" t="str">
        <x:v>4500262368</x:v>
      </x:c>
      <x:c r="O111" t="str"/>
      <x:c r="P111" t="str">
        <x:v>Liberada Para Producao</x:v>
      </x:c>
      <x:c r="Q111" t="str">
        <x:v>609158</x:v>
      </x:c>
      <x:c r="R111" t="str">
        <x:v>0</x:v>
      </x:c>
      <x:c r="S111" t="str"/>
      <x:c r="T111" t="str"/>
      <x:c r="U111" t="str"/>
      <x:c r="V111" t="str"/>
      <x:c r="W111" t="str">
        <x:v>N/A</x:v>
      </x:c>
      <x:c r="X111" t="str">
        <x:v>0</x:v>
      </x:c>
      <x:c r="Y111" t="str">
        <x:v>0</x:v>
      </x:c>
      <x:c r="Z111" t="str">
        <x:v>0</x:v>
      </x:c>
      <x:c r="AA111" t="str">
        <x:v>N/A</x:v>
      </x:c>
      <x:c r="AB111" t="str">
        <x:v>N/A</x:v>
      </x:c>
      <x:c r="AC111" t="str">
        <x:v>N/A</x:v>
      </x:c>
      <x:c r="AD111" t="str">
        <x:v>N/A</x:v>
      </x:c>
      <x:c r="AE111" t="str">
        <x:v>N/A</x:v>
      </x:c>
    </x:row>
    <x:row r="112">
      <x:c r="A112" t="str">
        <x:v>51</x:v>
      </x:c>
      <x:c r="B112" t="str">
        <x:v>26684</x:v>
      </x:c>
      <x:c r="C112" t="str">
        <x:v>7</x:v>
      </x:c>
      <x:c r="D112" t="str">
        <x:v>966820</x:v>
      </x:c>
      <x:c r="E112" t="str">
        <x:v>2110x150x30 42x10R2L R1BIA PET STD PRM U</x:v>
      </x:c>
      <x:c r="F112" t="str"/>
      <x:c r="G112" t="str"/>
      <x:c r="H112" t="str"/>
      <x:c r="I112" t="str">
        <x:v>ESMALTE</x:v>
      </x:c>
      <x:c r="J112" t="str">
        <x:v>BRANCO CARRARA</x:v>
      </x:c>
      <x:c r="K112" t="str">
        <x:v>0</x:v>
      </x:c>
      <x:c r="L112" t="str">
        <x:v>2</x:v>
      </x:c>
      <x:c r="M112" t="str">
        <x:v>0</x:v>
      </x:c>
      <x:c r="N112" t="str">
        <x:v>4500262368</x:v>
      </x:c>
      <x:c r="O112" t="str"/>
      <x:c r="P112" t="str">
        <x:v>Liberada Para Producao</x:v>
      </x:c>
      <x:c r="Q112" t="str">
        <x:v>609159</x:v>
      </x:c>
      <x:c r="R112" t="str">
        <x:v>0</x:v>
      </x:c>
      <x:c r="S112" t="str"/>
      <x:c r="T112" t="str"/>
      <x:c r="U112" t="str"/>
      <x:c r="V112" t="str"/>
      <x:c r="W112" t="str">
        <x:v>N/A</x:v>
      </x:c>
      <x:c r="X112" t="str">
        <x:v>N/A</x:v>
      </x:c>
      <x:c r="Y112" t="str">
        <x:v>N/A</x:v>
      </x:c>
      <x:c r="Z112" t="str">
        <x:v>0</x:v>
      </x:c>
      <x:c r="AA112" t="str">
        <x:v>0</x:v>
      </x:c>
      <x:c r="AB112" t="str">
        <x:v>N/A</x:v>
      </x:c>
      <x:c r="AC112" t="str">
        <x:v>N/A</x:v>
      </x:c>
      <x:c r="AD112" t="str">
        <x:v>N/A</x:v>
      </x:c>
      <x:c r="AE112" t="str">
        <x:v>N/A</x:v>
      </x:c>
    </x:row>
    <x:row r="113">
      <x:c r="A113" t="str">
        <x:v>51</x:v>
      </x:c>
      <x:c r="B113" t="str">
        <x:v>26684</x:v>
      </x:c>
      <x:c r="C113" t="str">
        <x:v>7</x:v>
      </x:c>
      <x:c r="D113" t="str">
        <x:v>966823</x:v>
      </x:c>
      <x:c r="E113" t="str">
        <x:v>867x150x30 42x10 R2L RT BIA PET STD PREM</x:v>
      </x:c>
      <x:c r="F113" t="str"/>
      <x:c r="G113" t="str"/>
      <x:c r="H113" t="str"/>
      <x:c r="I113" t="str">
        <x:v>ESMALTE</x:v>
      </x:c>
      <x:c r="J113" t="str">
        <x:v>BRANCO CARRARA</x:v>
      </x:c>
      <x:c r="K113" t="str">
        <x:v>0</x:v>
      </x:c>
      <x:c r="L113" t="str">
        <x:v>1</x:v>
      </x:c>
      <x:c r="M113" t="str">
        <x:v>0</x:v>
      </x:c>
      <x:c r="N113" t="str">
        <x:v>4500262368</x:v>
      </x:c>
      <x:c r="O113" t="str"/>
      <x:c r="P113" t="str">
        <x:v>Liberada Para Producao</x:v>
      </x:c>
      <x:c r="Q113" t="str">
        <x:v>609160</x:v>
      </x:c>
      <x:c r="R113" t="str">
        <x:v>0</x:v>
      </x:c>
      <x:c r="S113" t="str"/>
      <x:c r="T113" t="str"/>
      <x:c r="U113" t="str"/>
      <x:c r="V113" t="str"/>
      <x:c r="W113" t="str">
        <x:v>N/A</x:v>
      </x:c>
      <x:c r="X113" t="str">
        <x:v>N/A</x:v>
      </x:c>
      <x:c r="Y113" t="str">
        <x:v>N/A</x:v>
      </x:c>
      <x:c r="Z113" t="str">
        <x:v>0</x:v>
      </x:c>
      <x:c r="AA113" t="str">
        <x:v>0</x:v>
      </x:c>
      <x:c r="AB113" t="str">
        <x:v>N/A</x:v>
      </x:c>
      <x:c r="AC113" t="str">
        <x:v>N/A</x:v>
      </x:c>
      <x:c r="AD113" t="str">
        <x:v>N/A</x:v>
      </x:c>
      <x:c r="AE113" t="str">
        <x:v>N/A</x:v>
      </x:c>
    </x:row>
    <x:row r="114">
      <x:c r="A114" t="str">
        <x:v>51</x:v>
      </x:c>
      <x:c r="B114" t="str">
        <x:v>26684</x:v>
      </x:c>
      <x:c r="C114" t="str">
        <x:v>7</x:v>
      </x:c>
      <x:c r="D114" t="str">
        <x:v>971354</x:v>
      </x:c>
      <x:c r="E114" t="str">
        <x:v>PER ALI 2250X70X15 RT RL55RC PET BCO STD</x:v>
      </x:c>
      <x:c r="F114" t="str"/>
      <x:c r="G114" t="str"/>
      <x:c r="H114" t="str"/>
      <x:c r="I114" t="str">
        <x:v>ESMALTE</x:v>
      </x:c>
      <x:c r="J114" t="str">
        <x:v>BRANCO CARRARA</x:v>
      </x:c>
      <x:c r="K114" t="str">
        <x:v>0</x:v>
      </x:c>
      <x:c r="L114" t="str">
        <x:v>2</x:v>
      </x:c>
      <x:c r="M114" t="str">
        <x:v>0</x:v>
      </x:c>
      <x:c r="N114" t="str">
        <x:v>4500262368</x:v>
      </x:c>
      <x:c r="O114" t="str"/>
      <x:c r="P114" t="str">
        <x:v>Liberada Para Producao</x:v>
      </x:c>
      <x:c r="Q114" t="str">
        <x:v>609161</x:v>
      </x:c>
      <x:c r="R114" t="str">
        <x:v>0</x:v>
      </x:c>
      <x:c r="S114" t="str"/>
      <x:c r="T114" t="str"/>
      <x:c r="U114" t="str"/>
      <x:c r="V114" t="str"/>
      <x:c r="W114" t="str">
        <x:v>N/A</x:v>
      </x:c>
      <x:c r="X114" t="str">
        <x:v>0</x:v>
      </x:c>
      <x:c r="Y114" t="str">
        <x:v>0</x:v>
      </x:c>
      <x:c r="Z114" t="str">
        <x:v>0</x:v>
      </x:c>
      <x:c r="AA114" t="str">
        <x:v>N/A</x:v>
      </x:c>
      <x:c r="AB114" t="str">
        <x:v>N/A</x:v>
      </x:c>
      <x:c r="AC114" t="str">
        <x:v>N/A</x:v>
      </x:c>
      <x:c r="AD114" t="str">
        <x:v>N/A</x:v>
      </x:c>
      <x:c r="AE114" t="str">
        <x:v>N/A</x:v>
      </x:c>
    </x:row>
    <x:row r="115">
      <x:c r="A115" t="str">
        <x:v>51</x:v>
      </x:c>
      <x:c r="B115" t="str">
        <x:v>26684</x:v>
      </x:c>
      <x:c r="C115" t="str">
        <x:v>7</x:v>
      </x:c>
      <x:c r="D115" t="str">
        <x:v>981166</x:v>
      </x:c>
      <x:c r="E115" t="str">
        <x:v>T A 1100X70X15 RTO RL55 REC PET BCO(STD)</x:v>
      </x:c>
      <x:c r="F115" t="str"/>
      <x:c r="G115" t="str"/>
      <x:c r="H115" t="str"/>
      <x:c r="I115" t="str">
        <x:v>ESMALTE</x:v>
      </x:c>
      <x:c r="J115" t="str">
        <x:v>BRANCO CARRARA</x:v>
      </x:c>
      <x:c r="K115" t="str">
        <x:v>0</x:v>
      </x:c>
      <x:c r="L115" t="str">
        <x:v>1</x:v>
      </x:c>
      <x:c r="M115" t="str">
        <x:v>0</x:v>
      </x:c>
      <x:c r="N115" t="str">
        <x:v>4500262368</x:v>
      </x:c>
      <x:c r="O115" t="str"/>
      <x:c r="P115" t="str">
        <x:v>Liberada Para Producao</x:v>
      </x:c>
      <x:c r="Q115" t="str">
        <x:v>609162</x:v>
      </x:c>
      <x:c r="R115" t="str">
        <x:v>0</x:v>
      </x:c>
      <x:c r="S115" t="str"/>
      <x:c r="T115" t="str"/>
      <x:c r="U115" t="str"/>
      <x:c r="V115" t="str"/>
      <x:c r="W115" t="str">
        <x:v>N/A</x:v>
      </x:c>
      <x:c r="X115" t="str">
        <x:v>0</x:v>
      </x:c>
      <x:c r="Y115" t="str">
        <x:v>0</x:v>
      </x:c>
      <x:c r="Z115" t="str">
        <x:v>0</x:v>
      </x:c>
      <x:c r="AA115" t="str">
        <x:v>0</x:v>
      </x:c>
      <x:c r="AB115" t="str">
        <x:v>N/A</x:v>
      </x:c>
      <x:c r="AC115" t="str">
        <x:v>N/A</x:v>
      </x:c>
      <x:c r="AD115" t="str">
        <x:v>N/A</x:v>
      </x:c>
      <x:c r="AE115" t="str">
        <x:v>N/A</x:v>
      </x:c>
    </x:row>
    <x:row r="116">
      <x:c r="A116" t="str">
        <x:v>51</x:v>
      </x:c>
      <x:c r="B116" t="str">
        <x:v>26684</x:v>
      </x:c>
      <x:c r="C116" t="str">
        <x:v>7</x:v>
      </x:c>
      <x:c r="D116" t="str">
        <x:v>981556</x:v>
      </x:c>
      <x:c r="E116" t="str">
        <x:v>T A 1100X70X15 RTO LMN REC PET BCO(STD)</x:v>
      </x:c>
      <x:c r="F116" t="str"/>
      <x:c r="G116" t="str"/>
      <x:c r="H116" t="str"/>
      <x:c r="I116" t="str">
        <x:v>ESMALTE</x:v>
      </x:c>
      <x:c r="J116" t="str">
        <x:v>BRANCO CARRARA</x:v>
      </x:c>
      <x:c r="K116" t="str">
        <x:v>0</x:v>
      </x:c>
      <x:c r="L116" t="str">
        <x:v>1</x:v>
      </x:c>
      <x:c r="M116" t="str">
        <x:v>0</x:v>
      </x:c>
      <x:c r="N116" t="str">
        <x:v>4500262368</x:v>
      </x:c>
      <x:c r="O116" t="str"/>
      <x:c r="P116" t="str">
        <x:v>Liberada Para Producao</x:v>
      </x:c>
      <x:c r="Q116" t="str">
        <x:v>609163</x:v>
      </x:c>
      <x:c r="R116" t="str">
        <x:v>0</x:v>
      </x:c>
      <x:c r="S116" t="str"/>
      <x:c r="T116" t="str"/>
      <x:c r="U116" t="str"/>
      <x:c r="V116" t="str"/>
      <x:c r="W116" t="str">
        <x:v>N/A</x:v>
      </x:c>
      <x:c r="X116" t="str">
        <x:v>0</x:v>
      </x:c>
      <x:c r="Y116" t="str">
        <x:v>0</x:v>
      </x:c>
      <x:c r="Z116" t="str">
        <x:v>0</x:v>
      </x:c>
      <x:c r="AA116" t="str">
        <x:v>0</x:v>
      </x:c>
      <x:c r="AB116" t="str">
        <x:v>N/A</x:v>
      </x:c>
      <x:c r="AC116" t="str">
        <x:v>N/A</x:v>
      </x:c>
      <x:c r="AD116" t="str">
        <x:v>N/A</x:v>
      </x:c>
      <x:c r="AE116" t="str">
        <x:v>N/A</x:v>
      </x:c>
    </x:row>
    <x:row r="117">
      <x:c r="A117" t="str">
        <x:v>51</x:v>
      </x:c>
      <x:c r="B117" t="str">
        <x:v>26684</x:v>
      </x:c>
      <x:c r="C117" t="str">
        <x:v>7</x:v>
      </x:c>
      <x:c r="D117" t="str">
        <x:v>4731234381</x:v>
      </x:c>
      <x:c r="E117" t="str">
        <x:v>FP COLM HDF 3 2100x820x35 ESM BCO C C/US</x:v>
      </x:c>
      <x:c r="F117" t="str"/>
      <x:c r="G117" t="str"/>
      <x:c r="H117" t="str"/>
      <x:c r="I117" t="str">
        <x:v>ESMALTE</x:v>
      </x:c>
      <x:c r="J117" t="str">
        <x:v>BRANCO CARRARA</x:v>
      </x:c>
      <x:c r="K117" t="str">
        <x:v>0</x:v>
      </x:c>
      <x:c r="L117" t="str">
        <x:v>1</x:v>
      </x:c>
      <x:c r="M117" t="str">
        <x:v>0,06</x:v>
      </x:c>
      <x:c r="N117" t="str">
        <x:v>4500262368</x:v>
      </x:c>
      <x:c r="O117" t="str"/>
      <x:c r="P117" t="str">
        <x:v>Liberada Para Producao</x:v>
      </x:c>
      <x:c r="Q117" t="str">
        <x:v>609164</x:v>
      </x:c>
      <x:c r="R117" t="str">
        <x:v>66,67</x:v>
      </x:c>
      <x:c r="S117" t="str">
        <x:v>1</x:v>
      </x:c>
      <x:c r="T117" t="str">
        <x:v>PORTA LINHA PREMIUM</x:v>
      </x:c>
      <x:c r="U117" t="str"/>
      <x:c r="V117" t="str"/>
      <x:c r="W117" t="str">
        <x:v>N/A</x:v>
      </x:c>
      <x:c r="X117" t="str">
        <x:v>100</x:v>
      </x:c>
      <x:c r="Y117" t="str">
        <x:v>N/A</x:v>
      </x:c>
      <x:c r="Z117" t="str">
        <x:v>N/A</x:v>
      </x:c>
      <x:c r="AA117" t="str">
        <x:v>N/A</x:v>
      </x:c>
      <x:c r="AB117" t="str">
        <x:v>100</x:v>
      </x:c>
      <x:c r="AC117" t="str">
        <x:v>N/A</x:v>
      </x:c>
      <x:c r="AD117" t="str">
        <x:v>0</x:v>
      </x:c>
      <x:c r="AE117" t="str">
        <x:v>N/A</x:v>
      </x:c>
    </x:row>
    <x:row r="118">
      <x:c r="A118" t="str">
        <x:v>51</x:v>
      </x:c>
      <x:c r="B118" t="str">
        <x:v>26684</x:v>
      </x:c>
      <x:c r="C118" t="str">
        <x:v>8</x:v>
      </x:c>
      <x:c r="D118" t="str">
        <x:v>956042</x:v>
      </x:c>
      <x:c r="E118" t="str">
        <x:v>2250X70X15 RTO LME REC PET BCO IMP(STD)</x:v>
      </x:c>
      <x:c r="F118" t="str"/>
      <x:c r="G118" t="str"/>
      <x:c r="H118" t="str"/>
      <x:c r="I118" t="str">
        <x:v>ESMALTE</x:v>
      </x:c>
      <x:c r="J118" t="str">
        <x:v>BRANCO CARRARA</x:v>
      </x:c>
      <x:c r="K118" t="str">
        <x:v>0</x:v>
      </x:c>
      <x:c r="L118" t="str">
        <x:v>10</x:v>
      </x:c>
      <x:c r="M118" t="str">
        <x:v>0</x:v>
      </x:c>
      <x:c r="N118" t="str">
        <x:v>4500262368</x:v>
      </x:c>
      <x:c r="O118" t="str"/>
      <x:c r="P118" t="str">
        <x:v>Liberada Para Producao</x:v>
      </x:c>
      <x:c r="Q118" t="str">
        <x:v>609166</x:v>
      </x:c>
      <x:c r="R118" t="str">
        <x:v>0</x:v>
      </x:c>
      <x:c r="S118" t="str"/>
      <x:c r="T118" t="str"/>
      <x:c r="U118" t="str"/>
      <x:c r="V118" t="str"/>
      <x:c r="W118" t="str">
        <x:v>N/A</x:v>
      </x:c>
      <x:c r="X118" t="str">
        <x:v>0</x:v>
      </x:c>
      <x:c r="Y118" t="str">
        <x:v>0</x:v>
      </x:c>
      <x:c r="Z118" t="str">
        <x:v>0</x:v>
      </x:c>
      <x:c r="AA118" t="str">
        <x:v>N/A</x:v>
      </x:c>
      <x:c r="AB118" t="str">
        <x:v>N/A</x:v>
      </x:c>
      <x:c r="AC118" t="str">
        <x:v>N/A</x:v>
      </x:c>
      <x:c r="AD118" t="str">
        <x:v>N/A</x:v>
      </x:c>
      <x:c r="AE118" t="str">
        <x:v>N/A</x:v>
      </x:c>
    </x:row>
    <x:row r="119">
      <x:c r="A119" t="str">
        <x:v>51</x:v>
      </x:c>
      <x:c r="B119" t="str">
        <x:v>26684</x:v>
      </x:c>
      <x:c r="C119" t="str">
        <x:v>8</x:v>
      </x:c>
      <x:c r="D119" t="str">
        <x:v>971354</x:v>
      </x:c>
      <x:c r="E119" t="str">
        <x:v>PER ALI 2250X70X15 RT RL55RC PET BCO STD</x:v>
      </x:c>
      <x:c r="F119" t="str"/>
      <x:c r="G119" t="str"/>
      <x:c r="H119" t="str"/>
      <x:c r="I119" t="str">
        <x:v>ESMALTE</x:v>
      </x:c>
      <x:c r="J119" t="str">
        <x:v>BRANCO CARRARA</x:v>
      </x:c>
      <x:c r="K119" t="str">
        <x:v>0</x:v>
      </x:c>
      <x:c r="L119" t="str">
        <x:v>10</x:v>
      </x:c>
      <x:c r="M119" t="str">
        <x:v>0</x:v>
      </x:c>
      <x:c r="N119" t="str">
        <x:v>4500262368</x:v>
      </x:c>
      <x:c r="O119" t="str"/>
      <x:c r="P119" t="str">
        <x:v>Liberada Para Producao</x:v>
      </x:c>
      <x:c r="Q119" t="str">
        <x:v>609167</x:v>
      </x:c>
      <x:c r="R119" t="str">
        <x:v>0</x:v>
      </x:c>
      <x:c r="S119" t="str"/>
      <x:c r="T119" t="str"/>
      <x:c r="U119" t="str"/>
      <x:c r="V119" t="str"/>
      <x:c r="W119" t="str">
        <x:v>N/A</x:v>
      </x:c>
      <x:c r="X119" t="str">
        <x:v>0</x:v>
      </x:c>
      <x:c r="Y119" t="str">
        <x:v>0</x:v>
      </x:c>
      <x:c r="Z119" t="str">
        <x:v>0</x:v>
      </x:c>
      <x:c r="AA119" t="str">
        <x:v>N/A</x:v>
      </x:c>
      <x:c r="AB119" t="str">
        <x:v>N/A</x:v>
      </x:c>
      <x:c r="AC119" t="str">
        <x:v>N/A</x:v>
      </x:c>
      <x:c r="AD119" t="str">
        <x:v>N/A</x:v>
      </x:c>
      <x:c r="AE119" t="str">
        <x:v>N/A</x:v>
      </x:c>
    </x:row>
    <x:row r="120">
      <x:c r="A120" t="str">
        <x:v>51</x:v>
      </x:c>
      <x:c r="B120" t="str">
        <x:v>26684</x:v>
      </x:c>
      <x:c r="C120" t="str">
        <x:v>8</x:v>
      </x:c>
      <x:c r="D120" t="str">
        <x:v>972550</x:v>
      </x:c>
      <x:c r="E120" t="str">
        <x:v>2110x120x30 42x10R2L R1BIA PET STD PRM U</x:v>
      </x:c>
      <x:c r="F120" t="str"/>
      <x:c r="G120" t="str"/>
      <x:c r="H120" t="str"/>
      <x:c r="I120" t="str">
        <x:v>ESMALTE</x:v>
      </x:c>
      <x:c r="J120" t="str">
        <x:v>BRANCO CARRARA</x:v>
      </x:c>
      <x:c r="K120" t="str">
        <x:v>0</x:v>
      </x:c>
      <x:c r="L120" t="str">
        <x:v>10</x:v>
      </x:c>
      <x:c r="M120" t="str">
        <x:v>0</x:v>
      </x:c>
      <x:c r="N120" t="str">
        <x:v>4500262368</x:v>
      </x:c>
      <x:c r="O120" t="str"/>
      <x:c r="P120" t="str">
        <x:v>Liberada Para Producao</x:v>
      </x:c>
      <x:c r="Q120" t="str">
        <x:v>609168</x:v>
      </x:c>
      <x:c r="R120" t="str">
        <x:v>0</x:v>
      </x:c>
      <x:c r="S120" t="str"/>
      <x:c r="T120" t="str"/>
      <x:c r="U120" t="str"/>
      <x:c r="V120" t="str"/>
      <x:c r="W120" t="str">
        <x:v>N/A</x:v>
      </x:c>
      <x:c r="X120" t="str">
        <x:v>N/A</x:v>
      </x:c>
      <x:c r="Y120" t="str">
        <x:v>N/A</x:v>
      </x:c>
      <x:c r="Z120" t="str">
        <x:v>0</x:v>
      </x:c>
      <x:c r="AA120" t="str">
        <x:v>0</x:v>
      </x:c>
      <x:c r="AB120" t="str">
        <x:v>N/A</x:v>
      </x:c>
      <x:c r="AC120" t="str">
        <x:v>N/A</x:v>
      </x:c>
      <x:c r="AD120" t="str">
        <x:v>N/A</x:v>
      </x:c>
      <x:c r="AE120" t="str">
        <x:v>N/A</x:v>
      </x:c>
    </x:row>
    <x:row r="121">
      <x:c r="A121" t="str">
        <x:v>51</x:v>
      </x:c>
      <x:c r="B121" t="str">
        <x:v>26684</x:v>
      </x:c>
      <x:c r="C121" t="str">
        <x:v>8</x:v>
      </x:c>
      <x:c r="D121" t="str">
        <x:v>972551</x:v>
      </x:c>
      <x:c r="E121" t="str">
        <x:v>867x120x30 42x10 R2L RT BIA PET STD PREM</x:v>
      </x:c>
      <x:c r="F121" t="str"/>
      <x:c r="G121" t="str"/>
      <x:c r="H121" t="str"/>
      <x:c r="I121" t="str">
        <x:v>ESMALTE</x:v>
      </x:c>
      <x:c r="J121" t="str">
        <x:v>BRANCO CARRARA</x:v>
      </x:c>
      <x:c r="K121" t="str">
        <x:v>0</x:v>
      </x:c>
      <x:c r="L121" t="str">
        <x:v>5</x:v>
      </x:c>
      <x:c r="M121" t="str">
        <x:v>0</x:v>
      </x:c>
      <x:c r="N121" t="str">
        <x:v>4500262368</x:v>
      </x:c>
      <x:c r="O121" t="str"/>
      <x:c r="P121" t="str">
        <x:v>Liberada Para Producao</x:v>
      </x:c>
      <x:c r="Q121" t="str">
        <x:v>609169</x:v>
      </x:c>
      <x:c r="R121" t="str">
        <x:v>0</x:v>
      </x:c>
      <x:c r="S121" t="str"/>
      <x:c r="T121" t="str"/>
      <x:c r="U121" t="str"/>
      <x:c r="V121" t="str"/>
      <x:c r="W121" t="str">
        <x:v>N/A</x:v>
      </x:c>
      <x:c r="X121" t="str">
        <x:v>N/A</x:v>
      </x:c>
      <x:c r="Y121" t="str">
        <x:v>N/A</x:v>
      </x:c>
      <x:c r="Z121" t="str">
        <x:v>0</x:v>
      </x:c>
      <x:c r="AA121" t="str">
        <x:v>0</x:v>
      </x:c>
      <x:c r="AB121" t="str">
        <x:v>N/A</x:v>
      </x:c>
      <x:c r="AC121" t="str">
        <x:v>N/A</x:v>
      </x:c>
      <x:c r="AD121" t="str">
        <x:v>N/A</x:v>
      </x:c>
      <x:c r="AE121" t="str">
        <x:v>N/A</x:v>
      </x:c>
    </x:row>
    <x:row r="122">
      <x:c r="A122" t="str">
        <x:v>51</x:v>
      </x:c>
      <x:c r="B122" t="str">
        <x:v>26684</x:v>
      </x:c>
      <x:c r="C122" t="str">
        <x:v>8</x:v>
      </x:c>
      <x:c r="D122" t="str">
        <x:v>981166</x:v>
      </x:c>
      <x:c r="E122" t="str">
        <x:v>T A 1100X70X15 RTO RL55 REC PET BCO(STD)</x:v>
      </x:c>
      <x:c r="F122" t="str"/>
      <x:c r="G122" t="str"/>
      <x:c r="H122" t="str"/>
      <x:c r="I122" t="str">
        <x:v>ESMALTE</x:v>
      </x:c>
      <x:c r="J122" t="str">
        <x:v>BRANCO CARRARA</x:v>
      </x:c>
      <x:c r="K122" t="str">
        <x:v>0</x:v>
      </x:c>
      <x:c r="L122" t="str">
        <x:v>5</x:v>
      </x:c>
      <x:c r="M122" t="str">
        <x:v>0</x:v>
      </x:c>
      <x:c r="N122" t="str">
        <x:v>4500262368</x:v>
      </x:c>
      <x:c r="O122" t="str"/>
      <x:c r="P122" t="str">
        <x:v>Liberada Para Producao</x:v>
      </x:c>
      <x:c r="Q122" t="str">
        <x:v>609170</x:v>
      </x:c>
      <x:c r="R122" t="str">
        <x:v>0</x:v>
      </x:c>
      <x:c r="S122" t="str"/>
      <x:c r="T122" t="str"/>
      <x:c r="U122" t="str"/>
      <x:c r="V122" t="str"/>
      <x:c r="W122" t="str">
        <x:v>N/A</x:v>
      </x:c>
      <x:c r="X122" t="str">
        <x:v>0</x:v>
      </x:c>
      <x:c r="Y122" t="str">
        <x:v>0</x:v>
      </x:c>
      <x:c r="Z122" t="str">
        <x:v>0</x:v>
      </x:c>
      <x:c r="AA122" t="str">
        <x:v>0</x:v>
      </x:c>
      <x:c r="AB122" t="str">
        <x:v>N/A</x:v>
      </x:c>
      <x:c r="AC122" t="str">
        <x:v>N/A</x:v>
      </x:c>
      <x:c r="AD122" t="str">
        <x:v>N/A</x:v>
      </x:c>
      <x:c r="AE122" t="str">
        <x:v>N/A</x:v>
      </x:c>
    </x:row>
    <x:row r="123">
      <x:c r="A123" t="str">
        <x:v>51</x:v>
      </x:c>
      <x:c r="B123" t="str">
        <x:v>26684</x:v>
      </x:c>
      <x:c r="C123" t="str">
        <x:v>8</x:v>
      </x:c>
      <x:c r="D123" t="str">
        <x:v>981556</x:v>
      </x:c>
      <x:c r="E123" t="str">
        <x:v>T A 1100X70X15 RTO LMN REC PET BCO(STD)</x:v>
      </x:c>
      <x:c r="F123" t="str"/>
      <x:c r="G123" t="str"/>
      <x:c r="H123" t="str"/>
      <x:c r="I123" t="str">
        <x:v>ESMALTE</x:v>
      </x:c>
      <x:c r="J123" t="str">
        <x:v>BRANCO CARRARA</x:v>
      </x:c>
      <x:c r="K123" t="str">
        <x:v>0</x:v>
      </x:c>
      <x:c r="L123" t="str">
        <x:v>5</x:v>
      </x:c>
      <x:c r="M123" t="str">
        <x:v>0</x:v>
      </x:c>
      <x:c r="N123" t="str">
        <x:v>4500262368</x:v>
      </x:c>
      <x:c r="O123" t="str"/>
      <x:c r="P123" t="str">
        <x:v>Liberada Para Producao</x:v>
      </x:c>
      <x:c r="Q123" t="str">
        <x:v>609171</x:v>
      </x:c>
      <x:c r="R123" t="str">
        <x:v>0</x:v>
      </x:c>
      <x:c r="S123" t="str"/>
      <x:c r="T123" t="str"/>
      <x:c r="U123" t="str"/>
      <x:c r="V123" t="str"/>
      <x:c r="W123" t="str">
        <x:v>N/A</x:v>
      </x:c>
      <x:c r="X123" t="str">
        <x:v>0</x:v>
      </x:c>
      <x:c r="Y123" t="str">
        <x:v>0</x:v>
      </x:c>
      <x:c r="Z123" t="str">
        <x:v>0</x:v>
      </x:c>
      <x:c r="AA123" t="str">
        <x:v>0</x:v>
      </x:c>
      <x:c r="AB123" t="str">
        <x:v>N/A</x:v>
      </x:c>
      <x:c r="AC123" t="str">
        <x:v>N/A</x:v>
      </x:c>
      <x:c r="AD123" t="str">
        <x:v>N/A</x:v>
      </x:c>
      <x:c r="AE123" t="str">
        <x:v>N/A</x:v>
      </x:c>
    </x:row>
    <x:row r="124">
      <x:c r="A124" t="str">
        <x:v>51</x:v>
      </x:c>
      <x:c r="B124" t="str">
        <x:v>26684</x:v>
      </x:c>
      <x:c r="C124" t="str">
        <x:v>8</x:v>
      </x:c>
      <x:c r="D124" t="str">
        <x:v>421010017</x:v>
      </x:c>
      <x:c r="E124" t="str">
        <x:v>FP COLM HDF 3 RU 2100x820x35 ESM BCO C C</x:v>
      </x:c>
      <x:c r="F124" t="str"/>
      <x:c r="G124" t="str"/>
      <x:c r="H124" t="str"/>
      <x:c r="I124" t="str">
        <x:v>ESMALTE</x:v>
      </x:c>
      <x:c r="J124" t="str">
        <x:v>BRANCO CARRARA</x:v>
      </x:c>
      <x:c r="K124" t="str">
        <x:v>0</x:v>
      </x:c>
      <x:c r="L124" t="str">
        <x:v>5</x:v>
      </x:c>
      <x:c r="M124" t="str">
        <x:v>0,301</x:v>
      </x:c>
      <x:c r="N124" t="str">
        <x:v>4500262368</x:v>
      </x:c>
      <x:c r="O124" t="str"/>
      <x:c r="P124" t="str">
        <x:v>Liberada Para Producao</x:v>
      </x:c>
      <x:c r="Q124" t="str">
        <x:v>609172</x:v>
      </x:c>
      <x:c r="R124" t="str">
        <x:v>66,67</x:v>
      </x:c>
      <x:c r="S124" t="str">
        <x:v>1</x:v>
      </x:c>
      <x:c r="T124" t="str">
        <x:v>PORTA LINHA PREMIUM</x:v>
      </x:c>
      <x:c r="U124" t="str"/>
      <x:c r="V124" t="str"/>
      <x:c r="W124" t="str">
        <x:v>N/A</x:v>
      </x:c>
      <x:c r="X124" t="str">
        <x:v>100</x:v>
      </x:c>
      <x:c r="Y124" t="str">
        <x:v>N/A</x:v>
      </x:c>
      <x:c r="Z124" t="str">
        <x:v>N/A</x:v>
      </x:c>
      <x:c r="AA124" t="str">
        <x:v>N/A</x:v>
      </x:c>
      <x:c r="AB124" t="str">
        <x:v>100</x:v>
      </x:c>
      <x:c r="AC124" t="str">
        <x:v>N/A</x:v>
      </x:c>
      <x:c r="AD124" t="str">
        <x:v>0</x:v>
      </x:c>
      <x:c r="AE124" t="str">
        <x:v>N/A</x:v>
      </x:c>
    </x:row>
    <x:row r="125">
      <x:c r="A125" t="str">
        <x:v>51</x:v>
      </x:c>
      <x:c r="B125" t="str">
        <x:v>26684</x:v>
      </x:c>
      <x:c r="C125" t="str">
        <x:v>9</x:v>
      </x:c>
      <x:c r="D125" t="str">
        <x:v>956042</x:v>
      </x:c>
      <x:c r="E125" t="str">
        <x:v>2250X70X15 RTO LME REC PET BCO IMP(STD)</x:v>
      </x:c>
      <x:c r="F125" t="str"/>
      <x:c r="G125" t="str"/>
      <x:c r="H125" t="str"/>
      <x:c r="I125" t="str">
        <x:v>ESMALTE</x:v>
      </x:c>
      <x:c r="J125" t="str">
        <x:v>BRANCO CARRARA</x:v>
      </x:c>
      <x:c r="K125" t="str">
        <x:v>0</x:v>
      </x:c>
      <x:c r="L125" t="str">
        <x:v>114</x:v>
      </x:c>
      <x:c r="M125" t="str">
        <x:v>0</x:v>
      </x:c>
      <x:c r="N125" t="str">
        <x:v>4500262368</x:v>
      </x:c>
      <x:c r="O125" t="str"/>
      <x:c r="P125" t="str">
        <x:v>Liberada Para Producao</x:v>
      </x:c>
      <x:c r="Q125" t="str">
        <x:v>609174</x:v>
      </x:c>
      <x:c r="R125" t="str">
        <x:v>0</x:v>
      </x:c>
      <x:c r="S125" t="str"/>
      <x:c r="T125" t="str"/>
      <x:c r="U125" t="str"/>
      <x:c r="V125" t="str"/>
      <x:c r="W125" t="str">
        <x:v>N/A</x:v>
      </x:c>
      <x:c r="X125" t="str">
        <x:v>0</x:v>
      </x:c>
      <x:c r="Y125" t="str">
        <x:v>0</x:v>
      </x:c>
      <x:c r="Z125" t="str">
        <x:v>0</x:v>
      </x:c>
      <x:c r="AA125" t="str">
        <x:v>N/A</x:v>
      </x:c>
      <x:c r="AB125" t="str">
        <x:v>N/A</x:v>
      </x:c>
      <x:c r="AC125" t="str">
        <x:v>N/A</x:v>
      </x:c>
      <x:c r="AD125" t="str">
        <x:v>N/A</x:v>
      </x:c>
      <x:c r="AE125" t="str">
        <x:v>N/A</x:v>
      </x:c>
    </x:row>
    <x:row r="126">
      <x:c r="A126" t="str">
        <x:v>51</x:v>
      </x:c>
      <x:c r="B126" t="str">
        <x:v>26808</x:v>
      </x:c>
      <x:c r="C126" t="str">
        <x:v>2</x:v>
      </x:c>
      <x:c r="D126" t="str">
        <x:v>674790</x:v>
      </x:c>
      <x:c r="E126" t="str">
        <x:v>2110x130x30 42x10 R2L BIA R PET U(PREMIU</x:v>
      </x:c>
      <x:c r="F126" t="str"/>
      <x:c r="G126" t="str"/>
      <x:c r="H126" t="str"/>
      <x:c r="I126" t="str">
        <x:v>ESMALTE</x:v>
      </x:c>
      <x:c r="J126" t="str">
        <x:v>BRANCO CARRARA</x:v>
      </x:c>
      <x:c r="K126" t="str">
        <x:v>0</x:v>
      </x:c>
      <x:c r="L126" t="str">
        <x:v>32</x:v>
      </x:c>
      <x:c r="M126" t="str">
        <x:v>0</x:v>
      </x:c>
      <x:c r="N126" t="str"/>
      <x:c r="O126" t="str"/>
      <x:c r="P126" t="str">
        <x:v>Liberada Para Producao</x:v>
      </x:c>
      <x:c r="Q126" t="str">
        <x:v>608904</x:v>
      </x:c>
      <x:c r="R126" t="str">
        <x:v>0</x:v>
      </x:c>
      <x:c r="S126" t="str"/>
      <x:c r="T126" t="str"/>
      <x:c r="U126" t="str"/>
      <x:c r="V126" t="str"/>
      <x:c r="W126" t="str">
        <x:v>N/A</x:v>
      </x:c>
      <x:c r="X126" t="str">
        <x:v>N/A</x:v>
      </x:c>
      <x:c r="Y126" t="str">
        <x:v>0</x:v>
      </x:c>
      <x:c r="Z126" t="str">
        <x:v>0</x:v>
      </x:c>
      <x:c r="AA126" t="str">
        <x:v>0</x:v>
      </x:c>
      <x:c r="AB126" t="str">
        <x:v>N/A</x:v>
      </x:c>
      <x:c r="AC126" t="str">
        <x:v>N/A</x:v>
      </x:c>
      <x:c r="AD126" t="str">
        <x:v>N/A</x:v>
      </x:c>
      <x:c r="AE126" t="str">
        <x:v>N/A</x:v>
      </x:c>
    </x:row>
    <x:row r="127">
      <x:c r="A127" t="str">
        <x:v>51</x:v>
      </x:c>
      <x:c r="B127" t="str">
        <x:v>26808</x:v>
      </x:c>
      <x:c r="C127" t="str">
        <x:v>7</x:v>
      </x:c>
      <x:c r="D127" t="str">
        <x:v>674790</x:v>
      </x:c>
      <x:c r="E127" t="str">
        <x:v>2110x130x30 42x10 R2L BIA R PET U(PREMIU</x:v>
      </x:c>
      <x:c r="F127" t="str"/>
      <x:c r="G127" t="str"/>
      <x:c r="H127" t="str"/>
      <x:c r="I127" t="str">
        <x:v>ESMALTE</x:v>
      </x:c>
      <x:c r="J127" t="str">
        <x:v>BRANCO CARRARA</x:v>
      </x:c>
      <x:c r="K127" t="str">
        <x:v>0</x:v>
      </x:c>
      <x:c r="L127" t="str">
        <x:v>8</x:v>
      </x:c>
      <x:c r="M127" t="str">
        <x:v>0</x:v>
      </x:c>
      <x:c r="N127" t="str"/>
      <x:c r="O127" t="str"/>
      <x:c r="P127" t="str">
        <x:v>Liberada Para Producao</x:v>
      </x:c>
      <x:c r="Q127" t="str">
        <x:v>608944</x:v>
      </x:c>
      <x:c r="R127" t="str">
        <x:v>0</x:v>
      </x:c>
      <x:c r="S127" t="str"/>
      <x:c r="T127" t="str"/>
      <x:c r="U127" t="str"/>
      <x:c r="V127" t="str"/>
      <x:c r="W127" t="str">
        <x:v>N/A</x:v>
      </x:c>
      <x:c r="X127" t="str">
        <x:v>N/A</x:v>
      </x:c>
      <x:c r="Y127" t="str">
        <x:v>0</x:v>
      </x:c>
      <x:c r="Z127" t="str">
        <x:v>0</x:v>
      </x:c>
      <x:c r="AA127" t="str">
        <x:v>0</x:v>
      </x:c>
      <x:c r="AB127" t="str">
        <x:v>N/A</x:v>
      </x:c>
      <x:c r="AC127" t="str">
        <x:v>N/A</x:v>
      </x:c>
      <x:c r="AD127" t="str">
        <x:v>N/A</x:v>
      </x:c>
      <x:c r="AE127" t="str">
        <x:v>N/A</x:v>
      </x:c>
    </x:row>
    <x:row r="128">
      <x:c r="A128" t="str">
        <x:v>51</x:v>
      </x:c>
      <x:c r="B128" t="str">
        <x:v>26684</x:v>
      </x:c>
      <x:c r="C128" t="str">
        <x:v>9</x:v>
      </x:c>
      <x:c r="D128" t="str">
        <x:v>971354</x:v>
      </x:c>
      <x:c r="E128" t="str">
        <x:v>PER ALI 2250X70X15 RT RL55RC PET BCO STD</x:v>
      </x:c>
      <x:c r="F128" t="str"/>
      <x:c r="G128" t="str"/>
      <x:c r="H128" t="str"/>
      <x:c r="I128" t="str">
        <x:v>ESMALTE</x:v>
      </x:c>
      <x:c r="J128" t="str">
        <x:v>BRANCO CARRARA</x:v>
      </x:c>
      <x:c r="K128" t="str">
        <x:v>0</x:v>
      </x:c>
      <x:c r="L128" t="str">
        <x:v>114</x:v>
      </x:c>
      <x:c r="M128" t="str">
        <x:v>0</x:v>
      </x:c>
      <x:c r="N128" t="str">
        <x:v>4500262368</x:v>
      </x:c>
      <x:c r="O128" t="str"/>
      <x:c r="P128" t="str">
        <x:v>Liberada Para Producao</x:v>
      </x:c>
      <x:c r="Q128" t="str">
        <x:v>609177</x:v>
      </x:c>
      <x:c r="R128" t="str">
        <x:v>0</x:v>
      </x:c>
      <x:c r="S128" t="str"/>
      <x:c r="T128" t="str"/>
      <x:c r="U128" t="str"/>
      <x:c r="V128" t="str"/>
      <x:c r="W128" t="str">
        <x:v>N/A</x:v>
      </x:c>
      <x:c r="X128" t="str">
        <x:v>0</x:v>
      </x:c>
      <x:c r="Y128" t="str">
        <x:v>0</x:v>
      </x:c>
      <x:c r="Z128" t="str">
        <x:v>0</x:v>
      </x:c>
      <x:c r="AA128" t="str">
        <x:v>N/A</x:v>
      </x:c>
      <x:c r="AB128" t="str">
        <x:v>N/A</x:v>
      </x:c>
      <x:c r="AC128" t="str">
        <x:v>N/A</x:v>
      </x:c>
      <x:c r="AD128" t="str">
        <x:v>N/A</x:v>
      </x:c>
      <x:c r="AE128" t="str">
        <x:v>N/A</x:v>
      </x:c>
    </x:row>
    <x:row r="129">
      <x:c r="A129" t="str">
        <x:v>51</x:v>
      </x:c>
      <x:c r="B129" t="str">
        <x:v>26684</x:v>
      </x:c>
      <x:c r="C129" t="str">
        <x:v>9</x:v>
      </x:c>
      <x:c r="D129" t="str">
        <x:v>981166</x:v>
      </x:c>
      <x:c r="E129" t="str">
        <x:v>T A 1100X70X15 RTO RL55 REC PET BCO(STD)</x:v>
      </x:c>
      <x:c r="F129" t="str"/>
      <x:c r="G129" t="str"/>
      <x:c r="H129" t="str"/>
      <x:c r="I129" t="str">
        <x:v>ESMALTE</x:v>
      </x:c>
      <x:c r="J129" t="str">
        <x:v>BRANCO CARRARA</x:v>
      </x:c>
      <x:c r="K129" t="str">
        <x:v>0</x:v>
      </x:c>
      <x:c r="L129" t="str">
        <x:v>57</x:v>
      </x:c>
      <x:c r="M129" t="str">
        <x:v>0</x:v>
      </x:c>
      <x:c r="N129" t="str">
        <x:v>4500262368</x:v>
      </x:c>
      <x:c r="O129" t="str"/>
      <x:c r="P129" t="str">
        <x:v>Liberada Para Producao</x:v>
      </x:c>
      <x:c r="Q129" t="str">
        <x:v>609178</x:v>
      </x:c>
      <x:c r="R129" t="str">
        <x:v>0</x:v>
      </x:c>
      <x:c r="S129" t="str"/>
      <x:c r="T129" t="str"/>
      <x:c r="U129" t="str"/>
      <x:c r="V129" t="str"/>
      <x:c r="W129" t="str">
        <x:v>N/A</x:v>
      </x:c>
      <x:c r="X129" t="str">
        <x:v>0</x:v>
      </x:c>
      <x:c r="Y129" t="str">
        <x:v>0</x:v>
      </x:c>
      <x:c r="Z129" t="str">
        <x:v>0</x:v>
      </x:c>
      <x:c r="AA129" t="str">
        <x:v>0</x:v>
      </x:c>
      <x:c r="AB129" t="str">
        <x:v>N/A</x:v>
      </x:c>
      <x:c r="AC129" t="str">
        <x:v>N/A</x:v>
      </x:c>
      <x:c r="AD129" t="str">
        <x:v>N/A</x:v>
      </x:c>
      <x:c r="AE129" t="str">
        <x:v>N/A</x:v>
      </x:c>
    </x:row>
    <x:row r="130">
      <x:c r="A130" t="str">
        <x:v>51</x:v>
      </x:c>
      <x:c r="B130" t="str">
        <x:v>26684</x:v>
      </x:c>
      <x:c r="C130" t="str">
        <x:v>9</x:v>
      </x:c>
      <x:c r="D130" t="str">
        <x:v>981556</x:v>
      </x:c>
      <x:c r="E130" t="str">
        <x:v>T A 1100X70X15 RTO LMN REC PET BCO(STD)</x:v>
      </x:c>
      <x:c r="F130" t="str"/>
      <x:c r="G130" t="str"/>
      <x:c r="H130" t="str"/>
      <x:c r="I130" t="str">
        <x:v>ESMALTE</x:v>
      </x:c>
      <x:c r="J130" t="str">
        <x:v>BRANCO CARRARA</x:v>
      </x:c>
      <x:c r="K130" t="str">
        <x:v>0</x:v>
      </x:c>
      <x:c r="L130" t="str">
        <x:v>57</x:v>
      </x:c>
      <x:c r="M130" t="str">
        <x:v>0</x:v>
      </x:c>
      <x:c r="N130" t="str">
        <x:v>4500262368</x:v>
      </x:c>
      <x:c r="O130" t="str"/>
      <x:c r="P130" t="str">
        <x:v>Liberada Para Producao</x:v>
      </x:c>
      <x:c r="Q130" t="str">
        <x:v>609179</x:v>
      </x:c>
      <x:c r="R130" t="str">
        <x:v>0</x:v>
      </x:c>
      <x:c r="S130" t="str"/>
      <x:c r="T130" t="str"/>
      <x:c r="U130" t="str"/>
      <x:c r="V130" t="str"/>
      <x:c r="W130" t="str">
        <x:v>N/A</x:v>
      </x:c>
      <x:c r="X130" t="str">
        <x:v>0</x:v>
      </x:c>
      <x:c r="Y130" t="str">
        <x:v>0</x:v>
      </x:c>
      <x:c r="Z130" t="str">
        <x:v>0</x:v>
      </x:c>
      <x:c r="AA130" t="str">
        <x:v>0</x:v>
      </x:c>
      <x:c r="AB130" t="str">
        <x:v>N/A</x:v>
      </x:c>
      <x:c r="AC130" t="str">
        <x:v>N/A</x:v>
      </x:c>
      <x:c r="AD130" t="str">
        <x:v>N/A</x:v>
      </x:c>
      <x:c r="AE130" t="str">
        <x:v>N/A</x:v>
      </x:c>
    </x:row>
    <x:row r="131">
      <x:c r="A131" t="str">
        <x:v>51</x:v>
      </x:c>
      <x:c r="B131" t="str">
        <x:v>26684</x:v>
      </x:c>
      <x:c r="C131" t="str">
        <x:v>9</x:v>
      </x:c>
      <x:c r="D131" t="str">
        <x:v>421010017</x:v>
      </x:c>
      <x:c r="E131" t="str">
        <x:v>FP COLM HDF 3 RU 2100x820x35 ESM BCO C C</x:v>
      </x:c>
      <x:c r="F131" t="str"/>
      <x:c r="G131" t="str"/>
      <x:c r="H131" t="str"/>
      <x:c r="I131" t="str">
        <x:v>ESMALTE</x:v>
      </x:c>
      <x:c r="J131" t="str">
        <x:v>BRANCO CARRARA</x:v>
      </x:c>
      <x:c r="K131" t="str">
        <x:v>0</x:v>
      </x:c>
      <x:c r="L131" t="str">
        <x:v>57</x:v>
      </x:c>
      <x:c r="M131" t="str">
        <x:v>3,435</x:v>
      </x:c>
      <x:c r="N131" t="str">
        <x:v>4500262368</x:v>
      </x:c>
      <x:c r="O131" t="str"/>
      <x:c r="P131" t="str">
        <x:v>Liberada Para Producao</x:v>
      </x:c>
      <x:c r="Q131" t="str">
        <x:v>609180</x:v>
      </x:c>
      <x:c r="R131" t="str">
        <x:v>46,78</x:v>
      </x:c>
      <x:c r="S131" t="str">
        <x:v>1</x:v>
      </x:c>
      <x:c r="T131" t="str">
        <x:v>PORTA LINHA PREMIUM</x:v>
      </x:c>
      <x:c r="U131" t="str"/>
      <x:c r="V131" t="str"/>
      <x:c r="W131" t="str">
        <x:v>N/A</x:v>
      </x:c>
      <x:c r="X131" t="str">
        <x:v>100</x:v>
      </x:c>
      <x:c r="Y131" t="str">
        <x:v>N/A</x:v>
      </x:c>
      <x:c r="Z131" t="str">
        <x:v>N/A</x:v>
      </x:c>
      <x:c r="AA131" t="str">
        <x:v>N/A</x:v>
      </x:c>
      <x:c r="AB131" t="str">
        <x:v>40,35</x:v>
      </x:c>
      <x:c r="AC131" t="str">
        <x:v>N/A</x:v>
      </x:c>
      <x:c r="AD131" t="str">
        <x:v>0</x:v>
      </x:c>
      <x:c r="AE131" t="str">
        <x:v>N/A</x:v>
      </x:c>
    </x:row>
    <x:row r="132">
      <x:c r="A132" t="str">
        <x:v>51</x:v>
      </x:c>
      <x:c r="B132" t="str">
        <x:v>26684</x:v>
      </x:c>
      <x:c r="C132" t="str">
        <x:v>10</x:v>
      </x:c>
      <x:c r="D132" t="str">
        <x:v>971353</x:v>
      </x:c>
      <x:c r="E132" t="str">
        <x:v>2200X70X15 RTO RL55 REC PET BCO IMP(STD)</x:v>
      </x:c>
      <x:c r="F132" t="str"/>
      <x:c r="G132" t="str"/>
      <x:c r="H132" t="str"/>
      <x:c r="I132" t="str">
        <x:v>ESMALTE</x:v>
      </x:c>
      <x:c r="J132" t="str">
        <x:v>BRANCO CARRARA</x:v>
      </x:c>
      <x:c r="K132" t="str">
        <x:v>0</x:v>
      </x:c>
      <x:c r="L132" t="str">
        <x:v>4</x:v>
      </x:c>
      <x:c r="M132" t="str">
        <x:v>0,009</x:v>
      </x:c>
      <x:c r="N132" t="str">
        <x:v>4500262368</x:v>
      </x:c>
      <x:c r="O132" t="str"/>
      <x:c r="P132" t="str">
        <x:v>Liberada Para Producao</x:v>
      </x:c>
      <x:c r="Q132" t="str">
        <x:v>609182</x:v>
      </x:c>
      <x:c r="R132" t="str">
        <x:v>0</x:v>
      </x:c>
      <x:c r="S132" t="str"/>
      <x:c r="T132" t="str"/>
      <x:c r="U132" t="str"/>
      <x:c r="V132" t="str"/>
      <x:c r="W132" t="str">
        <x:v>N/A</x:v>
      </x:c>
      <x:c r="X132" t="str">
        <x:v>0</x:v>
      </x:c>
      <x:c r="Y132" t="str">
        <x:v>0</x:v>
      </x:c>
      <x:c r="Z132" t="str">
        <x:v>0</x:v>
      </x:c>
      <x:c r="AA132" t="str">
        <x:v>N/A</x:v>
      </x:c>
      <x:c r="AB132" t="str">
        <x:v>N/A</x:v>
      </x:c>
      <x:c r="AC132" t="str">
        <x:v>N/A</x:v>
      </x:c>
      <x:c r="AD132" t="str">
        <x:v>N/A</x:v>
      </x:c>
      <x:c r="AE132" t="str">
        <x:v>N/A</x:v>
      </x:c>
    </x:row>
    <x:row r="133">
      <x:c r="A133" t="str">
        <x:v>51</x:v>
      </x:c>
      <x:c r="B133" t="str">
        <x:v>26684</x:v>
      </x:c>
      <x:c r="C133" t="str">
        <x:v>10</x:v>
      </x:c>
      <x:c r="D133" t="str">
        <x:v>972552</x:v>
      </x:c>
      <x:c r="E133" t="str">
        <x:v>2110x140x30 42x10R2L R1BIA PET STD PRM U</x:v>
      </x:c>
      <x:c r="F133" t="str"/>
      <x:c r="G133" t="str"/>
      <x:c r="H133" t="str"/>
      <x:c r="I133" t="str">
        <x:v>ESMALTE</x:v>
      </x:c>
      <x:c r="J133" t="str">
        <x:v>BRANCO CARRARA</x:v>
      </x:c>
      <x:c r="K133" t="str">
        <x:v>0</x:v>
      </x:c>
      <x:c r="L133" t="str">
        <x:v>4</x:v>
      </x:c>
      <x:c r="M133" t="str">
        <x:v>0</x:v>
      </x:c>
      <x:c r="N133" t="str">
        <x:v>4500262368</x:v>
      </x:c>
      <x:c r="O133" t="str"/>
      <x:c r="P133" t="str">
        <x:v>Liberada Para Producao</x:v>
      </x:c>
      <x:c r="Q133" t="str">
        <x:v>609183</x:v>
      </x:c>
      <x:c r="R133" t="str">
        <x:v>0</x:v>
      </x:c>
      <x:c r="S133" t="str"/>
      <x:c r="T133" t="str"/>
      <x:c r="U133" t="str"/>
      <x:c r="V133" t="str"/>
      <x:c r="W133" t="str">
        <x:v>N/A</x:v>
      </x:c>
      <x:c r="X133" t="str">
        <x:v>N/A</x:v>
      </x:c>
      <x:c r="Y133" t="str">
        <x:v>N/A</x:v>
      </x:c>
      <x:c r="Z133" t="str">
        <x:v>0</x:v>
      </x:c>
      <x:c r="AA133" t="str">
        <x:v>0</x:v>
      </x:c>
      <x:c r="AB133" t="str">
        <x:v>N/A</x:v>
      </x:c>
      <x:c r="AC133" t="str">
        <x:v>N/A</x:v>
      </x:c>
      <x:c r="AD133" t="str">
        <x:v>N/A</x:v>
      </x:c>
      <x:c r="AE133" t="str">
        <x:v>N/A</x:v>
      </x:c>
    </x:row>
    <x:row r="134">
      <x:c r="A134" t="str">
        <x:v>51</x:v>
      </x:c>
      <x:c r="B134" t="str">
        <x:v>26684</x:v>
      </x:c>
      <x:c r="C134" t="str">
        <x:v>10</x:v>
      </x:c>
      <x:c r="D134" t="str">
        <x:v>972553</x:v>
      </x:c>
      <x:c r="E134" t="str">
        <x:v>867x140x30 42x10 R2L RT BIA PET STD PREM</x:v>
      </x:c>
      <x:c r="F134" t="str"/>
      <x:c r="G134" t="str"/>
      <x:c r="H134" t="str"/>
      <x:c r="I134" t="str">
        <x:v>ESMALTE</x:v>
      </x:c>
      <x:c r="J134" t="str">
        <x:v>BRANCO CARRARA</x:v>
      </x:c>
      <x:c r="K134" t="str">
        <x:v>0</x:v>
      </x:c>
      <x:c r="L134" t="str">
        <x:v>2</x:v>
      </x:c>
      <x:c r="M134" t="str">
        <x:v>0</x:v>
      </x:c>
      <x:c r="N134" t="str">
        <x:v>4500262368</x:v>
      </x:c>
      <x:c r="O134" t="str"/>
      <x:c r="P134" t="str">
        <x:v>Liberada Para Producao</x:v>
      </x:c>
      <x:c r="Q134" t="str">
        <x:v>609184</x:v>
      </x:c>
      <x:c r="R134" t="str">
        <x:v>0</x:v>
      </x:c>
      <x:c r="S134" t="str"/>
      <x:c r="T134" t="str"/>
      <x:c r="U134" t="str"/>
      <x:c r="V134" t="str"/>
      <x:c r="W134" t="str">
        <x:v>N/A</x:v>
      </x:c>
      <x:c r="X134" t="str">
        <x:v>N/A</x:v>
      </x:c>
      <x:c r="Y134" t="str">
        <x:v>N/A</x:v>
      </x:c>
      <x:c r="Z134" t="str">
        <x:v>0</x:v>
      </x:c>
      <x:c r="AA134" t="str">
        <x:v>0</x:v>
      </x:c>
      <x:c r="AB134" t="str">
        <x:v>N/A</x:v>
      </x:c>
      <x:c r="AC134" t="str">
        <x:v>N/A</x:v>
      </x:c>
      <x:c r="AD134" t="str">
        <x:v>N/A</x:v>
      </x:c>
      <x:c r="AE134" t="str">
        <x:v>N/A</x:v>
      </x:c>
    </x:row>
    <x:row r="135">
      <x:c r="A135" t="str">
        <x:v>51</x:v>
      </x:c>
      <x:c r="B135" t="str">
        <x:v>26684</x:v>
      </x:c>
      <x:c r="C135" t="str">
        <x:v>10</x:v>
      </x:c>
      <x:c r="D135" t="str">
        <x:v>981166</x:v>
      </x:c>
      <x:c r="E135" t="str">
        <x:v>T A 1100X70X15 RTO RL55 REC PET BCO(STD)</x:v>
      </x:c>
      <x:c r="F135" t="str"/>
      <x:c r="G135" t="str"/>
      <x:c r="H135" t="str"/>
      <x:c r="I135" t="str">
        <x:v>ESMALTE</x:v>
      </x:c>
      <x:c r="J135" t="str">
        <x:v>BRANCO CARRARA</x:v>
      </x:c>
      <x:c r="K135" t="str">
        <x:v>0</x:v>
      </x:c>
      <x:c r="L135" t="str">
        <x:v>2</x:v>
      </x:c>
      <x:c r="M135" t="str">
        <x:v>0</x:v>
      </x:c>
      <x:c r="N135" t="str">
        <x:v>4500262368</x:v>
      </x:c>
      <x:c r="O135" t="str"/>
      <x:c r="P135" t="str">
        <x:v>Liberada Para Producao</x:v>
      </x:c>
      <x:c r="Q135" t="str">
        <x:v>609185</x:v>
      </x:c>
      <x:c r="R135" t="str">
        <x:v>0</x:v>
      </x:c>
      <x:c r="S135" t="str"/>
      <x:c r="T135" t="str"/>
      <x:c r="U135" t="str"/>
      <x:c r="V135" t="str"/>
      <x:c r="W135" t="str">
        <x:v>N/A</x:v>
      </x:c>
      <x:c r="X135" t="str">
        <x:v>0</x:v>
      </x:c>
      <x:c r="Y135" t="str">
        <x:v>0</x:v>
      </x:c>
      <x:c r="Z135" t="str">
        <x:v>0</x:v>
      </x:c>
      <x:c r="AA135" t="str">
        <x:v>0</x:v>
      </x:c>
      <x:c r="AB135" t="str">
        <x:v>N/A</x:v>
      </x:c>
      <x:c r="AC135" t="str">
        <x:v>N/A</x:v>
      </x:c>
      <x:c r="AD135" t="str">
        <x:v>N/A</x:v>
      </x:c>
      <x:c r="AE135" t="str">
        <x:v>N/A</x:v>
      </x:c>
    </x:row>
    <x:row r="136">
      <x:c r="A136" t="str">
        <x:v>51</x:v>
      </x:c>
      <x:c r="B136" t="str">
        <x:v>26684</x:v>
      </x:c>
      <x:c r="C136" t="str">
        <x:v>10</x:v>
      </x:c>
      <x:c r="D136" t="str">
        <x:v>981167</x:v>
      </x:c>
      <x:c r="E136" t="str">
        <x:v>2200X70X15 RTO LME REC PET BCO IMP(STD)</x:v>
      </x:c>
      <x:c r="F136" t="str"/>
      <x:c r="G136" t="str"/>
      <x:c r="H136" t="str"/>
      <x:c r="I136" t="str">
        <x:v>ESMALTE</x:v>
      </x:c>
      <x:c r="J136" t="str">
        <x:v>BRANCO CARRARA</x:v>
      </x:c>
      <x:c r="K136" t="str">
        <x:v>0</x:v>
      </x:c>
      <x:c r="L136" t="str">
        <x:v>4</x:v>
      </x:c>
      <x:c r="M136" t="str">
        <x:v>0</x:v>
      </x:c>
      <x:c r="N136" t="str">
        <x:v>4500262368</x:v>
      </x:c>
      <x:c r="O136" t="str"/>
      <x:c r="P136" t="str">
        <x:v>Liberada Para Producao</x:v>
      </x:c>
      <x:c r="Q136" t="str">
        <x:v>609186</x:v>
      </x:c>
      <x:c r="R136" t="str">
        <x:v>0</x:v>
      </x:c>
      <x:c r="S136" t="str"/>
      <x:c r="T136" t="str"/>
      <x:c r="U136" t="str"/>
      <x:c r="V136" t="str"/>
      <x:c r="W136" t="str">
        <x:v>N/A</x:v>
      </x:c>
      <x:c r="X136" t="str">
        <x:v>0</x:v>
      </x:c>
      <x:c r="Y136" t="str">
        <x:v>0</x:v>
      </x:c>
      <x:c r="Z136" t="str">
        <x:v>0</x:v>
      </x:c>
      <x:c r="AA136" t="str">
        <x:v>N/A</x:v>
      </x:c>
      <x:c r="AB136" t="str">
        <x:v>N/A</x:v>
      </x:c>
      <x:c r="AC136" t="str">
        <x:v>N/A</x:v>
      </x:c>
      <x:c r="AD136" t="str">
        <x:v>N/A</x:v>
      </x:c>
      <x:c r="AE136" t="str">
        <x:v>N/A</x:v>
      </x:c>
    </x:row>
    <x:row r="137">
      <x:c r="A137" t="str">
        <x:v>51</x:v>
      </x:c>
      <x:c r="B137" t="str">
        <x:v>26684</x:v>
      </x:c>
      <x:c r="C137" t="str">
        <x:v>10</x:v>
      </x:c>
      <x:c r="D137" t="str">
        <x:v>981168</x:v>
      </x:c>
      <x:c r="E137" t="str">
        <x:v>T A 1000X70X15 RTO LMN REC PET BCO(STD)</x:v>
      </x:c>
      <x:c r="F137" t="str"/>
      <x:c r="G137" t="str"/>
      <x:c r="H137" t="str"/>
      <x:c r="I137" t="str">
        <x:v>ESMALTE</x:v>
      </x:c>
      <x:c r="J137" t="str">
        <x:v>BRANCO CARRARA</x:v>
      </x:c>
      <x:c r="K137" t="str">
        <x:v>0</x:v>
      </x:c>
      <x:c r="L137" t="str">
        <x:v>2</x:v>
      </x:c>
      <x:c r="M137" t="str">
        <x:v>0</x:v>
      </x:c>
      <x:c r="N137" t="str">
        <x:v>4500262368</x:v>
      </x:c>
      <x:c r="O137" t="str"/>
      <x:c r="P137" t="str">
        <x:v>Liberada Para Producao</x:v>
      </x:c>
      <x:c r="Q137" t="str">
        <x:v>609187</x:v>
      </x:c>
      <x:c r="R137" t="str">
        <x:v>0</x:v>
      </x:c>
      <x:c r="S137" t="str"/>
      <x:c r="T137" t="str"/>
      <x:c r="U137" t="str"/>
      <x:c r="V137" t="str"/>
      <x:c r="W137" t="str">
        <x:v>N/A</x:v>
      </x:c>
      <x:c r="X137" t="str">
        <x:v>0</x:v>
      </x:c>
      <x:c r="Y137" t="str">
        <x:v>0</x:v>
      </x:c>
      <x:c r="Z137" t="str">
        <x:v>0</x:v>
      </x:c>
      <x:c r="AA137" t="str">
        <x:v>0</x:v>
      </x:c>
      <x:c r="AB137" t="str">
        <x:v>N/A</x:v>
      </x:c>
      <x:c r="AC137" t="str">
        <x:v>N/A</x:v>
      </x:c>
      <x:c r="AD137" t="str">
        <x:v>N/A</x:v>
      </x:c>
      <x:c r="AE137" t="str">
        <x:v>N/A</x:v>
      </x:c>
    </x:row>
    <x:row r="138">
      <x:c r="A138" t="str">
        <x:v>51</x:v>
      </x:c>
      <x:c r="B138" t="str">
        <x:v>26684</x:v>
      </x:c>
      <x:c r="C138" t="str">
        <x:v>10</x:v>
      </x:c>
      <x:c r="D138" t="str">
        <x:v>421010017</x:v>
      </x:c>
      <x:c r="E138" t="str">
        <x:v>FP COLM HDF 3 RU 2100x820x35 ESM BCO C C</x:v>
      </x:c>
      <x:c r="F138" t="str"/>
      <x:c r="G138" t="str"/>
      <x:c r="H138" t="str"/>
      <x:c r="I138" t="str">
        <x:v>ESMALTE</x:v>
      </x:c>
      <x:c r="J138" t="str">
        <x:v>BRANCO CARRARA</x:v>
      </x:c>
      <x:c r="K138" t="str">
        <x:v>0</x:v>
      </x:c>
      <x:c r="L138" t="str">
        <x:v>2</x:v>
      </x:c>
      <x:c r="M138" t="str">
        <x:v>0,121</x:v>
      </x:c>
      <x:c r="N138" t="str">
        <x:v>4500262368</x:v>
      </x:c>
      <x:c r="O138" t="str"/>
      <x:c r="P138" t="str">
        <x:v>Liberada Para Producao</x:v>
      </x:c>
      <x:c r="Q138" t="str">
        <x:v>609188</x:v>
      </x:c>
      <x:c r="R138" t="str">
        <x:v>33,33</x:v>
      </x:c>
      <x:c r="S138" t="str">
        <x:v>1</x:v>
      </x:c>
      <x:c r="T138" t="str">
        <x:v>PORTA LINHA PREMIUM</x:v>
      </x:c>
      <x:c r="U138" t="str"/>
      <x:c r="V138" t="str"/>
      <x:c r="W138" t="str">
        <x:v>N/A</x:v>
      </x:c>
      <x:c r="X138" t="str">
        <x:v>100</x:v>
      </x:c>
      <x:c r="Y138" t="str">
        <x:v>N/A</x:v>
      </x:c>
      <x:c r="Z138" t="str">
        <x:v>N/A</x:v>
      </x:c>
      <x:c r="AA138" t="str">
        <x:v>N/A</x:v>
      </x:c>
      <x:c r="AB138" t="str">
        <x:v>0</x:v>
      </x:c>
      <x:c r="AC138" t="str">
        <x:v>N/A</x:v>
      </x:c>
      <x:c r="AD138" t="str">
        <x:v>0</x:v>
      </x:c>
      <x:c r="AE138" t="str">
        <x:v>N/A</x:v>
      </x:c>
    </x:row>
    <x:row r="139">
      <x:c r="A139" t="str">
        <x:v>51</x:v>
      </x:c>
      <x:c r="B139" t="str">
        <x:v>26689</x:v>
      </x:c>
      <x:c r="C139" t="str">
        <x:v>1</x:v>
      </x:c>
      <x:c r="D139" t="str">
        <x:v>956042</x:v>
      </x:c>
      <x:c r="E139" t="str">
        <x:v>2250X70X15 RTO LME REC PET BCO IMP(STD)</x:v>
      </x:c>
      <x:c r="F139" t="str"/>
      <x:c r="G139" t="str"/>
      <x:c r="H139" t="str"/>
      <x:c r="I139" t="str">
        <x:v>ESMALTE</x:v>
      </x:c>
      <x:c r="J139" t="str">
        <x:v>BRANCO CARRARA</x:v>
      </x:c>
      <x:c r="K139" t="str">
        <x:v>0</x:v>
      </x:c>
      <x:c r="L139" t="str">
        <x:v>64</x:v>
      </x:c>
      <x:c r="M139" t="str">
        <x:v>0</x:v>
      </x:c>
      <x:c r="N139" t="str">
        <x:v>4500262368</x:v>
      </x:c>
      <x:c r="O139" t="str"/>
      <x:c r="P139" t="str">
        <x:v>Liberada Para Producao</x:v>
      </x:c>
      <x:c r="Q139" t="str">
        <x:v>609077</x:v>
      </x:c>
      <x:c r="R139" t="str">
        <x:v>0</x:v>
      </x:c>
      <x:c r="S139" t="str"/>
      <x:c r="T139" t="str"/>
      <x:c r="U139" t="str"/>
      <x:c r="V139" t="str"/>
      <x:c r="W139" t="str">
        <x:v>N/A</x:v>
      </x:c>
      <x:c r="X139" t="str">
        <x:v>0</x:v>
      </x:c>
      <x:c r="Y139" t="str">
        <x:v>0</x:v>
      </x:c>
      <x:c r="Z139" t="str">
        <x:v>0</x:v>
      </x:c>
      <x:c r="AA139" t="str">
        <x:v>N/A</x:v>
      </x:c>
      <x:c r="AB139" t="str">
        <x:v>N/A</x:v>
      </x:c>
      <x:c r="AC139" t="str">
        <x:v>N/A</x:v>
      </x:c>
      <x:c r="AD139" t="str">
        <x:v>N/A</x:v>
      </x:c>
      <x:c r="AE139" t="str">
        <x:v>N/A</x:v>
      </x:c>
    </x:row>
    <x:row r="140">
      <x:c r="A140" t="str">
        <x:v>51</x:v>
      </x:c>
      <x:c r="B140" t="str">
        <x:v>26689</x:v>
      </x:c>
      <x:c r="C140" t="str">
        <x:v>1</x:v>
      </x:c>
      <x:c r="D140" t="str">
        <x:v>971354</x:v>
      </x:c>
      <x:c r="E140" t="str">
        <x:v>PER ALI 2250X70X15 RT RL55RC PET BCO STD</x:v>
      </x:c>
      <x:c r="F140" t="str"/>
      <x:c r="G140" t="str"/>
      <x:c r="H140" t="str"/>
      <x:c r="I140" t="str">
        <x:v>ESMALTE</x:v>
      </x:c>
      <x:c r="J140" t="str">
        <x:v>BRANCO CARRARA</x:v>
      </x:c>
      <x:c r="K140" t="str">
        <x:v>0</x:v>
      </x:c>
      <x:c r="L140" t="str">
        <x:v>64</x:v>
      </x:c>
      <x:c r="M140" t="str">
        <x:v>0</x:v>
      </x:c>
      <x:c r="N140" t="str">
        <x:v>4500262368</x:v>
      </x:c>
      <x:c r="O140" t="str"/>
      <x:c r="P140" t="str">
        <x:v>Liberada Para Producao</x:v>
      </x:c>
      <x:c r="Q140" t="str">
        <x:v>609078</x:v>
      </x:c>
      <x:c r="R140" t="str">
        <x:v>0</x:v>
      </x:c>
      <x:c r="S140" t="str"/>
      <x:c r="T140" t="str"/>
      <x:c r="U140" t="str"/>
      <x:c r="V140" t="str"/>
      <x:c r="W140" t="str">
        <x:v>N/A</x:v>
      </x:c>
      <x:c r="X140" t="str">
        <x:v>0</x:v>
      </x:c>
      <x:c r="Y140" t="str">
        <x:v>0</x:v>
      </x:c>
      <x:c r="Z140" t="str">
        <x:v>0</x:v>
      </x:c>
      <x:c r="AA140" t="str">
        <x:v>N/A</x:v>
      </x:c>
      <x:c r="AB140" t="str">
        <x:v>N/A</x:v>
      </x:c>
      <x:c r="AC140" t="str">
        <x:v>N/A</x:v>
      </x:c>
      <x:c r="AD140" t="str">
        <x:v>N/A</x:v>
      </x:c>
      <x:c r="AE140" t="str">
        <x:v>N/A</x:v>
      </x:c>
    </x:row>
    <x:row r="141">
      <x:c r="A141" t="str">
        <x:v>51</x:v>
      </x:c>
      <x:c r="B141" t="str">
        <x:v>26689</x:v>
      </x:c>
      <x:c r="C141" t="str">
        <x:v>1</x:v>
      </x:c>
      <x:c r="D141" t="str">
        <x:v>981166</x:v>
      </x:c>
      <x:c r="E141" t="str">
        <x:v>T A 1100X70X15 RTO RL55 REC PET BCO(STD)</x:v>
      </x:c>
      <x:c r="F141" t="str"/>
      <x:c r="G141" t="str"/>
      <x:c r="H141" t="str"/>
      <x:c r="I141" t="str">
        <x:v>ESMALTE</x:v>
      </x:c>
      <x:c r="J141" t="str">
        <x:v>BRANCO CARRARA</x:v>
      </x:c>
      <x:c r="K141" t="str">
        <x:v>0</x:v>
      </x:c>
      <x:c r="L141" t="str">
        <x:v>32</x:v>
      </x:c>
      <x:c r="M141" t="str">
        <x:v>0</x:v>
      </x:c>
      <x:c r="N141" t="str">
        <x:v>4500262368</x:v>
      </x:c>
      <x:c r="O141" t="str"/>
      <x:c r="P141" t="str">
        <x:v>Liberada Para Producao</x:v>
      </x:c>
      <x:c r="Q141" t="str">
        <x:v>609079</x:v>
      </x:c>
      <x:c r="R141" t="str">
        <x:v>0</x:v>
      </x:c>
      <x:c r="S141" t="str"/>
      <x:c r="T141" t="str"/>
      <x:c r="U141" t="str"/>
      <x:c r="V141" t="str"/>
      <x:c r="W141" t="str">
        <x:v>N/A</x:v>
      </x:c>
      <x:c r="X141" t="str">
        <x:v>0</x:v>
      </x:c>
      <x:c r="Y141" t="str">
        <x:v>0</x:v>
      </x:c>
      <x:c r="Z141" t="str">
        <x:v>0</x:v>
      </x:c>
      <x:c r="AA141" t="str">
        <x:v>0</x:v>
      </x:c>
      <x:c r="AB141" t="str">
        <x:v>N/A</x:v>
      </x:c>
      <x:c r="AC141" t="str">
        <x:v>N/A</x:v>
      </x:c>
      <x:c r="AD141" t="str">
        <x:v>N/A</x:v>
      </x:c>
      <x:c r="AE141" t="str">
        <x:v>N/A</x:v>
      </x:c>
    </x:row>
    <x:row r="142">
      <x:c r="A142" t="str">
        <x:v>51</x:v>
      </x:c>
      <x:c r="B142" t="str">
        <x:v>26689</x:v>
      </x:c>
      <x:c r="C142" t="str">
        <x:v>1</x:v>
      </x:c>
      <x:c r="D142" t="str">
        <x:v>981556</x:v>
      </x:c>
      <x:c r="E142" t="str">
        <x:v>T A 1100X70X15 RTO LMN REC PET BCO(STD)</x:v>
      </x:c>
      <x:c r="F142" t="str"/>
      <x:c r="G142" t="str"/>
      <x:c r="H142" t="str"/>
      <x:c r="I142" t="str">
        <x:v>ESMALTE</x:v>
      </x:c>
      <x:c r="J142" t="str">
        <x:v>BRANCO CARRARA</x:v>
      </x:c>
      <x:c r="K142" t="str">
        <x:v>0</x:v>
      </x:c>
      <x:c r="L142" t="str">
        <x:v>32</x:v>
      </x:c>
      <x:c r="M142" t="str">
        <x:v>0</x:v>
      </x:c>
      <x:c r="N142" t="str">
        <x:v>4500262368</x:v>
      </x:c>
      <x:c r="O142" t="str"/>
      <x:c r="P142" t="str">
        <x:v>Liberada Para Producao</x:v>
      </x:c>
      <x:c r="Q142" t="str">
        <x:v>609080</x:v>
      </x:c>
      <x:c r="R142" t="str">
        <x:v>0</x:v>
      </x:c>
      <x:c r="S142" t="str"/>
      <x:c r="T142" t="str"/>
      <x:c r="U142" t="str"/>
      <x:c r="V142" t="str"/>
      <x:c r="W142" t="str">
        <x:v>N/A</x:v>
      </x:c>
      <x:c r="X142" t="str">
        <x:v>0</x:v>
      </x:c>
      <x:c r="Y142" t="str">
        <x:v>0</x:v>
      </x:c>
      <x:c r="Z142" t="str">
        <x:v>0</x:v>
      </x:c>
      <x:c r="AA142" t="str">
        <x:v>0</x:v>
      </x:c>
      <x:c r="AB142" t="str">
        <x:v>N/A</x:v>
      </x:c>
      <x:c r="AC142" t="str">
        <x:v>N/A</x:v>
      </x:c>
      <x:c r="AD142" t="str">
        <x:v>N/A</x:v>
      </x:c>
      <x:c r="AE142" t="str">
        <x:v>N/A</x:v>
      </x:c>
    </x:row>
    <x:row r="143">
      <x:c r="A143" t="str">
        <x:v>51</x:v>
      </x:c>
      <x:c r="B143" t="str">
        <x:v>26689</x:v>
      </x:c>
      <x:c r="C143" t="str">
        <x:v>1</x:v>
      </x:c>
      <x:c r="D143" t="str">
        <x:v>2010600483</x:v>
      </x:c>
      <x:c r="E143" t="str">
        <x:v>M STD PET BCO CAR 2110X120X30 42X10 R2L</x:v>
      </x:c>
      <x:c r="F143" t="str"/>
      <x:c r="G143" t="str"/>
      <x:c r="H143" t="str"/>
      <x:c r="I143" t="str">
        <x:v>ESMALTE</x:v>
      </x:c>
      <x:c r="J143" t="str">
        <x:v>BRANCO CARRARA</x:v>
      </x:c>
      <x:c r="K143" t="str">
        <x:v>0</x:v>
      </x:c>
      <x:c r="L143" t="str">
        <x:v>64</x:v>
      </x:c>
      <x:c r="M143" t="str">
        <x:v>0,486</x:v>
      </x:c>
      <x:c r="N143" t="str">
        <x:v>4500262368</x:v>
      </x:c>
      <x:c r="O143" t="str"/>
      <x:c r="P143" t="str">
        <x:v>Liberada Para Producao</x:v>
      </x:c>
      <x:c r="Q143" t="str">
        <x:v>609081</x:v>
      </x:c>
      <x:c r="R143" t="str">
        <x:v>0</x:v>
      </x:c>
      <x:c r="S143" t="str">
        <x:v>1500</x:v>
      </x:c>
      <x:c r="T143" t="str">
        <x:v>PERNA DE BATENTE PREMIUM(SEMIA</x:v>
      </x:c>
      <x:c r="U143" t="str"/>
      <x:c r="V143" t="str"/>
      <x:c r="W143" t="str">
        <x:v>N/A</x:v>
      </x:c>
      <x:c r="X143" t="str">
        <x:v>N/A</x:v>
      </x:c>
      <x:c r="Y143" t="str">
        <x:v>N/A</x:v>
      </x:c>
      <x:c r="Z143" t="str">
        <x:v>0</x:v>
      </x:c>
      <x:c r="AA143" t="str">
        <x:v>0</x:v>
      </x:c>
      <x:c r="AB143" t="str">
        <x:v>N/A</x:v>
      </x:c>
      <x:c r="AC143" t="str">
        <x:v>N/A</x:v>
      </x:c>
      <x:c r="AD143" t="str">
        <x:v>N/A</x:v>
      </x:c>
      <x:c r="AE143" t="str">
        <x:v>N/A</x:v>
      </x:c>
    </x:row>
    <x:row r="144">
      <x:c r="A144" t="str">
        <x:v>51</x:v>
      </x:c>
      <x:c r="B144" t="str">
        <x:v>26689</x:v>
      </x:c>
      <x:c r="C144" t="str">
        <x:v>1</x:v>
      </x:c>
      <x:c r="D144" t="str">
        <x:v>2010600484</x:v>
      </x:c>
      <x:c r="E144" t="str">
        <x:v>M STD PET BCO CAR 867X120X30 42X10 R2L M</x:v>
      </x:c>
      <x:c r="F144" t="str"/>
      <x:c r="G144" t="str"/>
      <x:c r="H144" t="str"/>
      <x:c r="I144" t="str">
        <x:v>ESMALTE</x:v>
      </x:c>
      <x:c r="J144" t="str">
        <x:v>BRANCO CARRARA</x:v>
      </x:c>
      <x:c r="K144" t="str">
        <x:v>0</x:v>
      </x:c>
      <x:c r="L144" t="str">
        <x:v>32</x:v>
      </x:c>
      <x:c r="M144" t="str">
        <x:v>0,1</x:v>
      </x:c>
      <x:c r="N144" t="str">
        <x:v>4500262368</x:v>
      </x:c>
      <x:c r="O144" t="str"/>
      <x:c r="P144" t="str">
        <x:v>Liberada Para Producao</x:v>
      </x:c>
      <x:c r="Q144" t="str">
        <x:v>609082</x:v>
      </x:c>
      <x:c r="R144" t="str">
        <x:v>0</x:v>
      </x:c>
      <x:c r="S144" t="str">
        <x:v>1502</x:v>
      </x:c>
      <x:c r="T144" t="str">
        <x:v>TV.BAT. 680-1100 PET/PVC(SEMI)</x:v>
      </x:c>
      <x:c r="U144" t="str"/>
      <x:c r="V144" t="str"/>
      <x:c r="W144" t="str">
        <x:v>N/A</x:v>
      </x:c>
      <x:c r="X144" t="str">
        <x:v>N/A</x:v>
      </x:c>
      <x:c r="Y144" t="str">
        <x:v>N/A</x:v>
      </x:c>
      <x:c r="Z144" t="str">
        <x:v>0</x:v>
      </x:c>
      <x:c r="AA144" t="str">
        <x:v>0</x:v>
      </x:c>
      <x:c r="AB144" t="str">
        <x:v>N/A</x:v>
      </x:c>
      <x:c r="AC144" t="str">
        <x:v>N/A</x:v>
      </x:c>
      <x:c r="AD144" t="str">
        <x:v>N/A</x:v>
      </x:c>
      <x:c r="AE144" t="str">
        <x:v>N/A</x:v>
      </x:c>
    </x:row>
    <x:row r="145">
      <x:c r="A145" t="str">
        <x:v>51</x:v>
      </x:c>
      <x:c r="B145" t="str">
        <x:v>26689</x:v>
      </x:c>
      <x:c r="C145" t="str">
        <x:v>1</x:v>
      </x:c>
      <x:c r="D145" t="str">
        <x:v>4993012047</x:v>
      </x:c>
      <x:c r="E145" t="str">
        <x:v>FP S BD HDF 3 2100x820x35 ESM BCO C C/US</x:v>
      </x:c>
      <x:c r="F145" t="str"/>
      <x:c r="G145" t="str"/>
      <x:c r="H145" t="str"/>
      <x:c r="I145" t="str">
        <x:v>ESMALTE</x:v>
      </x:c>
      <x:c r="J145" t="str">
        <x:v>BRANCO CARRARA</x:v>
      </x:c>
      <x:c r="K145" t="str">
        <x:v>0</x:v>
      </x:c>
      <x:c r="L145" t="str">
        <x:v>32</x:v>
      </x:c>
      <x:c r="M145" t="str">
        <x:v>1,929</x:v>
      </x:c>
      <x:c r="N145" t="str">
        <x:v>4500262368</x:v>
      </x:c>
      <x:c r="O145" t="str"/>
      <x:c r="P145" t="str">
        <x:v>Liberada Para Producao</x:v>
      </x:c>
      <x:c r="Q145" t="str">
        <x:v>609083</x:v>
      </x:c>
      <x:c r="R145" t="str">
        <x:v>33,33</x:v>
      </x:c>
      <x:c r="S145" t="str">
        <x:v>1</x:v>
      </x:c>
      <x:c r="T145" t="str">
        <x:v>PORTA LINHA PREMIUM</x:v>
      </x:c>
      <x:c r="U145" t="str"/>
      <x:c r="V145" t="str"/>
      <x:c r="W145" t="str">
        <x:v>N/A</x:v>
      </x:c>
      <x:c r="X145" t="str">
        <x:v>100</x:v>
      </x:c>
      <x:c r="Y145" t="str">
        <x:v>N/A</x:v>
      </x:c>
      <x:c r="Z145" t="str">
        <x:v>N/A</x:v>
      </x:c>
      <x:c r="AA145" t="str">
        <x:v>N/A</x:v>
      </x:c>
      <x:c r="AB145" t="str">
        <x:v>0</x:v>
      </x:c>
      <x:c r="AC145" t="str">
        <x:v>N/A</x:v>
      </x:c>
      <x:c r="AD145" t="str">
        <x:v>0</x:v>
      </x:c>
      <x:c r="AE145" t="str">
        <x:v>N/A</x:v>
      </x:c>
    </x:row>
    <x:row r="146">
      <x:c r="A146" t="str">
        <x:v>51</x:v>
      </x:c>
      <x:c r="B146" t="str">
        <x:v>26689</x:v>
      </x:c>
      <x:c r="C146" t="str">
        <x:v>2</x:v>
      </x:c>
      <x:c r="D146" t="str">
        <x:v>956042</x:v>
      </x:c>
      <x:c r="E146" t="str">
        <x:v>2250X70X15 RTO LME REC PET BCO IMP(STD)</x:v>
      </x:c>
      <x:c r="F146" t="str"/>
      <x:c r="G146" t="str"/>
      <x:c r="H146" t="str"/>
      <x:c r="I146" t="str">
        <x:v>ESMALTE</x:v>
      </x:c>
      <x:c r="J146" t="str">
        <x:v>BRANCO CARRARA</x:v>
      </x:c>
      <x:c r="K146" t="str">
        <x:v>0</x:v>
      </x:c>
      <x:c r="L146" t="str">
        <x:v>128</x:v>
      </x:c>
      <x:c r="M146" t="str">
        <x:v>0</x:v>
      </x:c>
      <x:c r="N146" t="str">
        <x:v>4500262368</x:v>
      </x:c>
      <x:c r="O146" t="str"/>
      <x:c r="P146" t="str">
        <x:v>Liberada Para Producao</x:v>
      </x:c>
      <x:c r="Q146" t="str">
        <x:v>609085</x:v>
      </x:c>
      <x:c r="R146" t="str">
        <x:v>0</x:v>
      </x:c>
      <x:c r="S146" t="str"/>
      <x:c r="T146" t="str"/>
      <x:c r="U146" t="str"/>
      <x:c r="V146" t="str"/>
      <x:c r="W146" t="str">
        <x:v>N/A</x:v>
      </x:c>
      <x:c r="X146" t="str">
        <x:v>0</x:v>
      </x:c>
      <x:c r="Y146" t="str">
        <x:v>0</x:v>
      </x:c>
      <x:c r="Z146" t="str">
        <x:v>0</x:v>
      </x:c>
      <x:c r="AA146" t="str">
        <x:v>N/A</x:v>
      </x:c>
      <x:c r="AB146" t="str">
        <x:v>N/A</x:v>
      </x:c>
      <x:c r="AC146" t="str">
        <x:v>N/A</x:v>
      </x:c>
      <x:c r="AD146" t="str">
        <x:v>N/A</x:v>
      </x:c>
      <x:c r="AE146" t="str">
        <x:v>N/A</x:v>
      </x:c>
    </x:row>
    <x:row r="147">
      <x:c r="A147" t="str">
        <x:v>51</x:v>
      </x:c>
      <x:c r="B147" t="str">
        <x:v>26689</x:v>
      </x:c>
      <x:c r="C147" t="str">
        <x:v>2</x:v>
      </x:c>
      <x:c r="D147" t="str">
        <x:v>971354</x:v>
      </x:c>
      <x:c r="E147" t="str">
        <x:v>PER ALI 2250X70X15 RT RL55RC PET BCO STD</x:v>
      </x:c>
      <x:c r="F147" t="str"/>
      <x:c r="G147" t="str"/>
      <x:c r="H147" t="str"/>
      <x:c r="I147" t="str">
        <x:v>ESMALTE</x:v>
      </x:c>
      <x:c r="J147" t="str">
        <x:v>BRANCO CARRARA</x:v>
      </x:c>
      <x:c r="K147" t="str">
        <x:v>0</x:v>
      </x:c>
      <x:c r="L147" t="str">
        <x:v>128</x:v>
      </x:c>
      <x:c r="M147" t="str">
        <x:v>0</x:v>
      </x:c>
      <x:c r="N147" t="str">
        <x:v>4500262368</x:v>
      </x:c>
      <x:c r="O147" t="str"/>
      <x:c r="P147" t="str">
        <x:v>Liberada Para Producao</x:v>
      </x:c>
      <x:c r="Q147" t="str">
        <x:v>609086</x:v>
      </x:c>
      <x:c r="R147" t="str">
        <x:v>0</x:v>
      </x:c>
      <x:c r="S147" t="str"/>
      <x:c r="T147" t="str"/>
      <x:c r="U147" t="str"/>
      <x:c r="V147" t="str"/>
      <x:c r="W147" t="str">
        <x:v>N/A</x:v>
      </x:c>
      <x:c r="X147" t="str">
        <x:v>0</x:v>
      </x:c>
      <x:c r="Y147" t="str">
        <x:v>0</x:v>
      </x:c>
      <x:c r="Z147" t="str">
        <x:v>0</x:v>
      </x:c>
      <x:c r="AA147" t="str">
        <x:v>N/A</x:v>
      </x:c>
      <x:c r="AB147" t="str">
        <x:v>N/A</x:v>
      </x:c>
      <x:c r="AC147" t="str">
        <x:v>N/A</x:v>
      </x:c>
      <x:c r="AD147" t="str">
        <x:v>N/A</x:v>
      </x:c>
      <x:c r="AE147" t="str">
        <x:v>N/A</x:v>
      </x:c>
    </x:row>
    <x:row r="148">
      <x:c r="A148" t="str">
        <x:v>51</x:v>
      </x:c>
      <x:c r="B148" t="str">
        <x:v>26689</x:v>
      </x:c>
      <x:c r="C148" t="str">
        <x:v>2</x:v>
      </x:c>
      <x:c r="D148" t="str">
        <x:v>972550</x:v>
      </x:c>
      <x:c r="E148" t="str">
        <x:v>2110x120x30 42x10R2L R1BIA PET STD PRM U</x:v>
      </x:c>
      <x:c r="F148" t="str"/>
      <x:c r="G148" t="str"/>
      <x:c r="H148" t="str"/>
      <x:c r="I148" t="str">
        <x:v>ESMALTE</x:v>
      </x:c>
      <x:c r="J148" t="str">
        <x:v>BRANCO CARRARA</x:v>
      </x:c>
      <x:c r="K148" t="str">
        <x:v>0</x:v>
      </x:c>
      <x:c r="L148" t="str">
        <x:v>128</x:v>
      </x:c>
      <x:c r="M148" t="str">
        <x:v>0</x:v>
      </x:c>
      <x:c r="N148" t="str">
        <x:v>4500262368</x:v>
      </x:c>
      <x:c r="O148" t="str"/>
      <x:c r="P148" t="str">
        <x:v>Liberada Para Producao</x:v>
      </x:c>
      <x:c r="Q148" t="str">
        <x:v>609087</x:v>
      </x:c>
      <x:c r="R148" t="str">
        <x:v>0</x:v>
      </x:c>
      <x:c r="S148" t="str"/>
      <x:c r="T148" t="str"/>
      <x:c r="U148" t="str"/>
      <x:c r="V148" t="str"/>
      <x:c r="W148" t="str">
        <x:v>N/A</x:v>
      </x:c>
      <x:c r="X148" t="str">
        <x:v>N/A</x:v>
      </x:c>
      <x:c r="Y148" t="str">
        <x:v>N/A</x:v>
      </x:c>
      <x:c r="Z148" t="str">
        <x:v>0</x:v>
      </x:c>
      <x:c r="AA148" t="str">
        <x:v>0</x:v>
      </x:c>
      <x:c r="AB148" t="str">
        <x:v>N/A</x:v>
      </x:c>
      <x:c r="AC148" t="str">
        <x:v>N/A</x:v>
      </x:c>
      <x:c r="AD148" t="str">
        <x:v>N/A</x:v>
      </x:c>
      <x:c r="AE148" t="str">
        <x:v>N/A</x:v>
      </x:c>
    </x:row>
    <x:row r="149">
      <x:c r="A149" t="str">
        <x:v>51</x:v>
      </x:c>
      <x:c r="B149" t="str">
        <x:v>26689</x:v>
      </x:c>
      <x:c r="C149" t="str">
        <x:v>2</x:v>
      </x:c>
      <x:c r="D149" t="str">
        <x:v>972551</x:v>
      </x:c>
      <x:c r="E149" t="str">
        <x:v>867x120x30 42x10 R2L RT BIA PET STD PREM</x:v>
      </x:c>
      <x:c r="F149" t="str"/>
      <x:c r="G149" t="str"/>
      <x:c r="H149" t="str"/>
      <x:c r="I149" t="str">
        <x:v>ESMALTE</x:v>
      </x:c>
      <x:c r="J149" t="str">
        <x:v>BRANCO CARRARA</x:v>
      </x:c>
      <x:c r="K149" t="str">
        <x:v>0</x:v>
      </x:c>
      <x:c r="L149" t="str">
        <x:v>64</x:v>
      </x:c>
      <x:c r="M149" t="str">
        <x:v>0</x:v>
      </x:c>
      <x:c r="N149" t="str">
        <x:v>4500262368</x:v>
      </x:c>
      <x:c r="O149" t="str"/>
      <x:c r="P149" t="str">
        <x:v>Liberada Para Producao</x:v>
      </x:c>
      <x:c r="Q149" t="str">
        <x:v>609088</x:v>
      </x:c>
      <x:c r="R149" t="str">
        <x:v>0</x:v>
      </x:c>
      <x:c r="S149" t="str"/>
      <x:c r="T149" t="str"/>
      <x:c r="U149" t="str"/>
      <x:c r="V149" t="str"/>
      <x:c r="W149" t="str">
        <x:v>N/A</x:v>
      </x:c>
      <x:c r="X149" t="str">
        <x:v>N/A</x:v>
      </x:c>
      <x:c r="Y149" t="str">
        <x:v>N/A</x:v>
      </x:c>
      <x:c r="Z149" t="str">
        <x:v>0</x:v>
      </x:c>
      <x:c r="AA149" t="str">
        <x:v>0</x:v>
      </x:c>
      <x:c r="AB149" t="str">
        <x:v>N/A</x:v>
      </x:c>
      <x:c r="AC149" t="str">
        <x:v>N/A</x:v>
      </x:c>
      <x:c r="AD149" t="str">
        <x:v>N/A</x:v>
      </x:c>
      <x:c r="AE149" t="str">
        <x:v>N/A</x:v>
      </x:c>
    </x:row>
    <x:row r="150">
      <x:c r="A150" t="str">
        <x:v>51</x:v>
      </x:c>
      <x:c r="B150" t="str">
        <x:v>26689</x:v>
      </x:c>
      <x:c r="C150" t="str">
        <x:v>2</x:v>
      </x:c>
      <x:c r="D150" t="str">
        <x:v>981166</x:v>
      </x:c>
      <x:c r="E150" t="str">
        <x:v>T A 1100X70X15 RTO RL55 REC PET BCO(STD)</x:v>
      </x:c>
      <x:c r="F150" t="str"/>
      <x:c r="G150" t="str"/>
      <x:c r="H150" t="str"/>
      <x:c r="I150" t="str">
        <x:v>ESMALTE</x:v>
      </x:c>
      <x:c r="J150" t="str">
        <x:v>BRANCO CARRARA</x:v>
      </x:c>
      <x:c r="K150" t="str">
        <x:v>0</x:v>
      </x:c>
      <x:c r="L150" t="str">
        <x:v>64</x:v>
      </x:c>
      <x:c r="M150" t="str">
        <x:v>0</x:v>
      </x:c>
      <x:c r="N150" t="str">
        <x:v>4500262368</x:v>
      </x:c>
      <x:c r="O150" t="str"/>
      <x:c r="P150" t="str">
        <x:v>Liberada Para Producao</x:v>
      </x:c>
      <x:c r="Q150" t="str">
        <x:v>609089</x:v>
      </x:c>
      <x:c r="R150" t="str">
        <x:v>0</x:v>
      </x:c>
      <x:c r="S150" t="str"/>
      <x:c r="T150" t="str"/>
      <x:c r="U150" t="str"/>
      <x:c r="V150" t="str"/>
      <x:c r="W150" t="str">
        <x:v>N/A</x:v>
      </x:c>
      <x:c r="X150" t="str">
        <x:v>0</x:v>
      </x:c>
      <x:c r="Y150" t="str">
        <x:v>0</x:v>
      </x:c>
      <x:c r="Z150" t="str">
        <x:v>0</x:v>
      </x:c>
      <x:c r="AA150" t="str">
        <x:v>0</x:v>
      </x:c>
      <x:c r="AB150" t="str">
        <x:v>N/A</x:v>
      </x:c>
      <x:c r="AC150" t="str">
        <x:v>N/A</x:v>
      </x:c>
      <x:c r="AD150" t="str">
        <x:v>N/A</x:v>
      </x:c>
      <x:c r="AE150" t="str">
        <x:v>N/A</x:v>
      </x:c>
    </x:row>
    <x:row r="151">
      <x:c r="A151" t="str">
        <x:v>51</x:v>
      </x:c>
      <x:c r="B151" t="str">
        <x:v>26689</x:v>
      </x:c>
      <x:c r="C151" t="str">
        <x:v>2</x:v>
      </x:c>
      <x:c r="D151" t="str">
        <x:v>981556</x:v>
      </x:c>
      <x:c r="E151" t="str">
        <x:v>T A 1100X70X15 RTO LMN REC PET BCO(STD)</x:v>
      </x:c>
      <x:c r="F151" t="str"/>
      <x:c r="G151" t="str"/>
      <x:c r="H151" t="str"/>
      <x:c r="I151" t="str">
        <x:v>ESMALTE</x:v>
      </x:c>
      <x:c r="J151" t="str">
        <x:v>BRANCO CARRARA</x:v>
      </x:c>
      <x:c r="K151" t="str">
        <x:v>0</x:v>
      </x:c>
      <x:c r="L151" t="str">
        <x:v>64</x:v>
      </x:c>
      <x:c r="M151" t="str">
        <x:v>0</x:v>
      </x:c>
      <x:c r="N151" t="str">
        <x:v>4500262368</x:v>
      </x:c>
      <x:c r="O151" t="str"/>
      <x:c r="P151" t="str">
        <x:v>Liberada Para Producao</x:v>
      </x:c>
      <x:c r="Q151" t="str">
        <x:v>609090</x:v>
      </x:c>
      <x:c r="R151" t="str">
        <x:v>0</x:v>
      </x:c>
      <x:c r="S151" t="str"/>
      <x:c r="T151" t="str"/>
      <x:c r="U151" t="str"/>
      <x:c r="V151" t="str"/>
      <x:c r="W151" t="str">
        <x:v>N/A</x:v>
      </x:c>
      <x:c r="X151" t="str">
        <x:v>0</x:v>
      </x:c>
      <x:c r="Y151" t="str">
        <x:v>0</x:v>
      </x:c>
      <x:c r="Z151" t="str">
        <x:v>0</x:v>
      </x:c>
      <x:c r="AA151" t="str">
        <x:v>0</x:v>
      </x:c>
      <x:c r="AB151" t="str">
        <x:v>N/A</x:v>
      </x:c>
      <x:c r="AC151" t="str">
        <x:v>N/A</x:v>
      </x:c>
      <x:c r="AD151" t="str">
        <x:v>N/A</x:v>
      </x:c>
      <x:c r="AE151" t="str">
        <x:v>N/A</x:v>
      </x:c>
    </x:row>
    <x:row r="152">
      <x:c r="A152" t="str">
        <x:v>51</x:v>
      </x:c>
      <x:c r="B152" t="str">
        <x:v>26689</x:v>
      </x:c>
      <x:c r="C152" t="str">
        <x:v>2</x:v>
      </x:c>
      <x:c r="D152" t="str">
        <x:v>4731234381</x:v>
      </x:c>
      <x:c r="E152" t="str">
        <x:v>FP COLM HDF 3 2100x820x35 ESM BCO C C/US</x:v>
      </x:c>
      <x:c r="F152" t="str"/>
      <x:c r="G152" t="str"/>
      <x:c r="H152" t="str"/>
      <x:c r="I152" t="str">
        <x:v>ESMALTE</x:v>
      </x:c>
      <x:c r="J152" t="str">
        <x:v>BRANCO CARRARA</x:v>
      </x:c>
      <x:c r="K152" t="str">
        <x:v>0</x:v>
      </x:c>
      <x:c r="L152" t="str">
        <x:v>64</x:v>
      </x:c>
      <x:c r="M152" t="str">
        <x:v>3,857</x:v>
      </x:c>
      <x:c r="N152" t="str">
        <x:v>4500262368</x:v>
      </x:c>
      <x:c r="O152" t="str"/>
      <x:c r="P152" t="str">
        <x:v>Liberada Para Producao</x:v>
      </x:c>
      <x:c r="Q152" t="str">
        <x:v>609091</x:v>
      </x:c>
      <x:c r="R152" t="str">
        <x:v>33,33</x:v>
      </x:c>
      <x:c r="S152" t="str">
        <x:v>1</x:v>
      </x:c>
      <x:c r="T152" t="str">
        <x:v>PORTA LINHA PREMIUM</x:v>
      </x:c>
      <x:c r="U152" t="str"/>
      <x:c r="V152" t="str"/>
      <x:c r="W152" t="str">
        <x:v>N/A</x:v>
      </x:c>
      <x:c r="X152" t="str">
        <x:v>100</x:v>
      </x:c>
      <x:c r="Y152" t="str">
        <x:v>N/A</x:v>
      </x:c>
      <x:c r="Z152" t="str">
        <x:v>N/A</x:v>
      </x:c>
      <x:c r="AA152" t="str">
        <x:v>N/A</x:v>
      </x:c>
      <x:c r="AB152" t="str">
        <x:v>0</x:v>
      </x:c>
      <x:c r="AC152" t="str">
        <x:v>N/A</x:v>
      </x:c>
      <x:c r="AD152" t="str">
        <x:v>0</x:v>
      </x:c>
      <x:c r="AE152" t="str">
        <x:v>N/A</x:v>
      </x:c>
    </x:row>
    <x:row r="153">
      <x:c r="A153" t="str">
        <x:v>51</x:v>
      </x:c>
      <x:c r="B153" t="str">
        <x:v>26689</x:v>
      </x:c>
      <x:c r="C153" t="str">
        <x:v>3</x:v>
      </x:c>
      <x:c r="D153" t="str">
        <x:v>956042</x:v>
      </x:c>
      <x:c r="E153" t="str">
        <x:v>2250X70X15 RTO LME REC PET BCO IMP(STD)</x:v>
      </x:c>
      <x:c r="F153" t="str"/>
      <x:c r="G153" t="str"/>
      <x:c r="H153" t="str"/>
      <x:c r="I153" t="str">
        <x:v>ESMALTE</x:v>
      </x:c>
      <x:c r="J153" t="str">
        <x:v>BRANCO CARRARA</x:v>
      </x:c>
      <x:c r="K153" t="str">
        <x:v>0</x:v>
      </x:c>
      <x:c r="L153" t="str">
        <x:v>122</x:v>
      </x:c>
      <x:c r="M153" t="str">
        <x:v>0</x:v>
      </x:c>
      <x:c r="N153" t="str">
        <x:v>4500262368</x:v>
      </x:c>
      <x:c r="O153" t="str"/>
      <x:c r="P153" t="str">
        <x:v>Liberada Para Producao</x:v>
      </x:c>
      <x:c r="Q153" t="str">
        <x:v>609093</x:v>
      </x:c>
      <x:c r="R153" t="str">
        <x:v>0</x:v>
      </x:c>
      <x:c r="S153" t="str"/>
      <x:c r="T153" t="str"/>
      <x:c r="U153" t="str"/>
      <x:c r="V153" t="str"/>
      <x:c r="W153" t="str">
        <x:v>N/A</x:v>
      </x:c>
      <x:c r="X153" t="str">
        <x:v>0</x:v>
      </x:c>
      <x:c r="Y153" t="str">
        <x:v>0</x:v>
      </x:c>
      <x:c r="Z153" t="str">
        <x:v>0</x:v>
      </x:c>
      <x:c r="AA153" t="str">
        <x:v>N/A</x:v>
      </x:c>
      <x:c r="AB153" t="str">
        <x:v>N/A</x:v>
      </x:c>
      <x:c r="AC153" t="str">
        <x:v>N/A</x:v>
      </x:c>
      <x:c r="AD153" t="str">
        <x:v>N/A</x:v>
      </x:c>
      <x:c r="AE153" t="str">
        <x:v>N/A</x:v>
      </x:c>
    </x:row>
    <x:row r="154">
      <x:c r="A154" t="str">
        <x:v>51</x:v>
      </x:c>
      <x:c r="B154" t="str">
        <x:v>26808</x:v>
      </x:c>
      <x:c r="C154" t="str">
        <x:v>10</x:v>
      </x:c>
      <x:c r="D154" t="str">
        <x:v>674790</x:v>
      </x:c>
      <x:c r="E154" t="str">
        <x:v>2110x130x30 42x10 R2L BIA R PET U(PREMIU</x:v>
      </x:c>
      <x:c r="F154" t="str"/>
      <x:c r="G154" t="str"/>
      <x:c r="H154" t="str"/>
      <x:c r="I154" t="str">
        <x:v>ESMALTE</x:v>
      </x:c>
      <x:c r="J154" t="str">
        <x:v>BRANCO CARRARA</x:v>
      </x:c>
      <x:c r="K154" t="str">
        <x:v>0</x:v>
      </x:c>
      <x:c r="L154" t="str">
        <x:v>2</x:v>
      </x:c>
      <x:c r="M154" t="str">
        <x:v>0</x:v>
      </x:c>
      <x:c r="N154" t="str"/>
      <x:c r="O154" t="str"/>
      <x:c r="P154" t="str">
        <x:v>Liberada Para Producao</x:v>
      </x:c>
      <x:c r="Q154" t="str">
        <x:v>608968</x:v>
      </x:c>
      <x:c r="R154" t="str">
        <x:v>0</x:v>
      </x:c>
      <x:c r="S154" t="str"/>
      <x:c r="T154" t="str"/>
      <x:c r="U154" t="str"/>
      <x:c r="V154" t="str"/>
      <x:c r="W154" t="str">
        <x:v>N/A</x:v>
      </x:c>
      <x:c r="X154" t="str">
        <x:v>N/A</x:v>
      </x:c>
      <x:c r="Y154" t="str">
        <x:v>0</x:v>
      </x:c>
      <x:c r="Z154" t="str">
        <x:v>0</x:v>
      </x:c>
      <x:c r="AA154" t="str">
        <x:v>0</x:v>
      </x:c>
      <x:c r="AB154" t="str">
        <x:v>N/A</x:v>
      </x:c>
      <x:c r="AC154" t="str">
        <x:v>N/A</x:v>
      </x:c>
      <x:c r="AD154" t="str">
        <x:v>N/A</x:v>
      </x:c>
      <x:c r="AE154" t="str">
        <x:v>N/A</x:v>
      </x:c>
    </x:row>
    <x:row r="155">
      <x:c r="A155" t="str">
        <x:v>51</x:v>
      </x:c>
      <x:c r="B155" t="str">
        <x:v>26520</x:v>
      </x:c>
      <x:c r="C155" t="str">
        <x:v>1</x:v>
      </x:c>
      <x:c r="D155" t="str">
        <x:v>975461</x:v>
      </x:c>
      <x:c r="E155" t="str">
        <x:v>2110x130x30 42x10 R2L RT BIA PET CNZ U(U</x:v>
      </x:c>
      <x:c r="F155" t="str"/>
      <x:c r="G155" t="str"/>
      <x:c r="H155" t="str"/>
      <x:c r="I155" t="str">
        <x:v>RECOBERTO PET</x:v>
      </x:c>
      <x:c r="J155" t="str">
        <x:v>CINZA VERONA</x:v>
      </x:c>
      <x:c r="K155" t="str">
        <x:v>0</x:v>
      </x:c>
      <x:c r="L155" t="str">
        <x:v>4</x:v>
      </x:c>
      <x:c r="M155" t="str">
        <x:v>0</x:v>
      </x:c>
      <x:c r="N155" t="str"/>
      <x:c r="O155" t="str"/>
      <x:c r="P155" t="str">
        <x:v>Liberada Para Producao</x:v>
      </x:c>
      <x:c r="Q155" t="str">
        <x:v>610065</x:v>
      </x:c>
      <x:c r="R155" t="str">
        <x:v>0</x:v>
      </x:c>
      <x:c r="S155" t="str"/>
      <x:c r="T155" t="str"/>
      <x:c r="U155" t="str"/>
      <x:c r="V155" t="str"/>
      <x:c r="W155" t="str">
        <x:v>N/A</x:v>
      </x:c>
      <x:c r="X155" t="str">
        <x:v>N/A</x:v>
      </x:c>
      <x:c r="Y155" t="str">
        <x:v>N/A</x:v>
      </x:c>
      <x:c r="Z155" t="str">
        <x:v>0</x:v>
      </x:c>
      <x:c r="AA155" t="str">
        <x:v>0</x:v>
      </x:c>
      <x:c r="AB155" t="str">
        <x:v>N/A</x:v>
      </x:c>
      <x:c r="AC155" t="str">
        <x:v>N/A</x:v>
      </x:c>
      <x:c r="AD155" t="str">
        <x:v>N/A</x:v>
      </x:c>
      <x:c r="AE155" t="str">
        <x:v>N/A</x:v>
      </x:c>
    </x:row>
    <x:row r="156">
      <x:c r="A156" t="str">
        <x:v>51</x:v>
      </x:c>
      <x:c r="B156" t="str">
        <x:v>26689</x:v>
      </x:c>
      <x:c r="C156" t="str">
        <x:v>3</x:v>
      </x:c>
      <x:c r="D156" t="str">
        <x:v>971354</x:v>
      </x:c>
      <x:c r="E156" t="str">
        <x:v>PER ALI 2250X70X15 RT RL55RC PET BCO STD</x:v>
      </x:c>
      <x:c r="F156" t="str"/>
      <x:c r="G156" t="str"/>
      <x:c r="H156" t="str"/>
      <x:c r="I156" t="str">
        <x:v>ESMALTE</x:v>
      </x:c>
      <x:c r="J156" t="str">
        <x:v>BRANCO CARRARA</x:v>
      </x:c>
      <x:c r="K156" t="str">
        <x:v>0</x:v>
      </x:c>
      <x:c r="L156" t="str">
        <x:v>122</x:v>
      </x:c>
      <x:c r="M156" t="str">
        <x:v>0</x:v>
      </x:c>
      <x:c r="N156" t="str">
        <x:v>4500262368</x:v>
      </x:c>
      <x:c r="O156" t="str"/>
      <x:c r="P156" t="str">
        <x:v>Liberada Para Producao</x:v>
      </x:c>
      <x:c r="Q156" t="str">
        <x:v>609096</x:v>
      </x:c>
      <x:c r="R156" t="str">
        <x:v>0</x:v>
      </x:c>
      <x:c r="S156" t="str"/>
      <x:c r="T156" t="str"/>
      <x:c r="U156" t="str"/>
      <x:c r="V156" t="str"/>
      <x:c r="W156" t="str">
        <x:v>N/A</x:v>
      </x:c>
      <x:c r="X156" t="str">
        <x:v>0</x:v>
      </x:c>
      <x:c r="Y156" t="str">
        <x:v>0</x:v>
      </x:c>
      <x:c r="Z156" t="str">
        <x:v>0</x:v>
      </x:c>
      <x:c r="AA156" t="str">
        <x:v>N/A</x:v>
      </x:c>
      <x:c r="AB156" t="str">
        <x:v>N/A</x:v>
      </x:c>
      <x:c r="AC156" t="str">
        <x:v>N/A</x:v>
      </x:c>
      <x:c r="AD156" t="str">
        <x:v>N/A</x:v>
      </x:c>
      <x:c r="AE156" t="str">
        <x:v>N/A</x:v>
      </x:c>
    </x:row>
    <x:row r="157">
      <x:c r="A157" t="str">
        <x:v>51</x:v>
      </x:c>
      <x:c r="B157" t="str">
        <x:v>26689</x:v>
      </x:c>
      <x:c r="C157" t="str">
        <x:v>3</x:v>
      </x:c>
      <x:c r="D157" t="str">
        <x:v>981166</x:v>
      </x:c>
      <x:c r="E157" t="str">
        <x:v>T A 1100X70X15 RTO RL55 REC PET BCO(STD)</x:v>
      </x:c>
      <x:c r="F157" t="str"/>
      <x:c r="G157" t="str"/>
      <x:c r="H157" t="str"/>
      <x:c r="I157" t="str">
        <x:v>ESMALTE</x:v>
      </x:c>
      <x:c r="J157" t="str">
        <x:v>BRANCO CARRARA</x:v>
      </x:c>
      <x:c r="K157" t="str">
        <x:v>0</x:v>
      </x:c>
      <x:c r="L157" t="str">
        <x:v>61</x:v>
      </x:c>
      <x:c r="M157" t="str">
        <x:v>0</x:v>
      </x:c>
      <x:c r="N157" t="str">
        <x:v>4500262368</x:v>
      </x:c>
      <x:c r="O157" t="str"/>
      <x:c r="P157" t="str">
        <x:v>Liberada Para Producao</x:v>
      </x:c>
      <x:c r="Q157" t="str">
        <x:v>609097</x:v>
      </x:c>
      <x:c r="R157" t="str">
        <x:v>0</x:v>
      </x:c>
      <x:c r="S157" t="str"/>
      <x:c r="T157" t="str"/>
      <x:c r="U157" t="str"/>
      <x:c r="V157" t="str"/>
      <x:c r="W157" t="str">
        <x:v>N/A</x:v>
      </x:c>
      <x:c r="X157" t="str">
        <x:v>0</x:v>
      </x:c>
      <x:c r="Y157" t="str">
        <x:v>0</x:v>
      </x:c>
      <x:c r="Z157" t="str">
        <x:v>0</x:v>
      </x:c>
      <x:c r="AA157" t="str">
        <x:v>0</x:v>
      </x:c>
      <x:c r="AB157" t="str">
        <x:v>N/A</x:v>
      </x:c>
      <x:c r="AC157" t="str">
        <x:v>N/A</x:v>
      </x:c>
      <x:c r="AD157" t="str">
        <x:v>N/A</x:v>
      </x:c>
      <x:c r="AE157" t="str">
        <x:v>N/A</x:v>
      </x:c>
    </x:row>
    <x:row r="158">
      <x:c r="A158" t="str">
        <x:v>51</x:v>
      </x:c>
      <x:c r="B158" t="str">
        <x:v>26689</x:v>
      </x:c>
      <x:c r="C158" t="str">
        <x:v>3</x:v>
      </x:c>
      <x:c r="D158" t="str">
        <x:v>981556</x:v>
      </x:c>
      <x:c r="E158" t="str">
        <x:v>T A 1100X70X15 RTO LMN REC PET BCO(STD)</x:v>
      </x:c>
      <x:c r="F158" t="str"/>
      <x:c r="G158" t="str"/>
      <x:c r="H158" t="str"/>
      <x:c r="I158" t="str">
        <x:v>ESMALTE</x:v>
      </x:c>
      <x:c r="J158" t="str">
        <x:v>BRANCO CARRARA</x:v>
      </x:c>
      <x:c r="K158" t="str">
        <x:v>0</x:v>
      </x:c>
      <x:c r="L158" t="str">
        <x:v>61</x:v>
      </x:c>
      <x:c r="M158" t="str">
        <x:v>0</x:v>
      </x:c>
      <x:c r="N158" t="str">
        <x:v>4500262368</x:v>
      </x:c>
      <x:c r="O158" t="str"/>
      <x:c r="P158" t="str">
        <x:v>Liberada Para Producao</x:v>
      </x:c>
      <x:c r="Q158" t="str">
        <x:v>609098</x:v>
      </x:c>
      <x:c r="R158" t="str">
        <x:v>0</x:v>
      </x:c>
      <x:c r="S158" t="str"/>
      <x:c r="T158" t="str"/>
      <x:c r="U158" t="str"/>
      <x:c r="V158" t="str"/>
      <x:c r="W158" t="str">
        <x:v>N/A</x:v>
      </x:c>
      <x:c r="X158" t="str">
        <x:v>0</x:v>
      </x:c>
      <x:c r="Y158" t="str">
        <x:v>0</x:v>
      </x:c>
      <x:c r="Z158" t="str">
        <x:v>0</x:v>
      </x:c>
      <x:c r="AA158" t="str">
        <x:v>0</x:v>
      </x:c>
      <x:c r="AB158" t="str">
        <x:v>N/A</x:v>
      </x:c>
      <x:c r="AC158" t="str">
        <x:v>N/A</x:v>
      </x:c>
      <x:c r="AD158" t="str">
        <x:v>N/A</x:v>
      </x:c>
      <x:c r="AE158" t="str">
        <x:v>N/A</x:v>
      </x:c>
    </x:row>
    <x:row r="159">
      <x:c r="A159" t="str">
        <x:v>51</x:v>
      </x:c>
      <x:c r="B159" t="str">
        <x:v>26689</x:v>
      </x:c>
      <x:c r="C159" t="str">
        <x:v>3</x:v>
      </x:c>
      <x:c r="D159" t="str">
        <x:v>421010017</x:v>
      </x:c>
      <x:c r="E159" t="str">
        <x:v>FP COLM HDF 3 RU 2100x820x35 ESM BCO C C</x:v>
      </x:c>
      <x:c r="F159" t="str"/>
      <x:c r="G159" t="str"/>
      <x:c r="H159" t="str"/>
      <x:c r="I159" t="str">
        <x:v>ESMALTE</x:v>
      </x:c>
      <x:c r="J159" t="str">
        <x:v>BRANCO CARRARA</x:v>
      </x:c>
      <x:c r="K159" t="str">
        <x:v>0</x:v>
      </x:c>
      <x:c r="L159" t="str">
        <x:v>61</x:v>
      </x:c>
      <x:c r="M159" t="str">
        <x:v>3,676</x:v>
      </x:c>
      <x:c r="N159" t="str">
        <x:v>4500262368</x:v>
      </x:c>
      <x:c r="O159" t="str"/>
      <x:c r="P159" t="str">
        <x:v>Liberada Para Producao</x:v>
      </x:c>
      <x:c r="Q159" t="str">
        <x:v>609099</x:v>
      </x:c>
      <x:c r="R159" t="str">
        <x:v>51,91</x:v>
      </x:c>
      <x:c r="S159" t="str">
        <x:v>1</x:v>
      </x:c>
      <x:c r="T159" t="str">
        <x:v>PORTA LINHA PREMIUM</x:v>
      </x:c>
      <x:c r="U159" t="str"/>
      <x:c r="V159" t="str"/>
      <x:c r="W159" t="str">
        <x:v>N/A</x:v>
      </x:c>
      <x:c r="X159" t="str">
        <x:v>100</x:v>
      </x:c>
      <x:c r="Y159" t="str">
        <x:v>N/A</x:v>
      </x:c>
      <x:c r="Z159" t="str">
        <x:v>N/A</x:v>
      </x:c>
      <x:c r="AA159" t="str">
        <x:v>N/A</x:v>
      </x:c>
      <x:c r="AB159" t="str">
        <x:v>55,74</x:v>
      </x:c>
      <x:c r="AC159" t="str">
        <x:v>N/A</x:v>
      </x:c>
      <x:c r="AD159" t="str">
        <x:v>0</x:v>
      </x:c>
      <x:c r="AE159" t="str">
        <x:v>N/A</x:v>
      </x:c>
    </x:row>
    <x:row r="160">
      <x:c r="A160" t="str">
        <x:v>51</x:v>
      </x:c>
      <x:c r="B160" t="str">
        <x:v>26689</x:v>
      </x:c>
      <x:c r="C160" t="str">
        <x:v>4</x:v>
      </x:c>
      <x:c r="D160" t="str">
        <x:v>971353</x:v>
      </x:c>
      <x:c r="E160" t="str">
        <x:v>2200X70X15 RTO RL55 REC PET BCO IMP(STD)</x:v>
      </x:c>
      <x:c r="F160" t="str"/>
      <x:c r="G160" t="str"/>
      <x:c r="H160" t="str"/>
      <x:c r="I160" t="str">
        <x:v>ESMALTE</x:v>
      </x:c>
      <x:c r="J160" t="str">
        <x:v>BRANCO CARRARA</x:v>
      </x:c>
      <x:c r="K160" t="str">
        <x:v>0</x:v>
      </x:c>
      <x:c r="L160" t="str">
        <x:v>6</x:v>
      </x:c>
      <x:c r="M160" t="str">
        <x:v>0,014</x:v>
      </x:c>
      <x:c r="N160" t="str">
        <x:v>4500262368</x:v>
      </x:c>
      <x:c r="O160" t="str"/>
      <x:c r="P160" t="str">
        <x:v>Liberada Para Producao</x:v>
      </x:c>
      <x:c r="Q160" t="str">
        <x:v>609101</x:v>
      </x:c>
      <x:c r="R160" t="str">
        <x:v>0</x:v>
      </x:c>
      <x:c r="S160" t="str"/>
      <x:c r="T160" t="str"/>
      <x:c r="U160" t="str"/>
      <x:c r="V160" t="str"/>
      <x:c r="W160" t="str">
        <x:v>N/A</x:v>
      </x:c>
      <x:c r="X160" t="str">
        <x:v>0</x:v>
      </x:c>
      <x:c r="Y160" t="str">
        <x:v>0</x:v>
      </x:c>
      <x:c r="Z160" t="str">
        <x:v>0</x:v>
      </x:c>
      <x:c r="AA160" t="str">
        <x:v>N/A</x:v>
      </x:c>
      <x:c r="AB160" t="str">
        <x:v>N/A</x:v>
      </x:c>
      <x:c r="AC160" t="str">
        <x:v>N/A</x:v>
      </x:c>
      <x:c r="AD160" t="str">
        <x:v>N/A</x:v>
      </x:c>
      <x:c r="AE160" t="str">
        <x:v>N/A</x:v>
      </x:c>
    </x:row>
    <x:row r="161">
      <x:c r="A161" t="str">
        <x:v>51</x:v>
      </x:c>
      <x:c r="B161" t="str">
        <x:v>26689</x:v>
      </x:c>
      <x:c r="C161" t="str">
        <x:v>4</x:v>
      </x:c>
      <x:c r="D161" t="str">
        <x:v>972552</x:v>
      </x:c>
      <x:c r="E161" t="str">
        <x:v>2110x140x30 42x10R2L R1BIA PET STD PRM U</x:v>
      </x:c>
      <x:c r="F161" t="str"/>
      <x:c r="G161" t="str"/>
      <x:c r="H161" t="str"/>
      <x:c r="I161" t="str">
        <x:v>ESMALTE</x:v>
      </x:c>
      <x:c r="J161" t="str">
        <x:v>BRANCO CARRARA</x:v>
      </x:c>
      <x:c r="K161" t="str">
        <x:v>0</x:v>
      </x:c>
      <x:c r="L161" t="str">
        <x:v>6</x:v>
      </x:c>
      <x:c r="M161" t="str">
        <x:v>0</x:v>
      </x:c>
      <x:c r="N161" t="str">
        <x:v>4500262368</x:v>
      </x:c>
      <x:c r="O161" t="str"/>
      <x:c r="P161" t="str">
        <x:v>Liberada Para Producao</x:v>
      </x:c>
      <x:c r="Q161" t="str">
        <x:v>609102</x:v>
      </x:c>
      <x:c r="R161" t="str">
        <x:v>0</x:v>
      </x:c>
      <x:c r="S161" t="str"/>
      <x:c r="T161" t="str"/>
      <x:c r="U161" t="str"/>
      <x:c r="V161" t="str"/>
      <x:c r="W161" t="str">
        <x:v>N/A</x:v>
      </x:c>
      <x:c r="X161" t="str">
        <x:v>N/A</x:v>
      </x:c>
      <x:c r="Y161" t="str">
        <x:v>N/A</x:v>
      </x:c>
      <x:c r="Z161" t="str">
        <x:v>0</x:v>
      </x:c>
      <x:c r="AA161" t="str">
        <x:v>0</x:v>
      </x:c>
      <x:c r="AB161" t="str">
        <x:v>N/A</x:v>
      </x:c>
      <x:c r="AC161" t="str">
        <x:v>N/A</x:v>
      </x:c>
      <x:c r="AD161" t="str">
        <x:v>N/A</x:v>
      </x:c>
      <x:c r="AE161" t="str">
        <x:v>N/A</x:v>
      </x:c>
    </x:row>
    <x:row r="162">
      <x:c r="A162" t="str">
        <x:v>51</x:v>
      </x:c>
      <x:c r="B162" t="str">
        <x:v>26689</x:v>
      </x:c>
      <x:c r="C162" t="str">
        <x:v>4</x:v>
      </x:c>
      <x:c r="D162" t="str">
        <x:v>972553</x:v>
      </x:c>
      <x:c r="E162" t="str">
        <x:v>867x140x30 42x10 R2L RT BIA PET STD PREM</x:v>
      </x:c>
      <x:c r="F162" t="str"/>
      <x:c r="G162" t="str"/>
      <x:c r="H162" t="str"/>
      <x:c r="I162" t="str">
        <x:v>ESMALTE</x:v>
      </x:c>
      <x:c r="J162" t="str">
        <x:v>BRANCO CARRARA</x:v>
      </x:c>
      <x:c r="K162" t="str">
        <x:v>0</x:v>
      </x:c>
      <x:c r="L162" t="str">
        <x:v>3</x:v>
      </x:c>
      <x:c r="M162" t="str">
        <x:v>0</x:v>
      </x:c>
      <x:c r="N162" t="str">
        <x:v>4500262368</x:v>
      </x:c>
      <x:c r="O162" t="str"/>
      <x:c r="P162" t="str">
        <x:v>Liberada Para Producao</x:v>
      </x:c>
      <x:c r="Q162" t="str">
        <x:v>609103</x:v>
      </x:c>
      <x:c r="R162" t="str">
        <x:v>0</x:v>
      </x:c>
      <x:c r="S162" t="str"/>
      <x:c r="T162" t="str"/>
      <x:c r="U162" t="str"/>
      <x:c r="V162" t="str"/>
      <x:c r="W162" t="str">
        <x:v>N/A</x:v>
      </x:c>
      <x:c r="X162" t="str">
        <x:v>N/A</x:v>
      </x:c>
      <x:c r="Y162" t="str">
        <x:v>N/A</x:v>
      </x:c>
      <x:c r="Z162" t="str">
        <x:v>0</x:v>
      </x:c>
      <x:c r="AA162" t="str">
        <x:v>0</x:v>
      </x:c>
      <x:c r="AB162" t="str">
        <x:v>N/A</x:v>
      </x:c>
      <x:c r="AC162" t="str">
        <x:v>N/A</x:v>
      </x:c>
      <x:c r="AD162" t="str">
        <x:v>N/A</x:v>
      </x:c>
      <x:c r="AE162" t="str">
        <x:v>N/A</x:v>
      </x:c>
    </x:row>
    <x:row r="163">
      <x:c r="A163" t="str">
        <x:v>51</x:v>
      </x:c>
      <x:c r="B163" t="str">
        <x:v>26689</x:v>
      </x:c>
      <x:c r="C163" t="str">
        <x:v>4</x:v>
      </x:c>
      <x:c r="D163" t="str">
        <x:v>981166</x:v>
      </x:c>
      <x:c r="E163" t="str">
        <x:v>T A 1100X70X15 RTO RL55 REC PET BCO(STD)</x:v>
      </x:c>
      <x:c r="F163" t="str"/>
      <x:c r="G163" t="str"/>
      <x:c r="H163" t="str"/>
      <x:c r="I163" t="str">
        <x:v>ESMALTE</x:v>
      </x:c>
      <x:c r="J163" t="str">
        <x:v>BRANCO CARRARA</x:v>
      </x:c>
      <x:c r="K163" t="str">
        <x:v>0</x:v>
      </x:c>
      <x:c r="L163" t="str">
        <x:v>3</x:v>
      </x:c>
      <x:c r="M163" t="str">
        <x:v>0</x:v>
      </x:c>
      <x:c r="N163" t="str">
        <x:v>4500262368</x:v>
      </x:c>
      <x:c r="O163" t="str"/>
      <x:c r="P163" t="str">
        <x:v>Liberada Para Producao</x:v>
      </x:c>
      <x:c r="Q163" t="str">
        <x:v>609104</x:v>
      </x:c>
      <x:c r="R163" t="str">
        <x:v>0</x:v>
      </x:c>
      <x:c r="S163" t="str"/>
      <x:c r="T163" t="str"/>
      <x:c r="U163" t="str"/>
      <x:c r="V163" t="str"/>
      <x:c r="W163" t="str">
        <x:v>N/A</x:v>
      </x:c>
      <x:c r="X163" t="str">
        <x:v>0</x:v>
      </x:c>
      <x:c r="Y163" t="str">
        <x:v>0</x:v>
      </x:c>
      <x:c r="Z163" t="str">
        <x:v>0</x:v>
      </x:c>
      <x:c r="AA163" t="str">
        <x:v>0</x:v>
      </x:c>
      <x:c r="AB163" t="str">
        <x:v>N/A</x:v>
      </x:c>
      <x:c r="AC163" t="str">
        <x:v>N/A</x:v>
      </x:c>
      <x:c r="AD163" t="str">
        <x:v>N/A</x:v>
      </x:c>
      <x:c r="AE163" t="str">
        <x:v>N/A</x:v>
      </x:c>
    </x:row>
    <x:row r="164">
      <x:c r="A164" t="str">
        <x:v>51</x:v>
      </x:c>
      <x:c r="B164" t="str">
        <x:v>26689</x:v>
      </x:c>
      <x:c r="C164" t="str">
        <x:v>4</x:v>
      </x:c>
      <x:c r="D164" t="str">
        <x:v>981167</x:v>
      </x:c>
      <x:c r="E164" t="str">
        <x:v>2200X70X15 RTO LME REC PET BCO IMP(STD)</x:v>
      </x:c>
      <x:c r="F164" t="str"/>
      <x:c r="G164" t="str"/>
      <x:c r="H164" t="str"/>
      <x:c r="I164" t="str">
        <x:v>ESMALTE</x:v>
      </x:c>
      <x:c r="J164" t="str">
        <x:v>BRANCO CARRARA</x:v>
      </x:c>
      <x:c r="K164" t="str">
        <x:v>0</x:v>
      </x:c>
      <x:c r="L164" t="str">
        <x:v>6</x:v>
      </x:c>
      <x:c r="M164" t="str">
        <x:v>0</x:v>
      </x:c>
      <x:c r="N164" t="str">
        <x:v>4500262368</x:v>
      </x:c>
      <x:c r="O164" t="str"/>
      <x:c r="P164" t="str">
        <x:v>Liberada Para Producao</x:v>
      </x:c>
      <x:c r="Q164" t="str">
        <x:v>609105</x:v>
      </x:c>
      <x:c r="R164" t="str">
        <x:v>0</x:v>
      </x:c>
      <x:c r="S164" t="str"/>
      <x:c r="T164" t="str"/>
      <x:c r="U164" t="str"/>
      <x:c r="V164" t="str"/>
      <x:c r="W164" t="str">
        <x:v>N/A</x:v>
      </x:c>
      <x:c r="X164" t="str">
        <x:v>0</x:v>
      </x:c>
      <x:c r="Y164" t="str">
        <x:v>0</x:v>
      </x:c>
      <x:c r="Z164" t="str">
        <x:v>0</x:v>
      </x:c>
      <x:c r="AA164" t="str">
        <x:v>N/A</x:v>
      </x:c>
      <x:c r="AB164" t="str">
        <x:v>N/A</x:v>
      </x:c>
      <x:c r="AC164" t="str">
        <x:v>N/A</x:v>
      </x:c>
      <x:c r="AD164" t="str">
        <x:v>N/A</x:v>
      </x:c>
      <x:c r="AE164" t="str">
        <x:v>N/A</x:v>
      </x:c>
    </x:row>
    <x:row r="165">
      <x:c r="A165" t="str">
        <x:v>51</x:v>
      </x:c>
      <x:c r="B165" t="str">
        <x:v>26689</x:v>
      </x:c>
      <x:c r="C165" t="str">
        <x:v>4</x:v>
      </x:c>
      <x:c r="D165" t="str">
        <x:v>981168</x:v>
      </x:c>
      <x:c r="E165" t="str">
        <x:v>T A 1000X70X15 RTO LMN REC PET BCO(STD)</x:v>
      </x:c>
      <x:c r="F165" t="str"/>
      <x:c r="G165" t="str"/>
      <x:c r="H165" t="str"/>
      <x:c r="I165" t="str">
        <x:v>ESMALTE</x:v>
      </x:c>
      <x:c r="J165" t="str">
        <x:v>BRANCO CARRARA</x:v>
      </x:c>
      <x:c r="K165" t="str">
        <x:v>0</x:v>
      </x:c>
      <x:c r="L165" t="str">
        <x:v>3</x:v>
      </x:c>
      <x:c r="M165" t="str">
        <x:v>0</x:v>
      </x:c>
      <x:c r="N165" t="str">
        <x:v>4500262368</x:v>
      </x:c>
      <x:c r="O165" t="str"/>
      <x:c r="P165" t="str">
        <x:v>Liberada Para Producao</x:v>
      </x:c>
      <x:c r="Q165" t="str">
        <x:v>609106</x:v>
      </x:c>
      <x:c r="R165" t="str">
        <x:v>0</x:v>
      </x:c>
      <x:c r="S165" t="str"/>
      <x:c r="T165" t="str"/>
      <x:c r="U165" t="str"/>
      <x:c r="V165" t="str"/>
      <x:c r="W165" t="str">
        <x:v>N/A</x:v>
      </x:c>
      <x:c r="X165" t="str">
        <x:v>0</x:v>
      </x:c>
      <x:c r="Y165" t="str">
        <x:v>0</x:v>
      </x:c>
      <x:c r="Z165" t="str">
        <x:v>0</x:v>
      </x:c>
      <x:c r="AA165" t="str">
        <x:v>0</x:v>
      </x:c>
      <x:c r="AB165" t="str">
        <x:v>N/A</x:v>
      </x:c>
      <x:c r="AC165" t="str">
        <x:v>N/A</x:v>
      </x:c>
      <x:c r="AD165" t="str">
        <x:v>N/A</x:v>
      </x:c>
      <x:c r="AE165" t="str">
        <x:v>N/A</x:v>
      </x:c>
    </x:row>
    <x:row r="166">
      <x:c r="A166" t="str">
        <x:v>51</x:v>
      </x:c>
      <x:c r="B166" t="str">
        <x:v>26689</x:v>
      </x:c>
      <x:c r="C166" t="str">
        <x:v>4</x:v>
      </x:c>
      <x:c r="D166" t="str">
        <x:v>421010017</x:v>
      </x:c>
      <x:c r="E166" t="str">
        <x:v>FP COLM HDF 3 RU 2100x820x35 ESM BCO C C</x:v>
      </x:c>
      <x:c r="F166" t="str"/>
      <x:c r="G166" t="str"/>
      <x:c r="H166" t="str"/>
      <x:c r="I166" t="str">
        <x:v>ESMALTE</x:v>
      </x:c>
      <x:c r="J166" t="str">
        <x:v>BRANCO CARRARA</x:v>
      </x:c>
      <x:c r="K166" t="str">
        <x:v>0</x:v>
      </x:c>
      <x:c r="L166" t="str">
        <x:v>3</x:v>
      </x:c>
      <x:c r="M166" t="str">
        <x:v>0,181</x:v>
      </x:c>
      <x:c r="N166" t="str">
        <x:v>4500262368</x:v>
      </x:c>
      <x:c r="O166" t="str"/>
      <x:c r="P166" t="str">
        <x:v>Liberada Para Producao</x:v>
      </x:c>
      <x:c r="Q166" t="str">
        <x:v>609107</x:v>
      </x:c>
      <x:c r="R166" t="str">
        <x:v>66,67</x:v>
      </x:c>
      <x:c r="S166" t="str">
        <x:v>1</x:v>
      </x:c>
      <x:c r="T166" t="str">
        <x:v>PORTA LINHA PREMIUM</x:v>
      </x:c>
      <x:c r="U166" t="str"/>
      <x:c r="V166" t="str"/>
      <x:c r="W166" t="str">
        <x:v>N/A</x:v>
      </x:c>
      <x:c r="X166" t="str">
        <x:v>100</x:v>
      </x:c>
      <x:c r="Y166" t="str">
        <x:v>N/A</x:v>
      </x:c>
      <x:c r="Z166" t="str">
        <x:v>N/A</x:v>
      </x:c>
      <x:c r="AA166" t="str">
        <x:v>N/A</x:v>
      </x:c>
      <x:c r="AB166" t="str">
        <x:v>100</x:v>
      </x:c>
      <x:c r="AC166" t="str">
        <x:v>N/A</x:v>
      </x:c>
      <x:c r="AD166" t="str">
        <x:v>0</x:v>
      </x:c>
      <x:c r="AE166" t="str">
        <x:v>N/A</x:v>
      </x:c>
    </x:row>
    <x:row r="167">
      <x:c r="A167" t="str">
        <x:v>51</x:v>
      </x:c>
      <x:c r="B167" t="str">
        <x:v>26739</x:v>
      </x:c>
      <x:c r="C167" t="str">
        <x:v>1</x:v>
      </x:c>
      <x:c r="D167" t="str">
        <x:v>3220800010</x:v>
      </x:c>
      <x:c r="E167" t="str">
        <x:v>F P P EST HDF 6 2100X1000X35 SU PR BCO C</x:v>
      </x:c>
      <x:c r="F167" t="str"/>
      <x:c r="G167" t="str"/>
      <x:c r="H167" t="str"/>
      <x:c r="I167" t="str">
        <x:v>DUPLO LASER</x:v>
      </x:c>
      <x:c r="J167" t="str">
        <x:v>BRANCO</x:v>
      </x:c>
      <x:c r="K167" t="str">
        <x:v>0</x:v>
      </x:c>
      <x:c r="L167" t="str">
        <x:v>16</x:v>
      </x:c>
      <x:c r="M167" t="str">
        <x:v>1,176</x:v>
      </x:c>
      <x:c r="N167" t="str"/>
      <x:c r="O167" t="str"/>
      <x:c r="P167" t="str">
        <x:v>Liberada Para Producao</x:v>
      </x:c>
      <x:c r="Q167" t="str">
        <x:v>609626</x:v>
      </x:c>
      <x:c r="R167" t="str">
        <x:v>0</x:v>
      </x:c>
      <x:c r="S167" t="str">
        <x:v>10</x:v>
      </x:c>
      <x:c r="T167" t="str">
        <x:v>PORTA SUPER PREMIUM</x:v>
      </x:c>
      <x:c r="U167" t="str"/>
      <x:c r="V167" t="str"/>
      <x:c r="W167" t="str">
        <x:v>N/A</x:v>
      </x:c>
      <x:c r="X167" t="str">
        <x:v>0</x:v>
      </x:c>
      <x:c r="Y167" t="str">
        <x:v>N/A</x:v>
      </x:c>
      <x:c r="Z167" t="str">
        <x:v>N/A</x:v>
      </x:c>
      <x:c r="AA167" t="str">
        <x:v>N/A</x:v>
      </x:c>
      <x:c r="AB167" t="str">
        <x:v>N/A</x:v>
      </x:c>
      <x:c r="AC167" t="str">
        <x:v>0</x:v>
      </x:c>
      <x:c r="AD167" t="str">
        <x:v>0</x:v>
      </x:c>
      <x:c r="AE167" t="str">
        <x:v>N/A</x:v>
      </x:c>
    </x:row>
    <x:row r="168">
      <x:c r="A168" t="str">
        <x:v>51</x:v>
      </x:c>
      <x:c r="B168" t="str">
        <x:v>26520</x:v>
      </x:c>
      <x:c r="C168" t="str">
        <x:v>3</x:v>
      </x:c>
      <x:c r="D168" t="str">
        <x:v>975461</x:v>
      </x:c>
      <x:c r="E168" t="str">
        <x:v>2110x130x30 42x10 R2L RT BIA PET CNZ U(U</x:v>
      </x:c>
      <x:c r="F168" t="str"/>
      <x:c r="G168" t="str"/>
      <x:c r="H168" t="str"/>
      <x:c r="I168" t="str">
        <x:v>RECOBERTO PET</x:v>
      </x:c>
      <x:c r="J168" t="str">
        <x:v>CINZA VERONA</x:v>
      </x:c>
      <x:c r="K168" t="str">
        <x:v>0</x:v>
      </x:c>
      <x:c r="L168" t="str">
        <x:v>8</x:v>
      </x:c>
      <x:c r="M168" t="str">
        <x:v>0</x:v>
      </x:c>
      <x:c r="N168" t="str"/>
      <x:c r="O168" t="str"/>
      <x:c r="P168" t="str">
        <x:v>Liberada Para Producao</x:v>
      </x:c>
      <x:c r="Q168" t="str">
        <x:v>610083</x:v>
      </x:c>
      <x:c r="R168" t="str">
        <x:v>0</x:v>
      </x:c>
      <x:c r="S168" t="str"/>
      <x:c r="T168" t="str"/>
      <x:c r="U168" t="str"/>
      <x:c r="V168" t="str"/>
      <x:c r="W168" t="str">
        <x:v>N/A</x:v>
      </x:c>
      <x:c r="X168" t="str">
        <x:v>N/A</x:v>
      </x:c>
      <x:c r="Y168" t="str">
        <x:v>N/A</x:v>
      </x:c>
      <x:c r="Z168" t="str">
        <x:v>0</x:v>
      </x:c>
      <x:c r="AA168" t="str">
        <x:v>0</x:v>
      </x:c>
      <x:c r="AB168" t="str">
        <x:v>N/A</x:v>
      </x:c>
      <x:c r="AC168" t="str">
        <x:v>N/A</x:v>
      </x:c>
      <x:c r="AD168" t="str">
        <x:v>N/A</x:v>
      </x:c>
      <x:c r="AE168" t="str">
        <x:v>N/A</x:v>
      </x:c>
    </x:row>
    <x:row r="169">
      <x:c r="A169" t="str">
        <x:v>51</x:v>
      </x:c>
      <x:c r="B169" t="str">
        <x:v>26739</x:v>
      </x:c>
      <x:c r="C169" t="str">
        <x:v>2</x:v>
      </x:c>
      <x:c r="D169" t="str">
        <x:v>2010701227</x:v>
      </x:c>
      <x:c r="E169" t="str">
        <x:v>M ULTRA PVC R BCO 1200X170X30 S/REB R2L</x:v>
      </x:c>
      <x:c r="F169" t="str">
        <x:v>MDF ULTRA</x:v>
      </x:c>
      <x:c r="G169" t="str">
        <x:v>S/CANAL</x:v>
      </x:c>
      <x:c r="H169" t="str">
        <x:v>S/REB</x:v>
      </x:c>
      <x:c r="I169" t="str">
        <x:v>RECOBERTO PVC RENOLIT</x:v>
      </x:c>
      <x:c r="J169" t="str">
        <x:v>BRANCO</x:v>
      </x:c>
      <x:c r="K169" t="str">
        <x:v>0</x:v>
      </x:c>
      <x:c r="L169" t="str">
        <x:v>16</x:v>
      </x:c>
      <x:c r="M169" t="str">
        <x:v>0,098</x:v>
      </x:c>
      <x:c r="N169" t="str"/>
      <x:c r="O169" t="str"/>
      <x:c r="P169" t="str">
        <x:v>Liberada Para Producao</x:v>
      </x:c>
      <x:c r="Q169" t="str">
        <x:v>609629</x:v>
      </x:c>
      <x:c r="R169" t="str">
        <x:v>33,33</x:v>
      </x:c>
      <x:c r="S169" t="str">
        <x:v>1503</x:v>
      </x:c>
      <x:c r="T169" t="str">
        <x:v>TV.BAT. 1100-2200 PET/PVC(SEMI</x:v>
      </x:c>
      <x:c r="U169" t="str"/>
      <x:c r="V169" t="str"/>
      <x:c r="W169" t="str">
        <x:v>N/A</x:v>
      </x:c>
      <x:c r="X169" t="str">
        <x:v>100</x:v>
      </x:c>
      <x:c r="Y169" t="str">
        <x:v>N/A</x:v>
      </x:c>
      <x:c r="Z169" t="str">
        <x:v>0</x:v>
      </x:c>
      <x:c r="AA169" t="str">
        <x:v>0</x:v>
      </x:c>
      <x:c r="AB169" t="str">
        <x:v>N/A</x:v>
      </x:c>
      <x:c r="AC169" t="str">
        <x:v>N/A</x:v>
      </x:c>
      <x:c r="AD169" t="str">
        <x:v>N/A</x:v>
      </x:c>
      <x:c r="AE169" t="str">
        <x:v>N/A</x:v>
      </x:c>
    </x:row>
    <x:row r="170">
      <x:c r="A170" t="str">
        <x:v>51</x:v>
      </x:c>
      <x:c r="B170" t="str">
        <x:v>26739</x:v>
      </x:c>
      <x:c r="C170" t="str">
        <x:v>3</x:v>
      </x:c>
      <x:c r="D170" t="str">
        <x:v>2020700627</x:v>
      </x:c>
      <x:c r="E170" t="str">
        <x:v>A ULTRA PVC R BCO 2250X100X9 RG(80) RTO</x:v>
      </x:c>
      <x:c r="F170" t="str">
        <x:v>REG 1L(MAIOR 80MM)</x:v>
      </x:c>
      <x:c r="G170" t="str"/>
      <x:c r="H170" t="str"/>
      <x:c r="I170" t="str">
        <x:v>RECOBERTO PVC RENOLIT</x:v>
      </x:c>
      <x:c r="J170" t="str">
        <x:v>BRANCO</x:v>
      </x:c>
      <x:c r="K170" t="str">
        <x:v>0</x:v>
      </x:c>
      <x:c r="L170" t="str">
        <x:v>8</x:v>
      </x:c>
      <x:c r="M170" t="str">
        <x:v>0</x:v>
      </x:c>
      <x:c r="N170" t="str"/>
      <x:c r="O170" t="str"/>
      <x:c r="P170" t="str">
        <x:v>Liberada Para Producao</x:v>
      </x:c>
      <x:c r="Q170" t="str">
        <x:v>609631</x:v>
      </x:c>
      <x:c r="R170" t="str">
        <x:v>0</x:v>
      </x:c>
      <x:c r="S170" t="str">
        <x:v>2021</x:v>
      </x:c>
      <x:c r="T170" t="str">
        <x:v>PERNA ALIZAR RG 80 (SEMI)</x:v>
      </x:c>
      <x:c r="U170" t="str"/>
      <x:c r="V170" t="str"/>
      <x:c r="W170" t="str">
        <x:v>N/A</x:v>
      </x:c>
      <x:c r="X170" t="str">
        <x:v>0</x:v>
      </x:c>
      <x:c r="Y170" t="str">
        <x:v>0</x:v>
      </x:c>
      <x:c r="Z170" t="str">
        <x:v>0</x:v>
      </x:c>
      <x:c r="AA170" t="str">
        <x:v>N/A</x:v>
      </x:c>
      <x:c r="AB170" t="str">
        <x:v>N/A</x:v>
      </x:c>
      <x:c r="AC170" t="str">
        <x:v>N/A</x:v>
      </x:c>
      <x:c r="AD170" t="str">
        <x:v>N/A</x:v>
      </x:c>
      <x:c r="AE170" t="str">
        <x:v>N/A</x:v>
      </x:c>
    </x:row>
    <x:row r="171">
      <x:c r="A171" t="str">
        <x:v>51</x:v>
      </x:c>
      <x:c r="B171" t="str">
        <x:v>26739</x:v>
      </x:c>
      <x:c r="C171" t="str">
        <x:v>4</x:v>
      </x:c>
      <x:c r="D171" t="str">
        <x:v>2020700628</x:v>
      </x:c>
      <x:c r="E171" t="str">
        <x:v>A ULTRA PVC R BCO 2200X50X9 RG(ME) RTO</x:v>
      </x:c>
      <x:c r="F171" t="str">
        <x:v>REG 1L(MENOR)</x:v>
      </x:c>
      <x:c r="G171" t="str"/>
      <x:c r="H171" t="str"/>
      <x:c r="I171" t="str">
        <x:v>RECOBERTO PVC RENOLIT</x:v>
      </x:c>
      <x:c r="J171" t="str">
        <x:v>BRANCO</x:v>
      </x:c>
      <x:c r="K171" t="str">
        <x:v>0</x:v>
      </x:c>
      <x:c r="L171" t="str">
        <x:v>32</x:v>
      </x:c>
      <x:c r="M171" t="str">
        <x:v>0</x:v>
      </x:c>
      <x:c r="N171" t="str"/>
      <x:c r="O171" t="str"/>
      <x:c r="P171" t="str">
        <x:v>Liberada Para Producao</x:v>
      </x:c>
      <x:c r="Q171" t="str">
        <x:v>609633</x:v>
      </x:c>
      <x:c r="R171" t="str">
        <x:v>0</x:v>
      </x:c>
      <x:c r="S171" t="str">
        <x:v>2003</x:v>
      </x:c>
      <x:c r="T171" t="str">
        <x:v>PERNA ALIZAR L MENOR  (SEMI)</x:v>
      </x:c>
      <x:c r="U171" t="str"/>
      <x:c r="V171" t="str"/>
      <x:c r="W171" t="str">
        <x:v>N/A</x:v>
      </x:c>
      <x:c r="X171" t="str">
        <x:v>0</x:v>
      </x:c>
      <x:c r="Y171" t="str">
        <x:v>0</x:v>
      </x:c>
      <x:c r="Z171" t="str">
        <x:v>0</x:v>
      </x:c>
      <x:c r="AA171" t="str">
        <x:v>N/A</x:v>
      </x:c>
      <x:c r="AB171" t="str">
        <x:v>N/A</x:v>
      </x:c>
      <x:c r="AC171" t="str">
        <x:v>N/A</x:v>
      </x:c>
      <x:c r="AD171" t="str">
        <x:v>N/A</x:v>
      </x:c>
      <x:c r="AE171" t="str">
        <x:v>N/A</x:v>
      </x:c>
    </x:row>
    <x:row r="172">
      <x:c r="A172" t="str">
        <x:v>51</x:v>
      </x:c>
      <x:c r="B172" t="str">
        <x:v>26739</x:v>
      </x:c>
      <x:c r="C172" t="str">
        <x:v>4</x:v>
      </x:c>
      <x:c r="D172" t="str">
        <x:v>2020700629</x:v>
      </x:c>
      <x:c r="E172" t="str">
        <x:v>A ULTRA PVC R BCO 1200X50X9 RG(ME) RTO</x:v>
      </x:c>
      <x:c r="F172" t="str">
        <x:v>REG 1L(MENOR)</x:v>
      </x:c>
      <x:c r="G172" t="str"/>
      <x:c r="H172" t="str"/>
      <x:c r="I172" t="str">
        <x:v>RECOBERTO PVC RENOLIT</x:v>
      </x:c>
      <x:c r="J172" t="str">
        <x:v>BRANCO</x:v>
      </x:c>
      <x:c r="K172" t="str">
        <x:v>0</x:v>
      </x:c>
      <x:c r="L172" t="str">
        <x:v>16</x:v>
      </x:c>
      <x:c r="M172" t="str">
        <x:v>0</x:v>
      </x:c>
      <x:c r="N172" t="str"/>
      <x:c r="O172" t="str"/>
      <x:c r="P172" t="str">
        <x:v>Liberada Para Producao</x:v>
      </x:c>
      <x:c r="Q172" t="str">
        <x:v>609634</x:v>
      </x:c>
      <x:c r="R172" t="str">
        <x:v>0</x:v>
      </x:c>
      <x:c r="S172" t="str">
        <x:v>2007</x:v>
      </x:c>
      <x:c r="T172" t="str">
        <x:v>TRAVESS ALIZAR L MENOR  (SEMI)</x:v>
      </x:c>
      <x:c r="U172" t="str"/>
      <x:c r="V172" t="str"/>
      <x:c r="W172" t="str">
        <x:v>N/A</x:v>
      </x:c>
      <x:c r="X172" t="str">
        <x:v>0</x:v>
      </x:c>
      <x:c r="Y172" t="str">
        <x:v>N/A</x:v>
      </x:c>
      <x:c r="Z172" t="str">
        <x:v>0</x:v>
      </x:c>
      <x:c r="AA172" t="str">
        <x:v>0</x:v>
      </x:c>
      <x:c r="AB172" t="str">
        <x:v>N/A</x:v>
      </x:c>
      <x:c r="AC172" t="str">
        <x:v>N/A</x:v>
      </x:c>
      <x:c r="AD172" t="str">
        <x:v>N/A</x:v>
      </x:c>
      <x:c r="AE172" t="str">
        <x:v>N/A</x:v>
      </x:c>
    </x:row>
    <x:row r="173">
      <x:c r="A173" t="str">
        <x:v>51</x:v>
      </x:c>
      <x:c r="B173" t="str">
        <x:v>26739</x:v>
      </x:c>
      <x:c r="C173" t="str">
        <x:v>5</x:v>
      </x:c>
      <x:c r="D173" t="str">
        <x:v>2020700630</x:v>
      </x:c>
      <x:c r="E173" t="str">
        <x:v>A ULTRA PVC R BCO 2200X70X9 RG(80) RTO</x:v>
      </x:c>
      <x:c r="F173" t="str">
        <x:v>REG 1L(MAIOR 80MM)</x:v>
      </x:c>
      <x:c r="G173" t="str"/>
      <x:c r="H173" t="str"/>
      <x:c r="I173" t="str">
        <x:v>RECOBERTO PVC RENOLIT</x:v>
      </x:c>
      <x:c r="J173" t="str">
        <x:v>BRANCO</x:v>
      </x:c>
      <x:c r="K173" t="str">
        <x:v>0</x:v>
      </x:c>
      <x:c r="L173" t="str">
        <x:v>24</x:v>
      </x:c>
      <x:c r="M173" t="str">
        <x:v>0</x:v>
      </x:c>
      <x:c r="N173" t="str"/>
      <x:c r="O173" t="str"/>
      <x:c r="P173" t="str">
        <x:v>Liberada Para Producao</x:v>
      </x:c>
      <x:c r="Q173" t="str">
        <x:v>609636</x:v>
      </x:c>
      <x:c r="R173" t="str">
        <x:v>0</x:v>
      </x:c>
      <x:c r="S173" t="str">
        <x:v>2021</x:v>
      </x:c>
      <x:c r="T173" t="str">
        <x:v>PERNA ALIZAR RG 80 (SEMI)</x:v>
      </x:c>
      <x:c r="U173" t="str"/>
      <x:c r="V173" t="str"/>
      <x:c r="W173" t="str">
        <x:v>N/A</x:v>
      </x:c>
      <x:c r="X173" t="str">
        <x:v>0</x:v>
      </x:c>
      <x:c r="Y173" t="str">
        <x:v>0</x:v>
      </x:c>
      <x:c r="Z173" t="str">
        <x:v>0</x:v>
      </x:c>
      <x:c r="AA173" t="str">
        <x:v>N/A</x:v>
      </x:c>
      <x:c r="AB173" t="str">
        <x:v>N/A</x:v>
      </x:c>
      <x:c r="AC173" t="str">
        <x:v>N/A</x:v>
      </x:c>
      <x:c r="AD173" t="str">
        <x:v>N/A</x:v>
      </x:c>
      <x:c r="AE173" t="str">
        <x:v>N/A</x:v>
      </x:c>
    </x:row>
    <x:row r="174">
      <x:c r="A174" t="str">
        <x:v>51</x:v>
      </x:c>
      <x:c r="B174" t="str">
        <x:v>26739</x:v>
      </x:c>
      <x:c r="C174" t="str">
        <x:v>6</x:v>
      </x:c>
      <x:c r="D174" t="str">
        <x:v>3020701844</x:v>
      </x:c>
      <x:c r="E174" t="str">
        <x:v>BAND DOB ULTRA 700X1226X9 PVC R BCO RTO</x:v>
      </x:c>
      <x:c r="F174" t="str"/>
      <x:c r="G174" t="str"/>
      <x:c r="H174" t="str"/>
      <x:c r="I174" t="str">
        <x:v>RECOBERTO PVC RENOLIT</x:v>
      </x:c>
      <x:c r="J174" t="str">
        <x:v>BRANCO</x:v>
      </x:c>
      <x:c r="K174" t="str">
        <x:v>0</x:v>
      </x:c>
      <x:c r="L174" t="str">
        <x:v>4</x:v>
      </x:c>
      <x:c r="M174" t="str">
        <x:v>0,031</x:v>
      </x:c>
      <x:c r="N174" t="str"/>
      <x:c r="O174" t="str"/>
      <x:c r="P174" t="str">
        <x:v>Liberada Para Producao</x:v>
      </x:c>
      <x:c r="Q174" t="str">
        <x:v>609637</x:v>
      </x:c>
      <x:c r="R174" t="str">
        <x:v>0</x:v>
      </x:c>
      <x:c r="S174" t="str"/>
      <x:c r="T174" t="str"/>
      <x:c r="U174" t="str"/>
      <x:c r="V174" t="str"/>
      <x:c r="W174" t="str">
        <x:v>N/A</x:v>
      </x:c>
      <x:c r="X174" t="str">
        <x:v>N/A</x:v>
      </x:c>
      <x:c r="Y174" t="str">
        <x:v>N/A</x:v>
      </x:c>
      <x:c r="Z174" t="str">
        <x:v>N/A</x:v>
      </x:c>
      <x:c r="AA174" t="str">
        <x:v>N/A</x:v>
      </x:c>
      <x:c r="AB174" t="str">
        <x:v>N/A</x:v>
      </x:c>
      <x:c r="AC174" t="str">
        <x:v>0</x:v>
      </x:c>
      <x:c r="AD174" t="str">
        <x:v>0</x:v>
      </x:c>
      <x:c r="AE174" t="str">
        <x:v>N/A</x:v>
      </x:c>
    </x:row>
    <x:row r="175">
      <x:c r="A175" t="str">
        <x:v>51</x:v>
      </x:c>
      <x:c r="B175" t="str">
        <x:v>26739</x:v>
      </x:c>
      <x:c r="C175" t="str">
        <x:v>7</x:v>
      </x:c>
      <x:c r="D175" t="str">
        <x:v>972638</x:v>
      </x:c>
      <x:c r="E175" t="str">
        <x:v>DOBRADICA PIVOTANTE  COM ESFERA</x:v>
      </x:c>
      <x:c r="F175" t="str"/>
      <x:c r="G175" t="str"/>
      <x:c r="H175" t="str"/>
      <x:c r="I175" t="str">
        <x:v>FERRAGENS</x:v>
      </x:c>
      <x:c r="J175" t="str">
        <x:v>COMPNENTES FECHADURAS</x:v>
      </x:c>
      <x:c r="K175" t="str">
        <x:v>0</x:v>
      </x:c>
      <x:c r="L175" t="str">
        <x:v>16</x:v>
      </x:c>
      <x:c r="M175" t="str">
        <x:v>0</x:v>
      </x:c>
      <x:c r="N175" t="str"/>
      <x:c r="O175" t="str"/>
      <x:c r="P175" t="str">
        <x:v>SEM ENGENHARIA CADASTRADA</x:v>
      </x:c>
      <x:c r="Q175" t="str"/>
      <x:c r="R175" t="str">
        <x:v>0</x:v>
      </x:c>
      <x:c r="S175" t="str"/>
      <x:c r="T175" t="str"/>
      <x:c r="U175" t="str"/>
      <x:c r="V175" t="str"/>
      <x:c r="W175" t="str">
        <x:v>N/A</x:v>
      </x:c>
      <x:c r="X175" t="str">
        <x:v>N/A</x:v>
      </x:c>
      <x:c r="Y175" t="str">
        <x:v>N/A</x:v>
      </x:c>
      <x:c r="Z175" t="str">
        <x:v>N/A</x:v>
      </x:c>
      <x:c r="AA175" t="str">
        <x:v>N/A</x:v>
      </x:c>
      <x:c r="AB175" t="str">
        <x:v>N/A</x:v>
      </x:c>
      <x:c r="AC175" t="str">
        <x:v>N/A</x:v>
      </x:c>
      <x:c r="AD175" t="str">
        <x:v>N/A</x:v>
      </x:c>
      <x:c r="AE175" t="str">
        <x:v>N/A</x:v>
      </x:c>
    </x:row>
    <x:row r="176">
      <x:c r="A176" t="str">
        <x:v>51</x:v>
      </x:c>
      <x:c r="B176" t="str">
        <x:v>26739</x:v>
      </x:c>
      <x:c r="C176" t="str">
        <x:v>8</x:v>
      </x:c>
      <x:c r="D176" t="str">
        <x:v>919640</x:v>
      </x:c>
      <x:c r="E176" t="str">
        <x:v>TR AL 1100X50X9 RTO LME REC PET BCO (ULT</x:v>
      </x:c>
      <x:c r="F176" t="str"/>
      <x:c r="G176" t="str"/>
      <x:c r="H176" t="str"/>
      <x:c r="I176" t="str">
        <x:v>ESMALTE</x:v>
      </x:c>
      <x:c r="J176" t="str">
        <x:v>BRANCO CARRARA</x:v>
      </x:c>
      <x:c r="K176" t="str">
        <x:v>0</x:v>
      </x:c>
      <x:c r="L176" t="str">
        <x:v>18</x:v>
      </x:c>
      <x:c r="M176" t="str">
        <x:v>0</x:v>
      </x:c>
      <x:c r="N176" t="str"/>
      <x:c r="O176" t="str"/>
      <x:c r="P176" t="str">
        <x:v>Liberada Para Producao</x:v>
      </x:c>
      <x:c r="Q176" t="str">
        <x:v>609639</x:v>
      </x:c>
      <x:c r="R176" t="str">
        <x:v>0</x:v>
      </x:c>
      <x:c r="S176" t="str"/>
      <x:c r="T176" t="str"/>
      <x:c r="U176" t="str"/>
      <x:c r="V176" t="str"/>
      <x:c r="W176" t="str">
        <x:v>N/A</x:v>
      </x:c>
      <x:c r="X176" t="str">
        <x:v>0</x:v>
      </x:c>
      <x:c r="Y176" t="str">
        <x:v>0</x:v>
      </x:c>
      <x:c r="Z176" t="str">
        <x:v>0</x:v>
      </x:c>
      <x:c r="AA176" t="str">
        <x:v>0</x:v>
      </x:c>
      <x:c r="AB176" t="str">
        <x:v>N/A</x:v>
      </x:c>
      <x:c r="AC176" t="str">
        <x:v>N/A</x:v>
      </x:c>
      <x:c r="AD176" t="str">
        <x:v>N/A</x:v>
      </x:c>
      <x:c r="AE176" t="str">
        <x:v>N/A</x:v>
      </x:c>
    </x:row>
    <x:row r="177">
      <x:c r="A177" t="str">
        <x:v>51</x:v>
      </x:c>
      <x:c r="B177" t="str">
        <x:v>26739</x:v>
      </x:c>
      <x:c r="C177" t="str">
        <x:v>8</x:v>
      </x:c>
      <x:c r="D177" t="str">
        <x:v>963311</x:v>
      </x:c>
      <x:c r="E177" t="str">
        <x:v>PE AL 2250X50X9 RTO LME REC PET BCO(ULTR</x:v>
      </x:c>
      <x:c r="F177" t="str"/>
      <x:c r="G177" t="str"/>
      <x:c r="H177" t="str"/>
      <x:c r="I177" t="str">
        <x:v>ESMALTE</x:v>
      </x:c>
      <x:c r="J177" t="str">
        <x:v>BRANCO CARRARA</x:v>
      </x:c>
      <x:c r="K177" t="str">
        <x:v>0</x:v>
      </x:c>
      <x:c r="L177" t="str">
        <x:v>36</x:v>
      </x:c>
      <x:c r="M177" t="str">
        <x:v>0</x:v>
      </x:c>
      <x:c r="N177" t="str"/>
      <x:c r="O177" t="str"/>
      <x:c r="P177" t="str">
        <x:v>Liberada Para Producao</x:v>
      </x:c>
      <x:c r="Q177" t="str">
        <x:v>609640</x:v>
      </x:c>
      <x:c r="R177" t="str">
        <x:v>0</x:v>
      </x:c>
      <x:c r="S177" t="str"/>
      <x:c r="T177" t="str"/>
      <x:c r="U177" t="str"/>
      <x:c r="V177" t="str"/>
      <x:c r="W177" t="str">
        <x:v>N/A</x:v>
      </x:c>
      <x:c r="X177" t="str">
        <x:v>0</x:v>
      </x:c>
      <x:c r="Y177" t="str">
        <x:v>0</x:v>
      </x:c>
      <x:c r="Z177" t="str">
        <x:v>0</x:v>
      </x:c>
      <x:c r="AA177" t="str">
        <x:v>N/A</x:v>
      </x:c>
      <x:c r="AB177" t="str">
        <x:v>N/A</x:v>
      </x:c>
      <x:c r="AC177" t="str">
        <x:v>N/A</x:v>
      </x:c>
      <x:c r="AD177" t="str">
        <x:v>N/A</x:v>
      </x:c>
      <x:c r="AE177" t="str">
        <x:v>N/A</x:v>
      </x:c>
    </x:row>
    <x:row r="178">
      <x:c r="A178" t="str">
        <x:v>51</x:v>
      </x:c>
      <x:c r="B178" t="str">
        <x:v>26739</x:v>
      </x:c>
      <x:c r="C178" t="str">
        <x:v>8</x:v>
      </x:c>
      <x:c r="D178" t="str">
        <x:v>966149</x:v>
      </x:c>
      <x:c r="E178" t="str">
        <x:v>TR AL 1100X50X9 RTO RL80 REC PET BCO (UL</x:v>
      </x:c>
      <x:c r="F178" t="str"/>
      <x:c r="G178" t="str"/>
      <x:c r="H178" t="str"/>
      <x:c r="I178" t="str">
        <x:v>ESMALTE</x:v>
      </x:c>
      <x:c r="J178" t="str">
        <x:v>BRANCO CARRARA</x:v>
      </x:c>
      <x:c r="K178" t="str">
        <x:v>0</x:v>
      </x:c>
      <x:c r="L178" t="str">
        <x:v>18</x:v>
      </x:c>
      <x:c r="M178" t="str">
        <x:v>0</x:v>
      </x:c>
      <x:c r="N178" t="str"/>
      <x:c r="O178" t="str"/>
      <x:c r="P178" t="str">
        <x:v>Liberada Para Producao</x:v>
      </x:c>
      <x:c r="Q178" t="str">
        <x:v>609641</x:v>
      </x:c>
      <x:c r="R178" t="str">
        <x:v>0</x:v>
      </x:c>
      <x:c r="S178" t="str"/>
      <x:c r="T178" t="str"/>
      <x:c r="U178" t="str"/>
      <x:c r="V178" t="str"/>
      <x:c r="W178" t="str">
        <x:v>N/A</x:v>
      </x:c>
      <x:c r="X178" t="str">
        <x:v>0</x:v>
      </x:c>
      <x:c r="Y178" t="str">
        <x:v>0</x:v>
      </x:c>
      <x:c r="Z178" t="str">
        <x:v>0</x:v>
      </x:c>
      <x:c r="AA178" t="str">
        <x:v>0</x:v>
      </x:c>
      <x:c r="AB178" t="str">
        <x:v>N/A</x:v>
      </x:c>
      <x:c r="AC178" t="str">
        <x:v>N/A</x:v>
      </x:c>
      <x:c r="AD178" t="str">
        <x:v>N/A</x:v>
      </x:c>
      <x:c r="AE178" t="str">
        <x:v>N/A</x:v>
      </x:c>
    </x:row>
    <x:row r="179">
      <x:c r="A179" t="str">
        <x:v>51</x:v>
      </x:c>
      <x:c r="B179" t="str">
        <x:v>26739</x:v>
      </x:c>
      <x:c r="C179" t="str">
        <x:v>8</x:v>
      </x:c>
      <x:c r="D179" t="str">
        <x:v>971601</x:v>
      </x:c>
      <x:c r="E179" t="str">
        <x:v>PE AL 2250X50X9 RTO RL80 REC PET BCO(ULT</x:v>
      </x:c>
      <x:c r="F179" t="str"/>
      <x:c r="G179" t="str"/>
      <x:c r="H179" t="str"/>
      <x:c r="I179" t="str">
        <x:v>ESMALTE</x:v>
      </x:c>
      <x:c r="J179" t="str">
        <x:v>BRANCO CARRARA</x:v>
      </x:c>
      <x:c r="K179" t="str">
        <x:v>0</x:v>
      </x:c>
      <x:c r="L179" t="str">
        <x:v>36</x:v>
      </x:c>
      <x:c r="M179" t="str">
        <x:v>0</x:v>
      </x:c>
      <x:c r="N179" t="str"/>
      <x:c r="O179" t="str"/>
      <x:c r="P179" t="str">
        <x:v>Liberada Para Producao</x:v>
      </x:c>
      <x:c r="Q179" t="str">
        <x:v>609642</x:v>
      </x:c>
      <x:c r="R179" t="str">
        <x:v>0</x:v>
      </x:c>
      <x:c r="S179" t="str"/>
      <x:c r="T179" t="str"/>
      <x:c r="U179" t="str"/>
      <x:c r="V179" t="str"/>
      <x:c r="W179" t="str">
        <x:v>N/A</x:v>
      </x:c>
      <x:c r="X179" t="str">
        <x:v>0</x:v>
      </x:c>
      <x:c r="Y179" t="str">
        <x:v>0</x:v>
      </x:c>
      <x:c r="Z179" t="str">
        <x:v>0</x:v>
      </x:c>
      <x:c r="AA179" t="str">
        <x:v>N/A</x:v>
      </x:c>
      <x:c r="AB179" t="str">
        <x:v>N/A</x:v>
      </x:c>
      <x:c r="AC179" t="str">
        <x:v>N/A</x:v>
      </x:c>
      <x:c r="AD179" t="str">
        <x:v>N/A</x:v>
      </x:c>
      <x:c r="AE179" t="str">
        <x:v>N/A</x:v>
      </x:c>
    </x:row>
    <x:row r="180">
      <x:c r="A180" t="str">
        <x:v>51</x:v>
      </x:c>
      <x:c r="B180" t="str">
        <x:v>26739</x:v>
      </x:c>
      <x:c r="C180" t="str">
        <x:v>8</x:v>
      </x:c>
      <x:c r="D180" t="str">
        <x:v>2010701021</x:v>
      </x:c>
      <x:c r="E180" t="str">
        <x:v>M ULTRA PET BCO CAR 2110X80X30 42X10 R2L</x:v>
      </x:c>
      <x:c r="F180" t="str"/>
      <x:c r="G180" t="str"/>
      <x:c r="H180" t="str"/>
      <x:c r="I180" t="str">
        <x:v>ESMALTE</x:v>
      </x:c>
      <x:c r="J180" t="str">
        <x:v>BRANCO CARRARA</x:v>
      </x:c>
      <x:c r="K180" t="str">
        <x:v>0</x:v>
      </x:c>
      <x:c r="L180" t="str">
        <x:v>36</x:v>
      </x:c>
      <x:c r="M180" t="str">
        <x:v>36</x:v>
      </x:c>
      <x:c r="N180" t="str"/>
      <x:c r="O180" t="str"/>
      <x:c r="P180" t="str">
        <x:v>Liberada Para Producao</x:v>
      </x:c>
      <x:c r="Q180" t="str">
        <x:v>609643</x:v>
      </x:c>
      <x:c r="R180" t="str">
        <x:v>50</x:v>
      </x:c>
      <x:c r="S180" t="str">
        <x:v>1500</x:v>
      </x:c>
      <x:c r="T180" t="str">
        <x:v>PERNA DE BATENTE PREMIUM(SEMIA</x:v>
      </x:c>
      <x:c r="U180" t="str"/>
      <x:c r="V180" t="str"/>
      <x:c r="W180" t="str">
        <x:v>100</x:v>
      </x:c>
      <x:c r="X180" t="str">
        <x:v>100</x:v>
      </x:c>
      <x:c r="Y180" t="str">
        <x:v>N/A</x:v>
      </x:c>
      <x:c r="Z180" t="str">
        <x:v>0</x:v>
      </x:c>
      <x:c r="AA180" t="str">
        <x:v>0</x:v>
      </x:c>
      <x:c r="AB180" t="str">
        <x:v>N/A</x:v>
      </x:c>
      <x:c r="AC180" t="str">
        <x:v>N/A</x:v>
      </x:c>
      <x:c r="AD180" t="str">
        <x:v>N/A</x:v>
      </x:c>
      <x:c r="AE180" t="str">
        <x:v>N/A</x:v>
      </x:c>
    </x:row>
    <x:row r="181">
      <x:c r="A181" t="str">
        <x:v>51</x:v>
      </x:c>
      <x:c r="B181" t="str">
        <x:v>26739</x:v>
      </x:c>
      <x:c r="C181" t="str">
        <x:v>8</x:v>
      </x:c>
      <x:c r="D181" t="str">
        <x:v>2010701245</x:v>
      </x:c>
      <x:c r="E181" t="str">
        <x:v>M ULTRA PET BCO CAR 767X80X30 42X10 R2L</x:v>
      </x:c>
      <x:c r="F181" t="str"/>
      <x:c r="G181" t="str"/>
      <x:c r="H181" t="str"/>
      <x:c r="I181" t="str">
        <x:v>ESMALTE</x:v>
      </x:c>
      <x:c r="J181" t="str">
        <x:v>BRANCO CARRARA</x:v>
      </x:c>
      <x:c r="K181" t="str">
        <x:v>0</x:v>
      </x:c>
      <x:c r="L181" t="str">
        <x:v>18</x:v>
      </x:c>
      <x:c r="M181" t="str">
        <x:v>18</x:v>
      </x:c>
      <x:c r="N181" t="str"/>
      <x:c r="O181" t="str"/>
      <x:c r="P181" t="str">
        <x:v>Liberada Para Producao</x:v>
      </x:c>
      <x:c r="Q181" t="str">
        <x:v>609644</x:v>
      </x:c>
      <x:c r="R181" t="str">
        <x:v>50</x:v>
      </x:c>
      <x:c r="S181" t="str">
        <x:v>1502</x:v>
      </x:c>
      <x:c r="T181" t="str">
        <x:v>TV.BAT. 680-1100 PET/PVC(SEMI)</x:v>
      </x:c>
      <x:c r="U181" t="str"/>
      <x:c r="V181" t="str"/>
      <x:c r="W181" t="str">
        <x:v>100</x:v>
      </x:c>
      <x:c r="X181" t="str">
        <x:v>100</x:v>
      </x:c>
      <x:c r="Y181" t="str">
        <x:v>N/A</x:v>
      </x:c>
      <x:c r="Z181" t="str">
        <x:v>0</x:v>
      </x:c>
      <x:c r="AA181" t="str">
        <x:v>0</x:v>
      </x:c>
      <x:c r="AB181" t="str">
        <x:v>N/A</x:v>
      </x:c>
      <x:c r="AC181" t="str">
        <x:v>N/A</x:v>
      </x:c>
      <x:c r="AD181" t="str">
        <x:v>N/A</x:v>
      </x:c>
      <x:c r="AE181" t="str">
        <x:v>N/A</x:v>
      </x:c>
    </x:row>
    <x:row r="182">
      <x:c r="A182" t="str">
        <x:v>51</x:v>
      </x:c>
      <x:c r="B182" t="str">
        <x:v>26739</x:v>
      </x:c>
      <x:c r="C182" t="str">
        <x:v>8</x:v>
      </x:c>
      <x:c r="D182" t="str">
        <x:v>4210012023</x:v>
      </x:c>
      <x:c r="E182" t="str">
        <x:v>FP COLM HDF 3 2100x720x35 ESM BCO C C/US</x:v>
      </x:c>
      <x:c r="F182" t="str"/>
      <x:c r="G182" t="str">
        <x:v>C/USINAGEM COMPLETA</x:v>
      </x:c>
      <x:c r="H182" t="str"/>
      <x:c r="I182" t="str">
        <x:v>ESMALTE</x:v>
      </x:c>
      <x:c r="J182" t="str">
        <x:v>BRANCO CARRARA</x:v>
      </x:c>
      <x:c r="K182" t="str">
        <x:v>0</x:v>
      </x:c>
      <x:c r="L182" t="str">
        <x:v>18</x:v>
      </x:c>
      <x:c r="M182" t="str">
        <x:v>0,953</x:v>
      </x:c>
      <x:c r="N182" t="str"/>
      <x:c r="O182" t="str"/>
      <x:c r="P182" t="str">
        <x:v>Liberada Para Producao</x:v>
      </x:c>
      <x:c r="Q182" t="str">
        <x:v>609645</x:v>
      </x:c>
      <x:c r="R182" t="str">
        <x:v>33,33</x:v>
      </x:c>
      <x:c r="S182" t="str">
        <x:v>1</x:v>
      </x:c>
      <x:c r="T182" t="str">
        <x:v>PORTA LINHA PREMIUM</x:v>
      </x:c>
      <x:c r="U182" t="str"/>
      <x:c r="V182" t="str"/>
      <x:c r="W182" t="str">
        <x:v>N/A</x:v>
      </x:c>
      <x:c r="X182" t="str">
        <x:v>100</x:v>
      </x:c>
      <x:c r="Y182" t="str">
        <x:v>N/A</x:v>
      </x:c>
      <x:c r="Z182" t="str">
        <x:v>N/A</x:v>
      </x:c>
      <x:c r="AA182" t="str">
        <x:v>N/A</x:v>
      </x:c>
      <x:c r="AB182" t="str">
        <x:v>0</x:v>
      </x:c>
      <x:c r="AC182" t="str">
        <x:v>N/A</x:v>
      </x:c>
      <x:c r="AD182" t="str">
        <x:v>0</x:v>
      </x:c>
      <x:c r="AE182" t="str">
        <x:v>N/A</x:v>
      </x:c>
    </x:row>
    <x:row r="183">
      <x:c r="A183" t="str">
        <x:v>51</x:v>
      </x:c>
      <x:c r="B183" t="str">
        <x:v>26739</x:v>
      </x:c>
      <x:c r="C183" t="str">
        <x:v>9</x:v>
      </x:c>
      <x:c r="D183" t="str">
        <x:v>918484</x:v>
      </x:c>
      <x:c r="E183" t="str">
        <x:v>2110x90x30 42x10 R2 R1 BIA PET BC U(UL)</x:v>
      </x:c>
      <x:c r="F183" t="str"/>
      <x:c r="G183" t="str"/>
      <x:c r="H183" t="str"/>
      <x:c r="I183" t="str">
        <x:v>ESMALTE</x:v>
      </x:c>
      <x:c r="J183" t="str">
        <x:v>BRANCO CARRARA</x:v>
      </x:c>
      <x:c r="K183" t="str">
        <x:v>0</x:v>
      </x:c>
      <x:c r="L183" t="str">
        <x:v>12</x:v>
      </x:c>
      <x:c r="M183" t="str">
        <x:v>0</x:v>
      </x:c>
      <x:c r="N183" t="str"/>
      <x:c r="O183" t="str"/>
      <x:c r="P183" t="str">
        <x:v>Liberada Para Producao</x:v>
      </x:c>
      <x:c r="Q183" t="str">
        <x:v>609647</x:v>
      </x:c>
      <x:c r="R183" t="str">
        <x:v>0</x:v>
      </x:c>
      <x:c r="S183" t="str"/>
      <x:c r="T183" t="str"/>
      <x:c r="U183" t="str"/>
      <x:c r="V183" t="str"/>
      <x:c r="W183" t="str">
        <x:v>N/A</x:v>
      </x:c>
      <x:c r="X183" t="str">
        <x:v>N/A</x:v>
      </x:c>
      <x:c r="Y183" t="str">
        <x:v>N/A</x:v>
      </x:c>
      <x:c r="Z183" t="str">
        <x:v>0</x:v>
      </x:c>
      <x:c r="AA183" t="str">
        <x:v>0</x:v>
      </x:c>
      <x:c r="AB183" t="str">
        <x:v>N/A</x:v>
      </x:c>
      <x:c r="AC183" t="str">
        <x:v>N/A</x:v>
      </x:c>
      <x:c r="AD183" t="str">
        <x:v>N/A</x:v>
      </x:c>
      <x:c r="AE183" t="str">
        <x:v>N/A</x:v>
      </x:c>
    </x:row>
    <x:row r="184">
      <x:c r="A184" t="str">
        <x:v>51</x:v>
      </x:c>
      <x:c r="B184" t="str">
        <x:v>26739</x:v>
      </x:c>
      <x:c r="C184" t="str">
        <x:v>9</x:v>
      </x:c>
      <x:c r="D184" t="str">
        <x:v>919640</x:v>
      </x:c>
      <x:c r="E184" t="str">
        <x:v>TR AL 1100X50X9 RTO LME REC PET BCO (ULT</x:v>
      </x:c>
      <x:c r="F184" t="str"/>
      <x:c r="G184" t="str"/>
      <x:c r="H184" t="str"/>
      <x:c r="I184" t="str">
        <x:v>ESMALTE</x:v>
      </x:c>
      <x:c r="J184" t="str">
        <x:v>BRANCO CARRARA</x:v>
      </x:c>
      <x:c r="K184" t="str">
        <x:v>0</x:v>
      </x:c>
      <x:c r="L184" t="str">
        <x:v>6</x:v>
      </x:c>
      <x:c r="M184" t="str">
        <x:v>0</x:v>
      </x:c>
      <x:c r="N184" t="str"/>
      <x:c r="O184" t="str"/>
      <x:c r="P184" t="str">
        <x:v>Liberada Para Producao</x:v>
      </x:c>
      <x:c r="Q184" t="str">
        <x:v>609648</x:v>
      </x:c>
      <x:c r="R184" t="str">
        <x:v>0</x:v>
      </x:c>
      <x:c r="S184" t="str"/>
      <x:c r="T184" t="str"/>
      <x:c r="U184" t="str"/>
      <x:c r="V184" t="str"/>
      <x:c r="W184" t="str">
        <x:v>N/A</x:v>
      </x:c>
      <x:c r="X184" t="str">
        <x:v>0</x:v>
      </x:c>
      <x:c r="Y184" t="str">
        <x:v>0</x:v>
      </x:c>
      <x:c r="Z184" t="str">
        <x:v>0</x:v>
      </x:c>
      <x:c r="AA184" t="str">
        <x:v>0</x:v>
      </x:c>
      <x:c r="AB184" t="str">
        <x:v>N/A</x:v>
      </x:c>
      <x:c r="AC184" t="str">
        <x:v>N/A</x:v>
      </x:c>
      <x:c r="AD184" t="str">
        <x:v>N/A</x:v>
      </x:c>
      <x:c r="AE184" t="str">
        <x:v>N/A</x:v>
      </x:c>
    </x:row>
    <x:row r="185">
      <x:c r="A185" t="str">
        <x:v>51</x:v>
      </x:c>
      <x:c r="B185" t="str">
        <x:v>26739</x:v>
      </x:c>
      <x:c r="C185" t="str">
        <x:v>9</x:v>
      </x:c>
      <x:c r="D185" t="str">
        <x:v>963311</x:v>
      </x:c>
      <x:c r="E185" t="str">
        <x:v>PE AL 2250X50X9 RTO LME REC PET BCO(ULTR</x:v>
      </x:c>
      <x:c r="F185" t="str"/>
      <x:c r="G185" t="str"/>
      <x:c r="H185" t="str"/>
      <x:c r="I185" t="str">
        <x:v>ESMALTE</x:v>
      </x:c>
      <x:c r="J185" t="str">
        <x:v>BRANCO CARRARA</x:v>
      </x:c>
      <x:c r="K185" t="str">
        <x:v>0</x:v>
      </x:c>
      <x:c r="L185" t="str">
        <x:v>12</x:v>
      </x:c>
      <x:c r="M185" t="str">
        <x:v>0</x:v>
      </x:c>
      <x:c r="N185" t="str"/>
      <x:c r="O185" t="str"/>
      <x:c r="P185" t="str">
        <x:v>Liberada Para Producao</x:v>
      </x:c>
      <x:c r="Q185" t="str">
        <x:v>609649</x:v>
      </x:c>
      <x:c r="R185" t="str">
        <x:v>0</x:v>
      </x:c>
      <x:c r="S185" t="str"/>
      <x:c r="T185" t="str"/>
      <x:c r="U185" t="str"/>
      <x:c r="V185" t="str"/>
      <x:c r="W185" t="str">
        <x:v>N/A</x:v>
      </x:c>
      <x:c r="X185" t="str">
        <x:v>0</x:v>
      </x:c>
      <x:c r="Y185" t="str">
        <x:v>0</x:v>
      </x:c>
      <x:c r="Z185" t="str">
        <x:v>0</x:v>
      </x:c>
      <x:c r="AA185" t="str">
        <x:v>N/A</x:v>
      </x:c>
      <x:c r="AB185" t="str">
        <x:v>N/A</x:v>
      </x:c>
      <x:c r="AC185" t="str">
        <x:v>N/A</x:v>
      </x:c>
      <x:c r="AD185" t="str">
        <x:v>N/A</x:v>
      </x:c>
      <x:c r="AE185" t="str">
        <x:v>N/A</x:v>
      </x:c>
    </x:row>
    <x:row r="186">
      <x:c r="A186" t="str">
        <x:v>51</x:v>
      </x:c>
      <x:c r="B186" t="str">
        <x:v>26739</x:v>
      </x:c>
      <x:c r="C186" t="str">
        <x:v>9</x:v>
      </x:c>
      <x:c r="D186" t="str">
        <x:v>966149</x:v>
      </x:c>
      <x:c r="E186" t="str">
        <x:v>TR AL 1100X50X9 RTO RL80 REC PET BCO (UL</x:v>
      </x:c>
      <x:c r="F186" t="str"/>
      <x:c r="G186" t="str"/>
      <x:c r="H186" t="str"/>
      <x:c r="I186" t="str">
        <x:v>ESMALTE</x:v>
      </x:c>
      <x:c r="J186" t="str">
        <x:v>BRANCO CARRARA</x:v>
      </x:c>
      <x:c r="K186" t="str">
        <x:v>0</x:v>
      </x:c>
      <x:c r="L186" t="str">
        <x:v>6</x:v>
      </x:c>
      <x:c r="M186" t="str">
        <x:v>0</x:v>
      </x:c>
      <x:c r="N186" t="str"/>
      <x:c r="O186" t="str"/>
      <x:c r="P186" t="str">
        <x:v>Liberada Para Producao</x:v>
      </x:c>
      <x:c r="Q186" t="str">
        <x:v>609650</x:v>
      </x:c>
      <x:c r="R186" t="str">
        <x:v>0</x:v>
      </x:c>
      <x:c r="S186" t="str"/>
      <x:c r="T186" t="str"/>
      <x:c r="U186" t="str"/>
      <x:c r="V186" t="str"/>
      <x:c r="W186" t="str">
        <x:v>N/A</x:v>
      </x:c>
      <x:c r="X186" t="str">
        <x:v>0</x:v>
      </x:c>
      <x:c r="Y186" t="str">
        <x:v>0</x:v>
      </x:c>
      <x:c r="Z186" t="str">
        <x:v>0</x:v>
      </x:c>
      <x:c r="AA186" t="str">
        <x:v>0</x:v>
      </x:c>
      <x:c r="AB186" t="str">
        <x:v>N/A</x:v>
      </x:c>
      <x:c r="AC186" t="str">
        <x:v>N/A</x:v>
      </x:c>
      <x:c r="AD186" t="str">
        <x:v>N/A</x:v>
      </x:c>
      <x:c r="AE186" t="str">
        <x:v>N/A</x:v>
      </x:c>
    </x:row>
    <x:row r="187">
      <x:c r="A187" t="str">
        <x:v>51</x:v>
      </x:c>
      <x:c r="B187" t="str">
        <x:v>26739</x:v>
      </x:c>
      <x:c r="C187" t="str">
        <x:v>9</x:v>
      </x:c>
      <x:c r="D187" t="str">
        <x:v>968118</x:v>
      </x:c>
      <x:c r="E187" t="str">
        <x:v>767x90x30 42x10 R2L R1 BIA PET BRC (UL)</x:v>
      </x:c>
      <x:c r="F187" t="str"/>
      <x:c r="G187" t="str"/>
      <x:c r="H187" t="str"/>
      <x:c r="I187" t="str">
        <x:v>ESMALTE</x:v>
      </x:c>
      <x:c r="J187" t="str">
        <x:v>BRANCO CARRARA</x:v>
      </x:c>
      <x:c r="K187" t="str">
        <x:v>0</x:v>
      </x:c>
      <x:c r="L187" t="str">
        <x:v>6</x:v>
      </x:c>
      <x:c r="M187" t="str">
        <x:v>0,012</x:v>
      </x:c>
      <x:c r="N187" t="str"/>
      <x:c r="O187" t="str"/>
      <x:c r="P187" t="str">
        <x:v>Liberada Para Producao</x:v>
      </x:c>
      <x:c r="Q187" t="str">
        <x:v>609651</x:v>
      </x:c>
      <x:c r="R187" t="str">
        <x:v>0</x:v>
      </x:c>
      <x:c r="S187" t="str"/>
      <x:c r="T187" t="str"/>
      <x:c r="U187" t="str"/>
      <x:c r="V187" t="str"/>
      <x:c r="W187" t="str">
        <x:v>N/A</x:v>
      </x:c>
      <x:c r="X187" t="str">
        <x:v>N/A</x:v>
      </x:c>
      <x:c r="Y187" t="str">
        <x:v>N/A</x:v>
      </x:c>
      <x:c r="Z187" t="str">
        <x:v>0</x:v>
      </x:c>
      <x:c r="AA187" t="str">
        <x:v>0</x:v>
      </x:c>
      <x:c r="AB187" t="str">
        <x:v>N/A</x:v>
      </x:c>
      <x:c r="AC187" t="str">
        <x:v>N/A</x:v>
      </x:c>
      <x:c r="AD187" t="str">
        <x:v>N/A</x:v>
      </x:c>
      <x:c r="AE187" t="str">
        <x:v>N/A</x:v>
      </x:c>
    </x:row>
    <x:row r="188">
      <x:c r="A188" t="str">
        <x:v>51</x:v>
      </x:c>
      <x:c r="B188" t="str">
        <x:v>26739</x:v>
      </x:c>
      <x:c r="C188" t="str">
        <x:v>9</x:v>
      </x:c>
      <x:c r="D188" t="str">
        <x:v>971601</x:v>
      </x:c>
      <x:c r="E188" t="str">
        <x:v>PE AL 2250X50X9 RTO RL80 REC PET BCO(ULT</x:v>
      </x:c>
      <x:c r="F188" t="str"/>
      <x:c r="G188" t="str"/>
      <x:c r="H188" t="str"/>
      <x:c r="I188" t="str">
        <x:v>ESMALTE</x:v>
      </x:c>
      <x:c r="J188" t="str">
        <x:v>BRANCO CARRARA</x:v>
      </x:c>
      <x:c r="K188" t="str">
        <x:v>0</x:v>
      </x:c>
      <x:c r="L188" t="str">
        <x:v>12</x:v>
      </x:c>
      <x:c r="M188" t="str">
        <x:v>0</x:v>
      </x:c>
      <x:c r="N188" t="str"/>
      <x:c r="O188" t="str"/>
      <x:c r="P188" t="str">
        <x:v>Liberada Para Producao</x:v>
      </x:c>
      <x:c r="Q188" t="str">
        <x:v>609652</x:v>
      </x:c>
      <x:c r="R188" t="str">
        <x:v>0</x:v>
      </x:c>
      <x:c r="S188" t="str"/>
      <x:c r="T188" t="str"/>
      <x:c r="U188" t="str"/>
      <x:c r="V188" t="str"/>
      <x:c r="W188" t="str">
        <x:v>N/A</x:v>
      </x:c>
      <x:c r="X188" t="str">
        <x:v>0</x:v>
      </x:c>
      <x:c r="Y188" t="str">
        <x:v>0</x:v>
      </x:c>
      <x:c r="Z188" t="str">
        <x:v>0</x:v>
      </x:c>
      <x:c r="AA188" t="str">
        <x:v>N/A</x:v>
      </x:c>
      <x:c r="AB188" t="str">
        <x:v>N/A</x:v>
      </x:c>
      <x:c r="AC188" t="str">
        <x:v>N/A</x:v>
      </x:c>
      <x:c r="AD188" t="str">
        <x:v>N/A</x:v>
      </x:c>
      <x:c r="AE188" t="str">
        <x:v>N/A</x:v>
      </x:c>
    </x:row>
    <x:row r="189">
      <x:c r="A189" t="str">
        <x:v>51</x:v>
      </x:c>
      <x:c r="B189" t="str">
        <x:v>26739</x:v>
      </x:c>
      <x:c r="C189" t="str">
        <x:v>9</x:v>
      </x:c>
      <x:c r="D189" t="str">
        <x:v>4210012023</x:v>
      </x:c>
      <x:c r="E189" t="str">
        <x:v>FP COLM HDF 3 2100x720x35 ESM BCO C C/US</x:v>
      </x:c>
      <x:c r="F189" t="str"/>
      <x:c r="G189" t="str">
        <x:v>C/USINAGEM COMPLETA</x:v>
      </x:c>
      <x:c r="H189" t="str"/>
      <x:c r="I189" t="str">
        <x:v>ESMALTE</x:v>
      </x:c>
      <x:c r="J189" t="str">
        <x:v>BRANCO CARRARA</x:v>
      </x:c>
      <x:c r="K189" t="str">
        <x:v>0</x:v>
      </x:c>
      <x:c r="L189" t="str">
        <x:v>6</x:v>
      </x:c>
      <x:c r="M189" t="str">
        <x:v>0,318</x:v>
      </x:c>
      <x:c r="N189" t="str"/>
      <x:c r="O189" t="str"/>
      <x:c r="P189" t="str">
        <x:v>Liberada Para Producao</x:v>
      </x:c>
      <x:c r="Q189" t="str">
        <x:v>609653</x:v>
      </x:c>
      <x:c r="R189" t="str">
        <x:v>33,33</x:v>
      </x:c>
      <x:c r="S189" t="str">
        <x:v>1</x:v>
      </x:c>
      <x:c r="T189" t="str">
        <x:v>PORTA LINHA PREMIUM</x:v>
      </x:c>
      <x:c r="U189" t="str"/>
      <x:c r="V189" t="str"/>
      <x:c r="W189" t="str">
        <x:v>N/A</x:v>
      </x:c>
      <x:c r="X189" t="str">
        <x:v>100</x:v>
      </x:c>
      <x:c r="Y189" t="str">
        <x:v>N/A</x:v>
      </x:c>
      <x:c r="Z189" t="str">
        <x:v>N/A</x:v>
      </x:c>
      <x:c r="AA189" t="str">
        <x:v>N/A</x:v>
      </x:c>
      <x:c r="AB189" t="str">
        <x:v>0</x:v>
      </x:c>
      <x:c r="AC189" t="str">
        <x:v>N/A</x:v>
      </x:c>
      <x:c r="AD189" t="str">
        <x:v>0</x:v>
      </x:c>
      <x:c r="AE189" t="str">
        <x:v>N/A</x:v>
      </x:c>
    </x:row>
    <x:row r="190">
      <x:c r="A190" t="str">
        <x:v>51</x:v>
      </x:c>
      <x:c r="B190" t="str">
        <x:v>26739</x:v>
      </x:c>
      <x:c r="C190" t="str">
        <x:v>10</x:v>
      </x:c>
      <x:c r="D190" t="str">
        <x:v>919640</x:v>
      </x:c>
      <x:c r="E190" t="str">
        <x:v>TR AL 1100X50X9 RTO LME REC PET BCO (ULT</x:v>
      </x:c>
      <x:c r="F190" t="str"/>
      <x:c r="G190" t="str"/>
      <x:c r="H190" t="str"/>
      <x:c r="I190" t="str">
        <x:v>ESMALTE</x:v>
      </x:c>
      <x:c r="J190" t="str">
        <x:v>BRANCO CARRARA</x:v>
      </x:c>
      <x:c r="K190" t="str">
        <x:v>0</x:v>
      </x:c>
      <x:c r="L190" t="str">
        <x:v>22</x:v>
      </x:c>
      <x:c r="M190" t="str">
        <x:v>0</x:v>
      </x:c>
      <x:c r="N190" t="str"/>
      <x:c r="O190" t="str"/>
      <x:c r="P190" t="str">
        <x:v>Liberada Para Producao</x:v>
      </x:c>
      <x:c r="Q190" t="str">
        <x:v>609655</x:v>
      </x:c>
      <x:c r="R190" t="str">
        <x:v>0</x:v>
      </x:c>
      <x:c r="S190" t="str"/>
      <x:c r="T190" t="str"/>
      <x:c r="U190" t="str"/>
      <x:c r="V190" t="str"/>
      <x:c r="W190" t="str">
        <x:v>N/A</x:v>
      </x:c>
      <x:c r="X190" t="str">
        <x:v>0</x:v>
      </x:c>
      <x:c r="Y190" t="str">
        <x:v>0</x:v>
      </x:c>
      <x:c r="Z190" t="str">
        <x:v>0</x:v>
      </x:c>
      <x:c r="AA190" t="str">
        <x:v>0</x:v>
      </x:c>
      <x:c r="AB190" t="str">
        <x:v>N/A</x:v>
      </x:c>
      <x:c r="AC190" t="str">
        <x:v>N/A</x:v>
      </x:c>
      <x:c r="AD190" t="str">
        <x:v>N/A</x:v>
      </x:c>
      <x:c r="AE190" t="str">
        <x:v>N/A</x:v>
      </x:c>
    </x:row>
    <x:row r="191">
      <x:c r="A191" t="str">
        <x:v>51</x:v>
      </x:c>
      <x:c r="B191" t="str">
        <x:v>26739</x:v>
      </x:c>
      <x:c r="C191" t="str">
        <x:v>10</x:v>
      </x:c>
      <x:c r="D191" t="str">
        <x:v>963311</x:v>
      </x:c>
      <x:c r="E191" t="str">
        <x:v>PE AL 2250X50X9 RTO LME REC PET BCO(ULTR</x:v>
      </x:c>
      <x:c r="F191" t="str"/>
      <x:c r="G191" t="str"/>
      <x:c r="H191" t="str"/>
      <x:c r="I191" t="str">
        <x:v>ESMALTE</x:v>
      </x:c>
      <x:c r="J191" t="str">
        <x:v>BRANCO CARRARA</x:v>
      </x:c>
      <x:c r="K191" t="str">
        <x:v>0</x:v>
      </x:c>
      <x:c r="L191" t="str">
        <x:v>44</x:v>
      </x:c>
      <x:c r="M191" t="str">
        <x:v>0</x:v>
      </x:c>
      <x:c r="N191" t="str"/>
      <x:c r="O191" t="str"/>
      <x:c r="P191" t="str">
        <x:v>Liberada Para Producao</x:v>
      </x:c>
      <x:c r="Q191" t="str">
        <x:v>609656</x:v>
      </x:c>
      <x:c r="R191" t="str">
        <x:v>0</x:v>
      </x:c>
      <x:c r="S191" t="str"/>
      <x:c r="T191" t="str"/>
      <x:c r="U191" t="str"/>
      <x:c r="V191" t="str"/>
      <x:c r="W191" t="str">
        <x:v>N/A</x:v>
      </x:c>
      <x:c r="X191" t="str">
        <x:v>0</x:v>
      </x:c>
      <x:c r="Y191" t="str">
        <x:v>0</x:v>
      </x:c>
      <x:c r="Z191" t="str">
        <x:v>0</x:v>
      </x:c>
      <x:c r="AA191" t="str">
        <x:v>N/A</x:v>
      </x:c>
      <x:c r="AB191" t="str">
        <x:v>N/A</x:v>
      </x:c>
      <x:c r="AC191" t="str">
        <x:v>N/A</x:v>
      </x:c>
      <x:c r="AD191" t="str">
        <x:v>N/A</x:v>
      </x:c>
      <x:c r="AE191" t="str">
        <x:v>N/A</x:v>
      </x:c>
    </x:row>
    <x:row r="192">
      <x:c r="A192" t="str">
        <x:v>51</x:v>
      </x:c>
      <x:c r="B192" t="str">
        <x:v>26739</x:v>
      </x:c>
      <x:c r="C192" t="str">
        <x:v>10</x:v>
      </x:c>
      <x:c r="D192" t="str">
        <x:v>966149</x:v>
      </x:c>
      <x:c r="E192" t="str">
        <x:v>TR AL 1100X50X9 RTO RL80 REC PET BCO (UL</x:v>
      </x:c>
      <x:c r="F192" t="str"/>
      <x:c r="G192" t="str"/>
      <x:c r="H192" t="str"/>
      <x:c r="I192" t="str">
        <x:v>ESMALTE</x:v>
      </x:c>
      <x:c r="J192" t="str">
        <x:v>BRANCO CARRARA</x:v>
      </x:c>
      <x:c r="K192" t="str">
        <x:v>0</x:v>
      </x:c>
      <x:c r="L192" t="str">
        <x:v>22</x:v>
      </x:c>
      <x:c r="M192" t="str">
        <x:v>0</x:v>
      </x:c>
      <x:c r="N192" t="str"/>
      <x:c r="O192" t="str"/>
      <x:c r="P192" t="str">
        <x:v>Liberada Para Producao</x:v>
      </x:c>
      <x:c r="Q192" t="str">
        <x:v>609657</x:v>
      </x:c>
      <x:c r="R192" t="str">
        <x:v>0</x:v>
      </x:c>
      <x:c r="S192" t="str"/>
      <x:c r="T192" t="str"/>
      <x:c r="U192" t="str"/>
      <x:c r="V192" t="str"/>
      <x:c r="W192" t="str">
        <x:v>N/A</x:v>
      </x:c>
      <x:c r="X192" t="str">
        <x:v>0</x:v>
      </x:c>
      <x:c r="Y192" t="str">
        <x:v>0</x:v>
      </x:c>
      <x:c r="Z192" t="str">
        <x:v>0</x:v>
      </x:c>
      <x:c r="AA192" t="str">
        <x:v>0</x:v>
      </x:c>
      <x:c r="AB192" t="str">
        <x:v>N/A</x:v>
      </x:c>
      <x:c r="AC192" t="str">
        <x:v>N/A</x:v>
      </x:c>
      <x:c r="AD192" t="str">
        <x:v>N/A</x:v>
      </x:c>
      <x:c r="AE192" t="str">
        <x:v>N/A</x:v>
      </x:c>
    </x:row>
    <x:row r="193">
      <x:c r="A193" t="str">
        <x:v>51</x:v>
      </x:c>
      <x:c r="B193" t="str">
        <x:v>26739</x:v>
      </x:c>
      <x:c r="C193" t="str">
        <x:v>10</x:v>
      </x:c>
      <x:c r="D193" t="str">
        <x:v>971601</x:v>
      </x:c>
      <x:c r="E193" t="str">
        <x:v>PE AL 2250X50X9 RTO RL80 REC PET BCO(ULT</x:v>
      </x:c>
      <x:c r="F193" t="str"/>
      <x:c r="G193" t="str"/>
      <x:c r="H193" t="str"/>
      <x:c r="I193" t="str">
        <x:v>ESMALTE</x:v>
      </x:c>
      <x:c r="J193" t="str">
        <x:v>BRANCO CARRARA</x:v>
      </x:c>
      <x:c r="K193" t="str">
        <x:v>0</x:v>
      </x:c>
      <x:c r="L193" t="str">
        <x:v>44</x:v>
      </x:c>
      <x:c r="M193" t="str">
        <x:v>0</x:v>
      </x:c>
      <x:c r="N193" t="str"/>
      <x:c r="O193" t="str"/>
      <x:c r="P193" t="str">
        <x:v>Liberada Para Producao</x:v>
      </x:c>
      <x:c r="Q193" t="str">
        <x:v>609658</x:v>
      </x:c>
      <x:c r="R193" t="str">
        <x:v>0</x:v>
      </x:c>
      <x:c r="S193" t="str"/>
      <x:c r="T193" t="str"/>
      <x:c r="U193" t="str"/>
      <x:c r="V193" t="str"/>
      <x:c r="W193" t="str">
        <x:v>N/A</x:v>
      </x:c>
      <x:c r="X193" t="str">
        <x:v>0</x:v>
      </x:c>
      <x:c r="Y193" t="str">
        <x:v>0</x:v>
      </x:c>
      <x:c r="Z193" t="str">
        <x:v>0</x:v>
      </x:c>
      <x:c r="AA193" t="str">
        <x:v>N/A</x:v>
      </x:c>
      <x:c r="AB193" t="str">
        <x:v>N/A</x:v>
      </x:c>
      <x:c r="AC193" t="str">
        <x:v>N/A</x:v>
      </x:c>
      <x:c r="AD193" t="str">
        <x:v>N/A</x:v>
      </x:c>
      <x:c r="AE193" t="str">
        <x:v>N/A</x:v>
      </x:c>
    </x:row>
    <x:row r="194">
      <x:c r="A194" t="str">
        <x:v>51</x:v>
      </x:c>
      <x:c r="B194" t="str">
        <x:v>26739</x:v>
      </x:c>
      <x:c r="C194" t="str">
        <x:v>10</x:v>
      </x:c>
      <x:c r="D194" t="str">
        <x:v>2010700601</x:v>
      </x:c>
      <x:c r="E194" t="str">
        <x:v>P M ULTRA PET BCO CAR 2110X110X30 42X10</x:v>
      </x:c>
      <x:c r="F194" t="str"/>
      <x:c r="G194" t="str"/>
      <x:c r="H194" t="str"/>
      <x:c r="I194" t="str">
        <x:v>ESMALTE</x:v>
      </x:c>
      <x:c r="J194" t="str">
        <x:v>BRANCO CARRARA</x:v>
      </x:c>
      <x:c r="K194" t="str">
        <x:v>0</x:v>
      </x:c>
      <x:c r="L194" t="str">
        <x:v>44</x:v>
      </x:c>
      <x:c r="M194" t="str">
        <x:v>0,306</x:v>
      </x:c>
      <x:c r="N194" t="str"/>
      <x:c r="O194" t="str"/>
      <x:c r="P194" t="str">
        <x:v>Liberada Para Producao</x:v>
      </x:c>
      <x:c r="Q194" t="str">
        <x:v>609659</x:v>
      </x:c>
      <x:c r="R194" t="str">
        <x:v>0</x:v>
      </x:c>
      <x:c r="S194" t="str">
        <x:v>1500</x:v>
      </x:c>
      <x:c r="T194" t="str">
        <x:v>PERNA DE BATENTE PREMIUM(SEMIA</x:v>
      </x:c>
      <x:c r="U194" t="str"/>
      <x:c r="V194" t="str"/>
      <x:c r="W194" t="str">
        <x:v>N/A</x:v>
      </x:c>
      <x:c r="X194" t="str">
        <x:v>N/A</x:v>
      </x:c>
      <x:c r="Y194" t="str">
        <x:v>N/A</x:v>
      </x:c>
      <x:c r="Z194" t="str">
        <x:v>0</x:v>
      </x:c>
      <x:c r="AA194" t="str">
        <x:v>0</x:v>
      </x:c>
      <x:c r="AB194" t="str">
        <x:v>N/A</x:v>
      </x:c>
      <x:c r="AC194" t="str">
        <x:v>N/A</x:v>
      </x:c>
      <x:c r="AD194" t="str">
        <x:v>N/A</x:v>
      </x:c>
      <x:c r="AE194" t="str">
        <x:v>N/A</x:v>
      </x:c>
    </x:row>
    <x:row r="195">
      <x:c r="A195" t="str">
        <x:v>51</x:v>
      </x:c>
      <x:c r="B195" t="str">
        <x:v>26739</x:v>
      </x:c>
      <x:c r="C195" t="str">
        <x:v>10</x:v>
      </x:c>
      <x:c r="D195" t="str">
        <x:v>2010700634</x:v>
      </x:c>
      <x:c r="E195" t="str">
        <x:v>M ULTRA PET BCO CAR 767X110X30 42X10 R2L</x:v>
      </x:c>
      <x:c r="F195" t="str"/>
      <x:c r="G195" t="str"/>
      <x:c r="H195" t="str"/>
      <x:c r="I195" t="str">
        <x:v>ESMALTE</x:v>
      </x:c>
      <x:c r="J195" t="str">
        <x:v>BRANCO CARRARA</x:v>
      </x:c>
      <x:c r="K195" t="str">
        <x:v>0</x:v>
      </x:c>
      <x:c r="L195" t="str">
        <x:v>22</x:v>
      </x:c>
      <x:c r="M195" t="str">
        <x:v>0,056</x:v>
      </x:c>
      <x:c r="N195" t="str"/>
      <x:c r="O195" t="str"/>
      <x:c r="P195" t="str">
        <x:v>Liberada Para Producao</x:v>
      </x:c>
      <x:c r="Q195" t="str">
        <x:v>609660</x:v>
      </x:c>
      <x:c r="R195" t="str">
        <x:v>0</x:v>
      </x:c>
      <x:c r="S195" t="str">
        <x:v>1502</x:v>
      </x:c>
      <x:c r="T195" t="str">
        <x:v>TV.BAT. 680-1100 PET/PVC(SEMI)</x:v>
      </x:c>
      <x:c r="U195" t="str"/>
      <x:c r="V195" t="str"/>
      <x:c r="W195" t="str">
        <x:v>N/A</x:v>
      </x:c>
      <x:c r="X195" t="str">
        <x:v>N/A</x:v>
      </x:c>
      <x:c r="Y195" t="str">
        <x:v>N/A</x:v>
      </x:c>
      <x:c r="Z195" t="str">
        <x:v>0</x:v>
      </x:c>
      <x:c r="AA195" t="str">
        <x:v>0</x:v>
      </x:c>
      <x:c r="AB195" t="str">
        <x:v>N/A</x:v>
      </x:c>
      <x:c r="AC195" t="str">
        <x:v>N/A</x:v>
      </x:c>
      <x:c r="AD195" t="str">
        <x:v>N/A</x:v>
      </x:c>
      <x:c r="AE195" t="str">
        <x:v>N/A</x:v>
      </x:c>
    </x:row>
    <x:row r="196">
      <x:c r="A196" t="str">
        <x:v>51</x:v>
      </x:c>
      <x:c r="B196" t="str">
        <x:v>26739</x:v>
      </x:c>
      <x:c r="C196" t="str">
        <x:v>10</x:v>
      </x:c>
      <x:c r="D196" t="str">
        <x:v>4210012023</x:v>
      </x:c>
      <x:c r="E196" t="str">
        <x:v>FP COLM HDF 3 2100x720x35 ESM BCO C C/US</x:v>
      </x:c>
      <x:c r="F196" t="str"/>
      <x:c r="G196" t="str">
        <x:v>C/USINAGEM COMPLETA</x:v>
      </x:c>
      <x:c r="H196" t="str"/>
      <x:c r="I196" t="str">
        <x:v>ESMALTE</x:v>
      </x:c>
      <x:c r="J196" t="str">
        <x:v>BRANCO CARRARA</x:v>
      </x:c>
      <x:c r="K196" t="str">
        <x:v>0</x:v>
      </x:c>
      <x:c r="L196" t="str">
        <x:v>22</x:v>
      </x:c>
      <x:c r="M196" t="str">
        <x:v>1,164</x:v>
      </x:c>
      <x:c r="N196" t="str"/>
      <x:c r="O196" t="str"/>
      <x:c r="P196" t="str">
        <x:v>Liberada Para Producao</x:v>
      </x:c>
      <x:c r="Q196" t="str">
        <x:v>609661</x:v>
      </x:c>
      <x:c r="R196" t="str">
        <x:v>33,33</x:v>
      </x:c>
      <x:c r="S196" t="str">
        <x:v>1</x:v>
      </x:c>
      <x:c r="T196" t="str">
        <x:v>PORTA LINHA PREMIUM</x:v>
      </x:c>
      <x:c r="U196" t="str"/>
      <x:c r="V196" t="str"/>
      <x:c r="W196" t="str">
        <x:v>N/A</x:v>
      </x:c>
      <x:c r="X196" t="str">
        <x:v>100</x:v>
      </x:c>
      <x:c r="Y196" t="str">
        <x:v>N/A</x:v>
      </x:c>
      <x:c r="Z196" t="str">
        <x:v>N/A</x:v>
      </x:c>
      <x:c r="AA196" t="str">
        <x:v>N/A</x:v>
      </x:c>
      <x:c r="AB196" t="str">
        <x:v>0</x:v>
      </x:c>
      <x:c r="AC196" t="str">
        <x:v>N/A</x:v>
      </x:c>
      <x:c r="AD196" t="str">
        <x:v>0</x:v>
      </x:c>
      <x:c r="AE196" t="str">
        <x:v>N/A</x:v>
      </x:c>
    </x:row>
    <x:row r="197">
      <x:c r="A197" t="str">
        <x:v>51</x:v>
      </x:c>
      <x:c r="B197" t="str">
        <x:v>26739</x:v>
      </x:c>
      <x:c r="C197" t="str">
        <x:v>11</x:v>
      </x:c>
      <x:c r="D197" t="str">
        <x:v>919640</x:v>
      </x:c>
      <x:c r="E197" t="str">
        <x:v>TR AL 1100X50X9 RTO LME REC PET BCO (ULT</x:v>
      </x:c>
      <x:c r="F197" t="str"/>
      <x:c r="G197" t="str"/>
      <x:c r="H197" t="str"/>
      <x:c r="I197" t="str">
        <x:v>ESMALTE</x:v>
      </x:c>
      <x:c r="J197" t="str">
        <x:v>BRANCO CARRARA</x:v>
      </x:c>
      <x:c r="K197" t="str">
        <x:v>0</x:v>
      </x:c>
      <x:c r="L197" t="str">
        <x:v>16</x:v>
      </x:c>
      <x:c r="M197" t="str">
        <x:v>0</x:v>
      </x:c>
      <x:c r="N197" t="str"/>
      <x:c r="O197" t="str"/>
      <x:c r="P197" t="str">
        <x:v>Liberada Para Producao</x:v>
      </x:c>
      <x:c r="Q197" t="str">
        <x:v>609663</x:v>
      </x:c>
      <x:c r="R197" t="str">
        <x:v>0</x:v>
      </x:c>
      <x:c r="S197" t="str"/>
      <x:c r="T197" t="str"/>
      <x:c r="U197" t="str"/>
      <x:c r="V197" t="str"/>
      <x:c r="W197" t="str">
        <x:v>N/A</x:v>
      </x:c>
      <x:c r="X197" t="str">
        <x:v>0</x:v>
      </x:c>
      <x:c r="Y197" t="str">
        <x:v>0</x:v>
      </x:c>
      <x:c r="Z197" t="str">
        <x:v>0</x:v>
      </x:c>
      <x:c r="AA197" t="str">
        <x:v>0</x:v>
      </x:c>
      <x:c r="AB197" t="str">
        <x:v>N/A</x:v>
      </x:c>
      <x:c r="AC197" t="str">
        <x:v>N/A</x:v>
      </x:c>
      <x:c r="AD197" t="str">
        <x:v>N/A</x:v>
      </x:c>
      <x:c r="AE197" t="str">
        <x:v>N/A</x:v>
      </x:c>
    </x:row>
    <x:row r="198">
      <x:c r="A198" t="str">
        <x:v>51</x:v>
      </x:c>
      <x:c r="B198" t="str">
        <x:v>26520</x:v>
      </x:c>
      <x:c r="C198" t="str">
        <x:v>5</x:v>
      </x:c>
      <x:c r="D198" t="str">
        <x:v>976389</x:v>
      </x:c>
      <x:c r="E198" t="str">
        <x:v>2110x130x30 42x10R2 RT BIA PET CNZ T U(U</x:v>
      </x:c>
      <x:c r="F198" t="str"/>
      <x:c r="G198" t="str"/>
      <x:c r="H198" t="str"/>
      <x:c r="I198" t="str">
        <x:v>RECOBERTO PET</x:v>
      </x:c>
      <x:c r="J198" t="str">
        <x:v>CINZA VERONA</x:v>
      </x:c>
      <x:c r="K198" t="str">
        <x:v>0</x:v>
      </x:c>
      <x:c r="L198" t="str">
        <x:v>2</x:v>
      </x:c>
      <x:c r="M198" t="str">
        <x:v>0</x:v>
      </x:c>
      <x:c r="N198" t="str"/>
      <x:c r="O198" t="str"/>
      <x:c r="P198" t="str">
        <x:v>Liberada Para Producao</x:v>
      </x:c>
      <x:c r="Q198" t="str">
        <x:v>610099</x:v>
      </x:c>
      <x:c r="R198" t="str">
        <x:v>0</x:v>
      </x:c>
      <x:c r="S198" t="str"/>
      <x:c r="T198" t="str"/>
      <x:c r="U198" t="str"/>
      <x:c r="V198" t="str"/>
      <x:c r="W198" t="str">
        <x:v>N/A</x:v>
      </x:c>
      <x:c r="X198" t="str">
        <x:v>N/A</x:v>
      </x:c>
      <x:c r="Y198" t="str">
        <x:v>N/A</x:v>
      </x:c>
      <x:c r="Z198" t="str">
        <x:v>0</x:v>
      </x:c>
      <x:c r="AA198" t="str">
        <x:v>0</x:v>
      </x:c>
      <x:c r="AB198" t="str">
        <x:v>N/A</x:v>
      </x:c>
      <x:c r="AC198" t="str">
        <x:v>N/A</x:v>
      </x:c>
      <x:c r="AD198" t="str">
        <x:v>N/A</x:v>
      </x:c>
      <x:c r="AE198" t="str">
        <x:v>N/A</x:v>
      </x:c>
    </x:row>
    <x:row r="199">
      <x:c r="A199" t="str">
        <x:v>51</x:v>
      </x:c>
      <x:c r="B199" t="str">
        <x:v>26684</x:v>
      </x:c>
      <x:c r="C199" t="str">
        <x:v>3</x:v>
      </x:c>
      <x:c r="D199" t="str">
        <x:v>966547</x:v>
      </x:c>
      <x:c r="E199" t="str">
        <x:v>2110x130x30 42x10R2L R1BIA PET STD PRM U</x:v>
      </x:c>
      <x:c r="F199" t="str"/>
      <x:c r="G199" t="str"/>
      <x:c r="H199" t="str"/>
      <x:c r="I199" t="str">
        <x:v>ESMALTE</x:v>
      </x:c>
      <x:c r="J199" t="str">
        <x:v>BRANCO CARRARA</x:v>
      </x:c>
      <x:c r="K199" t="str">
        <x:v>0</x:v>
      </x:c>
      <x:c r="L199" t="str">
        <x:v>6</x:v>
      </x:c>
      <x:c r="M199" t="str">
        <x:v>0</x:v>
      </x:c>
      <x:c r="N199" t="str">
        <x:v>4500262368</x:v>
      </x:c>
      <x:c r="O199" t="str"/>
      <x:c r="P199" t="str">
        <x:v>Liberada Para Producao</x:v>
      </x:c>
      <x:c r="Q199" t="str">
        <x:v>609127</x:v>
      </x:c>
      <x:c r="R199" t="str">
        <x:v>0</x:v>
      </x:c>
      <x:c r="S199" t="str"/>
      <x:c r="T199" t="str"/>
      <x:c r="U199" t="str"/>
      <x:c r="V199" t="str"/>
      <x:c r="W199" t="str">
        <x:v>N/A</x:v>
      </x:c>
      <x:c r="X199" t="str">
        <x:v>N/A</x:v>
      </x:c>
      <x:c r="Y199" t="str">
        <x:v>N/A</x:v>
      </x:c>
      <x:c r="Z199" t="str">
        <x:v>0</x:v>
      </x:c>
      <x:c r="AA199" t="str">
        <x:v>0</x:v>
      </x:c>
      <x:c r="AB199" t="str">
        <x:v>N/A</x:v>
      </x:c>
      <x:c r="AC199" t="str">
        <x:v>N/A</x:v>
      </x:c>
      <x:c r="AD199" t="str">
        <x:v>N/A</x:v>
      </x:c>
      <x:c r="AE199" t="str">
        <x:v>N/A</x:v>
      </x:c>
    </x:row>
    <x:row r="200">
      <x:c r="A200" t="str">
        <x:v>51</x:v>
      </x:c>
      <x:c r="B200" t="str">
        <x:v>26739</x:v>
      </x:c>
      <x:c r="C200" t="str">
        <x:v>11</x:v>
      </x:c>
      <x:c r="D200" t="str">
        <x:v>963311</x:v>
      </x:c>
      <x:c r="E200" t="str">
        <x:v>PE AL 2250X50X9 RTO LME REC PET BCO(ULTR</x:v>
      </x:c>
      <x:c r="F200" t="str"/>
      <x:c r="G200" t="str"/>
      <x:c r="H200" t="str"/>
      <x:c r="I200" t="str">
        <x:v>ESMALTE</x:v>
      </x:c>
      <x:c r="J200" t="str">
        <x:v>BRANCO CARRARA</x:v>
      </x:c>
      <x:c r="K200" t="str">
        <x:v>0</x:v>
      </x:c>
      <x:c r="L200" t="str">
        <x:v>32</x:v>
      </x:c>
      <x:c r="M200" t="str">
        <x:v>0</x:v>
      </x:c>
      <x:c r="N200" t="str"/>
      <x:c r="O200" t="str"/>
      <x:c r="P200" t="str">
        <x:v>Liberada Para Producao</x:v>
      </x:c>
      <x:c r="Q200" t="str">
        <x:v>609666</x:v>
      </x:c>
      <x:c r="R200" t="str">
        <x:v>0</x:v>
      </x:c>
      <x:c r="S200" t="str"/>
      <x:c r="T200" t="str"/>
      <x:c r="U200" t="str"/>
      <x:c r="V200" t="str"/>
      <x:c r="W200" t="str">
        <x:v>N/A</x:v>
      </x:c>
      <x:c r="X200" t="str">
        <x:v>0</x:v>
      </x:c>
      <x:c r="Y200" t="str">
        <x:v>0</x:v>
      </x:c>
      <x:c r="Z200" t="str">
        <x:v>0</x:v>
      </x:c>
      <x:c r="AA200" t="str">
        <x:v>N/A</x:v>
      </x:c>
      <x:c r="AB200" t="str">
        <x:v>N/A</x:v>
      </x:c>
      <x:c r="AC200" t="str">
        <x:v>N/A</x:v>
      </x:c>
      <x:c r="AD200" t="str">
        <x:v>N/A</x:v>
      </x:c>
      <x:c r="AE200" t="str">
        <x:v>N/A</x:v>
      </x:c>
    </x:row>
    <x:row r="201">
      <x:c r="A201" t="str">
        <x:v>51</x:v>
      </x:c>
      <x:c r="B201" t="str">
        <x:v>26739</x:v>
      </x:c>
      <x:c r="C201" t="str">
        <x:v>11</x:v>
      </x:c>
      <x:c r="D201" t="str">
        <x:v>966149</x:v>
      </x:c>
      <x:c r="E201" t="str">
        <x:v>TR AL 1100X50X9 RTO RL80 REC PET BCO (UL</x:v>
      </x:c>
      <x:c r="F201" t="str"/>
      <x:c r="G201" t="str"/>
      <x:c r="H201" t="str"/>
      <x:c r="I201" t="str">
        <x:v>ESMALTE</x:v>
      </x:c>
      <x:c r="J201" t="str">
        <x:v>BRANCO CARRARA</x:v>
      </x:c>
      <x:c r="K201" t="str">
        <x:v>0</x:v>
      </x:c>
      <x:c r="L201" t="str">
        <x:v>16</x:v>
      </x:c>
      <x:c r="M201" t="str">
        <x:v>0</x:v>
      </x:c>
      <x:c r="N201" t="str"/>
      <x:c r="O201" t="str"/>
      <x:c r="P201" t="str">
        <x:v>Liberada Para Producao</x:v>
      </x:c>
      <x:c r="Q201" t="str">
        <x:v>609667</x:v>
      </x:c>
      <x:c r="R201" t="str">
        <x:v>0</x:v>
      </x:c>
      <x:c r="S201" t="str"/>
      <x:c r="T201" t="str"/>
      <x:c r="U201" t="str"/>
      <x:c r="V201" t="str"/>
      <x:c r="W201" t="str">
        <x:v>N/A</x:v>
      </x:c>
      <x:c r="X201" t="str">
        <x:v>0</x:v>
      </x:c>
      <x:c r="Y201" t="str">
        <x:v>0</x:v>
      </x:c>
      <x:c r="Z201" t="str">
        <x:v>0</x:v>
      </x:c>
      <x:c r="AA201" t="str">
        <x:v>0</x:v>
      </x:c>
      <x:c r="AB201" t="str">
        <x:v>N/A</x:v>
      </x:c>
      <x:c r="AC201" t="str">
        <x:v>N/A</x:v>
      </x:c>
      <x:c r="AD201" t="str">
        <x:v>N/A</x:v>
      </x:c>
      <x:c r="AE201" t="str">
        <x:v>N/A</x:v>
      </x:c>
    </x:row>
    <x:row r="202">
      <x:c r="A202" t="str">
        <x:v>51</x:v>
      </x:c>
      <x:c r="B202" t="str">
        <x:v>26739</x:v>
      </x:c>
      <x:c r="C202" t="str">
        <x:v>11</x:v>
      </x:c>
      <x:c r="D202" t="str">
        <x:v>971601</x:v>
      </x:c>
      <x:c r="E202" t="str">
        <x:v>PE AL 2250X50X9 RTO RL80 REC PET BCO(ULT</x:v>
      </x:c>
      <x:c r="F202" t="str"/>
      <x:c r="G202" t="str"/>
      <x:c r="H202" t="str"/>
      <x:c r="I202" t="str">
        <x:v>ESMALTE</x:v>
      </x:c>
      <x:c r="J202" t="str">
        <x:v>BRANCO CARRARA</x:v>
      </x:c>
      <x:c r="K202" t="str">
        <x:v>0</x:v>
      </x:c>
      <x:c r="L202" t="str">
        <x:v>32</x:v>
      </x:c>
      <x:c r="M202" t="str">
        <x:v>0</x:v>
      </x:c>
      <x:c r="N202" t="str"/>
      <x:c r="O202" t="str"/>
      <x:c r="P202" t="str">
        <x:v>Liberada Para Producao</x:v>
      </x:c>
      <x:c r="Q202" t="str">
        <x:v>609668</x:v>
      </x:c>
      <x:c r="R202" t="str">
        <x:v>0</x:v>
      </x:c>
      <x:c r="S202" t="str"/>
      <x:c r="T202" t="str"/>
      <x:c r="U202" t="str"/>
      <x:c r="V202" t="str"/>
      <x:c r="W202" t="str">
        <x:v>N/A</x:v>
      </x:c>
      <x:c r="X202" t="str">
        <x:v>0</x:v>
      </x:c>
      <x:c r="Y202" t="str">
        <x:v>0</x:v>
      </x:c>
      <x:c r="Z202" t="str">
        <x:v>0</x:v>
      </x:c>
      <x:c r="AA202" t="str">
        <x:v>N/A</x:v>
      </x:c>
      <x:c r="AB202" t="str">
        <x:v>N/A</x:v>
      </x:c>
      <x:c r="AC202" t="str">
        <x:v>N/A</x:v>
      </x:c>
      <x:c r="AD202" t="str">
        <x:v>N/A</x:v>
      </x:c>
      <x:c r="AE202" t="str">
        <x:v>N/A</x:v>
      </x:c>
    </x:row>
    <x:row r="203">
      <x:c r="A203" t="str">
        <x:v>51</x:v>
      </x:c>
      <x:c r="B203" t="str">
        <x:v>26739</x:v>
      </x:c>
      <x:c r="C203" t="str">
        <x:v>11</x:v>
      </x:c>
      <x:c r="D203" t="str">
        <x:v>4210012023</x:v>
      </x:c>
      <x:c r="E203" t="str">
        <x:v>FP COLM HDF 3 2100x720x35 ESM BCO C C/US</x:v>
      </x:c>
      <x:c r="F203" t="str"/>
      <x:c r="G203" t="str">
        <x:v>C/USINAGEM COMPLETA</x:v>
      </x:c>
      <x:c r="H203" t="str"/>
      <x:c r="I203" t="str">
        <x:v>ESMALTE</x:v>
      </x:c>
      <x:c r="J203" t="str">
        <x:v>BRANCO CARRARA</x:v>
      </x:c>
      <x:c r="K203" t="str">
        <x:v>0</x:v>
      </x:c>
      <x:c r="L203" t="str">
        <x:v>16</x:v>
      </x:c>
      <x:c r="M203" t="str">
        <x:v>0,847</x:v>
      </x:c>
      <x:c r="N203" t="str"/>
      <x:c r="O203" t="str"/>
      <x:c r="P203" t="str">
        <x:v>Liberada Para Producao</x:v>
      </x:c>
      <x:c r="Q203" t="str">
        <x:v>609669</x:v>
      </x:c>
      <x:c r="R203" t="str">
        <x:v>66,67</x:v>
      </x:c>
      <x:c r="S203" t="str">
        <x:v>1</x:v>
      </x:c>
      <x:c r="T203" t="str">
        <x:v>PORTA LINHA PREMIUM</x:v>
      </x:c>
      <x:c r="U203" t="str"/>
      <x:c r="V203" t="str"/>
      <x:c r="W203" t="str">
        <x:v>N/A</x:v>
      </x:c>
      <x:c r="X203" t="str">
        <x:v>100</x:v>
      </x:c>
      <x:c r="Y203" t="str">
        <x:v>N/A</x:v>
      </x:c>
      <x:c r="Z203" t="str">
        <x:v>N/A</x:v>
      </x:c>
      <x:c r="AA203" t="str">
        <x:v>N/A</x:v>
      </x:c>
      <x:c r="AB203" t="str">
        <x:v>100</x:v>
      </x:c>
      <x:c r="AC203" t="str">
        <x:v>N/A</x:v>
      </x:c>
      <x:c r="AD203" t="str">
        <x:v>0</x:v>
      </x:c>
      <x:c r="AE203" t="str">
        <x:v>N/A</x:v>
      </x:c>
    </x:row>
    <x:row r="204">
      <x:c r="A204" t="str">
        <x:v>51</x:v>
      </x:c>
      <x:c r="B204" t="str">
        <x:v>26739</x:v>
      </x:c>
      <x:c r="C204" t="str">
        <x:v>12</x:v>
      </x:c>
      <x:c r="D204" t="str">
        <x:v>675612</x:v>
      </x:c>
      <x:c r="E204" t="str">
        <x:v>2110x150x30 42x10 R2 RT BIA PET BC U(UL)</x:v>
      </x:c>
      <x:c r="F204" t="str"/>
      <x:c r="G204" t="str"/>
      <x:c r="H204" t="str"/>
      <x:c r="I204" t="str">
        <x:v>ESMALTE</x:v>
      </x:c>
      <x:c r="J204" t="str">
        <x:v>BRANCO CARRARA</x:v>
      </x:c>
      <x:c r="K204" t="str">
        <x:v>0</x:v>
      </x:c>
      <x:c r="L204" t="str">
        <x:v>2</x:v>
      </x:c>
      <x:c r="M204" t="str">
        <x:v>0</x:v>
      </x:c>
      <x:c r="N204" t="str"/>
      <x:c r="O204" t="str"/>
      <x:c r="P204" t="str">
        <x:v>Liberada Para Producao</x:v>
      </x:c>
      <x:c r="Q204" t="str">
        <x:v>609671</x:v>
      </x:c>
      <x:c r="R204" t="str">
        <x:v>0</x:v>
      </x:c>
      <x:c r="S204" t="str"/>
      <x:c r="T204" t="str"/>
      <x:c r="U204" t="str"/>
      <x:c r="V204" t="str"/>
      <x:c r="W204" t="str">
        <x:v>N/A</x:v>
      </x:c>
      <x:c r="X204" t="str">
        <x:v>N/A</x:v>
      </x:c>
      <x:c r="Y204" t="str">
        <x:v>N/A</x:v>
      </x:c>
      <x:c r="Z204" t="str">
        <x:v>0</x:v>
      </x:c>
      <x:c r="AA204" t="str">
        <x:v>0</x:v>
      </x:c>
      <x:c r="AB204" t="str">
        <x:v>N/A</x:v>
      </x:c>
      <x:c r="AC204" t="str">
        <x:v>N/A</x:v>
      </x:c>
      <x:c r="AD204" t="str">
        <x:v>N/A</x:v>
      </x:c>
      <x:c r="AE204" t="str">
        <x:v>N/A</x:v>
      </x:c>
    </x:row>
    <x:row r="205">
      <x:c r="A205" t="str">
        <x:v>51</x:v>
      </x:c>
      <x:c r="B205" t="str">
        <x:v>26739</x:v>
      </x:c>
      <x:c r="C205" t="str">
        <x:v>12</x:v>
      </x:c>
      <x:c r="D205" t="str">
        <x:v>919640</x:v>
      </x:c>
      <x:c r="E205" t="str">
        <x:v>TR AL 1100X50X9 RTO LME REC PET BCO (ULT</x:v>
      </x:c>
      <x:c r="F205" t="str"/>
      <x:c r="G205" t="str"/>
      <x:c r="H205" t="str"/>
      <x:c r="I205" t="str">
        <x:v>ESMALTE</x:v>
      </x:c>
      <x:c r="J205" t="str">
        <x:v>BRANCO CARRARA</x:v>
      </x:c>
      <x:c r="K205" t="str">
        <x:v>0</x:v>
      </x:c>
      <x:c r="L205" t="str">
        <x:v>1</x:v>
      </x:c>
      <x:c r="M205" t="str">
        <x:v>0</x:v>
      </x:c>
      <x:c r="N205" t="str"/>
      <x:c r="O205" t="str"/>
      <x:c r="P205" t="str">
        <x:v>Liberada Para Producao</x:v>
      </x:c>
      <x:c r="Q205" t="str">
        <x:v>609672</x:v>
      </x:c>
      <x:c r="R205" t="str">
        <x:v>0</x:v>
      </x:c>
      <x:c r="S205" t="str"/>
      <x:c r="T205" t="str"/>
      <x:c r="U205" t="str"/>
      <x:c r="V205" t="str"/>
      <x:c r="W205" t="str">
        <x:v>N/A</x:v>
      </x:c>
      <x:c r="X205" t="str">
        <x:v>0</x:v>
      </x:c>
      <x:c r="Y205" t="str">
        <x:v>0</x:v>
      </x:c>
      <x:c r="Z205" t="str">
        <x:v>0</x:v>
      </x:c>
      <x:c r="AA205" t="str">
        <x:v>0</x:v>
      </x:c>
      <x:c r="AB205" t="str">
        <x:v>N/A</x:v>
      </x:c>
      <x:c r="AC205" t="str">
        <x:v>N/A</x:v>
      </x:c>
      <x:c r="AD205" t="str">
        <x:v>N/A</x:v>
      </x:c>
      <x:c r="AE205" t="str">
        <x:v>N/A</x:v>
      </x:c>
    </x:row>
    <x:row r="206">
      <x:c r="A206" t="str">
        <x:v>51</x:v>
      </x:c>
      <x:c r="B206" t="str">
        <x:v>26739</x:v>
      </x:c>
      <x:c r="C206" t="str">
        <x:v>12</x:v>
      </x:c>
      <x:c r="D206" t="str">
        <x:v>963311</x:v>
      </x:c>
      <x:c r="E206" t="str">
        <x:v>PE AL 2250X50X9 RTO LME REC PET BCO(ULTR</x:v>
      </x:c>
      <x:c r="F206" t="str"/>
      <x:c r="G206" t="str"/>
      <x:c r="H206" t="str"/>
      <x:c r="I206" t="str">
        <x:v>ESMALTE</x:v>
      </x:c>
      <x:c r="J206" t="str">
        <x:v>BRANCO CARRARA</x:v>
      </x:c>
      <x:c r="K206" t="str">
        <x:v>0</x:v>
      </x:c>
      <x:c r="L206" t="str">
        <x:v>2</x:v>
      </x:c>
      <x:c r="M206" t="str">
        <x:v>0</x:v>
      </x:c>
      <x:c r="N206" t="str"/>
      <x:c r="O206" t="str"/>
      <x:c r="P206" t="str">
        <x:v>Liberada Para Producao</x:v>
      </x:c>
      <x:c r="Q206" t="str">
        <x:v>609673</x:v>
      </x:c>
      <x:c r="R206" t="str">
        <x:v>0</x:v>
      </x:c>
      <x:c r="S206" t="str"/>
      <x:c r="T206" t="str"/>
      <x:c r="U206" t="str"/>
      <x:c r="V206" t="str"/>
      <x:c r="W206" t="str">
        <x:v>N/A</x:v>
      </x:c>
      <x:c r="X206" t="str">
        <x:v>0</x:v>
      </x:c>
      <x:c r="Y206" t="str">
        <x:v>0</x:v>
      </x:c>
      <x:c r="Z206" t="str">
        <x:v>0</x:v>
      </x:c>
      <x:c r="AA206" t="str">
        <x:v>N/A</x:v>
      </x:c>
      <x:c r="AB206" t="str">
        <x:v>N/A</x:v>
      </x:c>
      <x:c r="AC206" t="str">
        <x:v>N/A</x:v>
      </x:c>
      <x:c r="AD206" t="str">
        <x:v>N/A</x:v>
      </x:c>
      <x:c r="AE206" t="str">
        <x:v>N/A</x:v>
      </x:c>
    </x:row>
    <x:row r="207">
      <x:c r="A207" t="str">
        <x:v>51</x:v>
      </x:c>
      <x:c r="B207" t="str">
        <x:v>26739</x:v>
      </x:c>
      <x:c r="C207" t="str">
        <x:v>12</x:v>
      </x:c>
      <x:c r="D207" t="str">
        <x:v>966149</x:v>
      </x:c>
      <x:c r="E207" t="str">
        <x:v>TR AL 1100X50X9 RTO RL80 REC PET BCO (UL</x:v>
      </x:c>
      <x:c r="F207" t="str"/>
      <x:c r="G207" t="str"/>
      <x:c r="H207" t="str"/>
      <x:c r="I207" t="str">
        <x:v>ESMALTE</x:v>
      </x:c>
      <x:c r="J207" t="str">
        <x:v>BRANCO CARRARA</x:v>
      </x:c>
      <x:c r="K207" t="str">
        <x:v>0</x:v>
      </x:c>
      <x:c r="L207" t="str">
        <x:v>1</x:v>
      </x:c>
      <x:c r="M207" t="str">
        <x:v>0</x:v>
      </x:c>
      <x:c r="N207" t="str"/>
      <x:c r="O207" t="str"/>
      <x:c r="P207" t="str">
        <x:v>Liberada Para Producao</x:v>
      </x:c>
      <x:c r="Q207" t="str">
        <x:v>609674</x:v>
      </x:c>
      <x:c r="R207" t="str">
        <x:v>0</x:v>
      </x:c>
      <x:c r="S207" t="str"/>
      <x:c r="T207" t="str"/>
      <x:c r="U207" t="str"/>
      <x:c r="V207" t="str"/>
      <x:c r="W207" t="str">
        <x:v>N/A</x:v>
      </x:c>
      <x:c r="X207" t="str">
        <x:v>0</x:v>
      </x:c>
      <x:c r="Y207" t="str">
        <x:v>0</x:v>
      </x:c>
      <x:c r="Z207" t="str">
        <x:v>0</x:v>
      </x:c>
      <x:c r="AA207" t="str">
        <x:v>0</x:v>
      </x:c>
      <x:c r="AB207" t="str">
        <x:v>N/A</x:v>
      </x:c>
      <x:c r="AC207" t="str">
        <x:v>N/A</x:v>
      </x:c>
      <x:c r="AD207" t="str">
        <x:v>N/A</x:v>
      </x:c>
      <x:c r="AE207" t="str">
        <x:v>N/A</x:v>
      </x:c>
    </x:row>
    <x:row r="208">
      <x:c r="A208" t="str">
        <x:v>51</x:v>
      </x:c>
      <x:c r="B208" t="str">
        <x:v>26739</x:v>
      </x:c>
      <x:c r="C208" t="str">
        <x:v>12</x:v>
      </x:c>
      <x:c r="D208" t="str">
        <x:v>968128</x:v>
      </x:c>
      <x:c r="E208" t="str">
        <x:v>767x150x30 42x10 R2L RTO BIA PET BCO ULT</x:v>
      </x:c>
      <x:c r="F208" t="str"/>
      <x:c r="G208" t="str"/>
      <x:c r="H208" t="str"/>
      <x:c r="I208" t="str">
        <x:v>ESMALTE</x:v>
      </x:c>
      <x:c r="J208" t="str">
        <x:v>BRANCO CARRARA</x:v>
      </x:c>
      <x:c r="K208" t="str">
        <x:v>0</x:v>
      </x:c>
      <x:c r="L208" t="str">
        <x:v>1</x:v>
      </x:c>
      <x:c r="M208" t="str">
        <x:v>0,003</x:v>
      </x:c>
      <x:c r="N208" t="str"/>
      <x:c r="O208" t="str"/>
      <x:c r="P208" t="str">
        <x:v>Liberada Para Producao</x:v>
      </x:c>
      <x:c r="Q208" t="str">
        <x:v>609675</x:v>
      </x:c>
      <x:c r="R208" t="str">
        <x:v>0</x:v>
      </x:c>
      <x:c r="S208" t="str"/>
      <x:c r="T208" t="str"/>
      <x:c r="U208" t="str"/>
      <x:c r="V208" t="str"/>
      <x:c r="W208" t="str">
        <x:v>N/A</x:v>
      </x:c>
      <x:c r="X208" t="str">
        <x:v>N/A</x:v>
      </x:c>
      <x:c r="Y208" t="str">
        <x:v>N/A</x:v>
      </x:c>
      <x:c r="Z208" t="str">
        <x:v>0</x:v>
      </x:c>
      <x:c r="AA208" t="str">
        <x:v>0</x:v>
      </x:c>
      <x:c r="AB208" t="str">
        <x:v>N/A</x:v>
      </x:c>
      <x:c r="AC208" t="str">
        <x:v>N/A</x:v>
      </x:c>
      <x:c r="AD208" t="str">
        <x:v>N/A</x:v>
      </x:c>
      <x:c r="AE208" t="str">
        <x:v>N/A</x:v>
      </x:c>
    </x:row>
    <x:row r="209">
      <x:c r="A209" t="str">
        <x:v>51</x:v>
      </x:c>
      <x:c r="B209" t="str">
        <x:v>26739</x:v>
      </x:c>
      <x:c r="C209" t="str">
        <x:v>12</x:v>
      </x:c>
      <x:c r="D209" t="str">
        <x:v>971601</x:v>
      </x:c>
      <x:c r="E209" t="str">
        <x:v>PE AL 2250X50X9 RTO RL80 REC PET BCO(ULT</x:v>
      </x:c>
      <x:c r="F209" t="str"/>
      <x:c r="G209" t="str"/>
      <x:c r="H209" t="str"/>
      <x:c r="I209" t="str">
        <x:v>ESMALTE</x:v>
      </x:c>
      <x:c r="J209" t="str">
        <x:v>BRANCO CARRARA</x:v>
      </x:c>
      <x:c r="K209" t="str">
        <x:v>0</x:v>
      </x:c>
      <x:c r="L209" t="str">
        <x:v>2</x:v>
      </x:c>
      <x:c r="M209" t="str">
        <x:v>0</x:v>
      </x:c>
      <x:c r="N209" t="str"/>
      <x:c r="O209" t="str"/>
      <x:c r="P209" t="str">
        <x:v>Liberada Para Producao</x:v>
      </x:c>
      <x:c r="Q209" t="str">
        <x:v>609676</x:v>
      </x:c>
      <x:c r="R209" t="str">
        <x:v>0</x:v>
      </x:c>
      <x:c r="S209" t="str"/>
      <x:c r="T209" t="str"/>
      <x:c r="U209" t="str"/>
      <x:c r="V209" t="str"/>
      <x:c r="W209" t="str">
        <x:v>N/A</x:v>
      </x:c>
      <x:c r="X209" t="str">
        <x:v>0</x:v>
      </x:c>
      <x:c r="Y209" t="str">
        <x:v>0</x:v>
      </x:c>
      <x:c r="Z209" t="str">
        <x:v>0</x:v>
      </x:c>
      <x:c r="AA209" t="str">
        <x:v>N/A</x:v>
      </x:c>
      <x:c r="AB209" t="str">
        <x:v>N/A</x:v>
      </x:c>
      <x:c r="AC209" t="str">
        <x:v>N/A</x:v>
      </x:c>
      <x:c r="AD209" t="str">
        <x:v>N/A</x:v>
      </x:c>
      <x:c r="AE209" t="str">
        <x:v>N/A</x:v>
      </x:c>
    </x:row>
    <x:row r="210">
      <x:c r="A210" t="str">
        <x:v>51</x:v>
      </x:c>
      <x:c r="B210" t="str">
        <x:v>26739</x:v>
      </x:c>
      <x:c r="C210" t="str">
        <x:v>12</x:v>
      </x:c>
      <x:c r="D210" t="str">
        <x:v>4210012023</x:v>
      </x:c>
      <x:c r="E210" t="str">
        <x:v>FP COLM HDF 3 2100x720x35 ESM BCO C C/US</x:v>
      </x:c>
      <x:c r="F210" t="str"/>
      <x:c r="G210" t="str">
        <x:v>C/USINAGEM COMPLETA</x:v>
      </x:c>
      <x:c r="H210" t="str"/>
      <x:c r="I210" t="str">
        <x:v>ESMALTE</x:v>
      </x:c>
      <x:c r="J210" t="str">
        <x:v>BRANCO CARRARA</x:v>
      </x:c>
      <x:c r="K210" t="str">
        <x:v>0</x:v>
      </x:c>
      <x:c r="L210" t="str">
        <x:v>1</x:v>
      </x:c>
      <x:c r="M210" t="str">
        <x:v>0,053</x:v>
      </x:c>
      <x:c r="N210" t="str"/>
      <x:c r="O210" t="str"/>
      <x:c r="P210" t="str">
        <x:v>Liberada Para Producao</x:v>
      </x:c>
      <x:c r="Q210" t="str">
        <x:v>609677</x:v>
      </x:c>
      <x:c r="R210" t="str">
        <x:v>33,33</x:v>
      </x:c>
      <x:c r="S210" t="str">
        <x:v>1</x:v>
      </x:c>
      <x:c r="T210" t="str">
        <x:v>PORTA LINHA PREMIUM</x:v>
      </x:c>
      <x:c r="U210" t="str"/>
      <x:c r="V210" t="str"/>
      <x:c r="W210" t="str">
        <x:v>N/A</x:v>
      </x:c>
      <x:c r="X210" t="str">
        <x:v>100</x:v>
      </x:c>
      <x:c r="Y210" t="str">
        <x:v>N/A</x:v>
      </x:c>
      <x:c r="Z210" t="str">
        <x:v>N/A</x:v>
      </x:c>
      <x:c r="AA210" t="str">
        <x:v>N/A</x:v>
      </x:c>
      <x:c r="AB210" t="str">
        <x:v>0</x:v>
      </x:c>
      <x:c r="AC210" t="str">
        <x:v>N/A</x:v>
      </x:c>
      <x:c r="AD210" t="str">
        <x:v>0</x:v>
      </x:c>
      <x:c r="AE210" t="str">
        <x:v>N/A</x:v>
      </x:c>
    </x:row>
    <x:row r="211">
      <x:c r="A211" t="str">
        <x:v>51</x:v>
      </x:c>
      <x:c r="B211" t="str">
        <x:v>26739</x:v>
      </x:c>
      <x:c r="C211" t="str">
        <x:v>13</x:v>
      </x:c>
      <x:c r="D211" t="str">
        <x:v>3050300065</x:v>
      </x:c>
      <x:c r="E211" t="str">
        <x:v>FO P COR COL HDF 3 ESM BCO CAR 2100X700X</x:v>
      </x:c>
      <x:c r="F211" t="str">
        <x:v>LISA</x:v>
      </x:c>
      <x:c r="G211" t="str"/>
      <x:c r="H211" t="str"/>
      <x:c r="I211" t="str">
        <x:v>ESMALTE</x:v>
      </x:c>
      <x:c r="J211" t="str">
        <x:v>BRANCO CARRARA</x:v>
      </x:c>
      <x:c r="K211" t="str">
        <x:v>0</x:v>
      </x:c>
      <x:c r="L211" t="str">
        <x:v>7</x:v>
      </x:c>
      <x:c r="M211" t="str">
        <x:v>0,36</x:v>
      </x:c>
      <x:c r="N211" t="str"/>
      <x:c r="O211" t="str"/>
      <x:c r="P211" t="str">
        <x:v>Liberada Para Producao</x:v>
      </x:c>
      <x:c r="Q211" t="str">
        <x:v>609678</x:v>
      </x:c>
      <x:c r="R211" t="str">
        <x:v>33,33</x:v>
      </x:c>
      <x:c r="S211" t="str">
        <x:v>1</x:v>
      </x:c>
      <x:c r="T211" t="str">
        <x:v>PORTA LINHA PREMIUM</x:v>
      </x:c>
      <x:c r="U211" t="str">
        <x:v>BORDA 2 LADOS</x:v>
      </x:c>
      <x:c r="V211" t="str"/>
      <x:c r="W211" t="str">
        <x:v>N/A</x:v>
      </x:c>
      <x:c r="X211" t="str">
        <x:v>50</x:v>
      </x:c>
      <x:c r="Y211" t="str">
        <x:v>N/A</x:v>
      </x:c>
      <x:c r="Z211" t="str">
        <x:v>N/A</x:v>
      </x:c>
      <x:c r="AA211" t="str">
        <x:v>N/A</x:v>
      </x:c>
      <x:c r="AB211" t="str">
        <x:v>50</x:v>
      </x:c>
      <x:c r="AC211" t="str">
        <x:v>0</x:v>
      </x:c>
      <x:c r="AD211" t="str">
        <x:v>0</x:v>
      </x:c>
      <x:c r="AE211" t="str">
        <x:v>N/A</x:v>
      </x:c>
    </x:row>
    <x:row r="212">
      <x:c r="A212" t="str">
        <x:v>51</x:v>
      </x:c>
      <x:c r="B212" t="str">
        <x:v>26739</x:v>
      </x:c>
      <x:c r="C212" t="str">
        <x:v>14</x:v>
      </x:c>
      <x:c r="D212" t="str">
        <x:v>2010700216</x:v>
      </x:c>
      <x:c r="E212" t="str">
        <x:v>M T ULTRA PET BCO CAR 1000X90X30 S/REB R</x:v>
      </x:c>
      <x:c r="F212" t="str">
        <x:v>MDF ULTRA</x:v>
      </x:c>
      <x:c r="G212" t="str">
        <x:v>S/CANAL</x:v>
      </x:c>
      <x:c r="H212" t="str">
        <x:v>S/REB</x:v>
      </x:c>
      <x:c r="I212" t="str">
        <x:v>RECOBERTO PET</x:v>
      </x:c>
      <x:c r="J212" t="str">
        <x:v>BRANCO CARRARA</x:v>
      </x:c>
      <x:c r="K212" t="str">
        <x:v>0</x:v>
      </x:c>
      <x:c r="L212" t="str">
        <x:v>7</x:v>
      </x:c>
      <x:c r="M212" t="str">
        <x:v>0,019</x:v>
      </x:c>
      <x:c r="N212" t="str"/>
      <x:c r="O212" t="str"/>
      <x:c r="P212" t="str">
        <x:v>Liberada Para Producao</x:v>
      </x:c>
      <x:c r="Q212" t="str">
        <x:v>609680</x:v>
      </x:c>
      <x:c r="R212" t="str">
        <x:v>50</x:v>
      </x:c>
      <x:c r="S212" t="str">
        <x:v>1552</x:v>
      </x:c>
      <x:c r="T212" t="str">
        <x:v>TV.BAT. 680-1100 PET/PVC(SEMI)</x:v>
      </x:c>
      <x:c r="U212" t="str"/>
      <x:c r="V212" t="str"/>
      <x:c r="W212" t="str">
        <x:v>100</x:v>
      </x:c>
      <x:c r="X212" t="str">
        <x:v>100</x:v>
      </x:c>
      <x:c r="Y212" t="str">
        <x:v>N/A</x:v>
      </x:c>
      <x:c r="Z212" t="str">
        <x:v>0</x:v>
      </x:c>
      <x:c r="AA212" t="str">
        <x:v>0</x:v>
      </x:c>
      <x:c r="AB212" t="str">
        <x:v>N/A</x:v>
      </x:c>
      <x:c r="AC212" t="str">
        <x:v>N/A</x:v>
      </x:c>
      <x:c r="AD212" t="str">
        <x:v>N/A</x:v>
      </x:c>
      <x:c r="AE212" t="str">
        <x:v>N/A</x:v>
      </x:c>
    </x:row>
    <x:row r="213">
      <x:c r="A213" t="str">
        <x:v>51</x:v>
      </x:c>
      <x:c r="B213" t="str">
        <x:v>26684</x:v>
      </x:c>
      <x:c r="C213" t="str">
        <x:v>5</x:v>
      </x:c>
      <x:c r="D213" t="str">
        <x:v>966547</x:v>
      </x:c>
      <x:c r="E213" t="str">
        <x:v>2110x130x30 42x10R2L R1BIA PET STD PRM U</x:v>
      </x:c>
      <x:c r="F213" t="str"/>
      <x:c r="G213" t="str"/>
      <x:c r="H213" t="str"/>
      <x:c r="I213" t="str">
        <x:v>ESMALTE</x:v>
      </x:c>
      <x:c r="J213" t="str">
        <x:v>BRANCO CARRARA</x:v>
      </x:c>
      <x:c r="K213" t="str">
        <x:v>0</x:v>
      </x:c>
      <x:c r="L213" t="str">
        <x:v>12</x:v>
      </x:c>
      <x:c r="M213" t="str">
        <x:v>0</x:v>
      </x:c>
      <x:c r="N213" t="str">
        <x:v>4500262368</x:v>
      </x:c>
      <x:c r="O213" t="str"/>
      <x:c r="P213" t="str">
        <x:v>Liberada Para Producao</x:v>
      </x:c>
      <x:c r="Q213" t="str">
        <x:v>609143</x:v>
      </x:c>
      <x:c r="R213" t="str">
        <x:v>0</x:v>
      </x:c>
      <x:c r="S213" t="str"/>
      <x:c r="T213" t="str"/>
      <x:c r="U213" t="str"/>
      <x:c r="V213" t="str"/>
      <x:c r="W213" t="str">
        <x:v>N/A</x:v>
      </x:c>
      <x:c r="X213" t="str">
        <x:v>N/A</x:v>
      </x:c>
      <x:c r="Y213" t="str">
        <x:v>N/A</x:v>
      </x:c>
      <x:c r="Z213" t="str">
        <x:v>0</x:v>
      </x:c>
      <x:c r="AA213" t="str">
        <x:v>0</x:v>
      </x:c>
      <x:c r="AB213" t="str">
        <x:v>N/A</x:v>
      </x:c>
      <x:c r="AC213" t="str">
        <x:v>N/A</x:v>
      </x:c>
      <x:c r="AD213" t="str">
        <x:v>N/A</x:v>
      </x:c>
      <x:c r="AE213" t="str">
        <x:v>N/A</x:v>
      </x:c>
    </x:row>
    <x:row r="214">
      <x:c r="A214" t="str">
        <x:v>51</x:v>
      </x:c>
      <x:c r="B214" t="str">
        <x:v>26739</x:v>
      </x:c>
      <x:c r="C214" t="str">
        <x:v>15</x:v>
      </x:c>
      <x:c r="D214" t="str">
        <x:v>919640</x:v>
      </x:c>
      <x:c r="E214" t="str">
        <x:v>TR AL 1100X50X9 RTO LME REC PET BCO (ULT</x:v>
      </x:c>
      <x:c r="F214" t="str">
        <x:v>REG 2L(MAIOR 80MM)</x:v>
      </x:c>
      <x:c r="G214" t="str"/>
      <x:c r="H214" t="str"/>
      <x:c r="I214" t="str">
        <x:v>RECOBERTO PET</x:v>
      </x:c>
      <x:c r="J214" t="str">
        <x:v>BRANCO CARRARA</x:v>
      </x:c>
      <x:c r="K214" t="str">
        <x:v>0</x:v>
      </x:c>
      <x:c r="L214" t="str">
        <x:v>7</x:v>
      </x:c>
      <x:c r="M214" t="str">
        <x:v>0</x:v>
      </x:c>
      <x:c r="N214" t="str"/>
      <x:c r="O214" t="str"/>
      <x:c r="P214" t="str">
        <x:v>Liberada Para Producao</x:v>
      </x:c>
      <x:c r="Q214" t="str">
        <x:v>609683</x:v>
      </x:c>
      <x:c r="R214" t="str">
        <x:v>0</x:v>
      </x:c>
      <x:c r="S214" t="str"/>
      <x:c r="T214" t="str"/>
      <x:c r="U214" t="str"/>
      <x:c r="V214" t="str"/>
      <x:c r="W214" t="str">
        <x:v>N/A</x:v>
      </x:c>
      <x:c r="X214" t="str">
        <x:v>0</x:v>
      </x:c>
      <x:c r="Y214" t="str">
        <x:v>0</x:v>
      </x:c>
      <x:c r="Z214" t="str">
        <x:v>0</x:v>
      </x:c>
      <x:c r="AA214" t="str">
        <x:v>0</x:v>
      </x:c>
      <x:c r="AB214" t="str">
        <x:v>N/A</x:v>
      </x:c>
      <x:c r="AC214" t="str">
        <x:v>N/A</x:v>
      </x:c>
      <x:c r="AD214" t="str">
        <x:v>N/A</x:v>
      </x:c>
      <x:c r="AE214" t="str">
        <x:v>N/A</x:v>
      </x:c>
    </x:row>
    <x:row r="215">
      <x:c r="A215" t="str">
        <x:v>51</x:v>
      </x:c>
      <x:c r="B215" t="str">
        <x:v>26739</x:v>
      </x:c>
      <x:c r="C215" t="str">
        <x:v>15</x:v>
      </x:c>
      <x:c r="D215" t="str">
        <x:v>963311</x:v>
      </x:c>
      <x:c r="E215" t="str">
        <x:v>PE AL 2250X50X9 RTO LME REC PET BCO(ULTR</x:v>
      </x:c>
      <x:c r="F215" t="str">
        <x:v>REG 2L(MAIOR 80MM)</x:v>
      </x:c>
      <x:c r="G215" t="str"/>
      <x:c r="H215" t="str"/>
      <x:c r="I215" t="str">
        <x:v>RECOBERTO PET</x:v>
      </x:c>
      <x:c r="J215" t="str">
        <x:v>BRANCO CARRARA</x:v>
      </x:c>
      <x:c r="K215" t="str">
        <x:v>0</x:v>
      </x:c>
      <x:c r="L215" t="str">
        <x:v>14</x:v>
      </x:c>
      <x:c r="M215" t="str">
        <x:v>0</x:v>
      </x:c>
      <x:c r="N215" t="str"/>
      <x:c r="O215" t="str"/>
      <x:c r="P215" t="str">
        <x:v>Liberada Para Producao</x:v>
      </x:c>
      <x:c r="Q215" t="str">
        <x:v>609684</x:v>
      </x:c>
      <x:c r="R215" t="str">
        <x:v>0</x:v>
      </x:c>
      <x:c r="S215" t="str"/>
      <x:c r="T215" t="str"/>
      <x:c r="U215" t="str"/>
      <x:c r="V215" t="str"/>
      <x:c r="W215" t="str">
        <x:v>N/A</x:v>
      </x:c>
      <x:c r="X215" t="str">
        <x:v>0</x:v>
      </x:c>
      <x:c r="Y215" t="str">
        <x:v>0</x:v>
      </x:c>
      <x:c r="Z215" t="str">
        <x:v>0</x:v>
      </x:c>
      <x:c r="AA215" t="str">
        <x:v>N/A</x:v>
      </x:c>
      <x:c r="AB215" t="str">
        <x:v>N/A</x:v>
      </x:c>
      <x:c r="AC215" t="str">
        <x:v>N/A</x:v>
      </x:c>
      <x:c r="AD215" t="str">
        <x:v>N/A</x:v>
      </x:c>
      <x:c r="AE215" t="str">
        <x:v>N/A</x:v>
      </x:c>
    </x:row>
    <x:row r="216">
      <x:c r="A216" t="str">
        <x:v>51</x:v>
      </x:c>
      <x:c r="B216" t="str">
        <x:v>26739</x:v>
      </x:c>
      <x:c r="C216" t="str">
        <x:v>15</x:v>
      </x:c>
      <x:c r="D216" t="str">
        <x:v>966149</x:v>
      </x:c>
      <x:c r="E216" t="str">
        <x:v>TR AL 1100X50X9 RTO RL80 REC PET BCO (UL</x:v>
      </x:c>
      <x:c r="F216" t="str">
        <x:v>REG 2L(MAIOR 80MM)</x:v>
      </x:c>
      <x:c r="G216" t="str"/>
      <x:c r="H216" t="str"/>
      <x:c r="I216" t="str">
        <x:v>RECOBERTO PET</x:v>
      </x:c>
      <x:c r="J216" t="str">
        <x:v>BRANCO CARRARA</x:v>
      </x:c>
      <x:c r="K216" t="str">
        <x:v>0</x:v>
      </x:c>
      <x:c r="L216" t="str">
        <x:v>7</x:v>
      </x:c>
      <x:c r="M216" t="str">
        <x:v>0</x:v>
      </x:c>
      <x:c r="N216" t="str"/>
      <x:c r="O216" t="str"/>
      <x:c r="P216" t="str">
        <x:v>Liberada Para Producao</x:v>
      </x:c>
      <x:c r="Q216" t="str">
        <x:v>609685</x:v>
      </x:c>
      <x:c r="R216" t="str">
        <x:v>0</x:v>
      </x:c>
      <x:c r="S216" t="str"/>
      <x:c r="T216" t="str"/>
      <x:c r="U216" t="str"/>
      <x:c r="V216" t="str"/>
      <x:c r="W216" t="str">
        <x:v>N/A</x:v>
      </x:c>
      <x:c r="X216" t="str">
        <x:v>0</x:v>
      </x:c>
      <x:c r="Y216" t="str">
        <x:v>0</x:v>
      </x:c>
      <x:c r="Z216" t="str">
        <x:v>0</x:v>
      </x:c>
      <x:c r="AA216" t="str">
        <x:v>0</x:v>
      </x:c>
      <x:c r="AB216" t="str">
        <x:v>N/A</x:v>
      </x:c>
      <x:c r="AC216" t="str">
        <x:v>N/A</x:v>
      </x:c>
      <x:c r="AD216" t="str">
        <x:v>N/A</x:v>
      </x:c>
      <x:c r="AE216" t="str">
        <x:v>N/A</x:v>
      </x:c>
    </x:row>
    <x:row r="217">
      <x:c r="A217" t="str">
        <x:v>51</x:v>
      </x:c>
      <x:c r="B217" t="str">
        <x:v>26739</x:v>
      </x:c>
      <x:c r="C217" t="str">
        <x:v>15</x:v>
      </x:c>
      <x:c r="D217" t="str">
        <x:v>971601</x:v>
      </x:c>
      <x:c r="E217" t="str">
        <x:v>PE AL 2250X50X9 RTO RL80 REC PET BCO(ULT</x:v>
      </x:c>
      <x:c r="F217" t="str">
        <x:v>REG 2L(MAIOR 80MM)</x:v>
      </x:c>
      <x:c r="G217" t="str"/>
      <x:c r="H217" t="str"/>
      <x:c r="I217" t="str">
        <x:v>RECOBERTO PET</x:v>
      </x:c>
      <x:c r="J217" t="str">
        <x:v>BRANCO CARRARA</x:v>
      </x:c>
      <x:c r="K217" t="str">
        <x:v>0</x:v>
      </x:c>
      <x:c r="L217" t="str">
        <x:v>14</x:v>
      </x:c>
      <x:c r="M217" t="str">
        <x:v>0</x:v>
      </x:c>
      <x:c r="N217" t="str"/>
      <x:c r="O217" t="str"/>
      <x:c r="P217" t="str">
        <x:v>Liberada Para Producao</x:v>
      </x:c>
      <x:c r="Q217" t="str">
        <x:v>609686</x:v>
      </x:c>
      <x:c r="R217" t="str">
        <x:v>0</x:v>
      </x:c>
      <x:c r="S217" t="str"/>
      <x:c r="T217" t="str"/>
      <x:c r="U217" t="str"/>
      <x:c r="V217" t="str"/>
      <x:c r="W217" t="str">
        <x:v>N/A</x:v>
      </x:c>
      <x:c r="X217" t="str">
        <x:v>0</x:v>
      </x:c>
      <x:c r="Y217" t="str">
        <x:v>0</x:v>
      </x:c>
      <x:c r="Z217" t="str">
        <x:v>0</x:v>
      </x:c>
      <x:c r="AA217" t="str">
        <x:v>N/A</x:v>
      </x:c>
      <x:c r="AB217" t="str">
        <x:v>N/A</x:v>
      </x:c>
      <x:c r="AC217" t="str">
        <x:v>N/A</x:v>
      </x:c>
      <x:c r="AD217" t="str">
        <x:v>N/A</x:v>
      </x:c>
      <x:c r="AE217" t="str">
        <x:v>N/A</x:v>
      </x:c>
    </x:row>
    <x:row r="218">
      <x:c r="A218" t="str">
        <x:v>51</x:v>
      </x:c>
      <x:c r="B218" t="str">
        <x:v>26739</x:v>
      </x:c>
      <x:c r="C218" t="str">
        <x:v>16</x:v>
      </x:c>
      <x:c r="D218" t="str">
        <x:v>1000076</x:v>
      </x:c>
      <x:c r="E218" t="str">
        <x:v> KIT DE CORRER EM MDF ULTRA</x:v>
      </x:c>
      <x:c r="F218" t="str"/>
      <x:c r="G218" t="str"/>
      <x:c r="H218" t="str"/>
      <x:c r="I218" t="str">
        <x:v>RECOBERTO PET</x:v>
      </x:c>
      <x:c r="J218" t="str">
        <x:v>BRANCO CARRARA</x:v>
      </x:c>
      <x:c r="K218" t="str">
        <x:v>0</x:v>
      </x:c>
      <x:c r="L218" t="str">
        <x:v>7</x:v>
      </x:c>
      <x:c r="M218" t="str">
        <x:v>0</x:v>
      </x:c>
      <x:c r="N218" t="str"/>
      <x:c r="O218" t="str"/>
      <x:c r="P218" t="str">
        <x:v>Liberada Para Producao</x:v>
      </x:c>
      <x:c r="Q218" t="str">
        <x:v>609688</x:v>
      </x:c>
      <x:c r="R218" t="str">
        <x:v>0</x:v>
      </x:c>
      <x:c r="S218" t="str"/>
      <x:c r="T218" t="str"/>
      <x:c r="U218" t="str"/>
      <x:c r="V218" t="str"/>
      <x:c r="W218" t="str">
        <x:v>N/A</x:v>
      </x:c>
      <x:c r="X218" t="str">
        <x:v>N/A</x:v>
      </x:c>
      <x:c r="Y218" t="str">
        <x:v>N/A</x:v>
      </x:c>
      <x:c r="Z218" t="str">
        <x:v>N/A</x:v>
      </x:c>
      <x:c r="AA218" t="str">
        <x:v>N/A</x:v>
      </x:c>
      <x:c r="AB218" t="str">
        <x:v>N/A</x:v>
      </x:c>
      <x:c r="AC218" t="str">
        <x:v>N/A</x:v>
      </x:c>
      <x:c r="AD218" t="str">
        <x:v>0</x:v>
      </x:c>
      <x:c r="AE218" t="str">
        <x:v>N/A</x:v>
      </x:c>
    </x:row>
    <x:row r="219">
      <x:c r="A219" t="str">
        <x:v>51</x:v>
      </x:c>
      <x:c r="B219" t="str">
        <x:v>26739</x:v>
      </x:c>
      <x:c r="C219" t="str">
        <x:v>16</x:v>
      </x:c>
      <x:c r="D219" t="str">
        <x:v>2010700829</x:v>
      </x:c>
      <x:c r="E219" t="str">
        <x:v>P K COR ULTRA PET BCO CAR  KIT DE CORRER EM MDF ULTRA</x:v>
      </x:c>
      <x:c r="F219" t="str"/>
      <x:c r="G219" t="str"/>
      <x:c r="H219" t="str"/>
      <x:c r="I219" t="str">
        <x:v>RECOBERTO PET</x:v>
      </x:c>
      <x:c r="J219" t="str">
        <x:v>BRANCO CARRARA</x:v>
      </x:c>
      <x:c r="K219" t="str">
        <x:v>0</x:v>
      </x:c>
      <x:c r="L219" t="str">
        <x:v>14</x:v>
      </x:c>
      <x:c r="M219" t="str">
        <x:v>0,076</x:v>
      </x:c>
      <x:c r="N219" t="str"/>
      <x:c r="O219" t="str"/>
      <x:c r="P219" t="str">
        <x:v>Liberada Para Producao</x:v>
      </x:c>
      <x:c r="Q219" t="str">
        <x:v>609689</x:v>
      </x:c>
      <x:c r="R219" t="str">
        <x:v>0</x:v>
      </x:c>
      <x:c r="S219" t="str">
        <x:v>2500</x:v>
      </x:c>
      <x:c r="T219" t="str">
        <x:v>PERNA KIT DE CORRER</x:v>
      </x:c>
      <x:c r="U219" t="str"/>
      <x:c r="V219" t="str"/>
      <x:c r="W219" t="str">
        <x:v>0</x:v>
      </x:c>
      <x:c r="X219" t="str">
        <x:v>0</x:v>
      </x:c>
      <x:c r="Y219" t="str">
        <x:v>0</x:v>
      </x:c>
      <x:c r="Z219" t="str">
        <x:v>0</x:v>
      </x:c>
      <x:c r="AA219" t="str">
        <x:v>0</x:v>
      </x:c>
      <x:c r="AB219" t="str">
        <x:v>N/A</x:v>
      </x:c>
      <x:c r="AC219" t="str">
        <x:v>N/A</x:v>
      </x:c>
      <x:c r="AD219" t="str">
        <x:v>N/A</x:v>
      </x:c>
      <x:c r="AE219" t="str">
        <x:v>N/A</x:v>
      </x:c>
    </x:row>
    <x:row r="220">
      <x:c r="A220" t="str">
        <x:v>51</x:v>
      </x:c>
      <x:c r="B220" t="str">
        <x:v>26739</x:v>
      </x:c>
      <x:c r="C220" t="str">
        <x:v>16</x:v>
      </x:c>
      <x:c r="D220" t="str">
        <x:v>2010700830</x:v>
      </x:c>
      <x:c r="E220" t="str">
        <x:v>S K COR ULTRA PET BCO CAR  KIT DE CORRER EM MDF ULTRA</x:v>
      </x:c>
      <x:c r="F220" t="str"/>
      <x:c r="G220" t="str"/>
      <x:c r="H220" t="str"/>
      <x:c r="I220" t="str">
        <x:v>RECOBERTO PET</x:v>
      </x:c>
      <x:c r="J220" t="str">
        <x:v>BRANCO CARRARA</x:v>
      </x:c>
      <x:c r="K220" t="str">
        <x:v>0</x:v>
      </x:c>
      <x:c r="L220" t="str">
        <x:v>7</x:v>
      </x:c>
      <x:c r="M220" t="str">
        <x:v>0,038</x:v>
      </x:c>
      <x:c r="N220" t="str"/>
      <x:c r="O220" t="str"/>
      <x:c r="P220" t="str">
        <x:v>Liberada Para Producao</x:v>
      </x:c>
      <x:c r="Q220" t="str">
        <x:v>609690</x:v>
      </x:c>
      <x:c r="R220" t="str">
        <x:v>0</x:v>
      </x:c>
      <x:c r="S220" t="str">
        <x:v>2510</x:v>
      </x:c>
      <x:c r="T220" t="str">
        <x:v>SUPORTE KIT DE CORRER</x:v>
      </x:c>
      <x:c r="U220" t="str"/>
      <x:c r="V220" t="str"/>
      <x:c r="W220" t="str">
        <x:v>0</x:v>
      </x:c>
      <x:c r="X220" t="str">
        <x:v>0</x:v>
      </x:c>
      <x:c r="Y220" t="str">
        <x:v>0</x:v>
      </x:c>
      <x:c r="Z220" t="str">
        <x:v>0</x:v>
      </x:c>
      <x:c r="AA220" t="str">
        <x:v>N/A</x:v>
      </x:c>
      <x:c r="AB220" t="str">
        <x:v>N/A</x:v>
      </x:c>
      <x:c r="AC220" t="str">
        <x:v>N/A</x:v>
      </x:c>
      <x:c r="AD220" t="str">
        <x:v>N/A</x:v>
      </x:c>
      <x:c r="AE220" t="str">
        <x:v>N/A</x:v>
      </x:c>
    </x:row>
    <x:row r="221">
      <x:c r="A221" t="str">
        <x:v>51</x:v>
      </x:c>
      <x:c r="B221" t="str">
        <x:v>26739</x:v>
      </x:c>
      <x:c r="C221" t="str">
        <x:v>16</x:v>
      </x:c>
      <x:c r="D221" t="str">
        <x:v>2020700312</x:v>
      </x:c>
      <x:c r="E221" t="str">
        <x:v>CAB K COR ULTRA PET BCO CAR 2200X100X KIT DE CORRER EM MDF ULTRA</x:v>
      </x:c>
      <x:c r="F221" t="str"/>
      <x:c r="G221" t="str"/>
      <x:c r="H221" t="str"/>
      <x:c r="I221" t="str">
        <x:v>RECOBERTO PET</x:v>
      </x:c>
      <x:c r="J221" t="str">
        <x:v>BRANCO CARRARA</x:v>
      </x:c>
      <x:c r="K221" t="str">
        <x:v>0</x:v>
      </x:c>
      <x:c r="L221" t="str">
        <x:v>7</x:v>
      </x:c>
      <x:c r="M221" t="str">
        <x:v>0,018</x:v>
      </x:c>
      <x:c r="N221" t="str"/>
      <x:c r="O221" t="str"/>
      <x:c r="P221" t="str">
        <x:v>Liberada Para Producao</x:v>
      </x:c>
      <x:c r="Q221" t="str">
        <x:v>609691</x:v>
      </x:c>
      <x:c r="R221" t="str">
        <x:v>0</x:v>
      </x:c>
      <x:c r="S221" t="str">
        <x:v>2520</x:v>
      </x:c>
      <x:c r="T221" t="str">
        <x:v>CABECEIRA L MAIOR KIT D/CORRER</x:v>
      </x:c>
      <x:c r="U221" t="str"/>
      <x:c r="V221" t="str"/>
      <x:c r="W221" t="str">
        <x:v>N/A</x:v>
      </x:c>
      <x:c r="X221" t="str">
        <x:v>0</x:v>
      </x:c>
      <x:c r="Y221" t="str">
        <x:v>0</x:v>
      </x:c>
      <x:c r="Z221" t="str">
        <x:v>0</x:v>
      </x:c>
      <x:c r="AA221" t="str">
        <x:v>N/A</x:v>
      </x:c>
      <x:c r="AB221" t="str">
        <x:v>N/A</x:v>
      </x:c>
      <x:c r="AC221" t="str">
        <x:v>N/A</x:v>
      </x:c>
      <x:c r="AD221" t="str">
        <x:v>N/A</x:v>
      </x:c>
      <x:c r="AE221" t="str">
        <x:v>N/A</x:v>
      </x:c>
    </x:row>
    <x:row r="222">
      <x:c r="A222" t="str">
        <x:v>51</x:v>
      </x:c>
      <x:c r="B222" t="str">
        <x:v>26739</x:v>
      </x:c>
      <x:c r="C222" t="str">
        <x:v>16</x:v>
      </x:c>
      <x:c r="D222" t="str">
        <x:v>2020700313</x:v>
      </x:c>
      <x:c r="E222" t="str">
        <x:v>A K LME COR ULTRA PET BCO CAR  KIT DE CORRER EM MDF ULTRA</x:v>
      </x:c>
      <x:c r="F222" t="str"/>
      <x:c r="G222" t="str"/>
      <x:c r="H222" t="str"/>
      <x:c r="I222" t="str">
        <x:v>RECOBERTO PET</x:v>
      </x:c>
      <x:c r="J222" t="str">
        <x:v>BRANCO CARRARA</x:v>
      </x:c>
      <x:c r="K222" t="str">
        <x:v>0</x:v>
      </x:c>
      <x:c r="L222" t="str">
        <x:v>21</x:v>
      </x:c>
      <x:c r="M222" t="str">
        <x:v>0,028</x:v>
      </x:c>
      <x:c r="N222" t="str"/>
      <x:c r="O222" t="str"/>
      <x:c r="P222" t="str">
        <x:v>Liberada Para Producao</x:v>
      </x:c>
      <x:c r="Q222" t="str">
        <x:v>609692</x:v>
      </x:c>
      <x:c r="R222" t="str">
        <x:v>0</x:v>
      </x:c>
      <x:c r="S222" t="str">
        <x:v>2530</x:v>
      </x:c>
      <x:c r="T222" t="str">
        <x:v>ALIZAR L MENOR KIT DE CORRER</x:v>
      </x:c>
      <x:c r="U222" t="str"/>
      <x:c r="V222" t="str"/>
      <x:c r="W222" t="str">
        <x:v>N/A</x:v>
      </x:c>
      <x:c r="X222" t="str">
        <x:v>0</x:v>
      </x:c>
      <x:c r="Y222" t="str">
        <x:v>0</x:v>
      </x:c>
      <x:c r="Z222" t="str">
        <x:v>0</x:v>
      </x:c>
      <x:c r="AA222" t="str">
        <x:v>N/A</x:v>
      </x:c>
      <x:c r="AB222" t="str">
        <x:v>N/A</x:v>
      </x:c>
      <x:c r="AC222" t="str">
        <x:v>N/A</x:v>
      </x:c>
      <x:c r="AD222" t="str">
        <x:v>N/A</x:v>
      </x:c>
      <x:c r="AE222" t="str">
        <x:v>N/A</x:v>
      </x:c>
    </x:row>
    <x:row r="223">
      <x:c r="A223" t="str">
        <x:v>51</x:v>
      </x:c>
      <x:c r="B223" t="str">
        <x:v>26739</x:v>
      </x:c>
      <x:c r="C223" t="str">
        <x:v>17</x:v>
      </x:c>
      <x:c r="D223" t="str">
        <x:v>919640</x:v>
      </x:c>
      <x:c r="E223" t="str">
        <x:v>TR AL 1100X50X9 RTO LME REC PET BCO (ULT</x:v>
      </x:c>
      <x:c r="F223" t="str"/>
      <x:c r="G223" t="str"/>
      <x:c r="H223" t="str"/>
      <x:c r="I223" t="str">
        <x:v>ESMALTE</x:v>
      </x:c>
      <x:c r="J223" t="str">
        <x:v>BRANCO CARRARA</x:v>
      </x:c>
      <x:c r="K223" t="str">
        <x:v>0</x:v>
      </x:c>
      <x:c r="L223" t="str">
        <x:v>9</x:v>
      </x:c>
      <x:c r="M223" t="str">
        <x:v>0</x:v>
      </x:c>
      <x:c r="N223" t="str"/>
      <x:c r="O223" t="str"/>
      <x:c r="P223" t="str">
        <x:v>Liberada Para Producao</x:v>
      </x:c>
      <x:c r="Q223" t="str">
        <x:v>609694</x:v>
      </x:c>
      <x:c r="R223" t="str">
        <x:v>0</x:v>
      </x:c>
      <x:c r="S223" t="str"/>
      <x:c r="T223" t="str"/>
      <x:c r="U223" t="str"/>
      <x:c r="V223" t="str"/>
      <x:c r="W223" t="str">
        <x:v>N/A</x:v>
      </x:c>
      <x:c r="X223" t="str">
        <x:v>0</x:v>
      </x:c>
      <x:c r="Y223" t="str">
        <x:v>0</x:v>
      </x:c>
      <x:c r="Z223" t="str">
        <x:v>0</x:v>
      </x:c>
      <x:c r="AA223" t="str">
        <x:v>0</x:v>
      </x:c>
      <x:c r="AB223" t="str">
        <x:v>N/A</x:v>
      </x:c>
      <x:c r="AC223" t="str">
        <x:v>N/A</x:v>
      </x:c>
      <x:c r="AD223" t="str">
        <x:v>N/A</x:v>
      </x:c>
      <x:c r="AE223" t="str">
        <x:v>N/A</x:v>
      </x:c>
    </x:row>
    <x:row r="224">
      <x:c r="A224" t="str">
        <x:v>51</x:v>
      </x:c>
      <x:c r="B224" t="str">
        <x:v>26739</x:v>
      </x:c>
      <x:c r="C224" t="str">
        <x:v>17</x:v>
      </x:c>
      <x:c r="D224" t="str">
        <x:v>963311</x:v>
      </x:c>
      <x:c r="E224" t="str">
        <x:v>PE AL 2250X50X9 RTO LME REC PET BCO(ULTR</x:v>
      </x:c>
      <x:c r="F224" t="str"/>
      <x:c r="G224" t="str"/>
      <x:c r="H224" t="str"/>
      <x:c r="I224" t="str">
        <x:v>ESMALTE</x:v>
      </x:c>
      <x:c r="J224" t="str">
        <x:v>BRANCO CARRARA</x:v>
      </x:c>
      <x:c r="K224" t="str">
        <x:v>0</x:v>
      </x:c>
      <x:c r="L224" t="str">
        <x:v>18</x:v>
      </x:c>
      <x:c r="M224" t="str">
        <x:v>0</x:v>
      </x:c>
      <x:c r="N224" t="str"/>
      <x:c r="O224" t="str"/>
      <x:c r="P224" t="str">
        <x:v>Liberada Para Producao</x:v>
      </x:c>
      <x:c r="Q224" t="str">
        <x:v>609695</x:v>
      </x:c>
      <x:c r="R224" t="str">
        <x:v>0</x:v>
      </x:c>
      <x:c r="S224" t="str"/>
      <x:c r="T224" t="str"/>
      <x:c r="U224" t="str"/>
      <x:c r="V224" t="str"/>
      <x:c r="W224" t="str">
        <x:v>N/A</x:v>
      </x:c>
      <x:c r="X224" t="str">
        <x:v>0</x:v>
      </x:c>
      <x:c r="Y224" t="str">
        <x:v>0</x:v>
      </x:c>
      <x:c r="Z224" t="str">
        <x:v>0</x:v>
      </x:c>
      <x:c r="AA224" t="str">
        <x:v>N/A</x:v>
      </x:c>
      <x:c r="AB224" t="str">
        <x:v>N/A</x:v>
      </x:c>
      <x:c r="AC224" t="str">
        <x:v>N/A</x:v>
      </x:c>
      <x:c r="AD224" t="str">
        <x:v>N/A</x:v>
      </x:c>
      <x:c r="AE224" t="str">
        <x:v>N/A</x:v>
      </x:c>
    </x:row>
    <x:row r="225">
      <x:c r="A225" t="str">
        <x:v>51</x:v>
      </x:c>
      <x:c r="B225" t="str">
        <x:v>26739</x:v>
      </x:c>
      <x:c r="C225" t="str">
        <x:v>17</x:v>
      </x:c>
      <x:c r="D225" t="str">
        <x:v>966149</x:v>
      </x:c>
      <x:c r="E225" t="str">
        <x:v>TR AL 1100X50X9 RTO RL80 REC PET BCO (UL</x:v>
      </x:c>
      <x:c r="F225" t="str"/>
      <x:c r="G225" t="str"/>
      <x:c r="H225" t="str"/>
      <x:c r="I225" t="str">
        <x:v>ESMALTE</x:v>
      </x:c>
      <x:c r="J225" t="str">
        <x:v>BRANCO CARRARA</x:v>
      </x:c>
      <x:c r="K225" t="str">
        <x:v>0</x:v>
      </x:c>
      <x:c r="L225" t="str">
        <x:v>9</x:v>
      </x:c>
      <x:c r="M225" t="str">
        <x:v>0</x:v>
      </x:c>
      <x:c r="N225" t="str"/>
      <x:c r="O225" t="str"/>
      <x:c r="P225" t="str">
        <x:v>Liberada Para Producao</x:v>
      </x:c>
      <x:c r="Q225" t="str">
        <x:v>609696</x:v>
      </x:c>
      <x:c r="R225" t="str">
        <x:v>0</x:v>
      </x:c>
      <x:c r="S225" t="str"/>
      <x:c r="T225" t="str"/>
      <x:c r="U225" t="str"/>
      <x:c r="V225" t="str"/>
      <x:c r="W225" t="str">
        <x:v>N/A</x:v>
      </x:c>
      <x:c r="X225" t="str">
        <x:v>0</x:v>
      </x:c>
      <x:c r="Y225" t="str">
        <x:v>0</x:v>
      </x:c>
      <x:c r="Z225" t="str">
        <x:v>0</x:v>
      </x:c>
      <x:c r="AA225" t="str">
        <x:v>0</x:v>
      </x:c>
      <x:c r="AB225" t="str">
        <x:v>N/A</x:v>
      </x:c>
      <x:c r="AC225" t="str">
        <x:v>N/A</x:v>
      </x:c>
      <x:c r="AD225" t="str">
        <x:v>N/A</x:v>
      </x:c>
      <x:c r="AE225" t="str">
        <x:v>N/A</x:v>
      </x:c>
    </x:row>
    <x:row r="226">
      <x:c r="A226" t="str">
        <x:v>51</x:v>
      </x:c>
      <x:c r="B226" t="str">
        <x:v>26739</x:v>
      </x:c>
      <x:c r="C226" t="str">
        <x:v>17</x:v>
      </x:c>
      <x:c r="D226" t="str">
        <x:v>971601</x:v>
      </x:c>
      <x:c r="E226" t="str">
        <x:v>PE AL 2250X50X9 RTO RL80 REC PET BCO(ULT</x:v>
      </x:c>
      <x:c r="F226" t="str"/>
      <x:c r="G226" t="str"/>
      <x:c r="H226" t="str"/>
      <x:c r="I226" t="str">
        <x:v>ESMALTE</x:v>
      </x:c>
      <x:c r="J226" t="str">
        <x:v>BRANCO CARRARA</x:v>
      </x:c>
      <x:c r="K226" t="str">
        <x:v>0</x:v>
      </x:c>
      <x:c r="L226" t="str">
        <x:v>18</x:v>
      </x:c>
      <x:c r="M226" t="str">
        <x:v>0</x:v>
      </x:c>
      <x:c r="N226" t="str"/>
      <x:c r="O226" t="str"/>
      <x:c r="P226" t="str">
        <x:v>Liberada Para Producao</x:v>
      </x:c>
      <x:c r="Q226" t="str">
        <x:v>609697</x:v>
      </x:c>
      <x:c r="R226" t="str">
        <x:v>0</x:v>
      </x:c>
      <x:c r="S226" t="str"/>
      <x:c r="T226" t="str"/>
      <x:c r="U226" t="str"/>
      <x:c r="V226" t="str"/>
      <x:c r="W226" t="str">
        <x:v>N/A</x:v>
      </x:c>
      <x:c r="X226" t="str">
        <x:v>0</x:v>
      </x:c>
      <x:c r="Y226" t="str">
        <x:v>0</x:v>
      </x:c>
      <x:c r="Z226" t="str">
        <x:v>0</x:v>
      </x:c>
      <x:c r="AA226" t="str">
        <x:v>N/A</x:v>
      </x:c>
      <x:c r="AB226" t="str">
        <x:v>N/A</x:v>
      </x:c>
      <x:c r="AC226" t="str">
        <x:v>N/A</x:v>
      </x:c>
      <x:c r="AD226" t="str">
        <x:v>N/A</x:v>
      </x:c>
      <x:c r="AE226" t="str">
        <x:v>N/A</x:v>
      </x:c>
    </x:row>
    <x:row r="227">
      <x:c r="A227" t="str">
        <x:v>51</x:v>
      </x:c>
      <x:c r="B227" t="str">
        <x:v>26739</x:v>
      </x:c>
      <x:c r="C227" t="str">
        <x:v>17</x:v>
      </x:c>
      <x:c r="D227" t="str">
        <x:v>421010005</x:v>
      </x:c>
      <x:c r="E227" t="str">
        <x:v>FO POR COL HDF 3 RU 2100X620X35 ESM BCO</x:v>
      </x:c>
      <x:c r="F227" t="str"/>
      <x:c r="G227" t="str"/>
      <x:c r="H227" t="str"/>
      <x:c r="I227" t="str">
        <x:v>ESMALTE</x:v>
      </x:c>
      <x:c r="J227" t="str">
        <x:v>BRANCO CARRARA</x:v>
      </x:c>
      <x:c r="K227" t="str">
        <x:v>0</x:v>
      </x:c>
      <x:c r="L227" t="str">
        <x:v>9</x:v>
      </x:c>
      <x:c r="M227" t="str">
        <x:v>0,41</x:v>
      </x:c>
      <x:c r="N227" t="str"/>
      <x:c r="O227" t="str"/>
      <x:c r="P227" t="str">
        <x:v>Liberada Para Producao</x:v>
      </x:c>
      <x:c r="Q227" t="str">
        <x:v>609698</x:v>
      </x:c>
      <x:c r="R227" t="str">
        <x:v>66,67</x:v>
      </x:c>
      <x:c r="S227" t="str">
        <x:v>1</x:v>
      </x:c>
      <x:c r="T227" t="str">
        <x:v>PORTA LINHA PREMIUM</x:v>
      </x:c>
      <x:c r="U227" t="str"/>
      <x:c r="V227" t="str"/>
      <x:c r="W227" t="str">
        <x:v>N/A</x:v>
      </x:c>
      <x:c r="X227" t="str">
        <x:v>100</x:v>
      </x:c>
      <x:c r="Y227" t="str">
        <x:v>N/A</x:v>
      </x:c>
      <x:c r="Z227" t="str">
        <x:v>N/A</x:v>
      </x:c>
      <x:c r="AA227" t="str">
        <x:v>N/A</x:v>
      </x:c>
      <x:c r="AB227" t="str">
        <x:v>100</x:v>
      </x:c>
      <x:c r="AC227" t="str">
        <x:v>N/A</x:v>
      </x:c>
      <x:c r="AD227" t="str">
        <x:v>0</x:v>
      </x:c>
      <x:c r="AE227" t="str">
        <x:v>N/A</x:v>
      </x:c>
    </x:row>
    <x:row r="228">
      <x:c r="A228" t="str">
        <x:v>51</x:v>
      </x:c>
      <x:c r="B228" t="str">
        <x:v>26739</x:v>
      </x:c>
      <x:c r="C228" t="str">
        <x:v>17</x:v>
      </x:c>
      <x:c r="D228" t="str">
        <x:v>2010701021</x:v>
      </x:c>
      <x:c r="E228" t="str">
        <x:v>M ULTRA PET BCO CAR 2110X80X30 42X10 R2L</x:v>
      </x:c>
      <x:c r="F228" t="str"/>
      <x:c r="G228" t="str"/>
      <x:c r="H228" t="str"/>
      <x:c r="I228" t="str">
        <x:v>ESMALTE</x:v>
      </x:c>
      <x:c r="J228" t="str">
        <x:v>BRANCO CARRARA</x:v>
      </x:c>
      <x:c r="K228" t="str">
        <x:v>0</x:v>
      </x:c>
      <x:c r="L228" t="str">
        <x:v>18</x:v>
      </x:c>
      <x:c r="M228" t="str">
        <x:v>18</x:v>
      </x:c>
      <x:c r="N228" t="str"/>
      <x:c r="O228" t="str"/>
      <x:c r="P228" t="str">
        <x:v>Liberada Para Producao</x:v>
      </x:c>
      <x:c r="Q228" t="str">
        <x:v>609699</x:v>
      </x:c>
      <x:c r="R228" t="str">
        <x:v>50</x:v>
      </x:c>
      <x:c r="S228" t="str">
        <x:v>1500</x:v>
      </x:c>
      <x:c r="T228" t="str">
        <x:v>PERNA DE BATENTE PREMIUM(SEMIA</x:v>
      </x:c>
      <x:c r="U228" t="str"/>
      <x:c r="V228" t="str"/>
      <x:c r="W228" t="str">
        <x:v>100</x:v>
      </x:c>
      <x:c r="X228" t="str">
        <x:v>100</x:v>
      </x:c>
      <x:c r="Y228" t="str">
        <x:v>N/A</x:v>
      </x:c>
      <x:c r="Z228" t="str">
        <x:v>0</x:v>
      </x:c>
      <x:c r="AA228" t="str">
        <x:v>0</x:v>
      </x:c>
      <x:c r="AB228" t="str">
        <x:v>N/A</x:v>
      </x:c>
      <x:c r="AC228" t="str">
        <x:v>N/A</x:v>
      </x:c>
      <x:c r="AD228" t="str">
        <x:v>N/A</x:v>
      </x:c>
      <x:c r="AE228" t="str">
        <x:v>N/A</x:v>
      </x:c>
    </x:row>
    <x:row r="229">
      <x:c r="A229" t="str">
        <x:v>51</x:v>
      </x:c>
      <x:c r="B229" t="str">
        <x:v>26739</x:v>
      </x:c>
      <x:c r="C229" t="str">
        <x:v>17</x:v>
      </x:c>
      <x:c r="D229" t="str">
        <x:v>2010701246</x:v>
      </x:c>
      <x:c r="E229" t="str">
        <x:v>M ULTRA PET BCO CAR 667X80X30 42X10 R2L</x:v>
      </x:c>
      <x:c r="F229" t="str"/>
      <x:c r="G229" t="str"/>
      <x:c r="H229" t="str"/>
      <x:c r="I229" t="str">
        <x:v>ESMALTE</x:v>
      </x:c>
      <x:c r="J229" t="str">
        <x:v>BRANCO CARRARA</x:v>
      </x:c>
      <x:c r="K229" t="str">
        <x:v>0</x:v>
      </x:c>
      <x:c r="L229" t="str">
        <x:v>9</x:v>
      </x:c>
      <x:c r="M229" t="str">
        <x:v>3</x:v>
      </x:c>
      <x:c r="N229" t="str"/>
      <x:c r="O229" t="str"/>
      <x:c r="P229" t="str">
        <x:v>Liberada Para Producao</x:v>
      </x:c>
      <x:c r="Q229" t="str">
        <x:v>609700</x:v>
      </x:c>
      <x:c r="R229" t="str">
        <x:v>50</x:v>
      </x:c>
      <x:c r="S229" t="str">
        <x:v>1501</x:v>
      </x:c>
      <x:c r="T229" t="str">
        <x:v>TRAV. BAT. 680 PET/PVC(SEMI)</x:v>
      </x:c>
      <x:c r="U229" t="str"/>
      <x:c r="V229" t="str"/>
      <x:c r="W229" t="str">
        <x:v>100</x:v>
      </x:c>
      <x:c r="X229" t="str">
        <x:v>100</x:v>
      </x:c>
      <x:c r="Y229" t="str">
        <x:v>N/A</x:v>
      </x:c>
      <x:c r="Z229" t="str">
        <x:v>0</x:v>
      </x:c>
      <x:c r="AA229" t="str">
        <x:v>0</x:v>
      </x:c>
      <x:c r="AB229" t="str">
        <x:v>N/A</x:v>
      </x:c>
      <x:c r="AC229" t="str">
        <x:v>N/A</x:v>
      </x:c>
      <x:c r="AD229" t="str">
        <x:v>N/A</x:v>
      </x:c>
      <x:c r="AE229" t="str">
        <x:v>N/A</x:v>
      </x:c>
    </x:row>
    <x:row r="230">
      <x:c r="A230" t="str">
        <x:v>51</x:v>
      </x:c>
      <x:c r="B230" t="str">
        <x:v>26739</x:v>
      </x:c>
      <x:c r="C230" t="str">
        <x:v>18</x:v>
      </x:c>
      <x:c r="D230" t="str">
        <x:v>919640</x:v>
      </x:c>
      <x:c r="E230" t="str">
        <x:v>TR AL 1100X50X9 RTO LME REC PET BCO (ULT</x:v>
      </x:c>
      <x:c r="F230" t="str"/>
      <x:c r="G230" t="str"/>
      <x:c r="H230" t="str"/>
      <x:c r="I230" t="str">
        <x:v>ESMALTE</x:v>
      </x:c>
      <x:c r="J230" t="str">
        <x:v>BRANCO CARRARA</x:v>
      </x:c>
      <x:c r="K230" t="str">
        <x:v>0</x:v>
      </x:c>
      <x:c r="L230" t="str">
        <x:v>5</x:v>
      </x:c>
      <x:c r="M230" t="str">
        <x:v>0</x:v>
      </x:c>
      <x:c r="N230" t="str"/>
      <x:c r="O230" t="str"/>
      <x:c r="P230" t="str">
        <x:v>Liberada Para Producao</x:v>
      </x:c>
      <x:c r="Q230" t="str">
        <x:v>609702</x:v>
      </x:c>
      <x:c r="R230" t="str">
        <x:v>0</x:v>
      </x:c>
      <x:c r="S230" t="str"/>
      <x:c r="T230" t="str"/>
      <x:c r="U230" t="str"/>
      <x:c r="V230" t="str"/>
      <x:c r="W230" t="str">
        <x:v>N/A</x:v>
      </x:c>
      <x:c r="X230" t="str">
        <x:v>0</x:v>
      </x:c>
      <x:c r="Y230" t="str">
        <x:v>0</x:v>
      </x:c>
      <x:c r="Z230" t="str">
        <x:v>0</x:v>
      </x:c>
      <x:c r="AA230" t="str">
        <x:v>0</x:v>
      </x:c>
      <x:c r="AB230" t="str">
        <x:v>N/A</x:v>
      </x:c>
      <x:c r="AC230" t="str">
        <x:v>N/A</x:v>
      </x:c>
      <x:c r="AD230" t="str">
        <x:v>N/A</x:v>
      </x:c>
      <x:c r="AE230" t="str">
        <x:v>N/A</x:v>
      </x:c>
    </x:row>
    <x:row r="231">
      <x:c r="A231" t="str">
        <x:v>51</x:v>
      </x:c>
      <x:c r="B231" t="str">
        <x:v>26739</x:v>
      </x:c>
      <x:c r="C231" t="str">
        <x:v>18</x:v>
      </x:c>
      <x:c r="D231" t="str">
        <x:v>963311</x:v>
      </x:c>
      <x:c r="E231" t="str">
        <x:v>PE AL 2250X50X9 RTO LME REC PET BCO(ULTR</x:v>
      </x:c>
      <x:c r="F231" t="str"/>
      <x:c r="G231" t="str"/>
      <x:c r="H231" t="str"/>
      <x:c r="I231" t="str">
        <x:v>ESMALTE</x:v>
      </x:c>
      <x:c r="J231" t="str">
        <x:v>BRANCO CARRARA</x:v>
      </x:c>
      <x:c r="K231" t="str">
        <x:v>0</x:v>
      </x:c>
      <x:c r="L231" t="str">
        <x:v>10</x:v>
      </x:c>
      <x:c r="M231" t="str">
        <x:v>0</x:v>
      </x:c>
      <x:c r="N231" t="str"/>
      <x:c r="O231" t="str"/>
      <x:c r="P231" t="str">
        <x:v>Liberada Para Producao</x:v>
      </x:c>
      <x:c r="Q231" t="str">
        <x:v>609703</x:v>
      </x:c>
      <x:c r="R231" t="str">
        <x:v>0</x:v>
      </x:c>
      <x:c r="S231" t="str"/>
      <x:c r="T231" t="str"/>
      <x:c r="U231" t="str"/>
      <x:c r="V231" t="str"/>
      <x:c r="W231" t="str">
        <x:v>N/A</x:v>
      </x:c>
      <x:c r="X231" t="str">
        <x:v>0</x:v>
      </x:c>
      <x:c r="Y231" t="str">
        <x:v>0</x:v>
      </x:c>
      <x:c r="Z231" t="str">
        <x:v>0</x:v>
      </x:c>
      <x:c r="AA231" t="str">
        <x:v>N/A</x:v>
      </x:c>
      <x:c r="AB231" t="str">
        <x:v>N/A</x:v>
      </x:c>
      <x:c r="AC231" t="str">
        <x:v>N/A</x:v>
      </x:c>
      <x:c r="AD231" t="str">
        <x:v>N/A</x:v>
      </x:c>
      <x:c r="AE231" t="str">
        <x:v>N/A</x:v>
      </x:c>
    </x:row>
    <x:row r="232">
      <x:c r="A232" t="str">
        <x:v>51</x:v>
      </x:c>
      <x:c r="B232" t="str">
        <x:v>26739</x:v>
      </x:c>
      <x:c r="C232" t="str">
        <x:v>18</x:v>
      </x:c>
      <x:c r="D232" t="str">
        <x:v>966149</x:v>
      </x:c>
      <x:c r="E232" t="str">
        <x:v>TR AL 1100X50X9 RTO RL80 REC PET BCO (UL</x:v>
      </x:c>
      <x:c r="F232" t="str"/>
      <x:c r="G232" t="str"/>
      <x:c r="H232" t="str"/>
      <x:c r="I232" t="str">
        <x:v>ESMALTE</x:v>
      </x:c>
      <x:c r="J232" t="str">
        <x:v>BRANCO CARRARA</x:v>
      </x:c>
      <x:c r="K232" t="str">
        <x:v>0</x:v>
      </x:c>
      <x:c r="L232" t="str">
        <x:v>5</x:v>
      </x:c>
      <x:c r="M232" t="str">
        <x:v>0</x:v>
      </x:c>
      <x:c r="N232" t="str"/>
      <x:c r="O232" t="str"/>
      <x:c r="P232" t="str">
        <x:v>Liberada Para Producao</x:v>
      </x:c>
      <x:c r="Q232" t="str">
        <x:v>609704</x:v>
      </x:c>
      <x:c r="R232" t="str">
        <x:v>0</x:v>
      </x:c>
      <x:c r="S232" t="str"/>
      <x:c r="T232" t="str"/>
      <x:c r="U232" t="str"/>
      <x:c r="V232" t="str"/>
      <x:c r="W232" t="str">
        <x:v>N/A</x:v>
      </x:c>
      <x:c r="X232" t="str">
        <x:v>0</x:v>
      </x:c>
      <x:c r="Y232" t="str">
        <x:v>0</x:v>
      </x:c>
      <x:c r="Z232" t="str">
        <x:v>0</x:v>
      </x:c>
      <x:c r="AA232" t="str">
        <x:v>0</x:v>
      </x:c>
      <x:c r="AB232" t="str">
        <x:v>N/A</x:v>
      </x:c>
      <x:c r="AC232" t="str">
        <x:v>N/A</x:v>
      </x:c>
      <x:c r="AD232" t="str">
        <x:v>N/A</x:v>
      </x:c>
      <x:c r="AE232" t="str">
        <x:v>N/A</x:v>
      </x:c>
    </x:row>
    <x:row r="233">
      <x:c r="A233" t="str">
        <x:v>51</x:v>
      </x:c>
      <x:c r="B233" t="str">
        <x:v>26739</x:v>
      </x:c>
      <x:c r="C233" t="str">
        <x:v>18</x:v>
      </x:c>
      <x:c r="D233" t="str">
        <x:v>971601</x:v>
      </x:c>
      <x:c r="E233" t="str">
        <x:v>PE AL 2250X50X9 RTO RL80 REC PET BCO(ULT</x:v>
      </x:c>
      <x:c r="F233" t="str"/>
      <x:c r="G233" t="str"/>
      <x:c r="H233" t="str"/>
      <x:c r="I233" t="str">
        <x:v>ESMALTE</x:v>
      </x:c>
      <x:c r="J233" t="str">
        <x:v>BRANCO CARRARA</x:v>
      </x:c>
      <x:c r="K233" t="str">
        <x:v>0</x:v>
      </x:c>
      <x:c r="L233" t="str">
        <x:v>10</x:v>
      </x:c>
      <x:c r="M233" t="str">
        <x:v>0</x:v>
      </x:c>
      <x:c r="N233" t="str"/>
      <x:c r="O233" t="str"/>
      <x:c r="P233" t="str">
        <x:v>Liberada Para Producao</x:v>
      </x:c>
      <x:c r="Q233" t="str">
        <x:v>609705</x:v>
      </x:c>
      <x:c r="R233" t="str">
        <x:v>0</x:v>
      </x:c>
      <x:c r="S233" t="str"/>
      <x:c r="T233" t="str"/>
      <x:c r="U233" t="str"/>
      <x:c r="V233" t="str"/>
      <x:c r="W233" t="str">
        <x:v>N/A</x:v>
      </x:c>
      <x:c r="X233" t="str">
        <x:v>0</x:v>
      </x:c>
      <x:c r="Y233" t="str">
        <x:v>0</x:v>
      </x:c>
      <x:c r="Z233" t="str">
        <x:v>0</x:v>
      </x:c>
      <x:c r="AA233" t="str">
        <x:v>N/A</x:v>
      </x:c>
      <x:c r="AB233" t="str">
        <x:v>N/A</x:v>
      </x:c>
      <x:c r="AC233" t="str">
        <x:v>N/A</x:v>
      </x:c>
      <x:c r="AD233" t="str">
        <x:v>N/A</x:v>
      </x:c>
      <x:c r="AE233" t="str">
        <x:v>N/A</x:v>
      </x:c>
    </x:row>
    <x:row r="234">
      <x:c r="A234" t="str">
        <x:v>51</x:v>
      </x:c>
      <x:c r="B234" t="str">
        <x:v>26739</x:v>
      </x:c>
      <x:c r="C234" t="str">
        <x:v>18</x:v>
      </x:c>
      <x:c r="D234" t="str">
        <x:v>421010005</x:v>
      </x:c>
      <x:c r="E234" t="str">
        <x:v>FO POR COL HDF 3 RU 2100X620X35 ESM BCO</x:v>
      </x:c>
      <x:c r="F234" t="str"/>
      <x:c r="G234" t="str"/>
      <x:c r="H234" t="str"/>
      <x:c r="I234" t="str">
        <x:v>ESMALTE</x:v>
      </x:c>
      <x:c r="J234" t="str">
        <x:v>BRANCO CARRARA</x:v>
      </x:c>
      <x:c r="K234" t="str">
        <x:v>0</x:v>
      </x:c>
      <x:c r="L234" t="str">
        <x:v>5</x:v>
      </x:c>
      <x:c r="M234" t="str">
        <x:v>0,228</x:v>
      </x:c>
      <x:c r="N234" t="str"/>
      <x:c r="O234" t="str"/>
      <x:c r="P234" t="str">
        <x:v>Liberada Para Producao</x:v>
      </x:c>
      <x:c r="Q234" t="str">
        <x:v>609706</x:v>
      </x:c>
      <x:c r="R234" t="str">
        <x:v>66,67</x:v>
      </x:c>
      <x:c r="S234" t="str">
        <x:v>1</x:v>
      </x:c>
      <x:c r="T234" t="str">
        <x:v>PORTA LINHA PREMIUM</x:v>
      </x:c>
      <x:c r="U234" t="str"/>
      <x:c r="V234" t="str"/>
      <x:c r="W234" t="str">
        <x:v>N/A</x:v>
      </x:c>
      <x:c r="X234" t="str">
        <x:v>100</x:v>
      </x:c>
      <x:c r="Y234" t="str">
        <x:v>N/A</x:v>
      </x:c>
      <x:c r="Z234" t="str">
        <x:v>N/A</x:v>
      </x:c>
      <x:c r="AA234" t="str">
        <x:v>N/A</x:v>
      </x:c>
      <x:c r="AB234" t="str">
        <x:v>100</x:v>
      </x:c>
      <x:c r="AC234" t="str">
        <x:v>N/A</x:v>
      </x:c>
      <x:c r="AD234" t="str">
        <x:v>0</x:v>
      </x:c>
      <x:c r="AE234" t="str">
        <x:v>N/A</x:v>
      </x:c>
    </x:row>
    <x:row r="235">
      <x:c r="A235" t="str">
        <x:v>51</x:v>
      </x:c>
      <x:c r="B235" t="str">
        <x:v>26739</x:v>
      </x:c>
      <x:c r="C235" t="str">
        <x:v>18</x:v>
      </x:c>
      <x:c r="D235" t="str">
        <x:v>2010700591</x:v>
      </x:c>
      <x:c r="E235" t="str">
        <x:v>CJ M ULTRA PET BCO CAR 2110X90X30 42X10</x:v>
      </x:c>
      <x:c r="F235" t="str"/>
      <x:c r="G235" t="str"/>
      <x:c r="H235" t="str"/>
      <x:c r="I235" t="str">
        <x:v>ESMALTE</x:v>
      </x:c>
      <x:c r="J235" t="str">
        <x:v>BRANCO CARRARA</x:v>
      </x:c>
      <x:c r="K235" t="str">
        <x:v>0</x:v>
      </x:c>
      <x:c r="L235" t="str">
        <x:v>10</x:v>
      </x:c>
      <x:c r="M235" t="str">
        <x:v>0,057</x:v>
      </x:c>
      <x:c r="N235" t="str"/>
      <x:c r="O235" t="str"/>
      <x:c r="P235" t="str">
        <x:v>Liberada Para Producao</x:v>
      </x:c>
      <x:c r="Q235" t="str">
        <x:v>609707</x:v>
      </x:c>
      <x:c r="R235" t="str">
        <x:v>0</x:v>
      </x:c>
      <x:c r="S235" t="str">
        <x:v>1500</x:v>
      </x:c>
      <x:c r="T235" t="str">
        <x:v>PERNA DE BATENTE PREMIUM(SEMIA</x:v>
      </x:c>
      <x:c r="U235" t="str"/>
      <x:c r="V235" t="str"/>
      <x:c r="W235" t="str">
        <x:v>N/A</x:v>
      </x:c>
      <x:c r="X235" t="str">
        <x:v>N/A</x:v>
      </x:c>
      <x:c r="Y235" t="str">
        <x:v>N/A</x:v>
      </x:c>
      <x:c r="Z235" t="str">
        <x:v>0</x:v>
      </x:c>
      <x:c r="AA235" t="str">
        <x:v>0</x:v>
      </x:c>
      <x:c r="AB235" t="str">
        <x:v>N/A</x:v>
      </x:c>
      <x:c r="AC235" t="str">
        <x:v>N/A</x:v>
      </x:c>
      <x:c r="AD235" t="str">
        <x:v>N/A</x:v>
      </x:c>
      <x:c r="AE235" t="str">
        <x:v>N/A</x:v>
      </x:c>
    </x:row>
    <x:row r="236">
      <x:c r="A236" t="str">
        <x:v>51</x:v>
      </x:c>
      <x:c r="B236" t="str">
        <x:v>26739</x:v>
      </x:c>
      <x:c r="C236" t="str">
        <x:v>18</x:v>
      </x:c>
      <x:c r="D236" t="str">
        <x:v>2010700704</x:v>
      </x:c>
      <x:c r="E236" t="str">
        <x:v>M ULTRA PET BCO CAR 667X90X30 42X10 R2L</x:v>
      </x:c>
      <x:c r="F236" t="str"/>
      <x:c r="G236" t="str"/>
      <x:c r="H236" t="str"/>
      <x:c r="I236" t="str">
        <x:v>ESMALTE</x:v>
      </x:c>
      <x:c r="J236" t="str">
        <x:v>BRANCO CARRARA</x:v>
      </x:c>
      <x:c r="K236" t="str">
        <x:v>0</x:v>
      </x:c>
      <x:c r="L236" t="str">
        <x:v>5</x:v>
      </x:c>
      <x:c r="M236" t="str">
        <x:v>0,009</x:v>
      </x:c>
      <x:c r="N236" t="str"/>
      <x:c r="O236" t="str"/>
      <x:c r="P236" t="str">
        <x:v>Liberada Para Producao</x:v>
      </x:c>
      <x:c r="Q236" t="str">
        <x:v>609708</x:v>
      </x:c>
      <x:c r="R236" t="str">
        <x:v>0</x:v>
      </x:c>
      <x:c r="S236" t="str">
        <x:v>1501</x:v>
      </x:c>
      <x:c r="T236" t="str">
        <x:v>TRAV. BAT. 680 PET/PVC(SEMI)</x:v>
      </x:c>
      <x:c r="U236" t="str"/>
      <x:c r="V236" t="str"/>
      <x:c r="W236" t="str">
        <x:v>N/A</x:v>
      </x:c>
      <x:c r="X236" t="str">
        <x:v>N/A</x:v>
      </x:c>
      <x:c r="Y236" t="str">
        <x:v>N/A</x:v>
      </x:c>
      <x:c r="Z236" t="str">
        <x:v>0</x:v>
      </x:c>
      <x:c r="AA236" t="str">
        <x:v>0</x:v>
      </x:c>
      <x:c r="AB236" t="str">
        <x:v>N/A</x:v>
      </x:c>
      <x:c r="AC236" t="str">
        <x:v>N/A</x:v>
      </x:c>
      <x:c r="AD236" t="str">
        <x:v>N/A</x:v>
      </x:c>
      <x:c r="AE236" t="str">
        <x:v>N/A</x:v>
      </x:c>
    </x:row>
    <x:row r="237">
      <x:c r="A237" t="str">
        <x:v>51</x:v>
      </x:c>
      <x:c r="B237" t="str">
        <x:v>26739</x:v>
      </x:c>
      <x:c r="C237" t="str">
        <x:v>19</x:v>
      </x:c>
      <x:c r="D237" t="str">
        <x:v>919640</x:v>
      </x:c>
      <x:c r="E237" t="str">
        <x:v>TR AL 1100X50X9 RTO LME REC PET BCO (ULT</x:v>
      </x:c>
      <x:c r="F237" t="str"/>
      <x:c r="G237" t="str"/>
      <x:c r="H237" t="str"/>
      <x:c r="I237" t="str">
        <x:v>ESMALTE</x:v>
      </x:c>
      <x:c r="J237" t="str">
        <x:v>BRANCO CARRARA</x:v>
      </x:c>
      <x:c r="K237" t="str">
        <x:v>0</x:v>
      </x:c>
      <x:c r="L237" t="str">
        <x:v>27</x:v>
      </x:c>
      <x:c r="M237" t="str">
        <x:v>0</x:v>
      </x:c>
      <x:c r="N237" t="str"/>
      <x:c r="O237" t="str"/>
      <x:c r="P237" t="str">
        <x:v>Liberada Para Producao</x:v>
      </x:c>
      <x:c r="Q237" t="str">
        <x:v>609710</x:v>
      </x:c>
      <x:c r="R237" t="str">
        <x:v>0</x:v>
      </x:c>
      <x:c r="S237" t="str"/>
      <x:c r="T237" t="str"/>
      <x:c r="U237" t="str"/>
      <x:c r="V237" t="str"/>
      <x:c r="W237" t="str">
        <x:v>N/A</x:v>
      </x:c>
      <x:c r="X237" t="str">
        <x:v>0</x:v>
      </x:c>
      <x:c r="Y237" t="str">
        <x:v>0</x:v>
      </x:c>
      <x:c r="Z237" t="str">
        <x:v>0</x:v>
      </x:c>
      <x:c r="AA237" t="str">
        <x:v>0</x:v>
      </x:c>
      <x:c r="AB237" t="str">
        <x:v>N/A</x:v>
      </x:c>
      <x:c r="AC237" t="str">
        <x:v>N/A</x:v>
      </x:c>
      <x:c r="AD237" t="str">
        <x:v>N/A</x:v>
      </x:c>
      <x:c r="AE237" t="str">
        <x:v>N/A</x:v>
      </x:c>
    </x:row>
    <x:row r="238">
      <x:c r="A238" t="str">
        <x:v>51</x:v>
      </x:c>
      <x:c r="B238" t="str">
        <x:v>26739</x:v>
      </x:c>
      <x:c r="C238" t="str">
        <x:v>19</x:v>
      </x:c>
      <x:c r="D238" t="str">
        <x:v>959077</x:v>
      </x:c>
      <x:c r="E238" t="str">
        <x:v>2110x110x30 42x10 R2 RT BIA PET BC U(UL)</x:v>
      </x:c>
      <x:c r="F238" t="str"/>
      <x:c r="G238" t="str"/>
      <x:c r="H238" t="str"/>
      <x:c r="I238" t="str">
        <x:v>ESMALTE</x:v>
      </x:c>
      <x:c r="J238" t="str">
        <x:v>BRANCO CARRARA</x:v>
      </x:c>
      <x:c r="K238" t="str">
        <x:v>0</x:v>
      </x:c>
      <x:c r="L238" t="str">
        <x:v>54</x:v>
      </x:c>
      <x:c r="M238" t="str">
        <x:v>0</x:v>
      </x:c>
      <x:c r="N238" t="str"/>
      <x:c r="O238" t="str"/>
      <x:c r="P238" t="str">
        <x:v>Liberada Para Producao</x:v>
      </x:c>
      <x:c r="Q238" t="str">
        <x:v>609711</x:v>
      </x:c>
      <x:c r="R238" t="str">
        <x:v>0</x:v>
      </x:c>
      <x:c r="S238" t="str"/>
      <x:c r="T238" t="str"/>
      <x:c r="U238" t="str"/>
      <x:c r="V238" t="str"/>
      <x:c r="W238" t="str">
        <x:v>N/A</x:v>
      </x:c>
      <x:c r="X238" t="str">
        <x:v>N/A</x:v>
      </x:c>
      <x:c r="Y238" t="str">
        <x:v>N/A</x:v>
      </x:c>
      <x:c r="Z238" t="str">
        <x:v>0</x:v>
      </x:c>
      <x:c r="AA238" t="str">
        <x:v>0</x:v>
      </x:c>
      <x:c r="AB238" t="str">
        <x:v>N/A</x:v>
      </x:c>
      <x:c r="AC238" t="str">
        <x:v>N/A</x:v>
      </x:c>
      <x:c r="AD238" t="str">
        <x:v>N/A</x:v>
      </x:c>
      <x:c r="AE238" t="str">
        <x:v>N/A</x:v>
      </x:c>
    </x:row>
    <x:row r="239">
      <x:c r="A239" t="str">
        <x:v>51</x:v>
      </x:c>
      <x:c r="B239" t="str">
        <x:v>26739</x:v>
      </x:c>
      <x:c r="C239" t="str">
        <x:v>19</x:v>
      </x:c>
      <x:c r="D239" t="str">
        <x:v>963311</x:v>
      </x:c>
      <x:c r="E239" t="str">
        <x:v>PE AL 2250X50X9 RTO LME REC PET BCO(ULTR</x:v>
      </x:c>
      <x:c r="F239" t="str"/>
      <x:c r="G239" t="str"/>
      <x:c r="H239" t="str"/>
      <x:c r="I239" t="str">
        <x:v>ESMALTE</x:v>
      </x:c>
      <x:c r="J239" t="str">
        <x:v>BRANCO CARRARA</x:v>
      </x:c>
      <x:c r="K239" t="str">
        <x:v>0</x:v>
      </x:c>
      <x:c r="L239" t="str">
        <x:v>54</x:v>
      </x:c>
      <x:c r="M239" t="str">
        <x:v>0</x:v>
      </x:c>
      <x:c r="N239" t="str"/>
      <x:c r="O239" t="str"/>
      <x:c r="P239" t="str">
        <x:v>Liberada Para Producao</x:v>
      </x:c>
      <x:c r="Q239" t="str">
        <x:v>609712</x:v>
      </x:c>
      <x:c r="R239" t="str">
        <x:v>0</x:v>
      </x:c>
      <x:c r="S239" t="str"/>
      <x:c r="T239" t="str"/>
      <x:c r="U239" t="str"/>
      <x:c r="V239" t="str"/>
      <x:c r="W239" t="str">
        <x:v>N/A</x:v>
      </x:c>
      <x:c r="X239" t="str">
        <x:v>0</x:v>
      </x:c>
      <x:c r="Y239" t="str">
        <x:v>0</x:v>
      </x:c>
      <x:c r="Z239" t="str">
        <x:v>0</x:v>
      </x:c>
      <x:c r="AA239" t="str">
        <x:v>N/A</x:v>
      </x:c>
      <x:c r="AB239" t="str">
        <x:v>N/A</x:v>
      </x:c>
      <x:c r="AC239" t="str">
        <x:v>N/A</x:v>
      </x:c>
      <x:c r="AD239" t="str">
        <x:v>N/A</x:v>
      </x:c>
      <x:c r="AE239" t="str">
        <x:v>N/A</x:v>
      </x:c>
    </x:row>
    <x:row r="240">
      <x:c r="A240" t="str">
        <x:v>51</x:v>
      </x:c>
      <x:c r="B240" t="str">
        <x:v>26739</x:v>
      </x:c>
      <x:c r="C240" t="str">
        <x:v>19</x:v>
      </x:c>
      <x:c r="D240" t="str">
        <x:v>966149</x:v>
      </x:c>
      <x:c r="E240" t="str">
        <x:v>TR AL 1100X50X9 RTO RL80 REC PET BCO (UL</x:v>
      </x:c>
      <x:c r="F240" t="str"/>
      <x:c r="G240" t="str"/>
      <x:c r="H240" t="str"/>
      <x:c r="I240" t="str">
        <x:v>ESMALTE</x:v>
      </x:c>
      <x:c r="J240" t="str">
        <x:v>BRANCO CARRARA</x:v>
      </x:c>
      <x:c r="K240" t="str">
        <x:v>0</x:v>
      </x:c>
      <x:c r="L240" t="str">
        <x:v>27</x:v>
      </x:c>
      <x:c r="M240" t="str">
        <x:v>0</x:v>
      </x:c>
      <x:c r="N240" t="str"/>
      <x:c r="O240" t="str"/>
      <x:c r="P240" t="str">
        <x:v>Liberada Para Producao</x:v>
      </x:c>
      <x:c r="Q240" t="str">
        <x:v>609713</x:v>
      </x:c>
      <x:c r="R240" t="str">
        <x:v>0</x:v>
      </x:c>
      <x:c r="S240" t="str"/>
      <x:c r="T240" t="str"/>
      <x:c r="U240" t="str"/>
      <x:c r="V240" t="str"/>
      <x:c r="W240" t="str">
        <x:v>N/A</x:v>
      </x:c>
      <x:c r="X240" t="str">
        <x:v>0</x:v>
      </x:c>
      <x:c r="Y240" t="str">
        <x:v>0</x:v>
      </x:c>
      <x:c r="Z240" t="str">
        <x:v>0</x:v>
      </x:c>
      <x:c r="AA240" t="str">
        <x:v>0</x:v>
      </x:c>
      <x:c r="AB240" t="str">
        <x:v>N/A</x:v>
      </x:c>
      <x:c r="AC240" t="str">
        <x:v>N/A</x:v>
      </x:c>
      <x:c r="AD240" t="str">
        <x:v>N/A</x:v>
      </x:c>
      <x:c r="AE240" t="str">
        <x:v>N/A</x:v>
      </x:c>
    </x:row>
    <x:row r="241">
      <x:c r="A241" t="str">
        <x:v>51</x:v>
      </x:c>
      <x:c r="B241" t="str">
        <x:v>26739</x:v>
      </x:c>
      <x:c r="C241" t="str">
        <x:v>19</x:v>
      </x:c>
      <x:c r="D241" t="str">
        <x:v>971601</x:v>
      </x:c>
      <x:c r="E241" t="str">
        <x:v>PE AL 2250X50X9 RTO RL80 REC PET BCO(ULT</x:v>
      </x:c>
      <x:c r="F241" t="str"/>
      <x:c r="G241" t="str"/>
      <x:c r="H241" t="str"/>
      <x:c r="I241" t="str">
        <x:v>ESMALTE</x:v>
      </x:c>
      <x:c r="J241" t="str">
        <x:v>BRANCO CARRARA</x:v>
      </x:c>
      <x:c r="K241" t="str">
        <x:v>0</x:v>
      </x:c>
      <x:c r="L241" t="str">
        <x:v>54</x:v>
      </x:c>
      <x:c r="M241" t="str">
        <x:v>0</x:v>
      </x:c>
      <x:c r="N241" t="str"/>
      <x:c r="O241" t="str"/>
      <x:c r="P241" t="str">
        <x:v>Liberada Para Producao</x:v>
      </x:c>
      <x:c r="Q241" t="str">
        <x:v>609714</x:v>
      </x:c>
      <x:c r="R241" t="str">
        <x:v>0</x:v>
      </x:c>
      <x:c r="S241" t="str"/>
      <x:c r="T241" t="str"/>
      <x:c r="U241" t="str"/>
      <x:c r="V241" t="str"/>
      <x:c r="W241" t="str">
        <x:v>N/A</x:v>
      </x:c>
      <x:c r="X241" t="str">
        <x:v>0</x:v>
      </x:c>
      <x:c r="Y241" t="str">
        <x:v>0</x:v>
      </x:c>
      <x:c r="Z241" t="str">
        <x:v>0</x:v>
      </x:c>
      <x:c r="AA241" t="str">
        <x:v>N/A</x:v>
      </x:c>
      <x:c r="AB241" t="str">
        <x:v>N/A</x:v>
      </x:c>
      <x:c r="AC241" t="str">
        <x:v>N/A</x:v>
      </x:c>
      <x:c r="AD241" t="str">
        <x:v>N/A</x:v>
      </x:c>
      <x:c r="AE241" t="str">
        <x:v>N/A</x:v>
      </x:c>
    </x:row>
    <x:row r="242">
      <x:c r="A242" t="str">
        <x:v>51</x:v>
      </x:c>
      <x:c r="B242" t="str">
        <x:v>26739</x:v>
      </x:c>
      <x:c r="C242" t="str">
        <x:v>19</x:v>
      </x:c>
      <x:c r="D242" t="str">
        <x:v>974316</x:v>
      </x:c>
      <x:c r="E242" t="str">
        <x:v>667x110x30 42x10 R2L RT BIA PET BC (UL)</x:v>
      </x:c>
      <x:c r="F242" t="str"/>
      <x:c r="G242" t="str"/>
      <x:c r="H242" t="str"/>
      <x:c r="I242" t="str">
        <x:v>ESMALTE</x:v>
      </x:c>
      <x:c r="J242" t="str">
        <x:v>BRANCO CARRARA</x:v>
      </x:c>
      <x:c r="K242" t="str">
        <x:v>0</x:v>
      </x:c>
      <x:c r="L242" t="str">
        <x:v>27</x:v>
      </x:c>
      <x:c r="M242" t="str">
        <x:v>0,059</x:v>
      </x:c>
      <x:c r="N242" t="str"/>
      <x:c r="O242" t="str"/>
      <x:c r="P242" t="str">
        <x:v>Liberada Para Producao</x:v>
      </x:c>
      <x:c r="Q242" t="str">
        <x:v>609715</x:v>
      </x:c>
      <x:c r="R242" t="str">
        <x:v>0</x:v>
      </x:c>
      <x:c r="S242" t="str"/>
      <x:c r="T242" t="str"/>
      <x:c r="U242" t="str"/>
      <x:c r="V242" t="str"/>
      <x:c r="W242" t="str">
        <x:v>N/A</x:v>
      </x:c>
      <x:c r="X242" t="str">
        <x:v>N/A</x:v>
      </x:c>
      <x:c r="Y242" t="str">
        <x:v>N/A</x:v>
      </x:c>
      <x:c r="Z242" t="str">
        <x:v>0</x:v>
      </x:c>
      <x:c r="AA242" t="str">
        <x:v>0</x:v>
      </x:c>
      <x:c r="AB242" t="str">
        <x:v>N/A</x:v>
      </x:c>
      <x:c r="AC242" t="str">
        <x:v>N/A</x:v>
      </x:c>
      <x:c r="AD242" t="str">
        <x:v>N/A</x:v>
      </x:c>
      <x:c r="AE242" t="str">
        <x:v>N/A</x:v>
      </x:c>
    </x:row>
    <x:row r="243">
      <x:c r="A243" t="str">
        <x:v>51</x:v>
      </x:c>
      <x:c r="B243" t="str">
        <x:v>26739</x:v>
      </x:c>
      <x:c r="C243" t="str">
        <x:v>19</x:v>
      </x:c>
      <x:c r="D243" t="str">
        <x:v>421010005</x:v>
      </x:c>
      <x:c r="E243" t="str">
        <x:v>FO POR COL HDF 3 RU 2100X620X35 ESM BCO</x:v>
      </x:c>
      <x:c r="F243" t="str"/>
      <x:c r="G243" t="str"/>
      <x:c r="H243" t="str"/>
      <x:c r="I243" t="str">
        <x:v>ESMALTE</x:v>
      </x:c>
      <x:c r="J243" t="str">
        <x:v>BRANCO CARRARA</x:v>
      </x:c>
      <x:c r="K243" t="str">
        <x:v>0</x:v>
      </x:c>
      <x:c r="L243" t="str">
        <x:v>27</x:v>
      </x:c>
      <x:c r="M243" t="str">
        <x:v>1,23</x:v>
      </x:c>
      <x:c r="N243" t="str"/>
      <x:c r="O243" t="str"/>
      <x:c r="P243" t="str">
        <x:v>Liberada Para Producao</x:v>
      </x:c>
      <x:c r="Q243" t="str">
        <x:v>609716</x:v>
      </x:c>
      <x:c r="R243" t="str">
        <x:v>33,33</x:v>
      </x:c>
      <x:c r="S243" t="str">
        <x:v>1</x:v>
      </x:c>
      <x:c r="T243" t="str">
        <x:v>PORTA LINHA PREMIUM</x:v>
      </x:c>
      <x:c r="U243" t="str"/>
      <x:c r="V243" t="str"/>
      <x:c r="W243" t="str">
        <x:v>N/A</x:v>
      </x:c>
      <x:c r="X243" t="str">
        <x:v>100</x:v>
      </x:c>
      <x:c r="Y243" t="str">
        <x:v>N/A</x:v>
      </x:c>
      <x:c r="Z243" t="str">
        <x:v>N/A</x:v>
      </x:c>
      <x:c r="AA243" t="str">
        <x:v>N/A</x:v>
      </x:c>
      <x:c r="AB243" t="str">
        <x:v>0</x:v>
      </x:c>
      <x:c r="AC243" t="str">
        <x:v>N/A</x:v>
      </x:c>
      <x:c r="AD243" t="str">
        <x:v>0</x:v>
      </x:c>
      <x:c r="AE243" t="str">
        <x:v>N/A</x:v>
      </x:c>
    </x:row>
    <x:row r="244">
      <x:c r="A244" t="str">
        <x:v>51</x:v>
      </x:c>
      <x:c r="B244" t="str">
        <x:v>26739</x:v>
      </x:c>
      <x:c r="C244" t="str">
        <x:v>20</x:v>
      </x:c>
      <x:c r="D244" t="str">
        <x:v>919640</x:v>
      </x:c>
      <x:c r="E244" t="str">
        <x:v>TR AL 1100X50X9 RTO LME REC PET BCO (ULT</x:v>
      </x:c>
      <x:c r="F244" t="str"/>
      <x:c r="G244" t="str"/>
      <x:c r="H244" t="str"/>
      <x:c r="I244" t="str">
        <x:v>ESMALTE</x:v>
      </x:c>
      <x:c r="J244" t="str">
        <x:v>BRANCO CARRARA</x:v>
      </x:c>
      <x:c r="K244" t="str">
        <x:v>0</x:v>
      </x:c>
      <x:c r="L244" t="str">
        <x:v>3</x:v>
      </x:c>
      <x:c r="M244" t="str">
        <x:v>0</x:v>
      </x:c>
      <x:c r="N244" t="str"/>
      <x:c r="O244" t="str"/>
      <x:c r="P244" t="str">
        <x:v>Liberada Para Producao</x:v>
      </x:c>
      <x:c r="Q244" t="str">
        <x:v>609718</x:v>
      </x:c>
      <x:c r="R244" t="str">
        <x:v>0</x:v>
      </x:c>
      <x:c r="S244" t="str"/>
      <x:c r="T244" t="str"/>
      <x:c r="U244" t="str"/>
      <x:c r="V244" t="str"/>
      <x:c r="W244" t="str">
        <x:v>N/A</x:v>
      </x:c>
      <x:c r="X244" t="str">
        <x:v>0</x:v>
      </x:c>
      <x:c r="Y244" t="str">
        <x:v>0</x:v>
      </x:c>
      <x:c r="Z244" t="str">
        <x:v>0</x:v>
      </x:c>
      <x:c r="AA244" t="str">
        <x:v>0</x:v>
      </x:c>
      <x:c r="AB244" t="str">
        <x:v>N/A</x:v>
      </x:c>
      <x:c r="AC244" t="str">
        <x:v>N/A</x:v>
      </x:c>
      <x:c r="AD244" t="str">
        <x:v>N/A</x:v>
      </x:c>
      <x:c r="AE244" t="str">
        <x:v>N/A</x:v>
      </x:c>
    </x:row>
    <x:row r="245">
      <x:c r="A245" t="str">
        <x:v>51</x:v>
      </x:c>
      <x:c r="B245" t="str">
        <x:v>26684</x:v>
      </x:c>
      <x:c r="C245" t="str">
        <x:v>9</x:v>
      </x:c>
      <x:c r="D245" t="str">
        <x:v>966547</x:v>
      </x:c>
      <x:c r="E245" t="str">
        <x:v>2110x130x30 42x10R2L R1BIA PET STD PRM U</x:v>
      </x:c>
      <x:c r="F245" t="str"/>
      <x:c r="G245" t="str"/>
      <x:c r="H245" t="str"/>
      <x:c r="I245" t="str">
        <x:v>ESMALTE</x:v>
      </x:c>
      <x:c r="J245" t="str">
        <x:v>BRANCO CARRARA</x:v>
      </x:c>
      <x:c r="K245" t="str">
        <x:v>0</x:v>
      </x:c>
      <x:c r="L245" t="str">
        <x:v>114</x:v>
      </x:c>
      <x:c r="M245" t="str">
        <x:v>0</x:v>
      </x:c>
      <x:c r="N245" t="str">
        <x:v>4500262368</x:v>
      </x:c>
      <x:c r="O245" t="str"/>
      <x:c r="P245" t="str">
        <x:v>Liberada Para Producao</x:v>
      </x:c>
      <x:c r="Q245" t="str">
        <x:v>609175</x:v>
      </x:c>
      <x:c r="R245" t="str">
        <x:v>0</x:v>
      </x:c>
      <x:c r="S245" t="str"/>
      <x:c r="T245" t="str"/>
      <x:c r="U245" t="str"/>
      <x:c r="V245" t="str"/>
      <x:c r="W245" t="str">
        <x:v>N/A</x:v>
      </x:c>
      <x:c r="X245" t="str">
        <x:v>N/A</x:v>
      </x:c>
      <x:c r="Y245" t="str">
        <x:v>N/A</x:v>
      </x:c>
      <x:c r="Z245" t="str">
        <x:v>0</x:v>
      </x:c>
      <x:c r="AA245" t="str">
        <x:v>0</x:v>
      </x:c>
      <x:c r="AB245" t="str">
        <x:v>N/A</x:v>
      </x:c>
      <x:c r="AC245" t="str">
        <x:v>N/A</x:v>
      </x:c>
      <x:c r="AD245" t="str">
        <x:v>N/A</x:v>
      </x:c>
      <x:c r="AE245" t="str">
        <x:v>N/A</x:v>
      </x:c>
    </x:row>
    <x:row r="246">
      <x:c r="A246" t="str">
        <x:v>51</x:v>
      </x:c>
      <x:c r="B246" t="str">
        <x:v>26739</x:v>
      </x:c>
      <x:c r="C246" t="str">
        <x:v>20</x:v>
      </x:c>
      <x:c r="D246" t="str">
        <x:v>963311</x:v>
      </x:c>
      <x:c r="E246" t="str">
        <x:v>PE AL 2250X50X9 RTO LME REC PET BCO(ULTR</x:v>
      </x:c>
      <x:c r="F246" t="str"/>
      <x:c r="G246" t="str"/>
      <x:c r="H246" t="str"/>
      <x:c r="I246" t="str">
        <x:v>ESMALTE</x:v>
      </x:c>
      <x:c r="J246" t="str">
        <x:v>BRANCO CARRARA</x:v>
      </x:c>
      <x:c r="K246" t="str">
        <x:v>0</x:v>
      </x:c>
      <x:c r="L246" t="str">
        <x:v>6</x:v>
      </x:c>
      <x:c r="M246" t="str">
        <x:v>0</x:v>
      </x:c>
      <x:c r="N246" t="str"/>
      <x:c r="O246" t="str"/>
      <x:c r="P246" t="str">
        <x:v>Liberada Para Producao</x:v>
      </x:c>
      <x:c r="Q246" t="str">
        <x:v>609720</x:v>
      </x:c>
      <x:c r="R246" t="str">
        <x:v>0</x:v>
      </x:c>
      <x:c r="S246" t="str"/>
      <x:c r="T246" t="str"/>
      <x:c r="U246" t="str"/>
      <x:c r="V246" t="str"/>
      <x:c r="W246" t="str">
        <x:v>N/A</x:v>
      </x:c>
      <x:c r="X246" t="str">
        <x:v>0</x:v>
      </x:c>
      <x:c r="Y246" t="str">
        <x:v>0</x:v>
      </x:c>
      <x:c r="Z246" t="str">
        <x:v>0</x:v>
      </x:c>
      <x:c r="AA246" t="str">
        <x:v>N/A</x:v>
      </x:c>
      <x:c r="AB246" t="str">
        <x:v>N/A</x:v>
      </x:c>
      <x:c r="AC246" t="str">
        <x:v>N/A</x:v>
      </x:c>
      <x:c r="AD246" t="str">
        <x:v>N/A</x:v>
      </x:c>
      <x:c r="AE246" t="str">
        <x:v>N/A</x:v>
      </x:c>
    </x:row>
    <x:row r="247">
      <x:c r="A247" t="str">
        <x:v>51</x:v>
      </x:c>
      <x:c r="B247" t="str">
        <x:v>26739</x:v>
      </x:c>
      <x:c r="C247" t="str">
        <x:v>20</x:v>
      </x:c>
      <x:c r="D247" t="str">
        <x:v>966149</x:v>
      </x:c>
      <x:c r="E247" t="str">
        <x:v>TR AL 1100X50X9 RTO RL80 REC PET BCO (UL</x:v>
      </x:c>
      <x:c r="F247" t="str"/>
      <x:c r="G247" t="str"/>
      <x:c r="H247" t="str"/>
      <x:c r="I247" t="str">
        <x:v>ESMALTE</x:v>
      </x:c>
      <x:c r="J247" t="str">
        <x:v>BRANCO CARRARA</x:v>
      </x:c>
      <x:c r="K247" t="str">
        <x:v>0</x:v>
      </x:c>
      <x:c r="L247" t="str">
        <x:v>3</x:v>
      </x:c>
      <x:c r="M247" t="str">
        <x:v>0</x:v>
      </x:c>
      <x:c r="N247" t="str"/>
      <x:c r="O247" t="str"/>
      <x:c r="P247" t="str">
        <x:v>Liberada Para Producao</x:v>
      </x:c>
      <x:c r="Q247" t="str">
        <x:v>609721</x:v>
      </x:c>
      <x:c r="R247" t="str">
        <x:v>0</x:v>
      </x:c>
      <x:c r="S247" t="str"/>
      <x:c r="T247" t="str"/>
      <x:c r="U247" t="str"/>
      <x:c r="V247" t="str"/>
      <x:c r="W247" t="str">
        <x:v>N/A</x:v>
      </x:c>
      <x:c r="X247" t="str">
        <x:v>0</x:v>
      </x:c>
      <x:c r="Y247" t="str">
        <x:v>0</x:v>
      </x:c>
      <x:c r="Z247" t="str">
        <x:v>0</x:v>
      </x:c>
      <x:c r="AA247" t="str">
        <x:v>0</x:v>
      </x:c>
      <x:c r="AB247" t="str">
        <x:v>N/A</x:v>
      </x:c>
      <x:c r="AC247" t="str">
        <x:v>N/A</x:v>
      </x:c>
      <x:c r="AD247" t="str">
        <x:v>N/A</x:v>
      </x:c>
      <x:c r="AE247" t="str">
        <x:v>N/A</x:v>
      </x:c>
    </x:row>
    <x:row r="248">
      <x:c r="A248" t="str">
        <x:v>51</x:v>
      </x:c>
      <x:c r="B248" t="str">
        <x:v>26689</x:v>
      </x:c>
      <x:c r="C248" t="str">
        <x:v>3</x:v>
      </x:c>
      <x:c r="D248" t="str">
        <x:v>966547</x:v>
      </x:c>
      <x:c r="E248" t="str">
        <x:v>2110x130x30 42x10R2L R1BIA PET STD PRM U</x:v>
      </x:c>
      <x:c r="F248" t="str"/>
      <x:c r="G248" t="str"/>
      <x:c r="H248" t="str"/>
      <x:c r="I248" t="str">
        <x:v>ESMALTE</x:v>
      </x:c>
      <x:c r="J248" t="str">
        <x:v>BRANCO CARRARA</x:v>
      </x:c>
      <x:c r="K248" t="str">
        <x:v>0</x:v>
      </x:c>
      <x:c r="L248" t="str">
        <x:v>122</x:v>
      </x:c>
      <x:c r="M248" t="str">
        <x:v>0</x:v>
      </x:c>
      <x:c r="N248" t="str">
        <x:v>4500262368</x:v>
      </x:c>
      <x:c r="O248" t="str"/>
      <x:c r="P248" t="str">
        <x:v>Liberada Para Producao</x:v>
      </x:c>
      <x:c r="Q248" t="str">
        <x:v>609094</x:v>
      </x:c>
      <x:c r="R248" t="str">
        <x:v>0</x:v>
      </x:c>
      <x:c r="S248" t="str"/>
      <x:c r="T248" t="str"/>
      <x:c r="U248" t="str"/>
      <x:c r="V248" t="str"/>
      <x:c r="W248" t="str">
        <x:v>N/A</x:v>
      </x:c>
      <x:c r="X248" t="str">
        <x:v>N/A</x:v>
      </x:c>
      <x:c r="Y248" t="str">
        <x:v>N/A</x:v>
      </x:c>
      <x:c r="Z248" t="str">
        <x:v>0</x:v>
      </x:c>
      <x:c r="AA248" t="str">
        <x:v>0</x:v>
      </x:c>
      <x:c r="AB248" t="str">
        <x:v>N/A</x:v>
      </x:c>
      <x:c r="AC248" t="str">
        <x:v>N/A</x:v>
      </x:c>
      <x:c r="AD248" t="str">
        <x:v>N/A</x:v>
      </x:c>
      <x:c r="AE248" t="str">
        <x:v>N/A</x:v>
      </x:c>
    </x:row>
    <x:row r="249">
      <x:c r="A249" t="str">
        <x:v>51</x:v>
      </x:c>
      <x:c r="B249" t="str">
        <x:v>26739</x:v>
      </x:c>
      <x:c r="C249" t="str">
        <x:v>20</x:v>
      </x:c>
      <x:c r="D249" t="str">
        <x:v>971601</x:v>
      </x:c>
      <x:c r="E249" t="str">
        <x:v>PE AL 2250X50X9 RTO RL80 REC PET BCO(ULT</x:v>
      </x:c>
      <x:c r="F249" t="str"/>
      <x:c r="G249" t="str"/>
      <x:c r="H249" t="str"/>
      <x:c r="I249" t="str">
        <x:v>ESMALTE</x:v>
      </x:c>
      <x:c r="J249" t="str">
        <x:v>BRANCO CARRARA</x:v>
      </x:c>
      <x:c r="K249" t="str">
        <x:v>0</x:v>
      </x:c>
      <x:c r="L249" t="str">
        <x:v>6</x:v>
      </x:c>
      <x:c r="M249" t="str">
        <x:v>0</x:v>
      </x:c>
      <x:c r="N249" t="str"/>
      <x:c r="O249" t="str"/>
      <x:c r="P249" t="str">
        <x:v>Liberada Para Producao</x:v>
      </x:c>
      <x:c r="Q249" t="str">
        <x:v>609723</x:v>
      </x:c>
      <x:c r="R249" t="str">
        <x:v>0</x:v>
      </x:c>
      <x:c r="S249" t="str"/>
      <x:c r="T249" t="str"/>
      <x:c r="U249" t="str"/>
      <x:c r="V249" t="str"/>
      <x:c r="W249" t="str">
        <x:v>N/A</x:v>
      </x:c>
      <x:c r="X249" t="str">
        <x:v>0</x:v>
      </x:c>
      <x:c r="Y249" t="str">
        <x:v>0</x:v>
      </x:c>
      <x:c r="Z249" t="str">
        <x:v>0</x:v>
      </x:c>
      <x:c r="AA249" t="str">
        <x:v>N/A</x:v>
      </x:c>
      <x:c r="AB249" t="str">
        <x:v>N/A</x:v>
      </x:c>
      <x:c r="AC249" t="str">
        <x:v>N/A</x:v>
      </x:c>
      <x:c r="AD249" t="str">
        <x:v>N/A</x:v>
      </x:c>
      <x:c r="AE249" t="str">
        <x:v>N/A</x:v>
      </x:c>
    </x:row>
    <x:row r="250">
      <x:c r="A250" t="str">
        <x:v>51</x:v>
      </x:c>
      <x:c r="B250" t="str">
        <x:v>26739</x:v>
      </x:c>
      <x:c r="C250" t="str">
        <x:v>20</x:v>
      </x:c>
      <x:c r="D250" t="str">
        <x:v>421010005</x:v>
      </x:c>
      <x:c r="E250" t="str">
        <x:v>FO POR COL HDF 3 RU 2100X620X35 ESM BCO</x:v>
      </x:c>
      <x:c r="F250" t="str"/>
      <x:c r="G250" t="str"/>
      <x:c r="H250" t="str"/>
      <x:c r="I250" t="str">
        <x:v>ESMALTE</x:v>
      </x:c>
      <x:c r="J250" t="str">
        <x:v>BRANCO CARRARA</x:v>
      </x:c>
      <x:c r="K250" t="str">
        <x:v>0</x:v>
      </x:c>
      <x:c r="L250" t="str">
        <x:v>3</x:v>
      </x:c>
      <x:c r="M250" t="str">
        <x:v>0,137</x:v>
      </x:c>
      <x:c r="N250" t="str"/>
      <x:c r="O250" t="str"/>
      <x:c r="P250" t="str">
        <x:v>Liberada Para Producao</x:v>
      </x:c>
      <x:c r="Q250" t="str">
        <x:v>609724</x:v>
      </x:c>
      <x:c r="R250" t="str">
        <x:v>33,33</x:v>
      </x:c>
      <x:c r="S250" t="str">
        <x:v>1</x:v>
      </x:c>
      <x:c r="T250" t="str">
        <x:v>PORTA LINHA PREMIUM</x:v>
      </x:c>
      <x:c r="U250" t="str"/>
      <x:c r="V250" t="str"/>
      <x:c r="W250" t="str">
        <x:v>N/A</x:v>
      </x:c>
      <x:c r="X250" t="str">
        <x:v>100</x:v>
      </x:c>
      <x:c r="Y250" t="str">
        <x:v>N/A</x:v>
      </x:c>
      <x:c r="Z250" t="str">
        <x:v>N/A</x:v>
      </x:c>
      <x:c r="AA250" t="str">
        <x:v>N/A</x:v>
      </x:c>
      <x:c r="AB250" t="str">
        <x:v>0</x:v>
      </x:c>
      <x:c r="AC250" t="str">
        <x:v>N/A</x:v>
      </x:c>
      <x:c r="AD250" t="str">
        <x:v>0</x:v>
      </x:c>
      <x:c r="AE250" t="str">
        <x:v>N/A</x:v>
      </x:c>
    </x:row>
    <x:row r="251">
      <x:c r="A251" t="str">
        <x:v>51</x:v>
      </x:c>
      <x:c r="B251" t="str">
        <x:v>26739</x:v>
      </x:c>
      <x:c r="C251" t="str">
        <x:v>21</x:v>
      </x:c>
      <x:c r="D251" t="str">
        <x:v>675612</x:v>
      </x:c>
      <x:c r="E251" t="str">
        <x:v>2110x150x30 42x10 R2 RT BIA PET BC U(UL)</x:v>
      </x:c>
      <x:c r="F251" t="str"/>
      <x:c r="G251" t="str"/>
      <x:c r="H251" t="str"/>
      <x:c r="I251" t="str">
        <x:v>ESMALTE</x:v>
      </x:c>
      <x:c r="J251" t="str">
        <x:v>BRANCO CARRARA</x:v>
      </x:c>
      <x:c r="K251" t="str">
        <x:v>0</x:v>
      </x:c>
      <x:c r="L251" t="str">
        <x:v>20</x:v>
      </x:c>
      <x:c r="M251" t="str">
        <x:v>0</x:v>
      </x:c>
      <x:c r="N251" t="str"/>
      <x:c r="O251" t="str"/>
      <x:c r="P251" t="str">
        <x:v>Liberada Para Producao</x:v>
      </x:c>
      <x:c r="Q251" t="str">
        <x:v>609726</x:v>
      </x:c>
      <x:c r="R251" t="str">
        <x:v>0</x:v>
      </x:c>
      <x:c r="S251" t="str"/>
      <x:c r="T251" t="str"/>
      <x:c r="U251" t="str"/>
      <x:c r="V251" t="str"/>
      <x:c r="W251" t="str">
        <x:v>N/A</x:v>
      </x:c>
      <x:c r="X251" t="str">
        <x:v>N/A</x:v>
      </x:c>
      <x:c r="Y251" t="str">
        <x:v>N/A</x:v>
      </x:c>
      <x:c r="Z251" t="str">
        <x:v>0</x:v>
      </x:c>
      <x:c r="AA251" t="str">
        <x:v>0</x:v>
      </x:c>
      <x:c r="AB251" t="str">
        <x:v>N/A</x:v>
      </x:c>
      <x:c r="AC251" t="str">
        <x:v>N/A</x:v>
      </x:c>
      <x:c r="AD251" t="str">
        <x:v>N/A</x:v>
      </x:c>
      <x:c r="AE251" t="str">
        <x:v>N/A</x:v>
      </x:c>
    </x:row>
    <x:row r="252">
      <x:c r="A252" t="str">
        <x:v>51</x:v>
      </x:c>
      <x:c r="B252" t="str">
        <x:v>26739</x:v>
      </x:c>
      <x:c r="C252" t="str">
        <x:v>21</x:v>
      </x:c>
      <x:c r="D252" t="str">
        <x:v>919640</x:v>
      </x:c>
      <x:c r="E252" t="str">
        <x:v>TR AL 1100X50X9 RTO LME REC PET BCO (ULT</x:v>
      </x:c>
      <x:c r="F252" t="str"/>
      <x:c r="G252" t="str"/>
      <x:c r="H252" t="str"/>
      <x:c r="I252" t="str">
        <x:v>ESMALTE</x:v>
      </x:c>
      <x:c r="J252" t="str">
        <x:v>BRANCO CARRARA</x:v>
      </x:c>
      <x:c r="K252" t="str">
        <x:v>0</x:v>
      </x:c>
      <x:c r="L252" t="str">
        <x:v>10</x:v>
      </x:c>
      <x:c r="M252" t="str">
        <x:v>0</x:v>
      </x:c>
      <x:c r="N252" t="str"/>
      <x:c r="O252" t="str"/>
      <x:c r="P252" t="str">
        <x:v>Liberada Para Producao</x:v>
      </x:c>
      <x:c r="Q252" t="str">
        <x:v>609727</x:v>
      </x:c>
      <x:c r="R252" t="str">
        <x:v>0</x:v>
      </x:c>
      <x:c r="S252" t="str"/>
      <x:c r="T252" t="str"/>
      <x:c r="U252" t="str"/>
      <x:c r="V252" t="str"/>
      <x:c r="W252" t="str">
        <x:v>N/A</x:v>
      </x:c>
      <x:c r="X252" t="str">
        <x:v>0</x:v>
      </x:c>
      <x:c r="Y252" t="str">
        <x:v>0</x:v>
      </x:c>
      <x:c r="Z252" t="str">
        <x:v>0</x:v>
      </x:c>
      <x:c r="AA252" t="str">
        <x:v>0</x:v>
      </x:c>
      <x:c r="AB252" t="str">
        <x:v>N/A</x:v>
      </x:c>
      <x:c r="AC252" t="str">
        <x:v>N/A</x:v>
      </x:c>
      <x:c r="AD252" t="str">
        <x:v>N/A</x:v>
      </x:c>
      <x:c r="AE252" t="str">
        <x:v>N/A</x:v>
      </x:c>
    </x:row>
    <x:row r="253">
      <x:c r="A253" t="str">
        <x:v>51</x:v>
      </x:c>
      <x:c r="B253" t="str">
        <x:v>26739</x:v>
      </x:c>
      <x:c r="C253" t="str">
        <x:v>21</x:v>
      </x:c>
      <x:c r="D253" t="str">
        <x:v>959621</x:v>
      </x:c>
      <x:c r="E253" t="str">
        <x:v>667x150x30 42x10 R2L BIA PET BRC (UL)</x:v>
      </x:c>
      <x:c r="F253" t="str"/>
      <x:c r="G253" t="str"/>
      <x:c r="H253" t="str"/>
      <x:c r="I253" t="str">
        <x:v>ESMALTE</x:v>
      </x:c>
      <x:c r="J253" t="str">
        <x:v>BRANCO CARRARA</x:v>
      </x:c>
      <x:c r="K253" t="str">
        <x:v>0</x:v>
      </x:c>
      <x:c r="L253" t="str">
        <x:v>10</x:v>
      </x:c>
      <x:c r="M253" t="str">
        <x:v>0</x:v>
      </x:c>
      <x:c r="N253" t="str"/>
      <x:c r="O253" t="str"/>
      <x:c r="P253" t="str">
        <x:v>Liberada Para Producao</x:v>
      </x:c>
      <x:c r="Q253" t="str">
        <x:v>609728</x:v>
      </x:c>
      <x:c r="R253" t="str">
        <x:v>0</x:v>
      </x:c>
      <x:c r="S253" t="str"/>
      <x:c r="T253" t="str"/>
      <x:c r="U253" t="str"/>
      <x:c r="V253" t="str"/>
      <x:c r="W253" t="str">
        <x:v>N/A</x:v>
      </x:c>
      <x:c r="X253" t="str">
        <x:v>N/A</x:v>
      </x:c>
      <x:c r="Y253" t="str">
        <x:v>N/A</x:v>
      </x:c>
      <x:c r="Z253" t="str">
        <x:v>0</x:v>
      </x:c>
      <x:c r="AA253" t="str">
        <x:v>0</x:v>
      </x:c>
      <x:c r="AB253" t="str">
        <x:v>N/A</x:v>
      </x:c>
      <x:c r="AC253" t="str">
        <x:v>N/A</x:v>
      </x:c>
      <x:c r="AD253" t="str">
        <x:v>N/A</x:v>
      </x:c>
      <x:c r="AE253" t="str">
        <x:v>N/A</x:v>
      </x:c>
    </x:row>
    <x:row r="254">
      <x:c r="A254" t="str">
        <x:v>51</x:v>
      </x:c>
      <x:c r="B254" t="str">
        <x:v>26739</x:v>
      </x:c>
      <x:c r="C254" t="str">
        <x:v>21</x:v>
      </x:c>
      <x:c r="D254" t="str">
        <x:v>963311</x:v>
      </x:c>
      <x:c r="E254" t="str">
        <x:v>PE AL 2250X50X9 RTO LME REC PET BCO(ULTR</x:v>
      </x:c>
      <x:c r="F254" t="str"/>
      <x:c r="G254" t="str"/>
      <x:c r="H254" t="str"/>
      <x:c r="I254" t="str">
        <x:v>ESMALTE</x:v>
      </x:c>
      <x:c r="J254" t="str">
        <x:v>BRANCO CARRARA</x:v>
      </x:c>
      <x:c r="K254" t="str">
        <x:v>0</x:v>
      </x:c>
      <x:c r="L254" t="str">
        <x:v>20</x:v>
      </x:c>
      <x:c r="M254" t="str">
        <x:v>0</x:v>
      </x:c>
      <x:c r="N254" t="str"/>
      <x:c r="O254" t="str"/>
      <x:c r="P254" t="str">
        <x:v>Liberada Para Producao</x:v>
      </x:c>
      <x:c r="Q254" t="str">
        <x:v>609729</x:v>
      </x:c>
      <x:c r="R254" t="str">
        <x:v>0</x:v>
      </x:c>
      <x:c r="S254" t="str"/>
      <x:c r="T254" t="str"/>
      <x:c r="U254" t="str"/>
      <x:c r="V254" t="str"/>
      <x:c r="W254" t="str">
        <x:v>N/A</x:v>
      </x:c>
      <x:c r="X254" t="str">
        <x:v>0</x:v>
      </x:c>
      <x:c r="Y254" t="str">
        <x:v>0</x:v>
      </x:c>
      <x:c r="Z254" t="str">
        <x:v>0</x:v>
      </x:c>
      <x:c r="AA254" t="str">
        <x:v>N/A</x:v>
      </x:c>
      <x:c r="AB254" t="str">
        <x:v>N/A</x:v>
      </x:c>
      <x:c r="AC254" t="str">
        <x:v>N/A</x:v>
      </x:c>
      <x:c r="AD254" t="str">
        <x:v>N/A</x:v>
      </x:c>
      <x:c r="AE254" t="str">
        <x:v>N/A</x:v>
      </x:c>
    </x:row>
    <x:row r="255">
      <x:c r="A255" t="str">
        <x:v>51</x:v>
      </x:c>
      <x:c r="B255" t="str">
        <x:v>26739</x:v>
      </x:c>
      <x:c r="C255" t="str">
        <x:v>21</x:v>
      </x:c>
      <x:c r="D255" t="str">
        <x:v>966149</x:v>
      </x:c>
      <x:c r="E255" t="str">
        <x:v>TR AL 1100X50X9 RTO RL80 REC PET BCO (UL</x:v>
      </x:c>
      <x:c r="F255" t="str"/>
      <x:c r="G255" t="str"/>
      <x:c r="H255" t="str"/>
      <x:c r="I255" t="str">
        <x:v>ESMALTE</x:v>
      </x:c>
      <x:c r="J255" t="str">
        <x:v>BRANCO CARRARA</x:v>
      </x:c>
      <x:c r="K255" t="str">
        <x:v>0</x:v>
      </x:c>
      <x:c r="L255" t="str">
        <x:v>10</x:v>
      </x:c>
      <x:c r="M255" t="str">
        <x:v>0</x:v>
      </x:c>
      <x:c r="N255" t="str"/>
      <x:c r="O255" t="str"/>
      <x:c r="P255" t="str">
        <x:v>Liberada Para Producao</x:v>
      </x:c>
      <x:c r="Q255" t="str">
        <x:v>609730</x:v>
      </x:c>
      <x:c r="R255" t="str">
        <x:v>0</x:v>
      </x:c>
      <x:c r="S255" t="str"/>
      <x:c r="T255" t="str"/>
      <x:c r="U255" t="str"/>
      <x:c r="V255" t="str"/>
      <x:c r="W255" t="str">
        <x:v>N/A</x:v>
      </x:c>
      <x:c r="X255" t="str">
        <x:v>0</x:v>
      </x:c>
      <x:c r="Y255" t="str">
        <x:v>0</x:v>
      </x:c>
      <x:c r="Z255" t="str">
        <x:v>0</x:v>
      </x:c>
      <x:c r="AA255" t="str">
        <x:v>0</x:v>
      </x:c>
      <x:c r="AB255" t="str">
        <x:v>N/A</x:v>
      </x:c>
      <x:c r="AC255" t="str">
        <x:v>N/A</x:v>
      </x:c>
      <x:c r="AD255" t="str">
        <x:v>N/A</x:v>
      </x:c>
      <x:c r="AE255" t="str">
        <x:v>N/A</x:v>
      </x:c>
    </x:row>
    <x:row r="256">
      <x:c r="A256" t="str">
        <x:v>51</x:v>
      </x:c>
      <x:c r="B256" t="str">
        <x:v>26739</x:v>
      </x:c>
      <x:c r="C256" t="str">
        <x:v>21</x:v>
      </x:c>
      <x:c r="D256" t="str">
        <x:v>971601</x:v>
      </x:c>
      <x:c r="E256" t="str">
        <x:v>PE AL 2250X50X9 RTO RL80 REC PET BCO(ULT</x:v>
      </x:c>
      <x:c r="F256" t="str"/>
      <x:c r="G256" t="str"/>
      <x:c r="H256" t="str"/>
      <x:c r="I256" t="str">
        <x:v>ESMALTE</x:v>
      </x:c>
      <x:c r="J256" t="str">
        <x:v>BRANCO CARRARA</x:v>
      </x:c>
      <x:c r="K256" t="str">
        <x:v>0</x:v>
      </x:c>
      <x:c r="L256" t="str">
        <x:v>20</x:v>
      </x:c>
      <x:c r="M256" t="str">
        <x:v>0</x:v>
      </x:c>
      <x:c r="N256" t="str"/>
      <x:c r="O256" t="str"/>
      <x:c r="P256" t="str">
        <x:v>Liberada Para Producao</x:v>
      </x:c>
      <x:c r="Q256" t="str">
        <x:v>609731</x:v>
      </x:c>
      <x:c r="R256" t="str">
        <x:v>0</x:v>
      </x:c>
      <x:c r="S256" t="str"/>
      <x:c r="T256" t="str"/>
      <x:c r="U256" t="str"/>
      <x:c r="V256" t="str"/>
      <x:c r="W256" t="str">
        <x:v>N/A</x:v>
      </x:c>
      <x:c r="X256" t="str">
        <x:v>0</x:v>
      </x:c>
      <x:c r="Y256" t="str">
        <x:v>0</x:v>
      </x:c>
      <x:c r="Z256" t="str">
        <x:v>0</x:v>
      </x:c>
      <x:c r="AA256" t="str">
        <x:v>N/A</x:v>
      </x:c>
      <x:c r="AB256" t="str">
        <x:v>N/A</x:v>
      </x:c>
      <x:c r="AC256" t="str">
        <x:v>N/A</x:v>
      </x:c>
      <x:c r="AD256" t="str">
        <x:v>N/A</x:v>
      </x:c>
      <x:c r="AE256" t="str">
        <x:v>N/A</x:v>
      </x:c>
    </x:row>
    <x:row r="257">
      <x:c r="A257" t="str">
        <x:v>51</x:v>
      </x:c>
      <x:c r="B257" t="str">
        <x:v>26739</x:v>
      </x:c>
      <x:c r="C257" t="str">
        <x:v>21</x:v>
      </x:c>
      <x:c r="D257" t="str">
        <x:v>421010005</x:v>
      </x:c>
      <x:c r="E257" t="str">
        <x:v>FO POR COL HDF 3 RU 2100X620X35 ESM BCO</x:v>
      </x:c>
      <x:c r="F257" t="str"/>
      <x:c r="G257" t="str"/>
      <x:c r="H257" t="str"/>
      <x:c r="I257" t="str">
        <x:v>ESMALTE</x:v>
      </x:c>
      <x:c r="J257" t="str">
        <x:v>BRANCO CARRARA</x:v>
      </x:c>
      <x:c r="K257" t="str">
        <x:v>0</x:v>
      </x:c>
      <x:c r="L257" t="str">
        <x:v>10</x:v>
      </x:c>
      <x:c r="M257" t="str">
        <x:v>0,456</x:v>
      </x:c>
      <x:c r="N257" t="str"/>
      <x:c r="O257" t="str"/>
      <x:c r="P257" t="str">
        <x:v>Liberada Para Producao</x:v>
      </x:c>
      <x:c r="Q257" t="str">
        <x:v>609732</x:v>
      </x:c>
      <x:c r="R257" t="str">
        <x:v>33,33</x:v>
      </x:c>
      <x:c r="S257" t="str">
        <x:v>1</x:v>
      </x:c>
      <x:c r="T257" t="str">
        <x:v>PORTA LINHA PREMIUM</x:v>
      </x:c>
      <x:c r="U257" t="str"/>
      <x:c r="V257" t="str"/>
      <x:c r="W257" t="str">
        <x:v>N/A</x:v>
      </x:c>
      <x:c r="X257" t="str">
        <x:v>100</x:v>
      </x:c>
      <x:c r="Y257" t="str">
        <x:v>N/A</x:v>
      </x:c>
      <x:c r="Z257" t="str">
        <x:v>N/A</x:v>
      </x:c>
      <x:c r="AA257" t="str">
        <x:v>N/A</x:v>
      </x:c>
      <x:c r="AB257" t="str">
        <x:v>0</x:v>
      </x:c>
      <x:c r="AC257" t="str">
        <x:v>N/A</x:v>
      </x:c>
      <x:c r="AD257" t="str">
        <x:v>0</x:v>
      </x:c>
      <x:c r="AE257" t="str">
        <x:v>N/A</x:v>
      </x:c>
    </x:row>
    <x:row r="258">
      <x:c r="A258" t="str">
        <x:v>51</x:v>
      </x:c>
      <x:c r="B258" t="str">
        <x:v>26739</x:v>
      </x:c>
      <x:c r="C258" t="str">
        <x:v>22</x:v>
      </x:c>
      <x:c r="D258" t="str">
        <x:v>919640</x:v>
      </x:c>
      <x:c r="E258" t="str">
        <x:v>TR AL 1100X50X9 RTO LME REC PET BCO (ULT</x:v>
      </x:c>
      <x:c r="F258" t="str"/>
      <x:c r="G258" t="str"/>
      <x:c r="H258" t="str"/>
      <x:c r="I258" t="str">
        <x:v>ESMALTE</x:v>
      </x:c>
      <x:c r="J258" t="str">
        <x:v>BRANCO CARRARA</x:v>
      </x:c>
      <x:c r="K258" t="str">
        <x:v>0</x:v>
      </x:c>
      <x:c r="L258" t="str">
        <x:v>1</x:v>
      </x:c>
      <x:c r="M258" t="str">
        <x:v>0</x:v>
      </x:c>
      <x:c r="N258" t="str"/>
      <x:c r="O258" t="str"/>
      <x:c r="P258" t="str">
        <x:v>Liberada Para Producao</x:v>
      </x:c>
      <x:c r="Q258" t="str">
        <x:v>609734</x:v>
      </x:c>
      <x:c r="R258" t="str">
        <x:v>0</x:v>
      </x:c>
      <x:c r="S258" t="str"/>
      <x:c r="T258" t="str"/>
      <x:c r="U258" t="str"/>
      <x:c r="V258" t="str"/>
      <x:c r="W258" t="str">
        <x:v>N/A</x:v>
      </x:c>
      <x:c r="X258" t="str">
        <x:v>0</x:v>
      </x:c>
      <x:c r="Y258" t="str">
        <x:v>0</x:v>
      </x:c>
      <x:c r="Z258" t="str">
        <x:v>0</x:v>
      </x:c>
      <x:c r="AA258" t="str">
        <x:v>0</x:v>
      </x:c>
      <x:c r="AB258" t="str">
        <x:v>N/A</x:v>
      </x:c>
      <x:c r="AC258" t="str">
        <x:v>N/A</x:v>
      </x:c>
      <x:c r="AD258" t="str">
        <x:v>N/A</x:v>
      </x:c>
      <x:c r="AE258" t="str">
        <x:v>N/A</x:v>
      </x:c>
    </x:row>
    <x:row r="259">
      <x:c r="A259" t="str">
        <x:v>51</x:v>
      </x:c>
      <x:c r="B259" t="str">
        <x:v>26739</x:v>
      </x:c>
      <x:c r="C259" t="str">
        <x:v>22</x:v>
      </x:c>
      <x:c r="D259" t="str">
        <x:v>963311</x:v>
      </x:c>
      <x:c r="E259" t="str">
        <x:v>PE AL 2250X50X9 RTO LME REC PET BCO(ULTR</x:v>
      </x:c>
      <x:c r="F259" t="str"/>
      <x:c r="G259" t="str"/>
      <x:c r="H259" t="str"/>
      <x:c r="I259" t="str">
        <x:v>ESMALTE</x:v>
      </x:c>
      <x:c r="J259" t="str">
        <x:v>BRANCO CARRARA</x:v>
      </x:c>
      <x:c r="K259" t="str">
        <x:v>0</x:v>
      </x:c>
      <x:c r="L259" t="str">
        <x:v>2</x:v>
      </x:c>
      <x:c r="M259" t="str">
        <x:v>0</x:v>
      </x:c>
      <x:c r="N259" t="str"/>
      <x:c r="O259" t="str"/>
      <x:c r="P259" t="str">
        <x:v>Liberada Para Producao</x:v>
      </x:c>
      <x:c r="Q259" t="str">
        <x:v>609735</x:v>
      </x:c>
      <x:c r="R259" t="str">
        <x:v>0</x:v>
      </x:c>
      <x:c r="S259" t="str"/>
      <x:c r="T259" t="str"/>
      <x:c r="U259" t="str"/>
      <x:c r="V259" t="str"/>
      <x:c r="W259" t="str">
        <x:v>N/A</x:v>
      </x:c>
      <x:c r="X259" t="str">
        <x:v>0</x:v>
      </x:c>
      <x:c r="Y259" t="str">
        <x:v>0</x:v>
      </x:c>
      <x:c r="Z259" t="str">
        <x:v>0</x:v>
      </x:c>
      <x:c r="AA259" t="str">
        <x:v>N/A</x:v>
      </x:c>
      <x:c r="AB259" t="str">
        <x:v>N/A</x:v>
      </x:c>
      <x:c r="AC259" t="str">
        <x:v>N/A</x:v>
      </x:c>
      <x:c r="AD259" t="str">
        <x:v>N/A</x:v>
      </x:c>
      <x:c r="AE259" t="str">
        <x:v>N/A</x:v>
      </x:c>
    </x:row>
    <x:row r="260">
      <x:c r="A260" t="str">
        <x:v>51</x:v>
      </x:c>
      <x:c r="B260" t="str">
        <x:v>26739</x:v>
      </x:c>
      <x:c r="C260" t="str">
        <x:v>22</x:v>
      </x:c>
      <x:c r="D260" t="str">
        <x:v>966149</x:v>
      </x:c>
      <x:c r="E260" t="str">
        <x:v>TR AL 1100X50X9 RTO RL80 REC PET BCO (UL</x:v>
      </x:c>
      <x:c r="F260" t="str"/>
      <x:c r="G260" t="str"/>
      <x:c r="H260" t="str"/>
      <x:c r="I260" t="str">
        <x:v>ESMALTE</x:v>
      </x:c>
      <x:c r="J260" t="str">
        <x:v>BRANCO CARRARA</x:v>
      </x:c>
      <x:c r="K260" t="str">
        <x:v>0</x:v>
      </x:c>
      <x:c r="L260" t="str">
        <x:v>1</x:v>
      </x:c>
      <x:c r="M260" t="str">
        <x:v>0</x:v>
      </x:c>
      <x:c r="N260" t="str"/>
      <x:c r="O260" t="str"/>
      <x:c r="P260" t="str">
        <x:v>Liberada Para Producao</x:v>
      </x:c>
      <x:c r="Q260" t="str">
        <x:v>609736</x:v>
      </x:c>
      <x:c r="R260" t="str">
        <x:v>0</x:v>
      </x:c>
      <x:c r="S260" t="str"/>
      <x:c r="T260" t="str"/>
      <x:c r="U260" t="str"/>
      <x:c r="V260" t="str"/>
      <x:c r="W260" t="str">
        <x:v>N/A</x:v>
      </x:c>
      <x:c r="X260" t="str">
        <x:v>0</x:v>
      </x:c>
      <x:c r="Y260" t="str">
        <x:v>0</x:v>
      </x:c>
      <x:c r="Z260" t="str">
        <x:v>0</x:v>
      </x:c>
      <x:c r="AA260" t="str">
        <x:v>0</x:v>
      </x:c>
      <x:c r="AB260" t="str">
        <x:v>N/A</x:v>
      </x:c>
      <x:c r="AC260" t="str">
        <x:v>N/A</x:v>
      </x:c>
      <x:c r="AD260" t="str">
        <x:v>N/A</x:v>
      </x:c>
      <x:c r="AE260" t="str">
        <x:v>N/A</x:v>
      </x:c>
    </x:row>
    <x:row r="261">
      <x:c r="A261" t="str">
        <x:v>51</x:v>
      </x:c>
      <x:c r="B261" t="str">
        <x:v>26739</x:v>
      </x:c>
      <x:c r="C261" t="str">
        <x:v>22</x:v>
      </x:c>
      <x:c r="D261" t="str">
        <x:v>971601</x:v>
      </x:c>
      <x:c r="E261" t="str">
        <x:v>PE AL 2250X50X9 RTO RL80 REC PET BCO(ULT</x:v>
      </x:c>
      <x:c r="F261" t="str"/>
      <x:c r="G261" t="str"/>
      <x:c r="H261" t="str"/>
      <x:c r="I261" t="str">
        <x:v>ESMALTE</x:v>
      </x:c>
      <x:c r="J261" t="str">
        <x:v>BRANCO CARRARA</x:v>
      </x:c>
      <x:c r="K261" t="str">
        <x:v>0</x:v>
      </x:c>
      <x:c r="L261" t="str">
        <x:v>2</x:v>
      </x:c>
      <x:c r="M261" t="str">
        <x:v>0</x:v>
      </x:c>
      <x:c r="N261" t="str"/>
      <x:c r="O261" t="str"/>
      <x:c r="P261" t="str">
        <x:v>Liberada Para Producao</x:v>
      </x:c>
      <x:c r="Q261" t="str">
        <x:v>609737</x:v>
      </x:c>
      <x:c r="R261" t="str">
        <x:v>0</x:v>
      </x:c>
      <x:c r="S261" t="str"/>
      <x:c r="T261" t="str"/>
      <x:c r="U261" t="str"/>
      <x:c r="V261" t="str"/>
      <x:c r="W261" t="str">
        <x:v>N/A</x:v>
      </x:c>
      <x:c r="X261" t="str">
        <x:v>0</x:v>
      </x:c>
      <x:c r="Y261" t="str">
        <x:v>0</x:v>
      </x:c>
      <x:c r="Z261" t="str">
        <x:v>0</x:v>
      </x:c>
      <x:c r="AA261" t="str">
        <x:v>N/A</x:v>
      </x:c>
      <x:c r="AB261" t="str">
        <x:v>N/A</x:v>
      </x:c>
      <x:c r="AC261" t="str">
        <x:v>N/A</x:v>
      </x:c>
      <x:c r="AD261" t="str">
        <x:v>N/A</x:v>
      </x:c>
      <x:c r="AE261" t="str">
        <x:v>N/A</x:v>
      </x:c>
    </x:row>
    <x:row r="262">
      <x:c r="A262" t="str">
        <x:v>51</x:v>
      </x:c>
      <x:c r="B262" t="str">
        <x:v>26739</x:v>
      </x:c>
      <x:c r="C262" t="str">
        <x:v>22</x:v>
      </x:c>
      <x:c r="D262" t="str">
        <x:v>421010005</x:v>
      </x:c>
      <x:c r="E262" t="str">
        <x:v>FO POR COL HDF 3 RU 2100X620X35 ESM BCO</x:v>
      </x:c>
      <x:c r="F262" t="str"/>
      <x:c r="G262" t="str"/>
      <x:c r="H262" t="str"/>
      <x:c r="I262" t="str">
        <x:v>ESMALTE</x:v>
      </x:c>
      <x:c r="J262" t="str">
        <x:v>BRANCO CARRARA</x:v>
      </x:c>
      <x:c r="K262" t="str">
        <x:v>0</x:v>
      </x:c>
      <x:c r="L262" t="str">
        <x:v>1</x:v>
      </x:c>
      <x:c r="M262" t="str">
        <x:v>0,046</x:v>
      </x:c>
      <x:c r="N262" t="str"/>
      <x:c r="O262" t="str"/>
      <x:c r="P262" t="str">
        <x:v>Liberada Para Producao</x:v>
      </x:c>
      <x:c r="Q262" t="str">
        <x:v>609738</x:v>
      </x:c>
      <x:c r="R262" t="str">
        <x:v>66,67</x:v>
      </x:c>
      <x:c r="S262" t="str">
        <x:v>1</x:v>
      </x:c>
      <x:c r="T262" t="str">
        <x:v>PORTA LINHA PREMIUM</x:v>
      </x:c>
      <x:c r="U262" t="str"/>
      <x:c r="V262" t="str"/>
      <x:c r="W262" t="str">
        <x:v>N/A</x:v>
      </x:c>
      <x:c r="X262" t="str">
        <x:v>100</x:v>
      </x:c>
      <x:c r="Y262" t="str">
        <x:v>N/A</x:v>
      </x:c>
      <x:c r="Z262" t="str">
        <x:v>N/A</x:v>
      </x:c>
      <x:c r="AA262" t="str">
        <x:v>N/A</x:v>
      </x:c>
      <x:c r="AB262" t="str">
        <x:v>100</x:v>
      </x:c>
      <x:c r="AC262" t="str">
        <x:v>N/A</x:v>
      </x:c>
      <x:c r="AD262" t="str">
        <x:v>0</x:v>
      </x:c>
      <x:c r="AE262" t="str">
        <x:v>N/A</x:v>
      </x:c>
    </x:row>
    <x:row r="263">
      <x:c r="A263" t="str">
        <x:v>51</x:v>
      </x:c>
      <x:c r="B263" t="str">
        <x:v>26739</x:v>
      </x:c>
      <x:c r="C263" t="str">
        <x:v>22</x:v>
      </x:c>
      <x:c r="D263" t="str">
        <x:v>2010700697</x:v>
      </x:c>
      <x:c r="E263" t="str">
        <x:v>M ULTRA PET BCO CAR 2110X170X30 42X10 R2</x:v>
      </x:c>
      <x:c r="F263" t="str"/>
      <x:c r="G263" t="str"/>
      <x:c r="H263" t="str"/>
      <x:c r="I263" t="str">
        <x:v>ESMALTE</x:v>
      </x:c>
      <x:c r="J263" t="str">
        <x:v>BRANCO CARRARA</x:v>
      </x:c>
      <x:c r="K263" t="str">
        <x:v>0</x:v>
      </x:c>
      <x:c r="L263" t="str">
        <x:v>2</x:v>
      </x:c>
      <x:c r="M263" t="str">
        <x:v>0,022</x:v>
      </x:c>
      <x:c r="N263" t="str"/>
      <x:c r="O263" t="str"/>
      <x:c r="P263" t="str">
        <x:v>Liberada Para Producao</x:v>
      </x:c>
      <x:c r="Q263" t="str">
        <x:v>609739</x:v>
      </x:c>
      <x:c r="R263" t="str">
        <x:v>0</x:v>
      </x:c>
      <x:c r="S263" t="str">
        <x:v>1500</x:v>
      </x:c>
      <x:c r="T263" t="str">
        <x:v>PERNA DE BATENTE PREMIUM(SEMIA</x:v>
      </x:c>
      <x:c r="U263" t="str"/>
      <x:c r="V263" t="str"/>
      <x:c r="W263" t="str">
        <x:v>N/A</x:v>
      </x:c>
      <x:c r="X263" t="str">
        <x:v>N/A</x:v>
      </x:c>
      <x:c r="Y263" t="str">
        <x:v>N/A</x:v>
      </x:c>
      <x:c r="Z263" t="str">
        <x:v>0</x:v>
      </x:c>
      <x:c r="AA263" t="str">
        <x:v>0</x:v>
      </x:c>
      <x:c r="AB263" t="str">
        <x:v>N/A</x:v>
      </x:c>
      <x:c r="AC263" t="str">
        <x:v>N/A</x:v>
      </x:c>
      <x:c r="AD263" t="str">
        <x:v>N/A</x:v>
      </x:c>
      <x:c r="AE263" t="str">
        <x:v>N/A</x:v>
      </x:c>
    </x:row>
    <x:row r="264">
      <x:c r="A264" t="str">
        <x:v>51</x:v>
      </x:c>
      <x:c r="B264" t="str">
        <x:v>26739</x:v>
      </x:c>
      <x:c r="C264" t="str">
        <x:v>22</x:v>
      </x:c>
      <x:c r="D264" t="str">
        <x:v>2010701230</x:v>
      </x:c>
      <x:c r="E264" t="str">
        <x:v>M ULTRA PET BCO CAR 667X170X30 42X10 R2L</x:v>
      </x:c>
      <x:c r="F264" t="str"/>
      <x:c r="G264" t="str"/>
      <x:c r="H264" t="str"/>
      <x:c r="I264" t="str">
        <x:v>ESMALTE</x:v>
      </x:c>
      <x:c r="J264" t="str">
        <x:v>BRANCO CARRARA</x:v>
      </x:c>
      <x:c r="K264" t="str">
        <x:v>0</x:v>
      </x:c>
      <x:c r="L264" t="str">
        <x:v>1</x:v>
      </x:c>
      <x:c r="M264" t="str">
        <x:v>0,003</x:v>
      </x:c>
      <x:c r="N264" t="str"/>
      <x:c r="O264" t="str"/>
      <x:c r="P264" t="str">
        <x:v>Liberada Para Producao</x:v>
      </x:c>
      <x:c r="Q264" t="str">
        <x:v>609740</x:v>
      </x:c>
      <x:c r="R264" t="str">
        <x:v>0</x:v>
      </x:c>
      <x:c r="S264" t="str">
        <x:v>1501</x:v>
      </x:c>
      <x:c r="T264" t="str">
        <x:v>TRAV. BAT. 680 PET/PVC(SEMI)</x:v>
      </x:c>
      <x:c r="U264" t="str"/>
      <x:c r="V264" t="str"/>
      <x:c r="W264" t="str">
        <x:v>N/A</x:v>
      </x:c>
      <x:c r="X264" t="str">
        <x:v>N/A</x:v>
      </x:c>
      <x:c r="Y264" t="str">
        <x:v>N/A</x:v>
      </x:c>
      <x:c r="Z264" t="str">
        <x:v>0</x:v>
      </x:c>
      <x:c r="AA264" t="str">
        <x:v>0</x:v>
      </x:c>
      <x:c r="AB264" t="str">
        <x:v>N/A</x:v>
      </x:c>
      <x:c r="AC264" t="str">
        <x:v>N/A</x:v>
      </x:c>
      <x:c r="AD264" t="str">
        <x:v>N/A</x:v>
      </x:c>
      <x:c r="AE264" t="str">
        <x:v>N/A</x:v>
      </x:c>
    </x:row>
    <x:row r="265">
      <x:c r="A265" t="str">
        <x:v>51</x:v>
      </x:c>
      <x:c r="B265" t="str">
        <x:v>26739</x:v>
      </x:c>
      <x:c r="C265" t="str">
        <x:v>23</x:v>
      </x:c>
      <x:c r="D265" t="str">
        <x:v>919640</x:v>
      </x:c>
      <x:c r="E265" t="str">
        <x:v>TR AL 1100X50X9 RTO LME REC PET BCO (ULT</x:v>
      </x:c>
      <x:c r="F265" t="str"/>
      <x:c r="G265" t="str"/>
      <x:c r="H265" t="str"/>
      <x:c r="I265" t="str">
        <x:v>ESMALTE</x:v>
      </x:c>
      <x:c r="J265" t="str">
        <x:v>BRANCO CARRARA</x:v>
      </x:c>
      <x:c r="K265" t="str">
        <x:v>0</x:v>
      </x:c>
      <x:c r="L265" t="str">
        <x:v>1</x:v>
      </x:c>
      <x:c r="M265" t="str">
        <x:v>0</x:v>
      </x:c>
      <x:c r="N265" t="str"/>
      <x:c r="O265" t="str"/>
      <x:c r="P265" t="str">
        <x:v>Liberada Para Producao</x:v>
      </x:c>
      <x:c r="Q265" t="str">
        <x:v>609742</x:v>
      </x:c>
      <x:c r="R265" t="str">
        <x:v>0</x:v>
      </x:c>
      <x:c r="S265" t="str"/>
      <x:c r="T265" t="str"/>
      <x:c r="U265" t="str"/>
      <x:c r="V265" t="str"/>
      <x:c r="W265" t="str">
        <x:v>N/A</x:v>
      </x:c>
      <x:c r="X265" t="str">
        <x:v>0</x:v>
      </x:c>
      <x:c r="Y265" t="str">
        <x:v>0</x:v>
      </x:c>
      <x:c r="Z265" t="str">
        <x:v>0</x:v>
      </x:c>
      <x:c r="AA265" t="str">
        <x:v>0</x:v>
      </x:c>
      <x:c r="AB265" t="str">
        <x:v>N/A</x:v>
      </x:c>
      <x:c r="AC265" t="str">
        <x:v>N/A</x:v>
      </x:c>
      <x:c r="AD265" t="str">
        <x:v>N/A</x:v>
      </x:c>
      <x:c r="AE265" t="str">
        <x:v>N/A</x:v>
      </x:c>
    </x:row>
    <x:row r="266">
      <x:c r="A266" t="str">
        <x:v>51</x:v>
      </x:c>
      <x:c r="B266" t="str">
        <x:v>26739</x:v>
      </x:c>
      <x:c r="C266" t="str">
        <x:v>23</x:v>
      </x:c>
      <x:c r="D266" t="str">
        <x:v>963311</x:v>
      </x:c>
      <x:c r="E266" t="str">
        <x:v>PE AL 2250X50X9 RTO LME REC PET BCO(ULTR</x:v>
      </x:c>
      <x:c r="F266" t="str"/>
      <x:c r="G266" t="str"/>
      <x:c r="H266" t="str"/>
      <x:c r="I266" t="str">
        <x:v>ESMALTE</x:v>
      </x:c>
      <x:c r="J266" t="str">
        <x:v>BRANCO CARRARA</x:v>
      </x:c>
      <x:c r="K266" t="str">
        <x:v>0</x:v>
      </x:c>
      <x:c r="L266" t="str">
        <x:v>2</x:v>
      </x:c>
      <x:c r="M266" t="str">
        <x:v>0</x:v>
      </x:c>
      <x:c r="N266" t="str"/>
      <x:c r="O266" t="str"/>
      <x:c r="P266" t="str">
        <x:v>Liberada Para Producao</x:v>
      </x:c>
      <x:c r="Q266" t="str">
        <x:v>609746</x:v>
      </x:c>
      <x:c r="R266" t="str">
        <x:v>0</x:v>
      </x:c>
      <x:c r="S266" t="str"/>
      <x:c r="T266" t="str"/>
      <x:c r="U266" t="str"/>
      <x:c r="V266" t="str"/>
      <x:c r="W266" t="str">
        <x:v>N/A</x:v>
      </x:c>
      <x:c r="X266" t="str">
        <x:v>0</x:v>
      </x:c>
      <x:c r="Y266" t="str">
        <x:v>0</x:v>
      </x:c>
      <x:c r="Z266" t="str">
        <x:v>0</x:v>
      </x:c>
      <x:c r="AA266" t="str">
        <x:v>N/A</x:v>
      </x:c>
      <x:c r="AB266" t="str">
        <x:v>N/A</x:v>
      </x:c>
      <x:c r="AC266" t="str">
        <x:v>N/A</x:v>
      </x:c>
      <x:c r="AD266" t="str">
        <x:v>N/A</x:v>
      </x:c>
      <x:c r="AE266" t="str">
        <x:v>N/A</x:v>
      </x:c>
    </x:row>
    <x:row r="267">
      <x:c r="A267" t="str">
        <x:v>51</x:v>
      </x:c>
      <x:c r="B267" t="str">
        <x:v>26739</x:v>
      </x:c>
      <x:c r="C267" t="str">
        <x:v>23</x:v>
      </x:c>
      <x:c r="D267" t="str">
        <x:v>966149</x:v>
      </x:c>
      <x:c r="E267" t="str">
        <x:v>TR AL 1100X50X9 RTO RL80 REC PET BCO (UL</x:v>
      </x:c>
      <x:c r="F267" t="str"/>
      <x:c r="G267" t="str"/>
      <x:c r="H267" t="str"/>
      <x:c r="I267" t="str">
        <x:v>ESMALTE</x:v>
      </x:c>
      <x:c r="J267" t="str">
        <x:v>BRANCO CARRARA</x:v>
      </x:c>
      <x:c r="K267" t="str">
        <x:v>0</x:v>
      </x:c>
      <x:c r="L267" t="str">
        <x:v>1</x:v>
      </x:c>
      <x:c r="M267" t="str">
        <x:v>0</x:v>
      </x:c>
      <x:c r="N267" t="str"/>
      <x:c r="O267" t="str"/>
      <x:c r="P267" t="str">
        <x:v>Liberada Para Producao</x:v>
      </x:c>
      <x:c r="Q267" t="str">
        <x:v>609747</x:v>
      </x:c>
      <x:c r="R267" t="str">
        <x:v>0</x:v>
      </x:c>
      <x:c r="S267" t="str"/>
      <x:c r="T267" t="str"/>
      <x:c r="U267" t="str"/>
      <x:c r="V267" t="str"/>
      <x:c r="W267" t="str">
        <x:v>N/A</x:v>
      </x:c>
      <x:c r="X267" t="str">
        <x:v>0</x:v>
      </x:c>
      <x:c r="Y267" t="str">
        <x:v>0</x:v>
      </x:c>
      <x:c r="Z267" t="str">
        <x:v>0</x:v>
      </x:c>
      <x:c r="AA267" t="str">
        <x:v>0</x:v>
      </x:c>
      <x:c r="AB267" t="str">
        <x:v>N/A</x:v>
      </x:c>
      <x:c r="AC267" t="str">
        <x:v>N/A</x:v>
      </x:c>
      <x:c r="AD267" t="str">
        <x:v>N/A</x:v>
      </x:c>
      <x:c r="AE267" t="str">
        <x:v>N/A</x:v>
      </x:c>
    </x:row>
    <x:row r="268">
      <x:c r="A268" t="str">
        <x:v>51</x:v>
      </x:c>
      <x:c r="B268" t="str">
        <x:v>26739</x:v>
      </x:c>
      <x:c r="C268" t="str">
        <x:v>23</x:v>
      </x:c>
      <x:c r="D268" t="str">
        <x:v>971601</x:v>
      </x:c>
      <x:c r="E268" t="str">
        <x:v>PE AL 2250X50X9 RTO RL80 REC PET BCO(ULT</x:v>
      </x:c>
      <x:c r="F268" t="str"/>
      <x:c r="G268" t="str"/>
      <x:c r="H268" t="str"/>
      <x:c r="I268" t="str">
        <x:v>ESMALTE</x:v>
      </x:c>
      <x:c r="J268" t="str">
        <x:v>BRANCO CARRARA</x:v>
      </x:c>
      <x:c r="K268" t="str">
        <x:v>0</x:v>
      </x:c>
      <x:c r="L268" t="str">
        <x:v>2</x:v>
      </x:c>
      <x:c r="M268" t="str">
        <x:v>0</x:v>
      </x:c>
      <x:c r="N268" t="str"/>
      <x:c r="O268" t="str"/>
      <x:c r="P268" t="str">
        <x:v>Liberada Para Producao</x:v>
      </x:c>
      <x:c r="Q268" t="str">
        <x:v>609748</x:v>
      </x:c>
      <x:c r="R268" t="str">
        <x:v>0</x:v>
      </x:c>
      <x:c r="S268" t="str"/>
      <x:c r="T268" t="str"/>
      <x:c r="U268" t="str"/>
      <x:c r="V268" t="str"/>
      <x:c r="W268" t="str">
        <x:v>N/A</x:v>
      </x:c>
      <x:c r="X268" t="str">
        <x:v>0</x:v>
      </x:c>
      <x:c r="Y268" t="str">
        <x:v>0</x:v>
      </x:c>
      <x:c r="Z268" t="str">
        <x:v>0</x:v>
      </x:c>
      <x:c r="AA268" t="str">
        <x:v>N/A</x:v>
      </x:c>
      <x:c r="AB268" t="str">
        <x:v>N/A</x:v>
      </x:c>
      <x:c r="AC268" t="str">
        <x:v>N/A</x:v>
      </x:c>
      <x:c r="AD268" t="str">
        <x:v>N/A</x:v>
      </x:c>
      <x:c r="AE268" t="str">
        <x:v>N/A</x:v>
      </x:c>
    </x:row>
    <x:row r="269">
      <x:c r="A269" t="str">
        <x:v>51</x:v>
      </x:c>
      <x:c r="B269" t="str">
        <x:v>26739</x:v>
      </x:c>
      <x:c r="C269" t="str">
        <x:v>23</x:v>
      </x:c>
      <x:c r="D269" t="str">
        <x:v>2010701021</x:v>
      </x:c>
      <x:c r="E269" t="str">
        <x:v>M ULTRA PET BCO CAR 2110X80X30 42X10 R2L</x:v>
      </x:c>
      <x:c r="F269" t="str"/>
      <x:c r="G269" t="str"/>
      <x:c r="H269" t="str"/>
      <x:c r="I269" t="str">
        <x:v>ESMALTE</x:v>
      </x:c>
      <x:c r="J269" t="str">
        <x:v>BRANCO CARRARA</x:v>
      </x:c>
      <x:c r="K269" t="str">
        <x:v>0</x:v>
      </x:c>
      <x:c r="L269" t="str">
        <x:v>2</x:v>
      </x:c>
      <x:c r="M269" t="str">
        <x:v>2</x:v>
      </x:c>
      <x:c r="N269" t="str"/>
      <x:c r="O269" t="str"/>
      <x:c r="P269" t="str">
        <x:v>Liberada Para Producao</x:v>
      </x:c>
      <x:c r="Q269" t="str">
        <x:v>609749</x:v>
      </x:c>
      <x:c r="R269" t="str">
        <x:v>50</x:v>
      </x:c>
      <x:c r="S269" t="str">
        <x:v>1500</x:v>
      </x:c>
      <x:c r="T269" t="str">
        <x:v>PERNA DE BATENTE PREMIUM(SEMIA</x:v>
      </x:c>
      <x:c r="U269" t="str"/>
      <x:c r="V269" t="str"/>
      <x:c r="W269" t="str">
        <x:v>100</x:v>
      </x:c>
      <x:c r="X269" t="str">
        <x:v>100</x:v>
      </x:c>
      <x:c r="Y269" t="str">
        <x:v>N/A</x:v>
      </x:c>
      <x:c r="Z269" t="str">
        <x:v>0</x:v>
      </x:c>
      <x:c r="AA269" t="str">
        <x:v>0</x:v>
      </x:c>
      <x:c r="AB269" t="str">
        <x:v>N/A</x:v>
      </x:c>
      <x:c r="AC269" t="str">
        <x:v>N/A</x:v>
      </x:c>
      <x:c r="AD269" t="str">
        <x:v>N/A</x:v>
      </x:c>
      <x:c r="AE269" t="str">
        <x:v>N/A</x:v>
      </x:c>
    </x:row>
    <x:row r="270">
      <x:c r="A270" t="str">
        <x:v>51</x:v>
      </x:c>
      <x:c r="B270" t="str">
        <x:v>26739</x:v>
      </x:c>
      <x:c r="C270" t="str">
        <x:v>23</x:v>
      </x:c>
      <x:c r="D270" t="str">
        <x:v>2010701246</x:v>
      </x:c>
      <x:c r="E270" t="str">
        <x:v>M ULTRA PET BCO CAR 667X80X30 42X10 R2L</x:v>
      </x:c>
      <x:c r="F270" t="str"/>
      <x:c r="G270" t="str"/>
      <x:c r="H270" t="str"/>
      <x:c r="I270" t="str">
        <x:v>ESMALTE</x:v>
      </x:c>
      <x:c r="J270" t="str">
        <x:v>BRANCO CARRARA</x:v>
      </x:c>
      <x:c r="K270" t="str">
        <x:v>0</x:v>
      </x:c>
      <x:c r="L270" t="str">
        <x:v>1</x:v>
      </x:c>
      <x:c r="M270" t="str">
        <x:v>0,5</x:v>
      </x:c>
      <x:c r="N270" t="str"/>
      <x:c r="O270" t="str"/>
      <x:c r="P270" t="str">
        <x:v>Liberada Para Producao</x:v>
      </x:c>
      <x:c r="Q270" t="str">
        <x:v>609750</x:v>
      </x:c>
      <x:c r="R270" t="str">
        <x:v>50</x:v>
      </x:c>
      <x:c r="S270" t="str">
        <x:v>1501</x:v>
      </x:c>
      <x:c r="T270" t="str">
        <x:v>TRAV. BAT. 680 PET/PVC(SEMI)</x:v>
      </x:c>
      <x:c r="U270" t="str"/>
      <x:c r="V270" t="str"/>
      <x:c r="W270" t="str">
        <x:v>100</x:v>
      </x:c>
      <x:c r="X270" t="str">
        <x:v>100</x:v>
      </x:c>
      <x:c r="Y270" t="str">
        <x:v>N/A</x:v>
      </x:c>
      <x:c r="Z270" t="str">
        <x:v>0</x:v>
      </x:c>
      <x:c r="AA270" t="str">
        <x:v>0</x:v>
      </x:c>
      <x:c r="AB270" t="str">
        <x:v>N/A</x:v>
      </x:c>
      <x:c r="AC270" t="str">
        <x:v>N/A</x:v>
      </x:c>
      <x:c r="AD270" t="str">
        <x:v>N/A</x:v>
      </x:c>
      <x:c r="AE270" t="str">
        <x:v>N/A</x:v>
      </x:c>
    </x:row>
    <x:row r="271">
      <x:c r="A271" t="str">
        <x:v>51</x:v>
      </x:c>
      <x:c r="B271" t="str">
        <x:v>26739</x:v>
      </x:c>
      <x:c r="C271" t="str">
        <x:v>23</x:v>
      </x:c>
      <x:c r="D271" t="str">
        <x:v>3040300238</x:v>
      </x:c>
      <x:c r="E271" t="str">
        <x:v>FO POR COL HDF 3 ESM BCO CAR 2100X620X35</x:v>
      </x:c>
      <x:c r="F271" t="str"/>
      <x:c r="G271" t="str"/>
      <x:c r="H271" t="str"/>
      <x:c r="I271" t="str">
        <x:v>ESMALTE</x:v>
      </x:c>
      <x:c r="J271" t="str">
        <x:v>BRANCO CARRARA</x:v>
      </x:c>
      <x:c r="K271" t="str">
        <x:v>0</x:v>
      </x:c>
      <x:c r="L271" t="str">
        <x:v>1</x:v>
      </x:c>
      <x:c r="M271" t="str">
        <x:v>0,046</x:v>
      </x:c>
      <x:c r="N271" t="str"/>
      <x:c r="O271" t="str"/>
      <x:c r="P271" t="str">
        <x:v>Liberada Para Producao</x:v>
      </x:c>
      <x:c r="Q271" t="str">
        <x:v>609751</x:v>
      </x:c>
      <x:c r="R271" t="str">
        <x:v>66,67</x:v>
      </x:c>
      <x:c r="S271" t="str">
        <x:v>1</x:v>
      </x:c>
      <x:c r="T271" t="str">
        <x:v>PORTA LINHA PREMIUM</x:v>
      </x:c>
      <x:c r="U271" t="str"/>
      <x:c r="V271" t="str"/>
      <x:c r="W271" t="str">
        <x:v>N/A</x:v>
      </x:c>
      <x:c r="X271" t="str">
        <x:v>100</x:v>
      </x:c>
      <x:c r="Y271" t="str">
        <x:v>N/A</x:v>
      </x:c>
      <x:c r="Z271" t="str">
        <x:v>N/A</x:v>
      </x:c>
      <x:c r="AA271" t="str">
        <x:v>N/A</x:v>
      </x:c>
      <x:c r="AB271" t="str">
        <x:v>100</x:v>
      </x:c>
      <x:c r="AC271" t="str">
        <x:v>N/A</x:v>
      </x:c>
      <x:c r="AD271" t="str">
        <x:v>0</x:v>
      </x:c>
      <x:c r="AE271" t="str">
        <x:v>N/A</x:v>
      </x:c>
    </x:row>
    <x:row r="272">
      <x:c r="A272" t="str">
        <x:v>51</x:v>
      </x:c>
      <x:c r="B272" t="str">
        <x:v>26739</x:v>
      </x:c>
      <x:c r="C272" t="str">
        <x:v>24</x:v>
      </x:c>
      <x:c r="D272" t="str">
        <x:v>919640</x:v>
      </x:c>
      <x:c r="E272" t="str">
        <x:v>TR AL 1100X50X9 RTO LME REC PET BCO (ULT</x:v>
      </x:c>
      <x:c r="F272" t="str"/>
      <x:c r="G272" t="str"/>
      <x:c r="H272" t="str"/>
      <x:c r="I272" t="str">
        <x:v>ESMALTE</x:v>
      </x:c>
      <x:c r="J272" t="str">
        <x:v>BRANCO CARRARA</x:v>
      </x:c>
      <x:c r="K272" t="str">
        <x:v>0</x:v>
      </x:c>
      <x:c r="L272" t="str">
        <x:v>2</x:v>
      </x:c>
      <x:c r="M272" t="str">
        <x:v>0</x:v>
      </x:c>
      <x:c r="N272" t="str"/>
      <x:c r="O272" t="str"/>
      <x:c r="P272" t="str">
        <x:v>Liberada Para Producao</x:v>
      </x:c>
      <x:c r="Q272" t="str">
        <x:v>609755</x:v>
      </x:c>
      <x:c r="R272" t="str">
        <x:v>0</x:v>
      </x:c>
      <x:c r="S272" t="str"/>
      <x:c r="T272" t="str"/>
      <x:c r="U272" t="str"/>
      <x:c r="V272" t="str"/>
      <x:c r="W272" t="str">
        <x:v>N/A</x:v>
      </x:c>
      <x:c r="X272" t="str">
        <x:v>0</x:v>
      </x:c>
      <x:c r="Y272" t="str">
        <x:v>0</x:v>
      </x:c>
      <x:c r="Z272" t="str">
        <x:v>0</x:v>
      </x:c>
      <x:c r="AA272" t="str">
        <x:v>0</x:v>
      </x:c>
      <x:c r="AB272" t="str">
        <x:v>N/A</x:v>
      </x:c>
      <x:c r="AC272" t="str">
        <x:v>N/A</x:v>
      </x:c>
      <x:c r="AD272" t="str">
        <x:v>N/A</x:v>
      </x:c>
      <x:c r="AE272" t="str">
        <x:v>N/A</x:v>
      </x:c>
    </x:row>
    <x:row r="273">
      <x:c r="A273" t="str">
        <x:v>51</x:v>
      </x:c>
      <x:c r="B273" t="str">
        <x:v>26739</x:v>
      </x:c>
      <x:c r="C273" t="str">
        <x:v>24</x:v>
      </x:c>
      <x:c r="D273" t="str">
        <x:v>959077</x:v>
      </x:c>
      <x:c r="E273" t="str">
        <x:v>2110x110x30 42x10 R2 RT BIA PET BC U(UL)</x:v>
      </x:c>
      <x:c r="F273" t="str"/>
      <x:c r="G273" t="str"/>
      <x:c r="H273" t="str"/>
      <x:c r="I273" t="str">
        <x:v>ESMALTE</x:v>
      </x:c>
      <x:c r="J273" t="str">
        <x:v>BRANCO CARRARA</x:v>
      </x:c>
      <x:c r="K273" t="str">
        <x:v>0</x:v>
      </x:c>
      <x:c r="L273" t="str">
        <x:v>4</x:v>
      </x:c>
      <x:c r="M273" t="str">
        <x:v>0</x:v>
      </x:c>
      <x:c r="N273" t="str"/>
      <x:c r="O273" t="str"/>
      <x:c r="P273" t="str">
        <x:v>Liberada Para Producao</x:v>
      </x:c>
      <x:c r="Q273" t="str">
        <x:v>609756</x:v>
      </x:c>
      <x:c r="R273" t="str">
        <x:v>0</x:v>
      </x:c>
      <x:c r="S273" t="str"/>
      <x:c r="T273" t="str"/>
      <x:c r="U273" t="str"/>
      <x:c r="V273" t="str"/>
      <x:c r="W273" t="str">
        <x:v>N/A</x:v>
      </x:c>
      <x:c r="X273" t="str">
        <x:v>N/A</x:v>
      </x:c>
      <x:c r="Y273" t="str">
        <x:v>N/A</x:v>
      </x:c>
      <x:c r="Z273" t="str">
        <x:v>0</x:v>
      </x:c>
      <x:c r="AA273" t="str">
        <x:v>0</x:v>
      </x:c>
      <x:c r="AB273" t="str">
        <x:v>N/A</x:v>
      </x:c>
      <x:c r="AC273" t="str">
        <x:v>N/A</x:v>
      </x:c>
      <x:c r="AD273" t="str">
        <x:v>N/A</x:v>
      </x:c>
      <x:c r="AE273" t="str">
        <x:v>N/A</x:v>
      </x:c>
    </x:row>
    <x:row r="274">
      <x:c r="A274" t="str">
        <x:v>51</x:v>
      </x:c>
      <x:c r="B274" t="str">
        <x:v>26739</x:v>
      </x:c>
      <x:c r="C274" t="str">
        <x:v>24</x:v>
      </x:c>
      <x:c r="D274" t="str">
        <x:v>963311</x:v>
      </x:c>
      <x:c r="E274" t="str">
        <x:v>PE AL 2250X50X9 RTO LME REC PET BCO(ULTR</x:v>
      </x:c>
      <x:c r="F274" t="str"/>
      <x:c r="G274" t="str"/>
      <x:c r="H274" t="str"/>
      <x:c r="I274" t="str">
        <x:v>ESMALTE</x:v>
      </x:c>
      <x:c r="J274" t="str">
        <x:v>BRANCO CARRARA</x:v>
      </x:c>
      <x:c r="K274" t="str">
        <x:v>0</x:v>
      </x:c>
      <x:c r="L274" t="str">
        <x:v>4</x:v>
      </x:c>
      <x:c r="M274" t="str">
        <x:v>0</x:v>
      </x:c>
      <x:c r="N274" t="str"/>
      <x:c r="O274" t="str"/>
      <x:c r="P274" t="str">
        <x:v>Liberada Para Producao</x:v>
      </x:c>
      <x:c r="Q274" t="str">
        <x:v>609760</x:v>
      </x:c>
      <x:c r="R274" t="str">
        <x:v>0</x:v>
      </x:c>
      <x:c r="S274" t="str"/>
      <x:c r="T274" t="str"/>
      <x:c r="U274" t="str"/>
      <x:c r="V274" t="str"/>
      <x:c r="W274" t="str">
        <x:v>N/A</x:v>
      </x:c>
      <x:c r="X274" t="str">
        <x:v>0</x:v>
      </x:c>
      <x:c r="Y274" t="str">
        <x:v>0</x:v>
      </x:c>
      <x:c r="Z274" t="str">
        <x:v>0</x:v>
      </x:c>
      <x:c r="AA274" t="str">
        <x:v>N/A</x:v>
      </x:c>
      <x:c r="AB274" t="str">
        <x:v>N/A</x:v>
      </x:c>
      <x:c r="AC274" t="str">
        <x:v>N/A</x:v>
      </x:c>
      <x:c r="AD274" t="str">
        <x:v>N/A</x:v>
      </x:c>
      <x:c r="AE274" t="str">
        <x:v>N/A</x:v>
      </x:c>
    </x:row>
    <x:row r="275">
      <x:c r="A275" t="str">
        <x:v>51</x:v>
      </x:c>
      <x:c r="B275" t="str">
        <x:v>26739</x:v>
      </x:c>
      <x:c r="C275" t="str">
        <x:v>24</x:v>
      </x:c>
      <x:c r="D275" t="str">
        <x:v>966149</x:v>
      </x:c>
      <x:c r="E275" t="str">
        <x:v>TR AL 1100X50X9 RTO RL80 REC PET BCO (UL</x:v>
      </x:c>
      <x:c r="F275" t="str"/>
      <x:c r="G275" t="str"/>
      <x:c r="H275" t="str"/>
      <x:c r="I275" t="str">
        <x:v>ESMALTE</x:v>
      </x:c>
      <x:c r="J275" t="str">
        <x:v>BRANCO CARRARA</x:v>
      </x:c>
      <x:c r="K275" t="str">
        <x:v>0</x:v>
      </x:c>
      <x:c r="L275" t="str">
        <x:v>2</x:v>
      </x:c>
      <x:c r="M275" t="str">
        <x:v>0</x:v>
      </x:c>
      <x:c r="N275" t="str"/>
      <x:c r="O275" t="str"/>
      <x:c r="P275" t="str">
        <x:v>Liberada Para Producao</x:v>
      </x:c>
      <x:c r="Q275" t="str">
        <x:v>609761</x:v>
      </x:c>
      <x:c r="R275" t="str">
        <x:v>0</x:v>
      </x:c>
      <x:c r="S275" t="str"/>
      <x:c r="T275" t="str"/>
      <x:c r="U275" t="str"/>
      <x:c r="V275" t="str"/>
      <x:c r="W275" t="str">
        <x:v>N/A</x:v>
      </x:c>
      <x:c r="X275" t="str">
        <x:v>0</x:v>
      </x:c>
      <x:c r="Y275" t="str">
        <x:v>0</x:v>
      </x:c>
      <x:c r="Z275" t="str">
        <x:v>0</x:v>
      </x:c>
      <x:c r="AA275" t="str">
        <x:v>0</x:v>
      </x:c>
      <x:c r="AB275" t="str">
        <x:v>N/A</x:v>
      </x:c>
      <x:c r="AC275" t="str">
        <x:v>N/A</x:v>
      </x:c>
      <x:c r="AD275" t="str">
        <x:v>N/A</x:v>
      </x:c>
      <x:c r="AE275" t="str">
        <x:v>N/A</x:v>
      </x:c>
    </x:row>
    <x:row r="276">
      <x:c r="A276" t="str">
        <x:v>51</x:v>
      </x:c>
      <x:c r="B276" t="str">
        <x:v>26739</x:v>
      </x:c>
      <x:c r="C276" t="str">
        <x:v>24</x:v>
      </x:c>
      <x:c r="D276" t="str">
        <x:v>971601</x:v>
      </x:c>
      <x:c r="E276" t="str">
        <x:v>PE AL 2250X50X9 RTO RL80 REC PET BCO(ULT</x:v>
      </x:c>
      <x:c r="F276" t="str"/>
      <x:c r="G276" t="str"/>
      <x:c r="H276" t="str"/>
      <x:c r="I276" t="str">
        <x:v>ESMALTE</x:v>
      </x:c>
      <x:c r="J276" t="str">
        <x:v>BRANCO CARRARA</x:v>
      </x:c>
      <x:c r="K276" t="str">
        <x:v>0</x:v>
      </x:c>
      <x:c r="L276" t="str">
        <x:v>4</x:v>
      </x:c>
      <x:c r="M276" t="str">
        <x:v>0</x:v>
      </x:c>
      <x:c r="N276" t="str"/>
      <x:c r="O276" t="str"/>
      <x:c r="P276" t="str">
        <x:v>Liberada Para Producao</x:v>
      </x:c>
      <x:c r="Q276" t="str">
        <x:v>609762</x:v>
      </x:c>
      <x:c r="R276" t="str">
        <x:v>0</x:v>
      </x:c>
      <x:c r="S276" t="str"/>
      <x:c r="T276" t="str"/>
      <x:c r="U276" t="str"/>
      <x:c r="V276" t="str"/>
      <x:c r="W276" t="str">
        <x:v>N/A</x:v>
      </x:c>
      <x:c r="X276" t="str">
        <x:v>0</x:v>
      </x:c>
      <x:c r="Y276" t="str">
        <x:v>0</x:v>
      </x:c>
      <x:c r="Z276" t="str">
        <x:v>0</x:v>
      </x:c>
      <x:c r="AA276" t="str">
        <x:v>N/A</x:v>
      </x:c>
      <x:c r="AB276" t="str">
        <x:v>N/A</x:v>
      </x:c>
      <x:c r="AC276" t="str">
        <x:v>N/A</x:v>
      </x:c>
      <x:c r="AD276" t="str">
        <x:v>N/A</x:v>
      </x:c>
      <x:c r="AE276" t="str">
        <x:v>N/A</x:v>
      </x:c>
    </x:row>
    <x:row r="277">
      <x:c r="A277" t="str">
        <x:v>51</x:v>
      </x:c>
      <x:c r="B277" t="str">
        <x:v>26739</x:v>
      </x:c>
      <x:c r="C277" t="str">
        <x:v>24</x:v>
      </x:c>
      <x:c r="D277" t="str">
        <x:v>974316</x:v>
      </x:c>
      <x:c r="E277" t="str">
        <x:v>667x110x30 42x10 R2L RT BIA PET BC (UL)</x:v>
      </x:c>
      <x:c r="F277" t="str"/>
      <x:c r="G277" t="str"/>
      <x:c r="H277" t="str"/>
      <x:c r="I277" t="str">
        <x:v>ESMALTE</x:v>
      </x:c>
      <x:c r="J277" t="str">
        <x:v>BRANCO CARRARA</x:v>
      </x:c>
      <x:c r="K277" t="str">
        <x:v>0</x:v>
      </x:c>
      <x:c r="L277" t="str">
        <x:v>2</x:v>
      </x:c>
      <x:c r="M277" t="str">
        <x:v>0,004</x:v>
      </x:c>
      <x:c r="N277" t="str"/>
      <x:c r="O277" t="str"/>
      <x:c r="P277" t="str">
        <x:v>Liberada Para Producao</x:v>
      </x:c>
      <x:c r="Q277" t="str">
        <x:v>609763</x:v>
      </x:c>
      <x:c r="R277" t="str">
        <x:v>0</x:v>
      </x:c>
      <x:c r="S277" t="str"/>
      <x:c r="T277" t="str"/>
      <x:c r="U277" t="str"/>
      <x:c r="V277" t="str"/>
      <x:c r="W277" t="str">
        <x:v>N/A</x:v>
      </x:c>
      <x:c r="X277" t="str">
        <x:v>N/A</x:v>
      </x:c>
      <x:c r="Y277" t="str">
        <x:v>N/A</x:v>
      </x:c>
      <x:c r="Z277" t="str">
        <x:v>0</x:v>
      </x:c>
      <x:c r="AA277" t="str">
        <x:v>0</x:v>
      </x:c>
      <x:c r="AB277" t="str">
        <x:v>N/A</x:v>
      </x:c>
      <x:c r="AC277" t="str">
        <x:v>N/A</x:v>
      </x:c>
      <x:c r="AD277" t="str">
        <x:v>N/A</x:v>
      </x:c>
      <x:c r="AE277" t="str">
        <x:v>N/A</x:v>
      </x:c>
    </x:row>
    <x:row r="278">
      <x:c r="A278" t="str">
        <x:v>51</x:v>
      </x:c>
      <x:c r="B278" t="str">
        <x:v>26739</x:v>
      </x:c>
      <x:c r="C278" t="str">
        <x:v>24</x:v>
      </x:c>
      <x:c r="D278" t="str">
        <x:v>3040300238</x:v>
      </x:c>
      <x:c r="E278" t="str">
        <x:v>FO POR COL HDF 3 ESM BCO CAR 2100X620X35</x:v>
      </x:c>
      <x:c r="F278" t="str"/>
      <x:c r="G278" t="str"/>
      <x:c r="H278" t="str"/>
      <x:c r="I278" t="str">
        <x:v>ESMALTE</x:v>
      </x:c>
      <x:c r="J278" t="str">
        <x:v>BRANCO CARRARA</x:v>
      </x:c>
      <x:c r="K278" t="str">
        <x:v>0</x:v>
      </x:c>
      <x:c r="L278" t="str">
        <x:v>2</x:v>
      </x:c>
      <x:c r="M278" t="str">
        <x:v>0,091</x:v>
      </x:c>
      <x:c r="N278" t="str"/>
      <x:c r="O278" t="str"/>
      <x:c r="P278" t="str">
        <x:v>Liberada Para Producao</x:v>
      </x:c>
      <x:c r="Q278" t="str">
        <x:v>609764</x:v>
      </x:c>
      <x:c r="R278" t="str">
        <x:v>66,67</x:v>
      </x:c>
      <x:c r="S278" t="str">
        <x:v>1</x:v>
      </x:c>
      <x:c r="T278" t="str">
        <x:v>PORTA LINHA PREMIUM</x:v>
      </x:c>
      <x:c r="U278" t="str"/>
      <x:c r="V278" t="str"/>
      <x:c r="W278" t="str">
        <x:v>N/A</x:v>
      </x:c>
      <x:c r="X278" t="str">
        <x:v>100</x:v>
      </x:c>
      <x:c r="Y278" t="str">
        <x:v>N/A</x:v>
      </x:c>
      <x:c r="Z278" t="str">
        <x:v>N/A</x:v>
      </x:c>
      <x:c r="AA278" t="str">
        <x:v>N/A</x:v>
      </x:c>
      <x:c r="AB278" t="str">
        <x:v>100</x:v>
      </x:c>
      <x:c r="AC278" t="str">
        <x:v>N/A</x:v>
      </x:c>
      <x:c r="AD278" t="str">
        <x:v>0</x:v>
      </x:c>
      <x:c r="AE278" t="str">
        <x:v>N/A</x:v>
      </x:c>
    </x:row>
    <x:row r="279">
      <x:c r="A279" t="str">
        <x:v>51</x:v>
      </x:c>
      <x:c r="B279" t="str">
        <x:v>26739</x:v>
      </x:c>
      <x:c r="C279" t="str">
        <x:v>24</x:v>
      </x:c>
      <x:c r="D279" t="str">
        <x:v>3190500017</x:v>
      </x:c>
      <x:c r="E279" t="str">
        <x:v>BAG P/VEN PINUS 2200X25X7 RTO PET BCO CA</x:v>
      </x:c>
      <x:c r="F279" t="str"/>
      <x:c r="G279" t="str"/>
      <x:c r="H279" t="str"/>
      <x:c r="I279" t="str">
        <x:v>ESMALTE</x:v>
      </x:c>
      <x:c r="J279" t="str">
        <x:v>BRANCO CARRARA</x:v>
      </x:c>
      <x:c r="K279" t="str">
        <x:v>0</x:v>
      </x:c>
      <x:c r="L279" t="str">
        <x:v>6</x:v>
      </x:c>
      <x:c r="M279" t="str">
        <x:v>0,002</x:v>
      </x:c>
      <x:c r="N279" t="str"/>
      <x:c r="O279" t="str"/>
      <x:c r="P279" t="str">
        <x:v>Liberada Para Producao</x:v>
      </x:c>
      <x:c r="Q279" t="str">
        <x:v>609766</x:v>
      </x:c>
      <x:c r="R279" t="str">
        <x:v>0</x:v>
      </x:c>
      <x:c r="S279" t="str">
        <x:v>500</x:v>
      </x:c>
      <x:c r="T279" t="str">
        <x:v>BAGUETES PET/PVC</x:v>
      </x:c>
      <x:c r="U279" t="str"/>
      <x:c r="V279" t="str"/>
      <x:c r="W279" t="str">
        <x:v>N/A</x:v>
      </x:c>
      <x:c r="X279" t="str">
        <x:v>N/A</x:v>
      </x:c>
      <x:c r="Y279" t="str">
        <x:v>N/A</x:v>
      </x:c>
      <x:c r="Z279" t="str">
        <x:v>N/A</x:v>
      </x:c>
      <x:c r="AA279" t="str">
        <x:v>N/A</x:v>
      </x:c>
      <x:c r="AB279" t="str">
        <x:v>N/A</x:v>
      </x:c>
      <x:c r="AC279" t="str">
        <x:v>N/A</x:v>
      </x:c>
      <x:c r="AD279" t="str">
        <x:v>0</x:v>
      </x:c>
      <x:c r="AE279" t="str">
        <x:v>N/A</x:v>
      </x:c>
    </x:row>
    <x:row r="280">
      <x:c r="A280" t="str">
        <x:v>51</x:v>
      </x:c>
      <x:c r="B280" t="str">
        <x:v>26739</x:v>
      </x:c>
      <x:c r="C280" t="str">
        <x:v>25</x:v>
      </x:c>
      <x:c r="D280" t="str">
        <x:v>919640</x:v>
      </x:c>
      <x:c r="E280" t="str">
        <x:v>TR AL 1100X50X9 RTO LME REC PET BCO (ULT</x:v>
      </x:c>
      <x:c r="F280" t="str"/>
      <x:c r="G280" t="str"/>
      <x:c r="H280" t="str"/>
      <x:c r="I280" t="str">
        <x:v>ESMALTE</x:v>
      </x:c>
      <x:c r="J280" t="str">
        <x:v>BRANCO CARRARA</x:v>
      </x:c>
      <x:c r="K280" t="str">
        <x:v>0</x:v>
      </x:c>
      <x:c r="L280" t="str">
        <x:v>1</x:v>
      </x:c>
      <x:c r="M280" t="str">
        <x:v>0</x:v>
      </x:c>
      <x:c r="N280" t="str"/>
      <x:c r="O280" t="str"/>
      <x:c r="P280" t="str">
        <x:v>Liberada Para Producao</x:v>
      </x:c>
      <x:c r="Q280" t="str">
        <x:v>609769</x:v>
      </x:c>
      <x:c r="R280" t="str">
        <x:v>0</x:v>
      </x:c>
      <x:c r="S280" t="str"/>
      <x:c r="T280" t="str"/>
      <x:c r="U280" t="str"/>
      <x:c r="V280" t="str"/>
      <x:c r="W280" t="str">
        <x:v>N/A</x:v>
      </x:c>
      <x:c r="X280" t="str">
        <x:v>0</x:v>
      </x:c>
      <x:c r="Y280" t="str">
        <x:v>0</x:v>
      </x:c>
      <x:c r="Z280" t="str">
        <x:v>0</x:v>
      </x:c>
      <x:c r="AA280" t="str">
        <x:v>0</x:v>
      </x:c>
      <x:c r="AB280" t="str">
        <x:v>N/A</x:v>
      </x:c>
      <x:c r="AC280" t="str">
        <x:v>N/A</x:v>
      </x:c>
      <x:c r="AD280" t="str">
        <x:v>N/A</x:v>
      </x:c>
      <x:c r="AE280" t="str">
        <x:v>N/A</x:v>
      </x:c>
    </x:row>
    <x:row r="281">
      <x:c r="A281" t="str">
        <x:v>51</x:v>
      </x:c>
      <x:c r="B281" t="str">
        <x:v>26747</x:v>
      </x:c>
      <x:c r="C281" t="str">
        <x:v>11</x:v>
      </x:c>
      <x:c r="D281" t="str">
        <x:v>957319</x:v>
      </x:c>
      <x:c r="E281" t="str">
        <x:v>2130x130x30 S/RB R2L RTO PET BRC (UL)</x:v>
      </x:c>
      <x:c r="F281" t="str">
        <x:v>MDF ULTRA</x:v>
      </x:c>
      <x:c r="G281" t="str">
        <x:v>S/CANAL</x:v>
      </x:c>
      <x:c r="H281" t="str">
        <x:v>S/REB</x:v>
      </x:c>
      <x:c r="I281" t="str">
        <x:v>RECOBERTO PET</x:v>
      </x:c>
      <x:c r="J281" t="str">
        <x:v>BRANCO CARRARA</x:v>
      </x:c>
      <x:c r="K281" t="str">
        <x:v>0</x:v>
      </x:c>
      <x:c r="L281" t="str">
        <x:v>2</x:v>
      </x:c>
      <x:c r="M281" t="str">
        <x:v>0</x:v>
      </x:c>
      <x:c r="N281" t="str"/>
      <x:c r="O281" t="str"/>
      <x:c r="P281" t="str">
        <x:v>Liberada Para Producao</x:v>
      </x:c>
      <x:c r="Q281" t="str">
        <x:v>609021</x:v>
      </x:c>
      <x:c r="R281" t="str">
        <x:v>50</x:v>
      </x:c>
      <x:c r="S281" t="str"/>
      <x:c r="T281" t="str"/>
      <x:c r="U281" t="str"/>
      <x:c r="V281" t="str"/>
      <x:c r="W281" t="str">
        <x:v>N/A</x:v>
      </x:c>
      <x:c r="X281" t="str">
        <x:v>100</x:v>
      </x:c>
      <x:c r="Y281" t="str">
        <x:v>N/A</x:v>
      </x:c>
      <x:c r="Z281" t="str">
        <x:v>0</x:v>
      </x:c>
      <x:c r="AA281" t="str">
        <x:v>N/A</x:v>
      </x:c>
      <x:c r="AB281" t="str">
        <x:v>N/A</x:v>
      </x:c>
      <x:c r="AC281" t="str">
        <x:v>N/A</x:v>
      </x:c>
      <x:c r="AD281" t="str">
        <x:v>N/A</x:v>
      </x:c>
      <x:c r="AE281" t="str">
        <x:v>N/A</x:v>
      </x:c>
    </x:row>
    <x:row r="282">
      <x:c r="A282" t="str">
        <x:v>51</x:v>
      </x:c>
      <x:c r="B282" t="str">
        <x:v>26739</x:v>
      </x:c>
      <x:c r="C282" t="str">
        <x:v>25</x:v>
      </x:c>
      <x:c r="D282" t="str">
        <x:v>963311</x:v>
      </x:c>
      <x:c r="E282" t="str">
        <x:v>PE AL 2250X50X9 RTO LME REC PET BCO(ULTR</x:v>
      </x:c>
      <x:c r="F282" t="str"/>
      <x:c r="G282" t="str"/>
      <x:c r="H282" t="str"/>
      <x:c r="I282" t="str">
        <x:v>ESMALTE</x:v>
      </x:c>
      <x:c r="J282" t="str">
        <x:v>BRANCO CARRARA</x:v>
      </x:c>
      <x:c r="K282" t="str">
        <x:v>0</x:v>
      </x:c>
      <x:c r="L282" t="str">
        <x:v>2</x:v>
      </x:c>
      <x:c r="M282" t="str">
        <x:v>0</x:v>
      </x:c>
      <x:c r="N282" t="str"/>
      <x:c r="O282" t="str"/>
      <x:c r="P282" t="str">
        <x:v>Liberada Para Producao</x:v>
      </x:c>
      <x:c r="Q282" t="str">
        <x:v>609774</x:v>
      </x:c>
      <x:c r="R282" t="str">
        <x:v>0</x:v>
      </x:c>
      <x:c r="S282" t="str"/>
      <x:c r="T282" t="str"/>
      <x:c r="U282" t="str"/>
      <x:c r="V282" t="str"/>
      <x:c r="W282" t="str">
        <x:v>N/A</x:v>
      </x:c>
      <x:c r="X282" t="str">
        <x:v>0</x:v>
      </x:c>
      <x:c r="Y282" t="str">
        <x:v>0</x:v>
      </x:c>
      <x:c r="Z282" t="str">
        <x:v>0</x:v>
      </x:c>
      <x:c r="AA282" t="str">
        <x:v>N/A</x:v>
      </x:c>
      <x:c r="AB282" t="str">
        <x:v>N/A</x:v>
      </x:c>
      <x:c r="AC282" t="str">
        <x:v>N/A</x:v>
      </x:c>
      <x:c r="AD282" t="str">
        <x:v>N/A</x:v>
      </x:c>
      <x:c r="AE282" t="str">
        <x:v>N/A</x:v>
      </x:c>
    </x:row>
    <x:row r="283">
      <x:c r="A283" t="str">
        <x:v>51</x:v>
      </x:c>
      <x:c r="B283" t="str">
        <x:v>26739</x:v>
      </x:c>
      <x:c r="C283" t="str">
        <x:v>25</x:v>
      </x:c>
      <x:c r="D283" t="str">
        <x:v>966149</x:v>
      </x:c>
      <x:c r="E283" t="str">
        <x:v>TR AL 1100X50X9 RTO RL80 REC PET BCO (UL</x:v>
      </x:c>
      <x:c r="F283" t="str"/>
      <x:c r="G283" t="str"/>
      <x:c r="H283" t="str"/>
      <x:c r="I283" t="str">
        <x:v>ESMALTE</x:v>
      </x:c>
      <x:c r="J283" t="str">
        <x:v>BRANCO CARRARA</x:v>
      </x:c>
      <x:c r="K283" t="str">
        <x:v>0</x:v>
      </x:c>
      <x:c r="L283" t="str">
        <x:v>1</x:v>
      </x:c>
      <x:c r="M283" t="str">
        <x:v>0</x:v>
      </x:c>
      <x:c r="N283" t="str"/>
      <x:c r="O283" t="str"/>
      <x:c r="P283" t="str">
        <x:v>Liberada Para Producao</x:v>
      </x:c>
      <x:c r="Q283" t="str">
        <x:v>609775</x:v>
      </x:c>
      <x:c r="R283" t="str">
        <x:v>0</x:v>
      </x:c>
      <x:c r="S283" t="str"/>
      <x:c r="T283" t="str"/>
      <x:c r="U283" t="str"/>
      <x:c r="V283" t="str"/>
      <x:c r="W283" t="str">
        <x:v>N/A</x:v>
      </x:c>
      <x:c r="X283" t="str">
        <x:v>0</x:v>
      </x:c>
      <x:c r="Y283" t="str">
        <x:v>0</x:v>
      </x:c>
      <x:c r="Z283" t="str">
        <x:v>0</x:v>
      </x:c>
      <x:c r="AA283" t="str">
        <x:v>0</x:v>
      </x:c>
      <x:c r="AB283" t="str">
        <x:v>N/A</x:v>
      </x:c>
      <x:c r="AC283" t="str">
        <x:v>N/A</x:v>
      </x:c>
      <x:c r="AD283" t="str">
        <x:v>N/A</x:v>
      </x:c>
      <x:c r="AE283" t="str">
        <x:v>N/A</x:v>
      </x:c>
    </x:row>
    <x:row r="284">
      <x:c r="A284" t="str">
        <x:v>51</x:v>
      </x:c>
      <x:c r="B284" t="str">
        <x:v>26744</x:v>
      </x:c>
      <x:c r="C284" t="str">
        <x:v>5</x:v>
      </x:c>
      <x:c r="D284" t="str">
        <x:v>675290</x:v>
      </x:c>
      <x:c r="E284" t="str">
        <x:v>2130x130x30 S/REB R2L PET BCO (PREMIUM)</x:v>
      </x:c>
      <x:c r="F284" t="str">
        <x:v>MAD D/PINUS</x:v>
      </x:c>
      <x:c r="G284" t="str">
        <x:v>S/CANAL</x:v>
      </x:c>
      <x:c r="H284" t="str">
        <x:v>S/REB</x:v>
      </x:c>
      <x:c r="I284" t="str">
        <x:v>RECOBERTO PET</x:v>
      </x:c>
      <x:c r="J284" t="str">
        <x:v>BRANCO CARRARA</x:v>
      </x:c>
      <x:c r="K284" t="str">
        <x:v>0</x:v>
      </x:c>
      <x:c r="L284" t="str">
        <x:v>4</x:v>
      </x:c>
      <x:c r="M284" t="str">
        <x:v>0</x:v>
      </x:c>
      <x:c r="N284" t="str"/>
      <x:c r="O284" t="str"/>
      <x:c r="P284" t="str">
        <x:v>Liberada Para Producao</x:v>
      </x:c>
      <x:c r="Q284" t="str">
        <x:v>610015</x:v>
      </x:c>
      <x:c r="R284" t="str">
        <x:v>33,33</x:v>
      </x:c>
      <x:c r="S284" t="str"/>
      <x:c r="T284" t="str"/>
      <x:c r="U284" t="str"/>
      <x:c r="V284" t="str"/>
      <x:c r="W284" t="str">
        <x:v>100</x:v>
      </x:c>
      <x:c r="X284" t="str">
        <x:v>N/A</x:v>
      </x:c>
      <x:c r="Y284" t="str">
        <x:v>0</x:v>
      </x:c>
      <x:c r="Z284" t="str">
        <x:v>0</x:v>
      </x:c>
      <x:c r="AA284" t="str">
        <x:v>N/A</x:v>
      </x:c>
      <x:c r="AB284" t="str">
        <x:v>N/A</x:v>
      </x:c>
      <x:c r="AC284" t="str">
        <x:v>N/A</x:v>
      </x:c>
      <x:c r="AD284" t="str">
        <x:v>N/A</x:v>
      </x:c>
      <x:c r="AE284" t="str">
        <x:v>N/A</x:v>
      </x:c>
    </x:row>
    <x:row r="285">
      <x:c r="A285" t="str">
        <x:v>51</x:v>
      </x:c>
      <x:c r="B285" t="str">
        <x:v>26739</x:v>
      </x:c>
      <x:c r="C285" t="str">
        <x:v>25</x:v>
      </x:c>
      <x:c r="D285" t="str">
        <x:v>971601</x:v>
      </x:c>
      <x:c r="E285" t="str">
        <x:v>PE AL 2250X50X9 RTO RL80 REC PET BCO(ULT</x:v>
      </x:c>
      <x:c r="F285" t="str"/>
      <x:c r="G285" t="str"/>
      <x:c r="H285" t="str"/>
      <x:c r="I285" t="str">
        <x:v>ESMALTE</x:v>
      </x:c>
      <x:c r="J285" t="str">
        <x:v>BRANCO CARRARA</x:v>
      </x:c>
      <x:c r="K285" t="str">
        <x:v>0</x:v>
      </x:c>
      <x:c r="L285" t="str">
        <x:v>2</x:v>
      </x:c>
      <x:c r="M285" t="str">
        <x:v>0</x:v>
      </x:c>
      <x:c r="N285" t="str"/>
      <x:c r="O285" t="str"/>
      <x:c r="P285" t="str">
        <x:v>Liberada Para Producao</x:v>
      </x:c>
      <x:c r="Q285" t="str">
        <x:v>609777</x:v>
      </x:c>
      <x:c r="R285" t="str">
        <x:v>0</x:v>
      </x:c>
      <x:c r="S285" t="str"/>
      <x:c r="T285" t="str"/>
      <x:c r="U285" t="str"/>
      <x:c r="V285" t="str"/>
      <x:c r="W285" t="str">
        <x:v>N/A</x:v>
      </x:c>
      <x:c r="X285" t="str">
        <x:v>0</x:v>
      </x:c>
      <x:c r="Y285" t="str">
        <x:v>0</x:v>
      </x:c>
      <x:c r="Z285" t="str">
        <x:v>0</x:v>
      </x:c>
      <x:c r="AA285" t="str">
        <x:v>N/A</x:v>
      </x:c>
      <x:c r="AB285" t="str">
        <x:v>N/A</x:v>
      </x:c>
      <x:c r="AC285" t="str">
        <x:v>N/A</x:v>
      </x:c>
      <x:c r="AD285" t="str">
        <x:v>N/A</x:v>
      </x:c>
      <x:c r="AE285" t="str">
        <x:v>N/A</x:v>
      </x:c>
    </x:row>
    <x:row r="286">
      <x:c r="A286" t="str">
        <x:v>51</x:v>
      </x:c>
      <x:c r="B286" t="str">
        <x:v>26739</x:v>
      </x:c>
      <x:c r="C286" t="str">
        <x:v>25</x:v>
      </x:c>
      <x:c r="D286" t="str">
        <x:v>3040300238</x:v>
      </x:c>
      <x:c r="E286" t="str">
        <x:v>FO POR COL HDF 3 ESM BCO CAR 2100X620X35</x:v>
      </x:c>
      <x:c r="F286" t="str"/>
      <x:c r="G286" t="str"/>
      <x:c r="H286" t="str"/>
      <x:c r="I286" t="str">
        <x:v>ESMALTE</x:v>
      </x:c>
      <x:c r="J286" t="str">
        <x:v>BRANCO CARRARA</x:v>
      </x:c>
      <x:c r="K286" t="str">
        <x:v>0</x:v>
      </x:c>
      <x:c r="L286" t="str">
        <x:v>1</x:v>
      </x:c>
      <x:c r="M286" t="str">
        <x:v>0,046</x:v>
      </x:c>
      <x:c r="N286" t="str"/>
      <x:c r="O286" t="str"/>
      <x:c r="P286" t="str">
        <x:v>Liberada Para Producao</x:v>
      </x:c>
      <x:c r="Q286" t="str">
        <x:v>609778</x:v>
      </x:c>
      <x:c r="R286" t="str">
        <x:v>66,67</x:v>
      </x:c>
      <x:c r="S286" t="str">
        <x:v>1</x:v>
      </x:c>
      <x:c r="T286" t="str">
        <x:v>PORTA LINHA PREMIUM</x:v>
      </x:c>
      <x:c r="U286" t="str"/>
      <x:c r="V286" t="str"/>
      <x:c r="W286" t="str">
        <x:v>N/A</x:v>
      </x:c>
      <x:c r="X286" t="str">
        <x:v>100</x:v>
      </x:c>
      <x:c r="Y286" t="str">
        <x:v>N/A</x:v>
      </x:c>
      <x:c r="Z286" t="str">
        <x:v>N/A</x:v>
      </x:c>
      <x:c r="AA286" t="str">
        <x:v>N/A</x:v>
      </x:c>
      <x:c r="AB286" t="str">
        <x:v>100</x:v>
      </x:c>
      <x:c r="AC286" t="str">
        <x:v>N/A</x:v>
      </x:c>
      <x:c r="AD286" t="str">
        <x:v>0</x:v>
      </x:c>
      <x:c r="AE286" t="str">
        <x:v>N/A</x:v>
      </x:c>
    </x:row>
    <x:row r="287">
      <x:c r="A287" t="str">
        <x:v>51</x:v>
      </x:c>
      <x:c r="B287" t="str">
        <x:v>26739</x:v>
      </x:c>
      <x:c r="C287" t="str">
        <x:v>25</x:v>
      </x:c>
      <x:c r="D287" t="str">
        <x:v>3190500017</x:v>
      </x:c>
      <x:c r="E287" t="str">
        <x:v>BAG P/VEN PINUS 2200X25X7 RTO PET BCO CA</x:v>
      </x:c>
      <x:c r="F287" t="str"/>
      <x:c r="G287" t="str"/>
      <x:c r="H287" t="str"/>
      <x:c r="I287" t="str">
        <x:v>ESMALTE</x:v>
      </x:c>
      <x:c r="J287" t="str">
        <x:v>BRANCO CARRARA</x:v>
      </x:c>
      <x:c r="K287" t="str">
        <x:v>0</x:v>
      </x:c>
      <x:c r="L287" t="str">
        <x:v>3</x:v>
      </x:c>
      <x:c r="M287" t="str">
        <x:v>0,001</x:v>
      </x:c>
      <x:c r="N287" t="str"/>
      <x:c r="O287" t="str"/>
      <x:c r="P287" t="str">
        <x:v>Liberada Para Producao</x:v>
      </x:c>
      <x:c r="Q287" t="str">
        <x:v>609780</x:v>
      </x:c>
      <x:c r="R287" t="str">
        <x:v>0</x:v>
      </x:c>
      <x:c r="S287" t="str">
        <x:v>500</x:v>
      </x:c>
      <x:c r="T287" t="str">
        <x:v>BAGUETES PET/PVC</x:v>
      </x:c>
      <x:c r="U287" t="str"/>
      <x:c r="V287" t="str"/>
      <x:c r="W287" t="str">
        <x:v>N/A</x:v>
      </x:c>
      <x:c r="X287" t="str">
        <x:v>N/A</x:v>
      </x:c>
      <x:c r="Y287" t="str">
        <x:v>N/A</x:v>
      </x:c>
      <x:c r="Z287" t="str">
        <x:v>N/A</x:v>
      </x:c>
      <x:c r="AA287" t="str">
        <x:v>N/A</x:v>
      </x:c>
      <x:c r="AB287" t="str">
        <x:v>N/A</x:v>
      </x:c>
      <x:c r="AC287" t="str">
        <x:v>N/A</x:v>
      </x:c>
      <x:c r="AD287" t="str">
        <x:v>0</x:v>
      </x:c>
      <x:c r="AE287" t="str">
        <x:v>N/A</x:v>
      </x:c>
    </x:row>
    <x:row r="288">
      <x:c r="A288" t="str">
        <x:v>51</x:v>
      </x:c>
      <x:c r="B288" t="str">
        <x:v>26739</x:v>
      </x:c>
      <x:c r="C288" t="str">
        <x:v>26</x:v>
      </x:c>
      <x:c r="D288" t="str">
        <x:v>675659</x:v>
      </x:c>
      <x:c r="E288" t="str">
        <x:v>BAGUETE 2200X40X14 RTO BTA. REC PET BRC</x:v>
      </x:c>
      <x:c r="F288" t="str"/>
      <x:c r="G288" t="str"/>
      <x:c r="H288" t="str"/>
      <x:c r="I288" t="str">
        <x:v>RECOBERTO PET</x:v>
      </x:c>
      <x:c r="J288" t="str">
        <x:v>BRANCO CARRARA</x:v>
      </x:c>
      <x:c r="K288" t="str">
        <x:v>0</x:v>
      </x:c>
      <x:c r="L288" t="str">
        <x:v>35</x:v>
      </x:c>
      <x:c r="M288" t="str">
        <x:v>0,043</x:v>
      </x:c>
      <x:c r="N288" t="str"/>
      <x:c r="O288" t="str"/>
      <x:c r="P288" t="str">
        <x:v>Liberada Para Producao</x:v>
      </x:c>
      <x:c r="Q288" t="str">
        <x:v>609782</x:v>
      </x:c>
      <x:c r="R288" t="str">
        <x:v>0</x:v>
      </x:c>
      <x:c r="S288" t="str"/>
      <x:c r="T288" t="str"/>
      <x:c r="U288" t="str"/>
      <x:c r="V288" t="str"/>
      <x:c r="W288" t="str">
        <x:v>N/A</x:v>
      </x:c>
      <x:c r="X288" t="str">
        <x:v>N/A</x:v>
      </x:c>
      <x:c r="Y288" t="str">
        <x:v>0</x:v>
      </x:c>
      <x:c r="Z288" t="str">
        <x:v>0</x:v>
      </x:c>
      <x:c r="AA288" t="str">
        <x:v>0</x:v>
      </x:c>
      <x:c r="AB288" t="str">
        <x:v>N/A</x:v>
      </x:c>
      <x:c r="AC288" t="str">
        <x:v>N/A</x:v>
      </x:c>
      <x:c r="AD288" t="str">
        <x:v>0</x:v>
      </x:c>
      <x:c r="AE288" t="str">
        <x:v>N/A</x:v>
      </x:c>
    </x:row>
    <x:row r="289">
      <x:c r="A289" t="str">
        <x:v>51</x:v>
      </x:c>
      <x:c r="B289" t="str">
        <x:v>26739</x:v>
      </x:c>
      <x:c r="C289" t="str">
        <x:v>27</x:v>
      </x:c>
      <x:c r="D289" t="str">
        <x:v>3020701843</x:v>
      </x:c>
      <x:c r="E289" t="str">
        <x:v>BAND DOB ULTRA 700X1166X9 PVC R BCO RTO</x:v>
      </x:c>
      <x:c r="F289" t="str"/>
      <x:c r="G289" t="str"/>
      <x:c r="H289" t="str"/>
      <x:c r="I289" t="str">
        <x:v>RECOBERTO PVC RENOLIT</x:v>
      </x:c>
      <x:c r="J289" t="str">
        <x:v>BRANCO</x:v>
      </x:c>
      <x:c r="K289" t="str">
        <x:v>0</x:v>
      </x:c>
      <x:c r="L289" t="str">
        <x:v>12</x:v>
      </x:c>
      <x:c r="M289" t="str">
        <x:v>0,088</x:v>
      </x:c>
      <x:c r="N289" t="str"/>
      <x:c r="O289" t="str"/>
      <x:c r="P289" t="str">
        <x:v>Liberada Para Producao</x:v>
      </x:c>
      <x:c r="Q289" t="str">
        <x:v>609783</x:v>
      </x:c>
      <x:c r="R289" t="str">
        <x:v>0</x:v>
      </x:c>
      <x:c r="S289" t="str"/>
      <x:c r="T289" t="str"/>
      <x:c r="U289" t="str"/>
      <x:c r="V289" t="str"/>
      <x:c r="W289" t="str">
        <x:v>N/A</x:v>
      </x:c>
      <x:c r="X289" t="str">
        <x:v>N/A</x:v>
      </x:c>
      <x:c r="Y289" t="str">
        <x:v>N/A</x:v>
      </x:c>
      <x:c r="Z289" t="str">
        <x:v>N/A</x:v>
      </x:c>
      <x:c r="AA289" t="str">
        <x:v>N/A</x:v>
      </x:c>
      <x:c r="AB289" t="str">
        <x:v>N/A</x:v>
      </x:c>
      <x:c r="AC289" t="str">
        <x:v>0</x:v>
      </x:c>
      <x:c r="AD289" t="str">
        <x:v>0</x:v>
      </x:c>
      <x:c r="AE289" t="str">
        <x:v>N/A</x:v>
      </x:c>
    </x:row>
    <x:row r="290">
      <x:c r="A290" t="str">
        <x:v>51</x:v>
      </x:c>
      <x:c r="B290" t="str">
        <x:v>26747</x:v>
      </x:c>
      <x:c r="C290" t="str">
        <x:v>13</x:v>
      </x:c>
      <x:c r="D290" t="str">
        <x:v>919766</x:v>
      </x:c>
      <x:c r="E290" t="str">
        <x:v>2130x150x30 S/REB R2L R1 PET BRC (UL)</x:v>
      </x:c>
      <x:c r="F290" t="str">
        <x:v>MDF ULTRA</x:v>
      </x:c>
      <x:c r="G290" t="str">
        <x:v>S/CANAL</x:v>
      </x:c>
      <x:c r="H290" t="str">
        <x:v>S/REB</x:v>
      </x:c>
      <x:c r="I290" t="str">
        <x:v>RECOBERTO PET</x:v>
      </x:c>
      <x:c r="J290" t="str">
        <x:v>BRANCO CARRARA</x:v>
      </x:c>
      <x:c r="K290" t="str">
        <x:v>0</x:v>
      </x:c>
      <x:c r="L290" t="str">
        <x:v>2</x:v>
      </x:c>
      <x:c r="M290" t="str">
        <x:v>0</x:v>
      </x:c>
      <x:c r="N290" t="str"/>
      <x:c r="O290" t="str"/>
      <x:c r="P290" t="str">
        <x:v>Liberada Para Producao</x:v>
      </x:c>
      <x:c r="Q290" t="str">
        <x:v>609029</x:v>
      </x:c>
      <x:c r="R290" t="str">
        <x:v>50</x:v>
      </x:c>
      <x:c r="S290" t="str"/>
      <x:c r="T290" t="str"/>
      <x:c r="U290" t="str"/>
      <x:c r="V290" t="str"/>
      <x:c r="W290" t="str">
        <x:v>N/A</x:v>
      </x:c>
      <x:c r="X290" t="str">
        <x:v>100</x:v>
      </x:c>
      <x:c r="Y290" t="str">
        <x:v>N/A</x:v>
      </x:c>
      <x:c r="Z290" t="str">
        <x:v>0</x:v>
      </x:c>
      <x:c r="AA290" t="str">
        <x:v>N/A</x:v>
      </x:c>
      <x:c r="AB290" t="str">
        <x:v>N/A</x:v>
      </x:c>
      <x:c r="AC290" t="str">
        <x:v>N/A</x:v>
      </x:c>
      <x:c r="AD290" t="str">
        <x:v>N/A</x:v>
      </x:c>
      <x:c r="AE290" t="str">
        <x:v>N/A</x:v>
      </x:c>
    </x:row>
    <x:row r="291">
      <x:c r="A291" t="str">
        <x:v>51</x:v>
      </x:c>
      <x:c r="B291" t="str">
        <x:v>26744</x:v>
      </x:c>
      <x:c r="C291" t="str">
        <x:v>1</x:v>
      </x:c>
      <x:c r="D291" t="str">
        <x:v>675803</x:v>
      </x:c>
      <x:c r="E291" t="str">
        <x:v>647x130x30 42x10 R2L BIA PET BC(PREMIUM)</x:v>
      </x:c>
      <x:c r="F291" t="str"/>
      <x:c r="G291" t="str"/>
      <x:c r="H291" t="str"/>
      <x:c r="I291" t="str">
        <x:v>RECOBERTO PET</x:v>
      </x:c>
      <x:c r="J291" t="str">
        <x:v>BRANCO CARRARA</x:v>
      </x:c>
      <x:c r="K291" t="str">
        <x:v>0</x:v>
      </x:c>
      <x:c r="L291" t="str">
        <x:v>4</x:v>
      </x:c>
      <x:c r="M291" t="str">
        <x:v>0</x:v>
      </x:c>
      <x:c r="N291" t="str"/>
      <x:c r="O291" t="str"/>
      <x:c r="P291" t="str">
        <x:v>Liberada Para Producao</x:v>
      </x:c>
      <x:c r="Q291" t="str">
        <x:v>609988</x:v>
      </x:c>
      <x:c r="R291" t="str">
        <x:v>0</x:v>
      </x:c>
      <x:c r="S291" t="str"/>
      <x:c r="T291" t="str"/>
      <x:c r="U291" t="str"/>
      <x:c r="V291" t="str"/>
      <x:c r="W291" t="str">
        <x:v>N/A</x:v>
      </x:c>
      <x:c r="X291" t="str">
        <x:v>N/A</x:v>
      </x:c>
      <x:c r="Y291" t="str">
        <x:v>0</x:v>
      </x:c>
      <x:c r="Z291" t="str">
        <x:v>0</x:v>
      </x:c>
      <x:c r="AA291" t="str">
        <x:v>0</x:v>
      </x:c>
      <x:c r="AB291" t="str">
        <x:v>N/A</x:v>
      </x:c>
      <x:c r="AC291" t="str">
        <x:v>N/A</x:v>
      </x:c>
      <x:c r="AD291" t="str">
        <x:v>N/A</x:v>
      </x:c>
      <x:c r="AE291" t="str">
        <x:v>N/A</x:v>
      </x:c>
    </x:row>
    <x:row r="292">
      <x:c r="A292" t="str">
        <x:v>51</x:v>
      </x:c>
      <x:c r="B292" t="str">
        <x:v>26744</x:v>
      </x:c>
      <x:c r="C292" t="str">
        <x:v>1</x:v>
      </x:c>
      <x:c r="D292" t="str">
        <x:v>919640</x:v>
      </x:c>
      <x:c r="E292" t="str">
        <x:v>TR AL 1100X50X9 RTO LME REC PET BCO (ULT</x:v>
      </x:c>
      <x:c r="F292" t="str"/>
      <x:c r="G292" t="str"/>
      <x:c r="H292" t="str"/>
      <x:c r="I292" t="str">
        <x:v>RECOBERTO PET</x:v>
      </x:c>
      <x:c r="J292" t="str">
        <x:v>BRANCO CARRARA</x:v>
      </x:c>
      <x:c r="K292" t="str">
        <x:v>0</x:v>
      </x:c>
      <x:c r="L292" t="str">
        <x:v>4</x:v>
      </x:c>
      <x:c r="M292" t="str">
        <x:v>0</x:v>
      </x:c>
      <x:c r="N292" t="str"/>
      <x:c r="O292" t="str"/>
      <x:c r="P292" t="str">
        <x:v>Liberada Para Producao</x:v>
      </x:c>
      <x:c r="Q292" t="str">
        <x:v>609989</x:v>
      </x:c>
      <x:c r="R292" t="str">
        <x:v>0</x:v>
      </x:c>
      <x:c r="S292" t="str"/>
      <x:c r="T292" t="str"/>
      <x:c r="U292" t="str"/>
      <x:c r="V292" t="str"/>
      <x:c r="W292" t="str">
        <x:v>N/A</x:v>
      </x:c>
      <x:c r="X292" t="str">
        <x:v>0</x:v>
      </x:c>
      <x:c r="Y292" t="str">
        <x:v>0</x:v>
      </x:c>
      <x:c r="Z292" t="str">
        <x:v>0</x:v>
      </x:c>
      <x:c r="AA292" t="str">
        <x:v>0</x:v>
      </x:c>
      <x:c r="AB292" t="str">
        <x:v>N/A</x:v>
      </x:c>
      <x:c r="AC292" t="str">
        <x:v>N/A</x:v>
      </x:c>
      <x:c r="AD292" t="str">
        <x:v>N/A</x:v>
      </x:c>
      <x:c r="AE292" t="str">
        <x:v>N/A</x:v>
      </x:c>
    </x:row>
    <x:row r="293">
      <x:c r="A293" t="str">
        <x:v>51</x:v>
      </x:c>
      <x:c r="B293" t="str">
        <x:v>26744</x:v>
      </x:c>
      <x:c r="C293" t="str">
        <x:v>1</x:v>
      </x:c>
      <x:c r="D293" t="str">
        <x:v>962729</x:v>
      </x:c>
      <x:c r="E293" t="str">
        <x:v>PE AL 2200X50X9 RTO RL35 REC PET BCO(ULT</x:v>
      </x:c>
      <x:c r="F293" t="str"/>
      <x:c r="G293" t="str"/>
      <x:c r="H293" t="str"/>
      <x:c r="I293" t="str">
        <x:v>RECOBERTO PET</x:v>
      </x:c>
      <x:c r="J293" t="str">
        <x:v>BRANCO CARRARA</x:v>
      </x:c>
      <x:c r="K293" t="str">
        <x:v>0</x:v>
      </x:c>
      <x:c r="L293" t="str">
        <x:v>8</x:v>
      </x:c>
      <x:c r="M293" t="str">
        <x:v>0</x:v>
      </x:c>
      <x:c r="N293" t="str"/>
      <x:c r="O293" t="str"/>
      <x:c r="P293" t="str">
        <x:v>Liberada Para Producao</x:v>
      </x:c>
      <x:c r="Q293" t="str">
        <x:v>609990</x:v>
      </x:c>
      <x:c r="R293" t="str">
        <x:v>0</x:v>
      </x:c>
      <x:c r="S293" t="str"/>
      <x:c r="T293" t="str"/>
      <x:c r="U293" t="str"/>
      <x:c r="V293" t="str"/>
      <x:c r="W293" t="str">
        <x:v>N/A</x:v>
      </x:c>
      <x:c r="X293" t="str">
        <x:v>0</x:v>
      </x:c>
      <x:c r="Y293" t="str">
        <x:v>0</x:v>
      </x:c>
      <x:c r="Z293" t="str">
        <x:v>0</x:v>
      </x:c>
      <x:c r="AA293" t="str">
        <x:v>N/A</x:v>
      </x:c>
      <x:c r="AB293" t="str">
        <x:v>N/A</x:v>
      </x:c>
      <x:c r="AC293" t="str">
        <x:v>N/A</x:v>
      </x:c>
      <x:c r="AD293" t="str">
        <x:v>N/A</x:v>
      </x:c>
      <x:c r="AE293" t="str">
        <x:v>N/A</x:v>
      </x:c>
    </x:row>
    <x:row r="294">
      <x:c r="A294" t="str">
        <x:v>51</x:v>
      </x:c>
      <x:c r="B294" t="str">
        <x:v>26744</x:v>
      </x:c>
      <x:c r="C294" t="str">
        <x:v>1</x:v>
      </x:c>
      <x:c r="D294" t="str">
        <x:v>962730</x:v>
      </x:c>
      <x:c r="E294" t="str">
        <x:v>TR AL 1000X50X9 RTO RL35 REC PET BCO (UL</x:v>
      </x:c>
      <x:c r="F294" t="str"/>
      <x:c r="G294" t="str"/>
      <x:c r="H294" t="str"/>
      <x:c r="I294" t="str">
        <x:v>RECOBERTO PET</x:v>
      </x:c>
      <x:c r="J294" t="str">
        <x:v>BRANCO CARRARA</x:v>
      </x:c>
      <x:c r="K294" t="str">
        <x:v>0</x:v>
      </x:c>
      <x:c r="L294" t="str">
        <x:v>4</x:v>
      </x:c>
      <x:c r="M294" t="str">
        <x:v>0</x:v>
      </x:c>
      <x:c r="N294" t="str"/>
      <x:c r="O294" t="str"/>
      <x:c r="P294" t="str">
        <x:v>Liberada Para Producao</x:v>
      </x:c>
      <x:c r="Q294" t="str">
        <x:v>609991</x:v>
      </x:c>
      <x:c r="R294" t="str">
        <x:v>0</x:v>
      </x:c>
      <x:c r="S294" t="str"/>
      <x:c r="T294" t="str"/>
      <x:c r="U294" t="str"/>
      <x:c r="V294" t="str"/>
      <x:c r="W294" t="str">
        <x:v>N/A</x:v>
      </x:c>
      <x:c r="X294" t="str">
        <x:v>0</x:v>
      </x:c>
      <x:c r="Y294" t="str">
        <x:v>0</x:v>
      </x:c>
      <x:c r="Z294" t="str">
        <x:v>0</x:v>
      </x:c>
      <x:c r="AA294" t="str">
        <x:v>0</x:v>
      </x:c>
      <x:c r="AB294" t="str">
        <x:v>N/A</x:v>
      </x:c>
      <x:c r="AC294" t="str">
        <x:v>N/A</x:v>
      </x:c>
      <x:c r="AD294" t="str">
        <x:v>N/A</x:v>
      </x:c>
      <x:c r="AE294" t="str">
        <x:v>N/A</x:v>
      </x:c>
    </x:row>
    <x:row r="295">
      <x:c r="A295" t="str">
        <x:v>51</x:v>
      </x:c>
      <x:c r="B295" t="str">
        <x:v>26744</x:v>
      </x:c>
      <x:c r="C295" t="str">
        <x:v>1</x:v>
      </x:c>
      <x:c r="D295" t="str">
        <x:v>963311</x:v>
      </x:c>
      <x:c r="E295" t="str">
        <x:v>PE AL 2250X50X9 RTO LME REC PET BCO(ULTR</x:v>
      </x:c>
      <x:c r="F295" t="str"/>
      <x:c r="G295" t="str"/>
      <x:c r="H295" t="str"/>
      <x:c r="I295" t="str">
        <x:v>RECOBERTO PET</x:v>
      </x:c>
      <x:c r="J295" t="str">
        <x:v>BRANCO CARRARA</x:v>
      </x:c>
      <x:c r="K295" t="str">
        <x:v>0</x:v>
      </x:c>
      <x:c r="L295" t="str">
        <x:v>8</x:v>
      </x:c>
      <x:c r="M295" t="str">
        <x:v>0</x:v>
      </x:c>
      <x:c r="N295" t="str"/>
      <x:c r="O295" t="str"/>
      <x:c r="P295" t="str">
        <x:v>Liberada Para Producao</x:v>
      </x:c>
      <x:c r="Q295" t="str">
        <x:v>609992</x:v>
      </x:c>
      <x:c r="R295" t="str">
        <x:v>0</x:v>
      </x:c>
      <x:c r="S295" t="str"/>
      <x:c r="T295" t="str"/>
      <x:c r="U295" t="str"/>
      <x:c r="V295" t="str"/>
      <x:c r="W295" t="str">
        <x:v>N/A</x:v>
      </x:c>
      <x:c r="X295" t="str">
        <x:v>0</x:v>
      </x:c>
      <x:c r="Y295" t="str">
        <x:v>0</x:v>
      </x:c>
      <x:c r="Z295" t="str">
        <x:v>0</x:v>
      </x:c>
      <x:c r="AA295" t="str">
        <x:v>N/A</x:v>
      </x:c>
      <x:c r="AB295" t="str">
        <x:v>N/A</x:v>
      </x:c>
      <x:c r="AC295" t="str">
        <x:v>N/A</x:v>
      </x:c>
      <x:c r="AD295" t="str">
        <x:v>N/A</x:v>
      </x:c>
      <x:c r="AE295" t="str">
        <x:v>N/A</x:v>
      </x:c>
    </x:row>
    <x:row r="296">
      <x:c r="A296" t="str">
        <x:v>51</x:v>
      </x:c>
      <x:c r="B296" t="str">
        <x:v>26744</x:v>
      </x:c>
      <x:c r="C296" t="str">
        <x:v>1</x:v>
      </x:c>
      <x:c r="D296" t="str">
        <x:v>968430</x:v>
      </x:c>
      <x:c r="E296" t="str">
        <x:v>FEC.WC MALIBU OVAL I.E.55X70PY53R38</x:v>
      </x:c>
      <x:c r="F296" t="str"/>
      <x:c r="G296" t="str"/>
      <x:c r="H296" t="str"/>
      <x:c r="I296" t="str">
        <x:v>RECOBERTO PET</x:v>
      </x:c>
      <x:c r="J296" t="str">
        <x:v>BRANCO CARRARA</x:v>
      </x:c>
      <x:c r="K296" t="str">
        <x:v>0</x:v>
      </x:c>
      <x:c r="L296" t="str">
        <x:v>4</x:v>
      </x:c>
      <x:c r="M296" t="str">
        <x:v>0</x:v>
      </x:c>
      <x:c r="N296" t="str"/>
      <x:c r="O296" t="str"/>
      <x:c r="P296" t="str">
        <x:v>Liberada Para Producao</x:v>
      </x:c>
      <x:c r="Q296" t="str">
        <x:v>609993</x:v>
      </x:c>
      <x:c r="R296" t="str">
        <x:v>0</x:v>
      </x:c>
      <x:c r="S296" t="str"/>
      <x:c r="T296" t="str"/>
      <x:c r="U296" t="str"/>
      <x:c r="V296" t="str"/>
      <x:c r="W296" t="str">
        <x:v>N/A</x:v>
      </x:c>
      <x:c r="X296" t="str">
        <x:v>N/A</x:v>
      </x:c>
      <x:c r="Y296" t="str">
        <x:v>N/A</x:v>
      </x:c>
      <x:c r="Z296" t="str">
        <x:v>N/A</x:v>
      </x:c>
      <x:c r="AA296" t="str">
        <x:v>N/A</x:v>
      </x:c>
      <x:c r="AB296" t="str">
        <x:v>N/A</x:v>
      </x:c>
      <x:c r="AC296" t="str">
        <x:v>N/A</x:v>
      </x:c>
      <x:c r="AD296" t="str">
        <x:v>0</x:v>
      </x:c>
      <x:c r="AE296" t="str">
        <x:v>N/A</x:v>
      </x:c>
    </x:row>
    <x:row r="297">
      <x:c r="A297" t="str">
        <x:v>51</x:v>
      </x:c>
      <x:c r="B297" t="str">
        <x:v>26744</x:v>
      </x:c>
      <x:c r="C297" t="str">
        <x:v>1</x:v>
      </x:c>
      <x:c r="D297" t="str">
        <x:v>3041500674</x:v>
      </x:c>
      <x:c r="E297" t="str">
        <x:v>FO POR S BD HDF 3 RU 2100X600X35 PET BCO</x:v>
      </x:c>
      <x:c r="F297" t="str"/>
      <x:c r="G297" t="str"/>
      <x:c r="H297" t="str"/>
      <x:c r="I297" t="str">
        <x:v>RECOBERTO PET</x:v>
      </x:c>
      <x:c r="J297" t="str">
        <x:v>BRANCO CARRARA</x:v>
      </x:c>
      <x:c r="K297" t="str">
        <x:v>0</x:v>
      </x:c>
      <x:c r="L297" t="str">
        <x:v>4</x:v>
      </x:c>
      <x:c r="M297" t="str">
        <x:v>0,176</x:v>
      </x:c>
      <x:c r="N297" t="str"/>
      <x:c r="O297" t="str"/>
      <x:c r="P297" t="str">
        <x:v>Liberada Para Producao</x:v>
      </x:c>
      <x:c r="Q297" t="str">
        <x:v>609994</x:v>
      </x:c>
      <x:c r="R297" t="str">
        <x:v>0</x:v>
      </x:c>
      <x:c r="S297" t="str">
        <x:v>2</x:v>
      </x:c>
      <x:c r="T297" t="str">
        <x:v>PORTA LINHA VANGUARD</x:v>
      </x:c>
      <x:c r="U297" t="str"/>
      <x:c r="V297" t="str"/>
      <x:c r="W297" t="str">
        <x:v>N/A</x:v>
      </x:c>
      <x:c r="X297" t="str">
        <x:v>N/A</x:v>
      </x:c>
      <x:c r="Y297" t="str">
        <x:v>N/A</x:v>
      </x:c>
      <x:c r="Z297" t="str">
        <x:v>N/A</x:v>
      </x:c>
      <x:c r="AA297" t="str">
        <x:v>N/A</x:v>
      </x:c>
      <x:c r="AB297" t="str">
        <x:v>N/A</x:v>
      </x:c>
      <x:c r="AC297" t="str">
        <x:v>N/A</x:v>
      </x:c>
      <x:c r="AD297" t="str">
        <x:v>0</x:v>
      </x:c>
      <x:c r="AE297" t="str">
        <x:v>N/A</x:v>
      </x:c>
    </x:row>
    <x:row r="298">
      <x:c r="A298" t="str">
        <x:v>51</x:v>
      </x:c>
      <x:c r="B298" t="str">
        <x:v>26808</x:v>
      </x:c>
      <x:c r="C298" t="str">
        <x:v>2</x:v>
      </x:c>
      <x:c r="D298" t="str">
        <x:v>675803</x:v>
      </x:c>
      <x:c r="E298" t="str">
        <x:v>647x130x30 42x10 R2L BIA PET BC(PREMIUM)</x:v>
      </x:c>
      <x:c r="F298" t="str"/>
      <x:c r="G298" t="str"/>
      <x:c r="H298" t="str"/>
      <x:c r="I298" t="str">
        <x:v>ESMALTE</x:v>
      </x:c>
      <x:c r="J298" t="str">
        <x:v>BRANCO CARRARA</x:v>
      </x:c>
      <x:c r="K298" t="str">
        <x:v>0</x:v>
      </x:c>
      <x:c r="L298" t="str">
        <x:v>16</x:v>
      </x:c>
      <x:c r="M298" t="str">
        <x:v>0</x:v>
      </x:c>
      <x:c r="N298" t="str"/>
      <x:c r="O298" t="str"/>
      <x:c r="P298" t="str">
        <x:v>Liberada Para Producao</x:v>
      </x:c>
      <x:c r="Q298" t="str">
        <x:v>608905</x:v>
      </x:c>
      <x:c r="R298" t="str">
        <x:v>0</x:v>
      </x:c>
      <x:c r="S298" t="str"/>
      <x:c r="T298" t="str"/>
      <x:c r="U298" t="str"/>
      <x:c r="V298" t="str"/>
      <x:c r="W298" t="str">
        <x:v>N/A</x:v>
      </x:c>
      <x:c r="X298" t="str">
        <x:v>N/A</x:v>
      </x:c>
      <x:c r="Y298" t="str">
        <x:v>0</x:v>
      </x:c>
      <x:c r="Z298" t="str">
        <x:v>0</x:v>
      </x:c>
      <x:c r="AA298" t="str">
        <x:v>0</x:v>
      </x:c>
      <x:c r="AB298" t="str">
        <x:v>N/A</x:v>
      </x:c>
      <x:c r="AC298" t="str">
        <x:v>N/A</x:v>
      </x:c>
      <x:c r="AD298" t="str">
        <x:v>N/A</x:v>
      </x:c>
      <x:c r="AE298" t="str">
        <x:v>N/A</x:v>
      </x:c>
    </x:row>
    <x:row r="299">
      <x:c r="A299" t="str">
        <x:v>51</x:v>
      </x:c>
      <x:c r="B299" t="str">
        <x:v>26520</x:v>
      </x:c>
      <x:c r="C299" t="str">
        <x:v>5</x:v>
      </x:c>
      <x:c r="D299" t="str">
        <x:v>976390</x:v>
      </x:c>
      <x:c r="E299" t="str">
        <x:v>647x130x30 42x10 R2L RT BIA PET CNZ T(UL</x:v>
      </x:c>
      <x:c r="F299" t="str"/>
      <x:c r="G299" t="str"/>
      <x:c r="H299" t="str"/>
      <x:c r="I299" t="str">
        <x:v>RECOBERTO PET</x:v>
      </x:c>
      <x:c r="J299" t="str">
        <x:v>CINZA VERONA</x:v>
      </x:c>
      <x:c r="K299" t="str">
        <x:v>0</x:v>
      </x:c>
      <x:c r="L299" t="str">
        <x:v>1</x:v>
      </x:c>
      <x:c r="M299" t="str">
        <x:v>0</x:v>
      </x:c>
      <x:c r="N299" t="str"/>
      <x:c r="O299" t="str"/>
      <x:c r="P299" t="str">
        <x:v>Liberada Para Producao</x:v>
      </x:c>
      <x:c r="Q299" t="str">
        <x:v>610100</x:v>
      </x:c>
      <x:c r="R299" t="str">
        <x:v>0</x:v>
      </x:c>
      <x:c r="S299" t="str"/>
      <x:c r="T299" t="str"/>
      <x:c r="U299" t="str"/>
      <x:c r="V299" t="str"/>
      <x:c r="W299" t="str">
        <x:v>N/A</x:v>
      </x:c>
      <x:c r="X299" t="str">
        <x:v>N/A</x:v>
      </x:c>
      <x:c r="Y299" t="str">
        <x:v>N/A</x:v>
      </x:c>
      <x:c r="Z299" t="str">
        <x:v>0</x:v>
      </x:c>
      <x:c r="AA299" t="str">
        <x:v>0</x:v>
      </x:c>
      <x:c r="AB299" t="str">
        <x:v>N/A</x:v>
      </x:c>
      <x:c r="AC299" t="str">
        <x:v>N/A</x:v>
      </x:c>
      <x:c r="AD299" t="str">
        <x:v>N/A</x:v>
      </x:c>
      <x:c r="AE299" t="str">
        <x:v>N/A</x:v>
      </x:c>
    </x:row>
    <x:row r="300">
      <x:c r="A300" t="str">
        <x:v>51</x:v>
      </x:c>
      <x:c r="B300" t="str">
        <x:v>26744</x:v>
      </x:c>
      <x:c r="C300" t="str">
        <x:v>2</x:v>
      </x:c>
      <x:c r="D300" t="str">
        <x:v>919640</x:v>
      </x:c>
      <x:c r="E300" t="str">
        <x:v>TR AL 1100X50X9 RTO LME REC PET BCO (ULT</x:v>
      </x:c>
      <x:c r="F300" t="str"/>
      <x:c r="G300" t="str"/>
      <x:c r="H300" t="str"/>
      <x:c r="I300" t="str">
        <x:v>RECOBERTO PET</x:v>
      </x:c>
      <x:c r="J300" t="str">
        <x:v>BRANCO CARRARA</x:v>
      </x:c>
      <x:c r="K300" t="str">
        <x:v>0</x:v>
      </x:c>
      <x:c r="L300" t="str">
        <x:v>5</x:v>
      </x:c>
      <x:c r="M300" t="str">
        <x:v>0</x:v>
      </x:c>
      <x:c r="N300" t="str"/>
      <x:c r="O300" t="str"/>
      <x:c r="P300" t="str">
        <x:v>Liberada Para Producao</x:v>
      </x:c>
      <x:c r="Q300" t="str">
        <x:v>609998</x:v>
      </x:c>
      <x:c r="R300" t="str">
        <x:v>0</x:v>
      </x:c>
      <x:c r="S300" t="str"/>
      <x:c r="T300" t="str"/>
      <x:c r="U300" t="str"/>
      <x:c r="V300" t="str"/>
      <x:c r="W300" t="str">
        <x:v>N/A</x:v>
      </x:c>
      <x:c r="X300" t="str">
        <x:v>0</x:v>
      </x:c>
      <x:c r="Y300" t="str">
        <x:v>0</x:v>
      </x:c>
      <x:c r="Z300" t="str">
        <x:v>0</x:v>
      </x:c>
      <x:c r="AA300" t="str">
        <x:v>0</x:v>
      </x:c>
      <x:c r="AB300" t="str">
        <x:v>N/A</x:v>
      </x:c>
      <x:c r="AC300" t="str">
        <x:v>N/A</x:v>
      </x:c>
      <x:c r="AD300" t="str">
        <x:v>N/A</x:v>
      </x:c>
      <x:c r="AE300" t="str">
        <x:v>N/A</x:v>
      </x:c>
    </x:row>
    <x:row r="301">
      <x:c r="A301" t="str">
        <x:v>51</x:v>
      </x:c>
      <x:c r="B301" t="str">
        <x:v>26744</x:v>
      </x:c>
      <x:c r="C301" t="str">
        <x:v>2</x:v>
      </x:c>
      <x:c r="D301" t="str">
        <x:v>962729</x:v>
      </x:c>
      <x:c r="E301" t="str">
        <x:v>PE AL 2200X50X9 RTO RL35 REC PET BCO(ULT</x:v>
      </x:c>
      <x:c r="F301" t="str"/>
      <x:c r="G301" t="str"/>
      <x:c r="H301" t="str"/>
      <x:c r="I301" t="str">
        <x:v>RECOBERTO PET</x:v>
      </x:c>
      <x:c r="J301" t="str">
        <x:v>BRANCO CARRARA</x:v>
      </x:c>
      <x:c r="K301" t="str">
        <x:v>0</x:v>
      </x:c>
      <x:c r="L301" t="str">
        <x:v>10</x:v>
      </x:c>
      <x:c r="M301" t="str">
        <x:v>0</x:v>
      </x:c>
      <x:c r="N301" t="str"/>
      <x:c r="O301" t="str"/>
      <x:c r="P301" t="str">
        <x:v>Liberada Para Producao</x:v>
      </x:c>
      <x:c r="Q301" t="str">
        <x:v>609999</x:v>
      </x:c>
      <x:c r="R301" t="str">
        <x:v>0</x:v>
      </x:c>
      <x:c r="S301" t="str"/>
      <x:c r="T301" t="str"/>
      <x:c r="U301" t="str"/>
      <x:c r="V301" t="str"/>
      <x:c r="W301" t="str">
        <x:v>N/A</x:v>
      </x:c>
      <x:c r="X301" t="str">
        <x:v>0</x:v>
      </x:c>
      <x:c r="Y301" t="str">
        <x:v>0</x:v>
      </x:c>
      <x:c r="Z301" t="str">
        <x:v>0</x:v>
      </x:c>
      <x:c r="AA301" t="str">
        <x:v>N/A</x:v>
      </x:c>
      <x:c r="AB301" t="str">
        <x:v>N/A</x:v>
      </x:c>
      <x:c r="AC301" t="str">
        <x:v>N/A</x:v>
      </x:c>
      <x:c r="AD301" t="str">
        <x:v>N/A</x:v>
      </x:c>
      <x:c r="AE301" t="str">
        <x:v>N/A</x:v>
      </x:c>
    </x:row>
    <x:row r="302">
      <x:c r="A302" t="str">
        <x:v>51</x:v>
      </x:c>
      <x:c r="B302" t="str">
        <x:v>26744</x:v>
      </x:c>
      <x:c r="C302" t="str">
        <x:v>2</x:v>
      </x:c>
      <x:c r="D302" t="str">
        <x:v>962730</x:v>
      </x:c>
      <x:c r="E302" t="str">
        <x:v>TR AL 1000X50X9 RTO RL35 REC PET BCO (UL</x:v>
      </x:c>
      <x:c r="F302" t="str"/>
      <x:c r="G302" t="str"/>
      <x:c r="H302" t="str"/>
      <x:c r="I302" t="str">
        <x:v>RECOBERTO PET</x:v>
      </x:c>
      <x:c r="J302" t="str">
        <x:v>BRANCO CARRARA</x:v>
      </x:c>
      <x:c r="K302" t="str">
        <x:v>0</x:v>
      </x:c>
      <x:c r="L302" t="str">
        <x:v>5</x:v>
      </x:c>
      <x:c r="M302" t="str">
        <x:v>0</x:v>
      </x:c>
      <x:c r="N302" t="str"/>
      <x:c r="O302" t="str"/>
      <x:c r="P302" t="str">
        <x:v>Liberada Para Producao</x:v>
      </x:c>
      <x:c r="Q302" t="str">
        <x:v>610000</x:v>
      </x:c>
      <x:c r="R302" t="str">
        <x:v>0</x:v>
      </x:c>
      <x:c r="S302" t="str"/>
      <x:c r="T302" t="str"/>
      <x:c r="U302" t="str"/>
      <x:c r="V302" t="str"/>
      <x:c r="W302" t="str">
        <x:v>N/A</x:v>
      </x:c>
      <x:c r="X302" t="str">
        <x:v>0</x:v>
      </x:c>
      <x:c r="Y302" t="str">
        <x:v>0</x:v>
      </x:c>
      <x:c r="Z302" t="str">
        <x:v>0</x:v>
      </x:c>
      <x:c r="AA302" t="str">
        <x:v>0</x:v>
      </x:c>
      <x:c r="AB302" t="str">
        <x:v>N/A</x:v>
      </x:c>
      <x:c r="AC302" t="str">
        <x:v>N/A</x:v>
      </x:c>
      <x:c r="AD302" t="str">
        <x:v>N/A</x:v>
      </x:c>
      <x:c r="AE302" t="str">
        <x:v>N/A</x:v>
      </x:c>
    </x:row>
    <x:row r="303">
      <x:c r="A303" t="str">
        <x:v>51</x:v>
      </x:c>
      <x:c r="B303" t="str">
        <x:v>26744</x:v>
      </x:c>
      <x:c r="C303" t="str">
        <x:v>2</x:v>
      </x:c>
      <x:c r="D303" t="str">
        <x:v>963311</x:v>
      </x:c>
      <x:c r="E303" t="str">
        <x:v>PE AL 2250X50X9 RTO LME REC PET BCO(ULTR</x:v>
      </x:c>
      <x:c r="F303" t="str"/>
      <x:c r="G303" t="str"/>
      <x:c r="H303" t="str"/>
      <x:c r="I303" t="str">
        <x:v>RECOBERTO PET</x:v>
      </x:c>
      <x:c r="J303" t="str">
        <x:v>BRANCO CARRARA</x:v>
      </x:c>
      <x:c r="K303" t="str">
        <x:v>0</x:v>
      </x:c>
      <x:c r="L303" t="str">
        <x:v>10</x:v>
      </x:c>
      <x:c r="M303" t="str">
        <x:v>0</x:v>
      </x:c>
      <x:c r="N303" t="str"/>
      <x:c r="O303" t="str"/>
      <x:c r="P303" t="str">
        <x:v>Liberada Para Producao</x:v>
      </x:c>
      <x:c r="Q303" t="str">
        <x:v>610001</x:v>
      </x:c>
      <x:c r="R303" t="str">
        <x:v>0</x:v>
      </x:c>
      <x:c r="S303" t="str"/>
      <x:c r="T303" t="str"/>
      <x:c r="U303" t="str"/>
      <x:c r="V303" t="str"/>
      <x:c r="W303" t="str">
        <x:v>N/A</x:v>
      </x:c>
      <x:c r="X303" t="str">
        <x:v>0</x:v>
      </x:c>
      <x:c r="Y303" t="str">
        <x:v>0</x:v>
      </x:c>
      <x:c r="Z303" t="str">
        <x:v>0</x:v>
      </x:c>
      <x:c r="AA303" t="str">
        <x:v>N/A</x:v>
      </x:c>
      <x:c r="AB303" t="str">
        <x:v>N/A</x:v>
      </x:c>
      <x:c r="AC303" t="str">
        <x:v>N/A</x:v>
      </x:c>
      <x:c r="AD303" t="str">
        <x:v>N/A</x:v>
      </x:c>
      <x:c r="AE303" t="str">
        <x:v>N/A</x:v>
      </x:c>
    </x:row>
    <x:row r="304">
      <x:c r="A304" t="str">
        <x:v>51</x:v>
      </x:c>
      <x:c r="B304" t="str">
        <x:v>26744</x:v>
      </x:c>
      <x:c r="C304" t="str">
        <x:v>2</x:v>
      </x:c>
      <x:c r="D304" t="str">
        <x:v>968429</x:v>
      </x:c>
      <x:c r="E304" t="str">
        <x:v>FEC.INT MALIBU OVAL I.E.55X70PY53R38</x:v>
      </x:c>
      <x:c r="F304" t="str"/>
      <x:c r="G304" t="str"/>
      <x:c r="H304" t="str"/>
      <x:c r="I304" t="str">
        <x:v>RECOBERTO PET</x:v>
      </x:c>
      <x:c r="J304" t="str">
        <x:v>BRANCO CARRARA</x:v>
      </x:c>
      <x:c r="K304" t="str">
        <x:v>0</x:v>
      </x:c>
      <x:c r="L304" t="str">
        <x:v>5</x:v>
      </x:c>
      <x:c r="M304" t="str">
        <x:v>0</x:v>
      </x:c>
      <x:c r="N304" t="str"/>
      <x:c r="O304" t="str"/>
      <x:c r="P304" t="str">
        <x:v>Liberada Para Producao</x:v>
      </x:c>
      <x:c r="Q304" t="str">
        <x:v>610002</x:v>
      </x:c>
      <x:c r="R304" t="str">
        <x:v>0</x:v>
      </x:c>
      <x:c r="S304" t="str"/>
      <x:c r="T304" t="str"/>
      <x:c r="U304" t="str"/>
      <x:c r="V304" t="str"/>
      <x:c r="W304" t="str">
        <x:v>N/A</x:v>
      </x:c>
      <x:c r="X304" t="str">
        <x:v>N/A</x:v>
      </x:c>
      <x:c r="Y304" t="str">
        <x:v>N/A</x:v>
      </x:c>
      <x:c r="Z304" t="str">
        <x:v>N/A</x:v>
      </x:c>
      <x:c r="AA304" t="str">
        <x:v>N/A</x:v>
      </x:c>
      <x:c r="AB304" t="str">
        <x:v>N/A</x:v>
      </x:c>
      <x:c r="AC304" t="str">
        <x:v>N/A</x:v>
      </x:c>
      <x:c r="AD304" t="str">
        <x:v>0</x:v>
      </x:c>
      <x:c r="AE304" t="str">
        <x:v>N/A</x:v>
      </x:c>
    </x:row>
    <x:row r="305">
      <x:c r="A305" t="str">
        <x:v>51</x:v>
      </x:c>
      <x:c r="B305" t="str">
        <x:v>26744</x:v>
      </x:c>
      <x:c r="C305" t="str">
        <x:v>2</x:v>
      </x:c>
      <x:c r="D305" t="str">
        <x:v>3041500675</x:v>
      </x:c>
      <x:c r="E305" t="str">
        <x:v>FO POR S BD HDF 3 RU 2100X700X35 PET BCO</x:v>
      </x:c>
      <x:c r="F305" t="str"/>
      <x:c r="G305" t="str"/>
      <x:c r="H305" t="str"/>
      <x:c r="I305" t="str">
        <x:v>RECOBERTO PET</x:v>
      </x:c>
      <x:c r="J305" t="str">
        <x:v>BRANCO CARRARA</x:v>
      </x:c>
      <x:c r="K305" t="str">
        <x:v>0</x:v>
      </x:c>
      <x:c r="L305" t="str">
        <x:v>5</x:v>
      </x:c>
      <x:c r="M305" t="str">
        <x:v>0,257</x:v>
      </x:c>
      <x:c r="N305" t="str"/>
      <x:c r="O305" t="str"/>
      <x:c r="P305" t="str">
        <x:v>Liberada Para Producao</x:v>
      </x:c>
      <x:c r="Q305" t="str">
        <x:v>610003</x:v>
      </x:c>
      <x:c r="R305" t="str">
        <x:v>0</x:v>
      </x:c>
      <x:c r="S305" t="str">
        <x:v>2</x:v>
      </x:c>
      <x:c r="T305" t="str">
        <x:v>PORTA LINHA VANGUARD</x:v>
      </x:c>
      <x:c r="U305" t="str"/>
      <x:c r="V305" t="str"/>
      <x:c r="W305" t="str">
        <x:v>N/A</x:v>
      </x:c>
      <x:c r="X305" t="str">
        <x:v>N/A</x:v>
      </x:c>
      <x:c r="Y305" t="str">
        <x:v>N/A</x:v>
      </x:c>
      <x:c r="Z305" t="str">
        <x:v>N/A</x:v>
      </x:c>
      <x:c r="AA305" t="str">
        <x:v>N/A</x:v>
      </x:c>
      <x:c r="AB305" t="str">
        <x:v>N/A</x:v>
      </x:c>
      <x:c r="AC305" t="str">
        <x:v>N/A</x:v>
      </x:c>
      <x:c r="AD305" t="str">
        <x:v>0</x:v>
      </x:c>
      <x:c r="AE305" t="str">
        <x:v>N/A</x:v>
      </x:c>
    </x:row>
    <x:row r="306">
      <x:c r="A306" t="str">
        <x:v>51</x:v>
      </x:c>
      <x:c r="B306" t="str">
        <x:v>26744</x:v>
      </x:c>
      <x:c r="C306" t="str">
        <x:v>3</x:v>
      </x:c>
      <x:c r="D306" t="str">
        <x:v>674641</x:v>
      </x:c>
      <x:c r="E306" t="str">
        <x:v>2110x150x30 42x10 R2 BIA PET B U PREM</x:v>
      </x:c>
      <x:c r="F306" t="str"/>
      <x:c r="G306" t="str"/>
      <x:c r="H306" t="str"/>
      <x:c r="I306" t="str">
        <x:v>RECOBERTO PET</x:v>
      </x:c>
      <x:c r="J306" t="str">
        <x:v>BRANCO CARRARA</x:v>
      </x:c>
      <x:c r="K306" t="str">
        <x:v>0</x:v>
      </x:c>
      <x:c r="L306" t="str">
        <x:v>2</x:v>
      </x:c>
      <x:c r="M306" t="str">
        <x:v>0</x:v>
      </x:c>
      <x:c r="N306" t="str"/>
      <x:c r="O306" t="str"/>
      <x:c r="P306" t="str">
        <x:v>Liberada Para Producao</x:v>
      </x:c>
      <x:c r="Q306" t="str">
        <x:v>610005</x:v>
      </x:c>
      <x:c r="R306" t="str">
        <x:v>0</x:v>
      </x:c>
      <x:c r="S306" t="str"/>
      <x:c r="T306" t="str"/>
      <x:c r="U306" t="str"/>
      <x:c r="V306" t="str"/>
      <x:c r="W306" t="str">
        <x:v>N/A</x:v>
      </x:c>
      <x:c r="X306" t="str">
        <x:v>N/A</x:v>
      </x:c>
      <x:c r="Y306" t="str">
        <x:v>0</x:v>
      </x:c>
      <x:c r="Z306" t="str">
        <x:v>0</x:v>
      </x:c>
      <x:c r="AA306" t="str">
        <x:v>0</x:v>
      </x:c>
      <x:c r="AB306" t="str">
        <x:v>N/A</x:v>
      </x:c>
      <x:c r="AC306" t="str">
        <x:v>N/A</x:v>
      </x:c>
      <x:c r="AD306" t="str">
        <x:v>N/A</x:v>
      </x:c>
      <x:c r="AE306" t="str">
        <x:v>N/A</x:v>
      </x:c>
    </x:row>
    <x:row r="307">
      <x:c r="A307" t="str">
        <x:v>51</x:v>
      </x:c>
      <x:c r="B307" t="str">
        <x:v>26744</x:v>
      </x:c>
      <x:c r="C307" t="str">
        <x:v>3</x:v>
      </x:c>
      <x:c r="D307" t="str">
        <x:v>675666</x:v>
      </x:c>
      <x:c r="E307" t="str">
        <x:v>747x150x30 42x10 R2 BIA R PET BCO PRM</x:v>
      </x:c>
      <x:c r="F307" t="str"/>
      <x:c r="G307" t="str"/>
      <x:c r="H307" t="str"/>
      <x:c r="I307" t="str">
        <x:v>RECOBERTO PET</x:v>
      </x:c>
      <x:c r="J307" t="str">
        <x:v>BRANCO CARRARA</x:v>
      </x:c>
      <x:c r="K307" t="str">
        <x:v>0</x:v>
      </x:c>
      <x:c r="L307" t="str">
        <x:v>1</x:v>
      </x:c>
      <x:c r="M307" t="str">
        <x:v>0</x:v>
      </x:c>
      <x:c r="N307" t="str"/>
      <x:c r="O307" t="str"/>
      <x:c r="P307" t="str">
        <x:v>Liberada Para Producao</x:v>
      </x:c>
      <x:c r="Q307" t="str">
        <x:v>610006</x:v>
      </x:c>
      <x:c r="R307" t="str">
        <x:v>0</x:v>
      </x:c>
      <x:c r="S307" t="str"/>
      <x:c r="T307" t="str"/>
      <x:c r="U307" t="str"/>
      <x:c r="V307" t="str"/>
      <x:c r="W307" t="str">
        <x:v>N/A</x:v>
      </x:c>
      <x:c r="X307" t="str">
        <x:v>N/A</x:v>
      </x:c>
      <x:c r="Y307" t="str">
        <x:v>0</x:v>
      </x:c>
      <x:c r="Z307" t="str">
        <x:v>0</x:v>
      </x:c>
      <x:c r="AA307" t="str">
        <x:v>0</x:v>
      </x:c>
      <x:c r="AB307" t="str">
        <x:v>N/A</x:v>
      </x:c>
      <x:c r="AC307" t="str">
        <x:v>N/A</x:v>
      </x:c>
      <x:c r="AD307" t="str">
        <x:v>N/A</x:v>
      </x:c>
      <x:c r="AE307" t="str">
        <x:v>N/A</x:v>
      </x:c>
    </x:row>
    <x:row r="308">
      <x:c r="A308" t="str">
        <x:v>51</x:v>
      </x:c>
      <x:c r="B308" t="str">
        <x:v>26744</x:v>
      </x:c>
      <x:c r="C308" t="str">
        <x:v>3</x:v>
      </x:c>
      <x:c r="D308" t="str">
        <x:v>919639</x:v>
      </x:c>
      <x:c r="E308" t="str">
        <x:v>TR AL 1100X50X9 RTO RL55 REC PET BCO (UL</x:v>
      </x:c>
      <x:c r="F308" t="str"/>
      <x:c r="G308" t="str"/>
      <x:c r="H308" t="str"/>
      <x:c r="I308" t="str">
        <x:v>RECOBERTO PET</x:v>
      </x:c>
      <x:c r="J308" t="str">
        <x:v>BRANCO CARRARA</x:v>
      </x:c>
      <x:c r="K308" t="str">
        <x:v>0</x:v>
      </x:c>
      <x:c r="L308" t="str">
        <x:v>1</x:v>
      </x:c>
      <x:c r="M308" t="str">
        <x:v>0</x:v>
      </x:c>
      <x:c r="N308" t="str"/>
      <x:c r="O308" t="str"/>
      <x:c r="P308" t="str">
        <x:v>Liberada Para Producao</x:v>
      </x:c>
      <x:c r="Q308" t="str">
        <x:v>610007</x:v>
      </x:c>
      <x:c r="R308" t="str">
        <x:v>0</x:v>
      </x:c>
      <x:c r="S308" t="str"/>
      <x:c r="T308" t="str"/>
      <x:c r="U308" t="str"/>
      <x:c r="V308" t="str"/>
      <x:c r="W308" t="str">
        <x:v>N/A</x:v>
      </x:c>
      <x:c r="X308" t="str">
        <x:v>0</x:v>
      </x:c>
      <x:c r="Y308" t="str">
        <x:v>0</x:v>
      </x:c>
      <x:c r="Z308" t="str">
        <x:v>0</x:v>
      </x:c>
      <x:c r="AA308" t="str">
        <x:v>0</x:v>
      </x:c>
      <x:c r="AB308" t="str">
        <x:v>N/A</x:v>
      </x:c>
      <x:c r="AC308" t="str">
        <x:v>N/A</x:v>
      </x:c>
      <x:c r="AD308" t="str">
        <x:v>N/A</x:v>
      </x:c>
      <x:c r="AE308" t="str">
        <x:v>N/A</x:v>
      </x:c>
    </x:row>
    <x:row r="309">
      <x:c r="A309" t="str">
        <x:v>51</x:v>
      </x:c>
      <x:c r="B309" t="str">
        <x:v>26744</x:v>
      </x:c>
      <x:c r="C309" t="str">
        <x:v>3</x:v>
      </x:c>
      <x:c r="D309" t="str">
        <x:v>919640</x:v>
      </x:c>
      <x:c r="E309" t="str">
        <x:v>TR AL 1100X50X9 RTO LME REC PET BCO (ULT</x:v>
      </x:c>
      <x:c r="F309" t="str"/>
      <x:c r="G309" t="str"/>
      <x:c r="H309" t="str"/>
      <x:c r="I309" t="str">
        <x:v>RECOBERTO PET</x:v>
      </x:c>
      <x:c r="J309" t="str">
        <x:v>BRANCO CARRARA</x:v>
      </x:c>
      <x:c r="K309" t="str">
        <x:v>0</x:v>
      </x:c>
      <x:c r="L309" t="str">
        <x:v>1</x:v>
      </x:c>
      <x:c r="M309" t="str">
        <x:v>0</x:v>
      </x:c>
      <x:c r="N309" t="str"/>
      <x:c r="O309" t="str"/>
      <x:c r="P309" t="str">
        <x:v>Liberada Para Producao</x:v>
      </x:c>
      <x:c r="Q309" t="str">
        <x:v>610008</x:v>
      </x:c>
      <x:c r="R309" t="str">
        <x:v>0</x:v>
      </x:c>
      <x:c r="S309" t="str"/>
      <x:c r="T309" t="str"/>
      <x:c r="U309" t="str"/>
      <x:c r="V309" t="str"/>
      <x:c r="W309" t="str">
        <x:v>N/A</x:v>
      </x:c>
      <x:c r="X309" t="str">
        <x:v>0</x:v>
      </x:c>
      <x:c r="Y309" t="str">
        <x:v>0</x:v>
      </x:c>
      <x:c r="Z309" t="str">
        <x:v>0</x:v>
      </x:c>
      <x:c r="AA309" t="str">
        <x:v>0</x:v>
      </x:c>
      <x:c r="AB309" t="str">
        <x:v>N/A</x:v>
      </x:c>
      <x:c r="AC309" t="str">
        <x:v>N/A</x:v>
      </x:c>
      <x:c r="AD309" t="str">
        <x:v>N/A</x:v>
      </x:c>
      <x:c r="AE309" t="str">
        <x:v>N/A</x:v>
      </x:c>
    </x:row>
    <x:row r="310">
      <x:c r="A310" t="str">
        <x:v>51</x:v>
      </x:c>
      <x:c r="B310" t="str">
        <x:v>26744</x:v>
      </x:c>
      <x:c r="C310" t="str">
        <x:v>3</x:v>
      </x:c>
      <x:c r="D310" t="str">
        <x:v>963311</x:v>
      </x:c>
      <x:c r="E310" t="str">
        <x:v>PE AL 2250X50X9 RTO LME REC PET BCO(ULTR</x:v>
      </x:c>
      <x:c r="F310" t="str"/>
      <x:c r="G310" t="str"/>
      <x:c r="H310" t="str"/>
      <x:c r="I310" t="str">
        <x:v>RECOBERTO PET</x:v>
      </x:c>
      <x:c r="J310" t="str">
        <x:v>BRANCO CARRARA</x:v>
      </x:c>
      <x:c r="K310" t="str">
        <x:v>0</x:v>
      </x:c>
      <x:c r="L310" t="str">
        <x:v>2</x:v>
      </x:c>
      <x:c r="M310" t="str">
        <x:v>0</x:v>
      </x:c>
      <x:c r="N310" t="str"/>
      <x:c r="O310" t="str"/>
      <x:c r="P310" t="str">
        <x:v>Liberada Para Producao</x:v>
      </x:c>
      <x:c r="Q310" t="str">
        <x:v>610009</x:v>
      </x:c>
      <x:c r="R310" t="str">
        <x:v>0</x:v>
      </x:c>
      <x:c r="S310" t="str"/>
      <x:c r="T310" t="str"/>
      <x:c r="U310" t="str"/>
      <x:c r="V310" t="str"/>
      <x:c r="W310" t="str">
        <x:v>N/A</x:v>
      </x:c>
      <x:c r="X310" t="str">
        <x:v>0</x:v>
      </x:c>
      <x:c r="Y310" t="str">
        <x:v>0</x:v>
      </x:c>
      <x:c r="Z310" t="str">
        <x:v>0</x:v>
      </x:c>
      <x:c r="AA310" t="str">
        <x:v>N/A</x:v>
      </x:c>
      <x:c r="AB310" t="str">
        <x:v>N/A</x:v>
      </x:c>
      <x:c r="AC310" t="str">
        <x:v>N/A</x:v>
      </x:c>
      <x:c r="AD310" t="str">
        <x:v>N/A</x:v>
      </x:c>
      <x:c r="AE310" t="str">
        <x:v>N/A</x:v>
      </x:c>
    </x:row>
    <x:row r="311">
      <x:c r="A311" t="str">
        <x:v>51</x:v>
      </x:c>
      <x:c r="B311" t="str">
        <x:v>26744</x:v>
      </x:c>
      <x:c r="C311" t="str">
        <x:v>3</x:v>
      </x:c>
      <x:c r="D311" t="str">
        <x:v>965034</x:v>
      </x:c>
      <x:c r="E311" t="str">
        <x:v>PE AL 2250X50X9 RTO RL55 REC PET BCO(ULT</x:v>
      </x:c>
      <x:c r="F311" t="str"/>
      <x:c r="G311" t="str"/>
      <x:c r="H311" t="str"/>
      <x:c r="I311" t="str">
        <x:v>RECOBERTO PET</x:v>
      </x:c>
      <x:c r="J311" t="str">
        <x:v>BRANCO CARRARA</x:v>
      </x:c>
      <x:c r="K311" t="str">
        <x:v>0</x:v>
      </x:c>
      <x:c r="L311" t="str">
        <x:v>2</x:v>
      </x:c>
      <x:c r="M311" t="str">
        <x:v>0</x:v>
      </x:c>
      <x:c r="N311" t="str"/>
      <x:c r="O311" t="str"/>
      <x:c r="P311" t="str">
        <x:v>Liberada Para Producao</x:v>
      </x:c>
      <x:c r="Q311" t="str">
        <x:v>610010</x:v>
      </x:c>
      <x:c r="R311" t="str">
        <x:v>0</x:v>
      </x:c>
      <x:c r="S311" t="str"/>
      <x:c r="T311" t="str"/>
      <x:c r="U311" t="str"/>
      <x:c r="V311" t="str"/>
      <x:c r="W311" t="str">
        <x:v>N/A</x:v>
      </x:c>
      <x:c r="X311" t="str">
        <x:v>0</x:v>
      </x:c>
      <x:c r="Y311" t="str">
        <x:v>0</x:v>
      </x:c>
      <x:c r="Z311" t="str">
        <x:v>0</x:v>
      </x:c>
      <x:c r="AA311" t="str">
        <x:v>N/A</x:v>
      </x:c>
      <x:c r="AB311" t="str">
        <x:v>N/A</x:v>
      </x:c>
      <x:c r="AC311" t="str">
        <x:v>N/A</x:v>
      </x:c>
      <x:c r="AD311" t="str">
        <x:v>N/A</x:v>
      </x:c>
      <x:c r="AE311" t="str">
        <x:v>N/A</x:v>
      </x:c>
    </x:row>
    <x:row r="312">
      <x:c r="A312" t="str">
        <x:v>51</x:v>
      </x:c>
      <x:c r="B312" t="str">
        <x:v>26744</x:v>
      </x:c>
      <x:c r="C312" t="str">
        <x:v>3</x:v>
      </x:c>
      <x:c r="D312" t="str">
        <x:v>968429</x:v>
      </x:c>
      <x:c r="E312" t="str">
        <x:v>FEC.INT MALIBU OVAL I.E.55X70PY53R38</x:v>
      </x:c>
      <x:c r="F312" t="str"/>
      <x:c r="G312" t="str"/>
      <x:c r="H312" t="str"/>
      <x:c r="I312" t="str">
        <x:v>RECOBERTO PET</x:v>
      </x:c>
      <x:c r="J312" t="str">
        <x:v>BRANCO CARRARA</x:v>
      </x:c>
      <x:c r="K312" t="str">
        <x:v>0</x:v>
      </x:c>
      <x:c r="L312" t="str">
        <x:v>1</x:v>
      </x:c>
      <x:c r="M312" t="str">
        <x:v>0</x:v>
      </x:c>
      <x:c r="N312" t="str"/>
      <x:c r="O312" t="str"/>
      <x:c r="P312" t="str">
        <x:v>Liberada Para Producao</x:v>
      </x:c>
      <x:c r="Q312" t="str">
        <x:v>610011</x:v>
      </x:c>
      <x:c r="R312" t="str">
        <x:v>0</x:v>
      </x:c>
      <x:c r="S312" t="str"/>
      <x:c r="T312" t="str"/>
      <x:c r="U312" t="str"/>
      <x:c r="V312" t="str"/>
      <x:c r="W312" t="str">
        <x:v>N/A</x:v>
      </x:c>
      <x:c r="X312" t="str">
        <x:v>N/A</x:v>
      </x:c>
      <x:c r="Y312" t="str">
        <x:v>N/A</x:v>
      </x:c>
      <x:c r="Z312" t="str">
        <x:v>N/A</x:v>
      </x:c>
      <x:c r="AA312" t="str">
        <x:v>N/A</x:v>
      </x:c>
      <x:c r="AB312" t="str">
        <x:v>N/A</x:v>
      </x:c>
      <x:c r="AC312" t="str">
        <x:v>N/A</x:v>
      </x:c>
      <x:c r="AD312" t="str">
        <x:v>0</x:v>
      </x:c>
      <x:c r="AE312" t="str">
        <x:v>N/A</x:v>
      </x:c>
    </x:row>
    <x:row r="313">
      <x:c r="A313" t="str">
        <x:v>51</x:v>
      </x:c>
      <x:c r="B313" t="str">
        <x:v>26744</x:v>
      </x:c>
      <x:c r="C313" t="str">
        <x:v>3</x:v>
      </x:c>
      <x:c r="D313" t="str">
        <x:v>3041500675</x:v>
      </x:c>
      <x:c r="E313" t="str">
        <x:v>FO POR S BD HDF 3 RU 2100X700X35 PET BCO</x:v>
      </x:c>
      <x:c r="F313" t="str"/>
      <x:c r="G313" t="str"/>
      <x:c r="H313" t="str"/>
      <x:c r="I313" t="str">
        <x:v>RECOBERTO PET</x:v>
      </x:c>
      <x:c r="J313" t="str">
        <x:v>BRANCO CARRARA</x:v>
      </x:c>
      <x:c r="K313" t="str">
        <x:v>0</x:v>
      </x:c>
      <x:c r="L313" t="str">
        <x:v>1</x:v>
      </x:c>
      <x:c r="M313" t="str">
        <x:v>0,051</x:v>
      </x:c>
      <x:c r="N313" t="str"/>
      <x:c r="O313" t="str"/>
      <x:c r="P313" t="str">
        <x:v>Liberada Para Producao</x:v>
      </x:c>
      <x:c r="Q313" t="str">
        <x:v>610012</x:v>
      </x:c>
      <x:c r="R313" t="str">
        <x:v>0</x:v>
      </x:c>
      <x:c r="S313" t="str">
        <x:v>2</x:v>
      </x:c>
      <x:c r="T313" t="str">
        <x:v>PORTA LINHA VANGUARD</x:v>
      </x:c>
      <x:c r="U313" t="str"/>
      <x:c r="V313" t="str"/>
      <x:c r="W313" t="str">
        <x:v>N/A</x:v>
      </x:c>
      <x:c r="X313" t="str">
        <x:v>N/A</x:v>
      </x:c>
      <x:c r="Y313" t="str">
        <x:v>N/A</x:v>
      </x:c>
      <x:c r="Z313" t="str">
        <x:v>N/A</x:v>
      </x:c>
      <x:c r="AA313" t="str">
        <x:v>N/A</x:v>
      </x:c>
      <x:c r="AB313" t="str">
        <x:v>N/A</x:v>
      </x:c>
      <x:c r="AC313" t="str">
        <x:v>N/A</x:v>
      </x:c>
      <x:c r="AD313" t="str">
        <x:v>0</x:v>
      </x:c>
      <x:c r="AE313" t="str">
        <x:v>N/A</x:v>
      </x:c>
    </x:row>
    <x:row r="314">
      <x:c r="A314" t="str">
        <x:v>51</x:v>
      </x:c>
      <x:c r="B314" t="str">
        <x:v>26744</x:v>
      </x:c>
      <x:c r="C314" t="str">
        <x:v>4</x:v>
      </x:c>
      <x:c r="D314" t="str">
        <x:v>3051500040</x:v>
      </x:c>
      <x:c r="E314" t="str">
        <x:v>FO P COR S BD HDF 3 2100X700X35 PET BCO</x:v>
      </x:c>
      <x:c r="F314" t="str">
        <x:v>LISA</x:v>
      </x:c>
      <x:c r="G314" t="str"/>
      <x:c r="H314" t="str"/>
      <x:c r="I314" t="str">
        <x:v>RECOBERTO PET</x:v>
      </x:c>
      <x:c r="J314" t="str">
        <x:v>BRANCO CARRARA</x:v>
      </x:c>
      <x:c r="K314" t="str">
        <x:v>0</x:v>
      </x:c>
      <x:c r="L314" t="str">
        <x:v>2</x:v>
      </x:c>
      <x:c r="M314" t="str">
        <x:v>0,103</x:v>
      </x:c>
      <x:c r="N314" t="str"/>
      <x:c r="O314" t="str"/>
      <x:c r="P314" t="str">
        <x:v>Liberada Para Producao</x:v>
      </x:c>
      <x:c r="Q314" t="str">
        <x:v>610013</x:v>
      </x:c>
      <x:c r="R314" t="str">
        <x:v>0</x:v>
      </x:c>
      <x:c r="S314" t="str">
        <x:v>2</x:v>
      </x:c>
      <x:c r="T314" t="str">
        <x:v>PORTA LINHA VANGUARD</x:v>
      </x:c>
      <x:c r="U314" t="str">
        <x:v>BORDA 2 LADOS</x:v>
      </x:c>
      <x:c r="V314" t="str"/>
      <x:c r="W314" t="str">
        <x:v>N/A</x:v>
      </x:c>
      <x:c r="X314" t="str">
        <x:v>N/A</x:v>
      </x:c>
      <x:c r="Y314" t="str">
        <x:v>N/A</x:v>
      </x:c>
      <x:c r="Z314" t="str">
        <x:v>N/A</x:v>
      </x:c>
      <x:c r="AA314" t="str">
        <x:v>N/A</x:v>
      </x:c>
      <x:c r="AB314" t="str">
        <x:v>N/A</x:v>
      </x:c>
      <x:c r="AC314" t="str">
        <x:v>0</x:v>
      </x:c>
      <x:c r="AD314" t="str">
        <x:v>0</x:v>
      </x:c>
      <x:c r="AE314" t="str">
        <x:v>N/A</x:v>
      </x:c>
    </x:row>
    <x:row r="315">
      <x:c r="A315" t="str">
        <x:v>51</x:v>
      </x:c>
      <x:c r="B315" t="str">
        <x:v>26739</x:v>
      </x:c>
      <x:c r="C315" t="str">
        <x:v>20</x:v>
      </x:c>
      <x:c r="D315" t="str">
        <x:v>968091</x:v>
      </x:c>
      <x:c r="E315" t="str">
        <x:v>667x130x30 42X10 R2L BIA RT PET BCO (ULT</x:v>
      </x:c>
      <x:c r="F315" t="str"/>
      <x:c r="G315" t="str"/>
      <x:c r="H315" t="str"/>
      <x:c r="I315" t="str">
        <x:v>ESMALTE</x:v>
      </x:c>
      <x:c r="J315" t="str">
        <x:v>BRANCO CARRARA</x:v>
      </x:c>
      <x:c r="K315" t="str">
        <x:v>0</x:v>
      </x:c>
      <x:c r="L315" t="str">
        <x:v>3</x:v>
      </x:c>
      <x:c r="M315" t="str">
        <x:v>0,008</x:v>
      </x:c>
      <x:c r="N315" t="str"/>
      <x:c r="O315" t="str"/>
      <x:c r="P315" t="str">
        <x:v>Liberada Para Producao</x:v>
      </x:c>
      <x:c r="Q315" t="str">
        <x:v>609722</x:v>
      </x:c>
      <x:c r="R315" t="str">
        <x:v>0</x:v>
      </x:c>
      <x:c r="S315" t="str"/>
      <x:c r="T315" t="str"/>
      <x:c r="U315" t="str"/>
      <x:c r="V315" t="str"/>
      <x:c r="W315" t="str">
        <x:v>N/A</x:v>
      </x:c>
      <x:c r="X315" t="str">
        <x:v>N/A</x:v>
      </x:c>
      <x:c r="Y315" t="str">
        <x:v>N/A</x:v>
      </x:c>
      <x:c r="Z315" t="str">
        <x:v>0</x:v>
      </x:c>
      <x:c r="AA315" t="str">
        <x:v>0</x:v>
      </x:c>
      <x:c r="AB315" t="str">
        <x:v>N/A</x:v>
      </x:c>
      <x:c r="AC315" t="str">
        <x:v>N/A</x:v>
      </x:c>
      <x:c r="AD315" t="str">
        <x:v>N/A</x:v>
      </x:c>
      <x:c r="AE315" t="str">
        <x:v>N/A</x:v>
      </x:c>
    </x:row>
    <x:row r="316">
      <x:c r="A316" t="str">
        <x:v>51</x:v>
      </x:c>
      <x:c r="B316" t="str">
        <x:v>26739</x:v>
      </x:c>
      <x:c r="C316" t="str">
        <x:v>25</x:v>
      </x:c>
      <x:c r="D316" t="str">
        <x:v>968091</x:v>
      </x:c>
      <x:c r="E316" t="str">
        <x:v>667x130x30 42X10 R2L BIA RT PET BCO (ULT</x:v>
      </x:c>
      <x:c r="F316" t="str"/>
      <x:c r="G316" t="str"/>
      <x:c r="H316" t="str"/>
      <x:c r="I316" t="str">
        <x:v>ESMALTE</x:v>
      </x:c>
      <x:c r="J316" t="str">
        <x:v>BRANCO CARRARA</x:v>
      </x:c>
      <x:c r="K316" t="str">
        <x:v>0</x:v>
      </x:c>
      <x:c r="L316" t="str">
        <x:v>1</x:v>
      </x:c>
      <x:c r="M316" t="str">
        <x:v>0,003</x:v>
      </x:c>
      <x:c r="N316" t="str"/>
      <x:c r="O316" t="str"/>
      <x:c r="P316" t="str">
        <x:v>Liberada Para Producao</x:v>
      </x:c>
      <x:c r="Q316" t="str">
        <x:v>609776</x:v>
      </x:c>
      <x:c r="R316" t="str">
        <x:v>0</x:v>
      </x:c>
      <x:c r="S316" t="str"/>
      <x:c r="T316" t="str"/>
      <x:c r="U316" t="str"/>
      <x:c r="V316" t="str"/>
      <x:c r="W316" t="str">
        <x:v>N/A</x:v>
      </x:c>
      <x:c r="X316" t="str">
        <x:v>N/A</x:v>
      </x:c>
      <x:c r="Y316" t="str">
        <x:v>N/A</x:v>
      </x:c>
      <x:c r="Z316" t="str">
        <x:v>0</x:v>
      </x:c>
      <x:c r="AA316" t="str">
        <x:v>0</x:v>
      </x:c>
      <x:c r="AB316" t="str">
        <x:v>N/A</x:v>
      </x:c>
      <x:c r="AC316" t="str">
        <x:v>N/A</x:v>
      </x:c>
      <x:c r="AD316" t="str">
        <x:v>N/A</x:v>
      </x:c>
      <x:c r="AE316" t="str">
        <x:v>N/A</x:v>
      </x:c>
    </x:row>
    <x:row r="317">
      <x:c r="A317" t="str">
        <x:v>51</x:v>
      </x:c>
      <x:c r="B317" t="str">
        <x:v>26744</x:v>
      </x:c>
      <x:c r="C317" t="str">
        <x:v>6</x:v>
      </x:c>
      <x:c r="D317" t="str">
        <x:v>675004</x:v>
      </x:c>
      <x:c r="E317" t="str">
        <x:v> KIT DE CORRER EM MADEIRA DE PINUS</x:v>
      </x:c>
      <x:c r="F317" t="str"/>
      <x:c r="G317" t="str"/>
      <x:c r="H317" t="str"/>
      <x:c r="I317" t="str">
        <x:v>RECOBERTO PET</x:v>
      </x:c>
      <x:c r="J317" t="str">
        <x:v>BRANCO CARRARA</x:v>
      </x:c>
      <x:c r="K317" t="str">
        <x:v>0</x:v>
      </x:c>
      <x:c r="L317" t="str">
        <x:v>4</x:v>
      </x:c>
      <x:c r="M317" t="str">
        <x:v>0</x:v>
      </x:c>
      <x:c r="N317" t="str"/>
      <x:c r="O317" t="str"/>
      <x:c r="P317" t="str">
        <x:v>Liberada Para Producao</x:v>
      </x:c>
      <x:c r="Q317" t="str">
        <x:v>610018</x:v>
      </x:c>
      <x:c r="R317" t="str">
        <x:v>0</x:v>
      </x:c>
      <x:c r="S317" t="str"/>
      <x:c r="T317" t="str"/>
      <x:c r="U317" t="str"/>
      <x:c r="V317" t="str"/>
      <x:c r="W317" t="str">
        <x:v>N/A</x:v>
      </x:c>
      <x:c r="X317" t="str">
        <x:v>N/A</x:v>
      </x:c>
      <x:c r="Y317" t="str">
        <x:v>0</x:v>
      </x:c>
      <x:c r="Z317" t="str">
        <x:v>0</x:v>
      </x:c>
      <x:c r="AA317" t="str">
        <x:v>0</x:v>
      </x:c>
      <x:c r="AB317" t="str">
        <x:v>N/A</x:v>
      </x:c>
      <x:c r="AC317" t="str">
        <x:v>N/A</x:v>
      </x:c>
      <x:c r="AD317" t="str">
        <x:v>N/A</x:v>
      </x:c>
      <x:c r="AE317" t="str">
        <x:v>N/A</x:v>
      </x:c>
    </x:row>
    <x:row r="318">
      <x:c r="A318" t="str">
        <x:v>51</x:v>
      </x:c>
      <x:c r="B318" t="str">
        <x:v>26744</x:v>
      </x:c>
      <x:c r="C318" t="str">
        <x:v>6</x:v>
      </x:c>
      <x:c r="D318" t="str">
        <x:v>962738</x:v>
      </x:c>
      <x:c r="E318" t="str">
        <x:v> KIT DE CORRER EM MADEIRA DE PINUS</x:v>
      </x:c>
      <x:c r="F318" t="str"/>
      <x:c r="G318" t="str"/>
      <x:c r="H318" t="str"/>
      <x:c r="I318" t="str">
        <x:v>RECOBERTO PET</x:v>
      </x:c>
      <x:c r="J318" t="str">
        <x:v>BRANCO CARRARA</x:v>
      </x:c>
      <x:c r="K318" t="str">
        <x:v>0</x:v>
      </x:c>
      <x:c r="L318" t="str">
        <x:v>2</x:v>
      </x:c>
      <x:c r="M318" t="str">
        <x:v>0</x:v>
      </x:c>
      <x:c r="N318" t="str"/>
      <x:c r="O318" t="str"/>
      <x:c r="P318" t="str">
        <x:v>Liberada Para Producao</x:v>
      </x:c>
      <x:c r="Q318" t="str">
        <x:v>610019</x:v>
      </x:c>
      <x:c r="R318" t="str">
        <x:v>0</x:v>
      </x:c>
      <x:c r="S318" t="str"/>
      <x:c r="T318" t="str"/>
      <x:c r="U318" t="str"/>
      <x:c r="V318" t="str"/>
      <x:c r="W318" t="str">
        <x:v>N/A</x:v>
      </x:c>
      <x:c r="X318" t="str">
        <x:v>0</x:v>
      </x:c>
      <x:c r="Y318" t="str">
        <x:v>0</x:v>
      </x:c>
      <x:c r="Z318" t="str">
        <x:v>0</x:v>
      </x:c>
      <x:c r="AA318" t="str">
        <x:v>N/A</x:v>
      </x:c>
      <x:c r="AB318" t="str">
        <x:v>N/A</x:v>
      </x:c>
      <x:c r="AC318" t="str">
        <x:v>N/A</x:v>
      </x:c>
      <x:c r="AD318" t="str">
        <x:v>N/A</x:v>
      </x:c>
      <x:c r="AE318" t="str">
        <x:v>N/A</x:v>
      </x:c>
    </x:row>
    <x:row r="319">
      <x:c r="A319" t="str">
        <x:v>51</x:v>
      </x:c>
      <x:c r="B319" t="str">
        <x:v>26744</x:v>
      </x:c>
      <x:c r="C319" t="str">
        <x:v>6</x:v>
      </x:c>
      <x:c r="D319" t="str">
        <x:v>962739</x:v>
      </x:c>
      <x:c r="E319" t="str">
        <x:v>AL KIT L MEN ULT  KIT DE CORRER EM MADEIRA DE PINUS</x:v>
      </x:c>
      <x:c r="F319" t="str"/>
      <x:c r="G319" t="str"/>
      <x:c r="H319" t="str"/>
      <x:c r="I319" t="str">
        <x:v>RECOBERTO PET</x:v>
      </x:c>
      <x:c r="J319" t="str">
        <x:v>BRANCO CARRARA</x:v>
      </x:c>
      <x:c r="K319" t="str">
        <x:v>0</x:v>
      </x:c>
      <x:c r="L319" t="str">
        <x:v>6</x:v>
      </x:c>
      <x:c r="M319" t="str">
        <x:v>0,006</x:v>
      </x:c>
      <x:c r="N319" t="str"/>
      <x:c r="O319" t="str"/>
      <x:c r="P319" t="str">
        <x:v>Liberada Para Producao</x:v>
      </x:c>
      <x:c r="Q319" t="str">
        <x:v>610020</x:v>
      </x:c>
      <x:c r="R319" t="str">
        <x:v>0</x:v>
      </x:c>
      <x:c r="S319" t="str"/>
      <x:c r="T319" t="str"/>
      <x:c r="U319" t="str"/>
      <x:c r="V319" t="str"/>
      <x:c r="W319" t="str">
        <x:v>N/A</x:v>
      </x:c>
      <x:c r="X319" t="str">
        <x:v>0</x:v>
      </x:c>
      <x:c r="Y319" t="str">
        <x:v>0</x:v>
      </x:c>
      <x:c r="Z319" t="str">
        <x:v>0</x:v>
      </x:c>
      <x:c r="AA319" t="str">
        <x:v>N/A</x:v>
      </x:c>
      <x:c r="AB319" t="str">
        <x:v>N/A</x:v>
      </x:c>
      <x:c r="AC319" t="str">
        <x:v>N/A</x:v>
      </x:c>
      <x:c r="AD319" t="str">
        <x:v>N/A</x:v>
      </x:c>
      <x:c r="AE319" t="str">
        <x:v>N/A</x:v>
      </x:c>
    </x:row>
    <x:row r="320">
      <x:c r="A320" t="str">
        <x:v>51</x:v>
      </x:c>
      <x:c r="B320" t="str">
        <x:v>26744</x:v>
      </x:c>
      <x:c r="C320" t="str">
        <x:v>6</x:v>
      </x:c>
      <x:c r="D320" t="str">
        <x:v>987124</x:v>
      </x:c>
      <x:c r="E320" t="str">
        <x:v> KIT DE CORRER EM MADEIRA DE PINUS</x:v>
      </x:c>
      <x:c r="F320" t="str"/>
      <x:c r="G320" t="str"/>
      <x:c r="H320" t="str"/>
      <x:c r="I320" t="str">
        <x:v>RECOBERTO PET</x:v>
      </x:c>
      <x:c r="J320" t="str">
        <x:v>BRANCO CARRARA</x:v>
      </x:c>
      <x:c r="K320" t="str">
        <x:v>0</x:v>
      </x:c>
      <x:c r="L320" t="str">
        <x:v>2</x:v>
      </x:c>
      <x:c r="M320" t="str">
        <x:v>0</x:v>
      </x:c>
      <x:c r="N320" t="str"/>
      <x:c r="O320" t="str"/>
      <x:c r="P320" t="str">
        <x:v>Liberada Para Producao</x:v>
      </x:c>
      <x:c r="Q320" t="str">
        <x:v>610021</x:v>
      </x:c>
      <x:c r="R320" t="str">
        <x:v>0</x:v>
      </x:c>
      <x:c r="S320" t="str"/>
      <x:c r="T320" t="str"/>
      <x:c r="U320" t="str"/>
      <x:c r="V320" t="str"/>
      <x:c r="W320" t="str">
        <x:v>N/A</x:v>
      </x:c>
      <x:c r="X320" t="str">
        <x:v>N/A</x:v>
      </x:c>
      <x:c r="Y320" t="str">
        <x:v>0</x:v>
      </x:c>
      <x:c r="Z320" t="str">
        <x:v>0</x:v>
      </x:c>
      <x:c r="AA320" t="str">
        <x:v>N/A</x:v>
      </x:c>
      <x:c r="AB320" t="str">
        <x:v>N/A</x:v>
      </x:c>
      <x:c r="AC320" t="str">
        <x:v>N/A</x:v>
      </x:c>
      <x:c r="AD320" t="str">
        <x:v>N/A</x:v>
      </x:c>
      <x:c r="AE320" t="str">
        <x:v>N/A</x:v>
      </x:c>
    </x:row>
    <x:row r="321">
      <x:c r="A321" t="str">
        <x:v>51</x:v>
      </x:c>
      <x:c r="B321" t="str">
        <x:v>26744</x:v>
      </x:c>
      <x:c r="C321" t="str">
        <x:v>6</x:v>
      </x:c>
      <x:c r="D321" t="str">
        <x:v>1000076</x:v>
      </x:c>
      <x:c r="E321" t="str">
        <x:v> KIT DE CORRER EM MADEIRA DE PINUS</x:v>
      </x:c>
      <x:c r="F321" t="str"/>
      <x:c r="G321" t="str"/>
      <x:c r="H321" t="str"/>
      <x:c r="I321" t="str">
        <x:v>RECOBERTO PET</x:v>
      </x:c>
      <x:c r="J321" t="str">
        <x:v>BRANCO CARRARA</x:v>
      </x:c>
      <x:c r="K321" t="str">
        <x:v>0</x:v>
      </x:c>
      <x:c r="L321" t="str">
        <x:v>2</x:v>
      </x:c>
      <x:c r="M321" t="str">
        <x:v>0</x:v>
      </x:c>
      <x:c r="N321" t="str"/>
      <x:c r="O321" t="str"/>
      <x:c r="P321" t="str">
        <x:v>Liberada Para Producao</x:v>
      </x:c>
      <x:c r="Q321" t="str">
        <x:v>610022</x:v>
      </x:c>
      <x:c r="R321" t="str">
        <x:v>0</x:v>
      </x:c>
      <x:c r="S321" t="str"/>
      <x:c r="T321" t="str"/>
      <x:c r="U321" t="str"/>
      <x:c r="V321" t="str"/>
      <x:c r="W321" t="str">
        <x:v>N/A</x:v>
      </x:c>
      <x:c r="X321" t="str">
        <x:v>N/A</x:v>
      </x:c>
      <x:c r="Y321" t="str">
        <x:v>N/A</x:v>
      </x:c>
      <x:c r="Z321" t="str">
        <x:v>N/A</x:v>
      </x:c>
      <x:c r="AA321" t="str">
        <x:v>N/A</x:v>
      </x:c>
      <x:c r="AB321" t="str">
        <x:v>N/A</x:v>
      </x:c>
      <x:c r="AC321" t="str">
        <x:v>N/A</x:v>
      </x:c>
      <x:c r="AD321" t="str">
        <x:v>0</x:v>
      </x:c>
      <x:c r="AE321" t="str">
        <x:v>N/A</x:v>
      </x:c>
    </x:row>
    <x:row r="322">
      <x:c r="A322" t="str">
        <x:v>51</x:v>
      </x:c>
      <x:c r="B322" t="str">
        <x:v>26744</x:v>
      </x:c>
      <x:c r="C322" t="str">
        <x:v>7</x:v>
      </x:c>
      <x:c r="D322" t="str">
        <x:v>919640</x:v>
      </x:c>
      <x:c r="E322" t="str">
        <x:v>TR AL 1100X50X9 RTO LME REC PET BCO (ULT</x:v>
      </x:c>
      <x:c r="F322" t="str">
        <x:v>REG 2L(MAIOR 35mm)</x:v>
      </x:c>
      <x:c r="G322" t="str"/>
      <x:c r="H322" t="str"/>
      <x:c r="I322" t="str">
        <x:v>RECOBERTO PET</x:v>
      </x:c>
      <x:c r="J322" t="str">
        <x:v>BRANCO CARRARA</x:v>
      </x:c>
      <x:c r="K322" t="str">
        <x:v>0</x:v>
      </x:c>
      <x:c r="L322" t="str">
        <x:v>2</x:v>
      </x:c>
      <x:c r="M322" t="str">
        <x:v>0</x:v>
      </x:c>
      <x:c r="N322" t="str"/>
      <x:c r="O322" t="str"/>
      <x:c r="P322" t="str">
        <x:v>Liberada Para Producao</x:v>
      </x:c>
      <x:c r="Q322" t="str">
        <x:v>610024</x:v>
      </x:c>
      <x:c r="R322" t="str">
        <x:v>0</x:v>
      </x:c>
      <x:c r="S322" t="str"/>
      <x:c r="T322" t="str"/>
      <x:c r="U322" t="str"/>
      <x:c r="V322" t="str"/>
      <x:c r="W322" t="str">
        <x:v>N/A</x:v>
      </x:c>
      <x:c r="X322" t="str">
        <x:v>0</x:v>
      </x:c>
      <x:c r="Y322" t="str">
        <x:v>0</x:v>
      </x:c>
      <x:c r="Z322" t="str">
        <x:v>0</x:v>
      </x:c>
      <x:c r="AA322" t="str">
        <x:v>0</x:v>
      </x:c>
      <x:c r="AB322" t="str">
        <x:v>N/A</x:v>
      </x:c>
      <x:c r="AC322" t="str">
        <x:v>N/A</x:v>
      </x:c>
      <x:c r="AD322" t="str">
        <x:v>N/A</x:v>
      </x:c>
      <x:c r="AE322" t="str">
        <x:v>N/A</x:v>
      </x:c>
    </x:row>
    <x:row r="323">
      <x:c r="A323" t="str">
        <x:v>51</x:v>
      </x:c>
      <x:c r="B323" t="str">
        <x:v>26744</x:v>
      </x:c>
      <x:c r="C323" t="str">
        <x:v>7</x:v>
      </x:c>
      <x:c r="D323" t="str">
        <x:v>962729</x:v>
      </x:c>
      <x:c r="E323" t="str">
        <x:v>PE AL 2200X50X9 RTO RL35 REC PET BCO(ULT</x:v>
      </x:c>
      <x:c r="F323" t="str">
        <x:v>REG 2L(MAIOR 35mm)</x:v>
      </x:c>
      <x:c r="G323" t="str"/>
      <x:c r="H323" t="str"/>
      <x:c r="I323" t="str">
        <x:v>RECOBERTO PET</x:v>
      </x:c>
      <x:c r="J323" t="str">
        <x:v>BRANCO CARRARA</x:v>
      </x:c>
      <x:c r="K323" t="str">
        <x:v>0</x:v>
      </x:c>
      <x:c r="L323" t="str">
        <x:v>4</x:v>
      </x:c>
      <x:c r="M323" t="str">
        <x:v>0</x:v>
      </x:c>
      <x:c r="N323" t="str"/>
      <x:c r="O323" t="str"/>
      <x:c r="P323" t="str">
        <x:v>Liberada Para Producao</x:v>
      </x:c>
      <x:c r="Q323" t="str">
        <x:v>610025</x:v>
      </x:c>
      <x:c r="R323" t="str">
        <x:v>0</x:v>
      </x:c>
      <x:c r="S323" t="str"/>
      <x:c r="T323" t="str"/>
      <x:c r="U323" t="str"/>
      <x:c r="V323" t="str"/>
      <x:c r="W323" t="str">
        <x:v>N/A</x:v>
      </x:c>
      <x:c r="X323" t="str">
        <x:v>0</x:v>
      </x:c>
      <x:c r="Y323" t="str">
        <x:v>0</x:v>
      </x:c>
      <x:c r="Z323" t="str">
        <x:v>0</x:v>
      </x:c>
      <x:c r="AA323" t="str">
        <x:v>N/A</x:v>
      </x:c>
      <x:c r="AB323" t="str">
        <x:v>N/A</x:v>
      </x:c>
      <x:c r="AC323" t="str">
        <x:v>N/A</x:v>
      </x:c>
      <x:c r="AD323" t="str">
        <x:v>N/A</x:v>
      </x:c>
      <x:c r="AE323" t="str">
        <x:v>N/A</x:v>
      </x:c>
    </x:row>
    <x:row r="324">
      <x:c r="A324" t="str">
        <x:v>51</x:v>
      </x:c>
      <x:c r="B324" t="str">
        <x:v>26744</x:v>
      </x:c>
      <x:c r="C324" t="str">
        <x:v>7</x:v>
      </x:c>
      <x:c r="D324" t="str">
        <x:v>962730</x:v>
      </x:c>
      <x:c r="E324" t="str">
        <x:v>TR AL 1000X50X9 RTO RL35 REC PET BCO (UL</x:v>
      </x:c>
      <x:c r="F324" t="str">
        <x:v>REG 2L(MAIOR 35mm)</x:v>
      </x:c>
      <x:c r="G324" t="str"/>
      <x:c r="H324" t="str"/>
      <x:c r="I324" t="str">
        <x:v>RECOBERTO PET</x:v>
      </x:c>
      <x:c r="J324" t="str">
        <x:v>BRANCO CARRARA</x:v>
      </x:c>
      <x:c r="K324" t="str">
        <x:v>0</x:v>
      </x:c>
      <x:c r="L324" t="str">
        <x:v>2</x:v>
      </x:c>
      <x:c r="M324" t="str">
        <x:v>0</x:v>
      </x:c>
      <x:c r="N324" t="str"/>
      <x:c r="O324" t="str"/>
      <x:c r="P324" t="str">
        <x:v>Liberada Para Producao</x:v>
      </x:c>
      <x:c r="Q324" t="str">
        <x:v>610026</x:v>
      </x:c>
      <x:c r="R324" t="str">
        <x:v>0</x:v>
      </x:c>
      <x:c r="S324" t="str"/>
      <x:c r="T324" t="str"/>
      <x:c r="U324" t="str"/>
      <x:c r="V324" t="str"/>
      <x:c r="W324" t="str">
        <x:v>N/A</x:v>
      </x:c>
      <x:c r="X324" t="str">
        <x:v>0</x:v>
      </x:c>
      <x:c r="Y324" t="str">
        <x:v>0</x:v>
      </x:c>
      <x:c r="Z324" t="str">
        <x:v>0</x:v>
      </x:c>
      <x:c r="AA324" t="str">
        <x:v>0</x:v>
      </x:c>
      <x:c r="AB324" t="str">
        <x:v>N/A</x:v>
      </x:c>
      <x:c r="AC324" t="str">
        <x:v>N/A</x:v>
      </x:c>
      <x:c r="AD324" t="str">
        <x:v>N/A</x:v>
      </x:c>
      <x:c r="AE324" t="str">
        <x:v>N/A</x:v>
      </x:c>
    </x:row>
    <x:row r="325">
      <x:c r="A325" t="str">
        <x:v>51</x:v>
      </x:c>
      <x:c r="B325" t="str">
        <x:v>26744</x:v>
      </x:c>
      <x:c r="C325" t="str">
        <x:v>7</x:v>
      </x:c>
      <x:c r="D325" t="str">
        <x:v>963311</x:v>
      </x:c>
      <x:c r="E325" t="str">
        <x:v>PE AL 2250X50X9 RTO LME REC PET BCO(ULTR</x:v>
      </x:c>
      <x:c r="F325" t="str">
        <x:v>REG 2L(MAIOR 35mm)</x:v>
      </x:c>
      <x:c r="G325" t="str"/>
      <x:c r="H325" t="str"/>
      <x:c r="I325" t="str">
        <x:v>RECOBERTO PET</x:v>
      </x:c>
      <x:c r="J325" t="str">
        <x:v>BRANCO CARRARA</x:v>
      </x:c>
      <x:c r="K325" t="str">
        <x:v>0</x:v>
      </x:c>
      <x:c r="L325" t="str">
        <x:v>4</x:v>
      </x:c>
      <x:c r="M325" t="str">
        <x:v>0</x:v>
      </x:c>
      <x:c r="N325" t="str"/>
      <x:c r="O325" t="str"/>
      <x:c r="P325" t="str">
        <x:v>Liberada Para Producao</x:v>
      </x:c>
      <x:c r="Q325" t="str">
        <x:v>610027</x:v>
      </x:c>
      <x:c r="R325" t="str">
        <x:v>0</x:v>
      </x:c>
      <x:c r="S325" t="str"/>
      <x:c r="T325" t="str"/>
      <x:c r="U325" t="str"/>
      <x:c r="V325" t="str"/>
      <x:c r="W325" t="str">
        <x:v>N/A</x:v>
      </x:c>
      <x:c r="X325" t="str">
        <x:v>0</x:v>
      </x:c>
      <x:c r="Y325" t="str">
        <x:v>0</x:v>
      </x:c>
      <x:c r="Z325" t="str">
        <x:v>0</x:v>
      </x:c>
      <x:c r="AA325" t="str">
        <x:v>N/A</x:v>
      </x:c>
      <x:c r="AB325" t="str">
        <x:v>N/A</x:v>
      </x:c>
      <x:c r="AC325" t="str">
        <x:v>N/A</x:v>
      </x:c>
      <x:c r="AD325" t="str">
        <x:v>N/A</x:v>
      </x:c>
      <x:c r="AE325" t="str">
        <x:v>N/A</x:v>
      </x:c>
    </x:row>
    <x:row r="326">
      <x:c r="A326" t="str">
        <x:v>51</x:v>
      </x:c>
      <x:c r="B326" t="str">
        <x:v>26744</x:v>
      </x:c>
      <x:c r="C326" t="str">
        <x:v>8</x:v>
      </x:c>
      <x:c r="D326" t="str">
        <x:v>959646</x:v>
      </x:c>
      <x:c r="E326" t="str">
        <x:v>FEC CORRER-357504 CH.V BR 27-575-2 CONC</x:v>
      </x:c>
      <x:c r="F326" t="str"/>
      <x:c r="G326" t="str"/>
      <x:c r="H326" t="str"/>
      <x:c r="I326" t="str">
        <x:v>FERRAGENS</x:v>
      </x:c>
      <x:c r="J326" t="str">
        <x:v>FECHADURAS</x:v>
      </x:c>
      <x:c r="K326" t="str">
        <x:v>0</x:v>
      </x:c>
      <x:c r="L326" t="str">
        <x:v>2</x:v>
      </x:c>
      <x:c r="M326" t="str">
        <x:v>0,002</x:v>
      </x:c>
      <x:c r="N326" t="str"/>
      <x:c r="O326" t="str"/>
      <x:c r="P326" t="str">
        <x:v>SEM ENGENHARIA CADASTRADA</x:v>
      </x:c>
      <x:c r="Q326" t="str"/>
      <x:c r="R326" t="str">
        <x:v>0</x:v>
      </x:c>
      <x:c r="S326" t="str"/>
      <x:c r="T326" t="str"/>
      <x:c r="U326" t="str"/>
      <x:c r="V326" t="str"/>
      <x:c r="W326" t="str">
        <x:v>N/A</x:v>
      </x:c>
      <x:c r="X326" t="str">
        <x:v>N/A</x:v>
      </x:c>
      <x:c r="Y326" t="str">
        <x:v>N/A</x:v>
      </x:c>
      <x:c r="Z326" t="str">
        <x:v>N/A</x:v>
      </x:c>
      <x:c r="AA326" t="str">
        <x:v>N/A</x:v>
      </x:c>
      <x:c r="AB326" t="str">
        <x:v>N/A</x:v>
      </x:c>
      <x:c r="AC326" t="str">
        <x:v>N/A</x:v>
      </x:c>
      <x:c r="AD326" t="str">
        <x:v>N/A</x:v>
      </x:c>
      <x:c r="AE326" t="str">
        <x:v>N/A</x:v>
      </x:c>
    </x:row>
    <x:row r="327">
      <x:c r="A327" t="str">
        <x:v>51</x:v>
      </x:c>
      <x:c r="B327" t="str">
        <x:v>26747</x:v>
      </x:c>
      <x:c r="C327" t="str">
        <x:v>1</x:v>
      </x:c>
      <x:c r="D327" t="str">
        <x:v>4210012014</x:v>
      </x:c>
      <x:c r="E327" t="str">
        <x:v>FOL.POR.COL.LIS2100x600x0 ESM.BRC PLS</x:v>
      </x:c>
      <x:c r="F327" t="str">
        <x:v>LISA</x:v>
      </x:c>
      <x:c r="G327" t="str">
        <x:v>C/USINAGEM COMPLETA</x:v>
      </x:c>
      <x:c r="H327" t="str"/>
      <x:c r="I327" t="str">
        <x:v>ESMALTE</x:v>
      </x:c>
      <x:c r="J327" t="str">
        <x:v>BRANCO CARRARA</x:v>
      </x:c>
      <x:c r="K327" t="str">
        <x:v>0</x:v>
      </x:c>
      <x:c r="L327" t="str">
        <x:v>1</x:v>
      </x:c>
      <x:c r="M327" t="str">
        <x:v>0,044</x:v>
      </x:c>
      <x:c r="N327" t="str"/>
      <x:c r="O327" t="str"/>
      <x:c r="P327" t="str">
        <x:v>Liberada Para Producao</x:v>
      </x:c>
      <x:c r="Q327" t="str">
        <x:v>608997</x:v>
      </x:c>
      <x:c r="R327" t="str">
        <x:v>66,67</x:v>
      </x:c>
      <x:c r="S327" t="str">
        <x:v>1</x:v>
      </x:c>
      <x:c r="T327" t="str">
        <x:v>PORTA LINHA PREMIUM</x:v>
      </x:c>
      <x:c r="U327" t="str">
        <x:v>BORDA 2 LADOS</x:v>
      </x:c>
      <x:c r="V327" t="str"/>
      <x:c r="W327" t="str">
        <x:v>N/A</x:v>
      </x:c>
      <x:c r="X327" t="str">
        <x:v>100</x:v>
      </x:c>
      <x:c r="Y327" t="str">
        <x:v>N/A</x:v>
      </x:c>
      <x:c r="Z327" t="str">
        <x:v>N/A</x:v>
      </x:c>
      <x:c r="AA327" t="str">
        <x:v>N/A</x:v>
      </x:c>
      <x:c r="AB327" t="str">
        <x:v>100</x:v>
      </x:c>
      <x:c r="AC327" t="str">
        <x:v>N/A</x:v>
      </x:c>
      <x:c r="AD327" t="str">
        <x:v>0</x:v>
      </x:c>
      <x:c r="AE327" t="str">
        <x:v>N/A</x:v>
      </x:c>
    </x:row>
    <x:row r="328">
      <x:c r="A328" t="str">
        <x:v>51</x:v>
      </x:c>
      <x:c r="B328" t="str">
        <x:v>26747</x:v>
      </x:c>
      <x:c r="C328" t="str">
        <x:v>2</x:v>
      </x:c>
      <x:c r="D328" t="str">
        <x:v>957273</x:v>
      </x:c>
      <x:c r="E328" t="str">
        <x:v>2110x150x30 42x10 R2 RTO BIA PET BC U UL</x:v>
      </x:c>
      <x:c r="F328" t="str">
        <x:v>MDF ULTRA</x:v>
      </x:c>
      <x:c r="G328" t="str">
        <x:v>C/BORRACHA I APLICADA</x:v>
      </x:c>
      <x:c r="H328" t="str">
        <x:v>C/REB 42X10</x:v>
      </x:c>
      <x:c r="I328" t="str">
        <x:v>RECOBERTO PET</x:v>
      </x:c>
      <x:c r="J328" t="str">
        <x:v>BRANCO CARRARA</x:v>
      </x:c>
      <x:c r="K328" t="str">
        <x:v>0</x:v>
      </x:c>
      <x:c r="L328" t="str">
        <x:v>2</x:v>
      </x:c>
      <x:c r="M328" t="str">
        <x:v>0</x:v>
      </x:c>
      <x:c r="N328" t="str"/>
      <x:c r="O328" t="str"/>
      <x:c r="P328" t="str">
        <x:v>Liberada Para Producao</x:v>
      </x:c>
      <x:c r="Q328" t="str">
        <x:v>608999</x:v>
      </x:c>
      <x:c r="R328" t="str">
        <x:v>0</x:v>
      </x:c>
      <x:c r="S328" t="str"/>
      <x:c r="T328" t="str"/>
      <x:c r="U328" t="str"/>
      <x:c r="V328" t="str"/>
      <x:c r="W328" t="str">
        <x:v>N/A</x:v>
      </x:c>
      <x:c r="X328" t="str">
        <x:v>N/A</x:v>
      </x:c>
      <x:c r="Y328" t="str">
        <x:v>N/A</x:v>
      </x:c>
      <x:c r="Z328" t="str">
        <x:v>0</x:v>
      </x:c>
      <x:c r="AA328" t="str">
        <x:v>0</x:v>
      </x:c>
      <x:c r="AB328" t="str">
        <x:v>N/A</x:v>
      </x:c>
      <x:c r="AC328" t="str">
        <x:v>N/A</x:v>
      </x:c>
      <x:c r="AD328" t="str">
        <x:v>N/A</x:v>
      </x:c>
      <x:c r="AE328" t="str">
        <x:v>N/A</x:v>
      </x:c>
    </x:row>
    <x:row r="329">
      <x:c r="A329" t="str">
        <x:v>51</x:v>
      </x:c>
      <x:c r="B329" t="str">
        <x:v>26747</x:v>
      </x:c>
      <x:c r="C329" t="str">
        <x:v>2</x:v>
      </x:c>
      <x:c r="D329" t="str">
        <x:v>963858</x:v>
      </x:c>
      <x:c r="E329" t="str">
        <x:v>647x150x30 42x10 R2L RTO BIA PET BCO ULT</x:v>
      </x:c>
      <x:c r="F329" t="str">
        <x:v>MDF ULTRA</x:v>
      </x:c>
      <x:c r="G329" t="str">
        <x:v>C/BORRACHA I APLICADA</x:v>
      </x:c>
      <x:c r="H329" t="str">
        <x:v>C/REB 42X10</x:v>
      </x:c>
      <x:c r="I329" t="str">
        <x:v>RECOBERTO PET</x:v>
      </x:c>
      <x:c r="J329" t="str">
        <x:v>BRANCO CARRARA</x:v>
      </x:c>
      <x:c r="K329" t="str">
        <x:v>0</x:v>
      </x:c>
      <x:c r="L329" t="str">
        <x:v>1</x:v>
      </x:c>
      <x:c r="M329" t="str">
        <x:v>0</x:v>
      </x:c>
      <x:c r="N329" t="str"/>
      <x:c r="O329" t="str"/>
      <x:c r="P329" t="str">
        <x:v>Liberada Para Producao</x:v>
      </x:c>
      <x:c r="Q329" t="str">
        <x:v>609000</x:v>
      </x:c>
      <x:c r="R329" t="str">
        <x:v>0</x:v>
      </x:c>
      <x:c r="S329" t="str"/>
      <x:c r="T329" t="str"/>
      <x:c r="U329" t="str"/>
      <x:c r="V329" t="str"/>
      <x:c r="W329" t="str">
        <x:v>N/A</x:v>
      </x:c>
      <x:c r="X329" t="str">
        <x:v>N/A</x:v>
      </x:c>
      <x:c r="Y329" t="str">
        <x:v>N/A</x:v>
      </x:c>
      <x:c r="Z329" t="str">
        <x:v>0</x:v>
      </x:c>
      <x:c r="AA329" t="str">
        <x:v>0</x:v>
      </x:c>
      <x:c r="AB329" t="str">
        <x:v>N/A</x:v>
      </x:c>
      <x:c r="AC329" t="str">
        <x:v>N/A</x:v>
      </x:c>
      <x:c r="AD329" t="str">
        <x:v>N/A</x:v>
      </x:c>
      <x:c r="AE329" t="str">
        <x:v>N/A</x:v>
      </x:c>
    </x:row>
    <x:row r="330">
      <x:c r="A330" t="str">
        <x:v>51</x:v>
      </x:c>
      <x:c r="B330" t="str">
        <x:v>26747</x:v>
      </x:c>
      <x:c r="C330" t="str">
        <x:v>3</x:v>
      </x:c>
      <x:c r="D330" t="str">
        <x:v>966183</x:v>
      </x:c>
      <x:c r="E330" t="str">
        <x:v>P A 2250X70X15 RTO RL55 RC PET BCO (UL)</x:v>
      </x:c>
      <x:c r="F330" t="str">
        <x:v>REG 2L(MAIOR 55MM)</x:v>
      </x:c>
      <x:c r="G330" t="str"/>
      <x:c r="H330" t="str"/>
      <x:c r="I330" t="str">
        <x:v>RECOBERTO PET</x:v>
      </x:c>
      <x:c r="J330" t="str">
        <x:v>BRANCO CARRARA</x:v>
      </x:c>
      <x:c r="K330" t="str">
        <x:v>0</x:v>
      </x:c>
      <x:c r="L330" t="str">
        <x:v>18</x:v>
      </x:c>
      <x:c r="M330" t="str">
        <x:v>0</x:v>
      </x:c>
      <x:c r="N330" t="str"/>
      <x:c r="O330" t="str"/>
      <x:c r="P330" t="str">
        <x:v>Liberada Para Producao</x:v>
      </x:c>
      <x:c r="Q330" t="str">
        <x:v>609002</x:v>
      </x:c>
      <x:c r="R330" t="str">
        <x:v>0</x:v>
      </x:c>
      <x:c r="S330" t="str"/>
      <x:c r="T330" t="str"/>
      <x:c r="U330" t="str"/>
      <x:c r="V330" t="str"/>
      <x:c r="W330" t="str">
        <x:v>N/A</x:v>
      </x:c>
      <x:c r="X330" t="str">
        <x:v>0</x:v>
      </x:c>
      <x:c r="Y330" t="str">
        <x:v>0</x:v>
      </x:c>
      <x:c r="Z330" t="str">
        <x:v>0</x:v>
      </x:c>
      <x:c r="AA330" t="str">
        <x:v>N/A</x:v>
      </x:c>
      <x:c r="AB330" t="str">
        <x:v>N/A</x:v>
      </x:c>
      <x:c r="AC330" t="str">
        <x:v>N/A</x:v>
      </x:c>
      <x:c r="AD330" t="str">
        <x:v>N/A</x:v>
      </x:c>
      <x:c r="AE330" t="str">
        <x:v>N/A</x:v>
      </x:c>
    </x:row>
    <x:row r="331">
      <x:c r="A331" t="str">
        <x:v>51</x:v>
      </x:c>
      <x:c r="B331" t="str">
        <x:v>26747</x:v>
      </x:c>
      <x:c r="C331" t="str">
        <x:v>3</x:v>
      </x:c>
      <x:c r="D331" t="str">
        <x:v>966186</x:v>
      </x:c>
      <x:c r="E331" t="str">
        <x:v>P A 2250X70X15 RTO LME RC PET BCO (UL)</x:v>
      </x:c>
      <x:c r="F331" t="str">
        <x:v>REG 2L(MAIOR 55MM)</x:v>
      </x:c>
      <x:c r="G331" t="str"/>
      <x:c r="H331" t="str"/>
      <x:c r="I331" t="str">
        <x:v>RECOBERTO PET</x:v>
      </x:c>
      <x:c r="J331" t="str">
        <x:v>BRANCO CARRARA</x:v>
      </x:c>
      <x:c r="K331" t="str">
        <x:v>0</x:v>
      </x:c>
      <x:c r="L331" t="str">
        <x:v>18</x:v>
      </x:c>
      <x:c r="M331" t="str">
        <x:v>0</x:v>
      </x:c>
      <x:c r="N331" t="str"/>
      <x:c r="O331" t="str"/>
      <x:c r="P331" t="str">
        <x:v>Liberada Para Producao</x:v>
      </x:c>
      <x:c r="Q331" t="str">
        <x:v>609003</x:v>
      </x:c>
      <x:c r="R331" t="str">
        <x:v>0</x:v>
      </x:c>
      <x:c r="S331" t="str"/>
      <x:c r="T331" t="str"/>
      <x:c r="U331" t="str"/>
      <x:c r="V331" t="str"/>
      <x:c r="W331" t="str">
        <x:v>N/A</x:v>
      </x:c>
      <x:c r="X331" t="str">
        <x:v>0</x:v>
      </x:c>
      <x:c r="Y331" t="str">
        <x:v>0</x:v>
      </x:c>
      <x:c r="Z331" t="str">
        <x:v>0</x:v>
      </x:c>
      <x:c r="AA331" t="str">
        <x:v>N/A</x:v>
      </x:c>
      <x:c r="AB331" t="str">
        <x:v>N/A</x:v>
      </x:c>
      <x:c r="AC331" t="str">
        <x:v>N/A</x:v>
      </x:c>
      <x:c r="AD331" t="str">
        <x:v>N/A</x:v>
      </x:c>
      <x:c r="AE331" t="str">
        <x:v>N/A</x:v>
      </x:c>
    </x:row>
    <x:row r="332">
      <x:c r="A332" t="str">
        <x:v>51</x:v>
      </x:c>
      <x:c r="B332" t="str">
        <x:v>26747</x:v>
      </x:c>
      <x:c r="C332" t="str">
        <x:v>3</x:v>
      </x:c>
      <x:c r="D332" t="str">
        <x:v>980487</x:v>
      </x:c>
      <x:c r="E332" t="str">
        <x:v>TRA ALI 1000X70X12 RT LME RC PET BCO(ULT</x:v>
      </x:c>
      <x:c r="F332" t="str">
        <x:v>REG 2L(MAIOR 55MM)</x:v>
      </x:c>
      <x:c r="G332" t="str"/>
      <x:c r="H332" t="str"/>
      <x:c r="I332" t="str">
        <x:v>RECOBERTO PET</x:v>
      </x:c>
      <x:c r="J332" t="str">
        <x:v>BRANCO CARRARA</x:v>
      </x:c>
      <x:c r="K332" t="str">
        <x:v>0</x:v>
      </x:c>
      <x:c r="L332" t="str">
        <x:v>9</x:v>
      </x:c>
      <x:c r="M332" t="str">
        <x:v>0</x:v>
      </x:c>
      <x:c r="N332" t="str"/>
      <x:c r="O332" t="str"/>
      <x:c r="P332" t="str">
        <x:v>Liberada Para Producao</x:v>
      </x:c>
      <x:c r="Q332" t="str">
        <x:v>609004</x:v>
      </x:c>
      <x:c r="R332" t="str">
        <x:v>0</x:v>
      </x:c>
      <x:c r="S332" t="str"/>
      <x:c r="T332" t="str"/>
      <x:c r="U332" t="str"/>
      <x:c r="V332" t="str"/>
      <x:c r="W332" t="str">
        <x:v>N/A</x:v>
      </x:c>
      <x:c r="X332" t="str">
        <x:v>0</x:v>
      </x:c>
      <x:c r="Y332" t="str">
        <x:v>0</x:v>
      </x:c>
      <x:c r="Z332" t="str">
        <x:v>0</x:v>
      </x:c>
      <x:c r="AA332" t="str">
        <x:v>0</x:v>
      </x:c>
      <x:c r="AB332" t="str">
        <x:v>N/A</x:v>
      </x:c>
      <x:c r="AC332" t="str">
        <x:v>N/A</x:v>
      </x:c>
      <x:c r="AD332" t="str">
        <x:v>N/A</x:v>
      </x:c>
      <x:c r="AE332" t="str">
        <x:v>N/A</x:v>
      </x:c>
    </x:row>
    <x:row r="333">
      <x:c r="A333" t="str">
        <x:v>51</x:v>
      </x:c>
      <x:c r="B333" t="str">
        <x:v>26747</x:v>
      </x:c>
      <x:c r="C333" t="str">
        <x:v>3</x:v>
      </x:c>
      <x:c r="D333" t="str">
        <x:v>980492</x:v>
      </x:c>
      <x:c r="E333" t="str">
        <x:v>TRA ALI 1000X70X12 RT RL55 RC PET BCO(UL</x:v>
      </x:c>
      <x:c r="F333" t="str">
        <x:v>REG 2L(MAIOR 55MM)</x:v>
      </x:c>
      <x:c r="G333" t="str"/>
      <x:c r="H333" t="str"/>
      <x:c r="I333" t="str">
        <x:v>RECOBERTO PET</x:v>
      </x:c>
      <x:c r="J333" t="str">
        <x:v>BRANCO CARRARA</x:v>
      </x:c>
      <x:c r="K333" t="str">
        <x:v>0</x:v>
      </x:c>
      <x:c r="L333" t="str">
        <x:v>9</x:v>
      </x:c>
      <x:c r="M333" t="str">
        <x:v>0</x:v>
      </x:c>
      <x:c r="N333" t="str"/>
      <x:c r="O333" t="str"/>
      <x:c r="P333" t="str">
        <x:v>Liberada Para Producao</x:v>
      </x:c>
      <x:c r="Q333" t="str">
        <x:v>609005</x:v>
      </x:c>
      <x:c r="R333" t="str">
        <x:v>0</x:v>
      </x:c>
      <x:c r="S333" t="str"/>
      <x:c r="T333" t="str"/>
      <x:c r="U333" t="str"/>
      <x:c r="V333" t="str"/>
      <x:c r="W333" t="str">
        <x:v>N/A</x:v>
      </x:c>
      <x:c r="X333" t="str">
        <x:v>0</x:v>
      </x:c>
      <x:c r="Y333" t="str">
        <x:v>0</x:v>
      </x:c>
      <x:c r="Z333" t="str">
        <x:v>0</x:v>
      </x:c>
      <x:c r="AA333" t="str">
        <x:v>0</x:v>
      </x:c>
      <x:c r="AB333" t="str">
        <x:v>N/A</x:v>
      </x:c>
      <x:c r="AC333" t="str">
        <x:v>N/A</x:v>
      </x:c>
      <x:c r="AD333" t="str">
        <x:v>N/A</x:v>
      </x:c>
      <x:c r="AE333" t="str">
        <x:v>N/A</x:v>
      </x:c>
    </x:row>
    <x:row r="334">
      <x:c r="A334" t="str">
        <x:v>51</x:v>
      </x:c>
      <x:c r="B334" t="str">
        <x:v>26747</x:v>
      </x:c>
      <x:c r="C334" t="str">
        <x:v>4</x:v>
      </x:c>
      <x:c r="D334" t="str">
        <x:v>4210012020</x:v>
      </x:c>
      <x:c r="E334" t="str">
        <x:v>FP COLM HDF 3 2100x700x35 ESM BCO C C/US</x:v>
      </x:c>
      <x:c r="F334" t="str">
        <x:v>LISA</x:v>
      </x:c>
      <x:c r="G334" t="str">
        <x:v>C/USINAGEM COMPLETA</x:v>
      </x:c>
      <x:c r="H334" t="str"/>
      <x:c r="I334" t="str">
        <x:v>ESMALTE</x:v>
      </x:c>
      <x:c r="J334" t="str">
        <x:v>BRANCO CARRARA</x:v>
      </x:c>
      <x:c r="K334" t="str">
        <x:v>0</x:v>
      </x:c>
      <x:c r="L334" t="str">
        <x:v>2</x:v>
      </x:c>
      <x:c r="M334" t="str">
        <x:v>0,103</x:v>
      </x:c>
      <x:c r="N334" t="str"/>
      <x:c r="O334" t="str"/>
      <x:c r="P334" t="str">
        <x:v>Liberada Para Producao</x:v>
      </x:c>
      <x:c r="Q334" t="str">
        <x:v>609006</x:v>
      </x:c>
      <x:c r="R334" t="str">
        <x:v>33,33</x:v>
      </x:c>
      <x:c r="S334" t="str">
        <x:v>1</x:v>
      </x:c>
      <x:c r="T334" t="str">
        <x:v>PORTA LINHA PREMIUM</x:v>
      </x:c>
      <x:c r="U334" t="str">
        <x:v>BORDA 2 LADOS</x:v>
      </x:c>
      <x:c r="V334" t="str"/>
      <x:c r="W334" t="str">
        <x:v>N/A</x:v>
      </x:c>
      <x:c r="X334" t="str">
        <x:v>100</x:v>
      </x:c>
      <x:c r="Y334" t="str">
        <x:v>N/A</x:v>
      </x:c>
      <x:c r="Z334" t="str">
        <x:v>N/A</x:v>
      </x:c>
      <x:c r="AA334" t="str">
        <x:v>N/A</x:v>
      </x:c>
      <x:c r="AB334" t="str">
        <x:v>0</x:v>
      </x:c>
      <x:c r="AC334" t="str">
        <x:v>N/A</x:v>
      </x:c>
      <x:c r="AD334" t="str">
        <x:v>0</x:v>
      </x:c>
      <x:c r="AE334" t="str">
        <x:v>N/A</x:v>
      </x:c>
    </x:row>
    <x:row r="335">
      <x:c r="A335" t="str">
        <x:v>51</x:v>
      </x:c>
      <x:c r="B335" t="str">
        <x:v>26747</x:v>
      </x:c>
      <x:c r="C335" t="str">
        <x:v>5</x:v>
      </x:c>
      <x:c r="D335" t="str">
        <x:v>957273</x:v>
      </x:c>
      <x:c r="E335" t="str">
        <x:v>2110x150x30 42x10 R2 RTO BIA PET BC U UL</x:v>
      </x:c>
      <x:c r="F335" t="str">
        <x:v>MDF ULTRA</x:v>
      </x:c>
      <x:c r="G335" t="str">
        <x:v>C/BORRACHA I APLICADA</x:v>
      </x:c>
      <x:c r="H335" t="str">
        <x:v>C/REB 42X10</x:v>
      </x:c>
      <x:c r="I335" t="str">
        <x:v>RECOBERTO PET</x:v>
      </x:c>
      <x:c r="J335" t="str">
        <x:v>BRANCO CARRARA</x:v>
      </x:c>
      <x:c r="K335" t="str">
        <x:v>0</x:v>
      </x:c>
      <x:c r="L335" t="str">
        <x:v>2</x:v>
      </x:c>
      <x:c r="M335" t="str">
        <x:v>0</x:v>
      </x:c>
      <x:c r="N335" t="str"/>
      <x:c r="O335" t="str"/>
      <x:c r="P335" t="str">
        <x:v>Liberada Para Producao</x:v>
      </x:c>
      <x:c r="Q335" t="str">
        <x:v>609008</x:v>
      </x:c>
      <x:c r="R335" t="str">
        <x:v>0</x:v>
      </x:c>
      <x:c r="S335" t="str"/>
      <x:c r="T335" t="str"/>
      <x:c r="U335" t="str"/>
      <x:c r="V335" t="str"/>
      <x:c r="W335" t="str">
        <x:v>N/A</x:v>
      </x:c>
      <x:c r="X335" t="str">
        <x:v>N/A</x:v>
      </x:c>
      <x:c r="Y335" t="str">
        <x:v>N/A</x:v>
      </x:c>
      <x:c r="Z335" t="str">
        <x:v>0</x:v>
      </x:c>
      <x:c r="AA335" t="str">
        <x:v>0</x:v>
      </x:c>
      <x:c r="AB335" t="str">
        <x:v>N/A</x:v>
      </x:c>
      <x:c r="AC335" t="str">
        <x:v>N/A</x:v>
      </x:c>
      <x:c r="AD335" t="str">
        <x:v>N/A</x:v>
      </x:c>
      <x:c r="AE335" t="str">
        <x:v>N/A</x:v>
      </x:c>
    </x:row>
    <x:row r="336">
      <x:c r="A336" t="str">
        <x:v>51</x:v>
      </x:c>
      <x:c r="B336" t="str">
        <x:v>26747</x:v>
      </x:c>
      <x:c r="C336" t="str">
        <x:v>5</x:v>
      </x:c>
      <x:c r="D336" t="str">
        <x:v>957281</x:v>
      </x:c>
      <x:c r="E336" t="str">
        <x:v>747x150x30 42x10 R2L RTO BIA PET BCO ULT</x:v>
      </x:c>
      <x:c r="F336" t="str">
        <x:v>MDF ULTRA</x:v>
      </x:c>
      <x:c r="G336" t="str">
        <x:v>C/BORRACHA I APLICADA</x:v>
      </x:c>
      <x:c r="H336" t="str">
        <x:v>C/REB 42X10</x:v>
      </x:c>
      <x:c r="I336" t="str">
        <x:v>RECOBERTO PET</x:v>
      </x:c>
      <x:c r="J336" t="str">
        <x:v>BRANCO CARRARA</x:v>
      </x:c>
      <x:c r="K336" t="str">
        <x:v>0</x:v>
      </x:c>
      <x:c r="L336" t="str">
        <x:v>1</x:v>
      </x:c>
      <x:c r="M336" t="str">
        <x:v>0</x:v>
      </x:c>
      <x:c r="N336" t="str"/>
      <x:c r="O336" t="str"/>
      <x:c r="P336" t="str">
        <x:v>Liberada Para Producao</x:v>
      </x:c>
      <x:c r="Q336" t="str">
        <x:v>609009</x:v>
      </x:c>
      <x:c r="R336" t="str">
        <x:v>0</x:v>
      </x:c>
      <x:c r="S336" t="str"/>
      <x:c r="T336" t="str"/>
      <x:c r="U336" t="str"/>
      <x:c r="V336" t="str"/>
      <x:c r="W336" t="str">
        <x:v>N/A</x:v>
      </x:c>
      <x:c r="X336" t="str">
        <x:v>N/A</x:v>
      </x:c>
      <x:c r="Y336" t="str">
        <x:v>N/A</x:v>
      </x:c>
      <x:c r="Z336" t="str">
        <x:v>0</x:v>
      </x:c>
      <x:c r="AA336" t="str">
        <x:v>0</x:v>
      </x:c>
      <x:c r="AB336" t="str">
        <x:v>N/A</x:v>
      </x:c>
      <x:c r="AC336" t="str">
        <x:v>N/A</x:v>
      </x:c>
      <x:c r="AD336" t="str">
        <x:v>N/A</x:v>
      </x:c>
      <x:c r="AE336" t="str">
        <x:v>N/A</x:v>
      </x:c>
    </x:row>
    <x:row r="337">
      <x:c r="A337" t="str">
        <x:v>51</x:v>
      </x:c>
      <x:c r="B337" t="str">
        <x:v>26750</x:v>
      </x:c>
      <x:c r="C337" t="str">
        <x:v>23</x:v>
      </x:c>
      <x:c r="D337" t="str">
        <x:v>968091</x:v>
      </x:c>
      <x:c r="E337" t="str">
        <x:v>667x130x30 42X10 R2L BIA RT PET BCO (ULT</x:v>
      </x:c>
      <x:c r="F337" t="str"/>
      <x:c r="G337" t="str"/>
      <x:c r="H337" t="str"/>
      <x:c r="I337" t="str">
        <x:v>ESMALTE</x:v>
      </x:c>
      <x:c r="J337" t="str">
        <x:v>BRANCO CARRARA</x:v>
      </x:c>
      <x:c r="K337" t="str">
        <x:v>0</x:v>
      </x:c>
      <x:c r="L337" t="str">
        <x:v>4</x:v>
      </x:c>
      <x:c r="M337" t="str">
        <x:v>0,01</x:v>
      </x:c>
      <x:c r="N337" t="str"/>
      <x:c r="O337" t="str"/>
      <x:c r="P337" t="str">
        <x:v>Liberada Para Producao</x:v>
      </x:c>
      <x:c r="Q337" t="str">
        <x:v>609895</x:v>
      </x:c>
      <x:c r="R337" t="str">
        <x:v>0</x:v>
      </x:c>
      <x:c r="S337" t="str"/>
      <x:c r="T337" t="str"/>
      <x:c r="U337" t="str"/>
      <x:c r="V337" t="str"/>
      <x:c r="W337" t="str">
        <x:v>N/A</x:v>
      </x:c>
      <x:c r="X337" t="str">
        <x:v>N/A</x:v>
      </x:c>
      <x:c r="Y337" t="str">
        <x:v>N/A</x:v>
      </x:c>
      <x:c r="Z337" t="str">
        <x:v>0</x:v>
      </x:c>
      <x:c r="AA337" t="str">
        <x:v>0</x:v>
      </x:c>
      <x:c r="AB337" t="str">
        <x:v>N/A</x:v>
      </x:c>
      <x:c r="AC337" t="str">
        <x:v>N/A</x:v>
      </x:c>
      <x:c r="AD337" t="str">
        <x:v>N/A</x:v>
      </x:c>
      <x:c r="AE337" t="str">
        <x:v>N/A</x:v>
      </x:c>
    </x:row>
    <x:row r="338">
      <x:c r="A338" t="str">
        <x:v>51</x:v>
      </x:c>
      <x:c r="B338" t="str">
        <x:v>26744</x:v>
      </x:c>
      <x:c r="C338" t="str">
        <x:v>2</x:v>
      </x:c>
      <x:c r="D338" t="str">
        <x:v>675978</x:v>
      </x:c>
      <x:c r="E338" t="str">
        <x:v>747x130x30 42x10 R2 BIA PET BC(PREMIUM)</x:v>
      </x:c>
      <x:c r="F338" t="str"/>
      <x:c r="G338" t="str"/>
      <x:c r="H338" t="str"/>
      <x:c r="I338" t="str">
        <x:v>RECOBERTO PET</x:v>
      </x:c>
      <x:c r="J338" t="str">
        <x:v>BRANCO CARRARA</x:v>
      </x:c>
      <x:c r="K338" t="str">
        <x:v>0</x:v>
      </x:c>
      <x:c r="L338" t="str">
        <x:v>5</x:v>
      </x:c>
      <x:c r="M338" t="str">
        <x:v>0</x:v>
      </x:c>
      <x:c r="N338" t="str"/>
      <x:c r="O338" t="str"/>
      <x:c r="P338" t="str">
        <x:v>Liberada Para Producao</x:v>
      </x:c>
      <x:c r="Q338" t="str">
        <x:v>609997</x:v>
      </x:c>
      <x:c r="R338" t="str">
        <x:v>0</x:v>
      </x:c>
      <x:c r="S338" t="str"/>
      <x:c r="T338" t="str"/>
      <x:c r="U338" t="str"/>
      <x:c r="V338" t="str"/>
      <x:c r="W338" t="str">
        <x:v>N/A</x:v>
      </x:c>
      <x:c r="X338" t="str">
        <x:v>N/A</x:v>
      </x:c>
      <x:c r="Y338" t="str">
        <x:v>0</x:v>
      </x:c>
      <x:c r="Z338" t="str">
        <x:v>0</x:v>
      </x:c>
      <x:c r="AA338" t="str">
        <x:v>0</x:v>
      </x:c>
      <x:c r="AB338" t="str">
        <x:v>N/A</x:v>
      </x:c>
      <x:c r="AC338" t="str">
        <x:v>N/A</x:v>
      </x:c>
      <x:c r="AD338" t="str">
        <x:v>N/A</x:v>
      </x:c>
      <x:c r="AE338" t="str">
        <x:v>N/A</x:v>
      </x:c>
    </x:row>
    <x:row r="339">
      <x:c r="A339" t="str">
        <x:v>51</x:v>
      </x:c>
      <x:c r="B339" t="str">
        <x:v>26747</x:v>
      </x:c>
      <x:c r="C339" t="str">
        <x:v>7</x:v>
      </x:c>
      <x:c r="D339" t="str">
        <x:v>4210012026</x:v>
      </x:c>
      <x:c r="E339" t="str">
        <x:v>FOL.POR.COL.LIS2100x800x0 ESM.BRC PLS</x:v>
      </x:c>
      <x:c r="F339" t="str">
        <x:v>LISA</x:v>
      </x:c>
      <x:c r="G339" t="str"/>
      <x:c r="H339" t="str"/>
      <x:c r="I339" t="str">
        <x:v>ESMALTE</x:v>
      </x:c>
      <x:c r="J339" t="str">
        <x:v>BRANCO CARRARA</x:v>
      </x:c>
      <x:c r="K339" t="str">
        <x:v>0</x:v>
      </x:c>
      <x:c r="L339" t="str">
        <x:v>4</x:v>
      </x:c>
      <x:c r="M339" t="str">
        <x:v>0,235</x:v>
      </x:c>
      <x:c r="N339" t="str"/>
      <x:c r="O339" t="str"/>
      <x:c r="P339" t="str">
        <x:v>Liberada Para Producao</x:v>
      </x:c>
      <x:c r="Q339" t="str">
        <x:v>609013</x:v>
      </x:c>
      <x:c r="R339" t="str">
        <x:v>66,67</x:v>
      </x:c>
      <x:c r="S339" t="str">
        <x:v>1</x:v>
      </x:c>
      <x:c r="T339" t="str">
        <x:v>PORTA LINHA PREMIUM</x:v>
      </x:c>
      <x:c r="U339" t="str">
        <x:v>BORDA 2 LADOS</x:v>
      </x:c>
      <x:c r="V339" t="str"/>
      <x:c r="W339" t="str">
        <x:v>N/A</x:v>
      </x:c>
      <x:c r="X339" t="str">
        <x:v>100</x:v>
      </x:c>
      <x:c r="Y339" t="str">
        <x:v>N/A</x:v>
      </x:c>
      <x:c r="Z339" t="str">
        <x:v>N/A</x:v>
      </x:c>
      <x:c r="AA339" t="str">
        <x:v>N/A</x:v>
      </x:c>
      <x:c r="AB339" t="str">
        <x:v>100</x:v>
      </x:c>
      <x:c r="AC339" t="str">
        <x:v>N/A</x:v>
      </x:c>
      <x:c r="AD339" t="str">
        <x:v>0</x:v>
      </x:c>
      <x:c r="AE339" t="str">
        <x:v>N/A</x:v>
      </x:c>
    </x:row>
    <x:row r="340">
      <x:c r="A340" t="str">
        <x:v>51</x:v>
      </x:c>
      <x:c r="B340" t="str">
        <x:v>26747</x:v>
      </x:c>
      <x:c r="C340" t="str">
        <x:v>6</x:v>
      </x:c>
      <x:c r="D340" t="str">
        <x:v>964779</x:v>
      </x:c>
      <x:c r="E340" t="str">
        <x:v>747x130x30 42X10 R2L BIA RT PET BCO (ULT</x:v>
      </x:c>
      <x:c r="F340" t="str"/>
      <x:c r="G340" t="str"/>
      <x:c r="H340" t="str"/>
      <x:c r="I340" t="str">
        <x:v>RECOBERTO MELAMINICO</x:v>
      </x:c>
      <x:c r="J340" t="str">
        <x:v>BRANCO CARRARA</x:v>
      </x:c>
      <x:c r="K340" t="str">
        <x:v>0</x:v>
      </x:c>
      <x:c r="L340" t="str">
        <x:v>1</x:v>
      </x:c>
      <x:c r="M340" t="str">
        <x:v>0</x:v>
      </x:c>
      <x:c r="N340" t="str"/>
      <x:c r="O340" t="str"/>
      <x:c r="P340" t="str">
        <x:v>Liberada Para Producao</x:v>
      </x:c>
      <x:c r="Q340" t="str">
        <x:v>609012</x:v>
      </x:c>
      <x:c r="R340" t="str">
        <x:v>0</x:v>
      </x:c>
      <x:c r="S340" t="str"/>
      <x:c r="T340" t="str"/>
      <x:c r="U340" t="str"/>
      <x:c r="V340" t="str"/>
      <x:c r="W340" t="str">
        <x:v>N/A</x:v>
      </x:c>
      <x:c r="X340" t="str">
        <x:v>0</x:v>
      </x:c>
      <x:c r="Y340" t="str">
        <x:v>N/A</x:v>
      </x:c>
      <x:c r="Z340" t="str">
        <x:v>0</x:v>
      </x:c>
      <x:c r="AA340" t="str">
        <x:v>0</x:v>
      </x:c>
      <x:c r="AB340" t="str">
        <x:v>N/A</x:v>
      </x:c>
      <x:c r="AC340" t="str">
        <x:v>N/A</x:v>
      </x:c>
      <x:c r="AD340" t="str">
        <x:v>N/A</x:v>
      </x:c>
      <x:c r="AE340" t="str">
        <x:v>N/A</x:v>
      </x:c>
    </x:row>
    <x:row r="341">
      <x:c r="A341" t="str">
        <x:v>51</x:v>
      </x:c>
      <x:c r="B341" t="str">
        <x:v>26520</x:v>
      </x:c>
      <x:c r="C341" t="str">
        <x:v>3</x:v>
      </x:c>
      <x:c r="D341" t="str">
        <x:v>985217</x:v>
      </x:c>
      <x:c r="E341" t="str">
        <x:v>767x130x30 42x10 R2 RT BIA PET CNZ UL)</x:v>
      </x:c>
      <x:c r="F341" t="str"/>
      <x:c r="G341" t="str"/>
      <x:c r="H341" t="str"/>
      <x:c r="I341" t="str">
        <x:v>RECOBERTO PET</x:v>
      </x:c>
      <x:c r="J341" t="str">
        <x:v>CINZA VERONA</x:v>
      </x:c>
      <x:c r="K341" t="str">
        <x:v>0</x:v>
      </x:c>
      <x:c r="L341" t="str">
        <x:v>4</x:v>
      </x:c>
      <x:c r="M341" t="str">
        <x:v>0</x:v>
      </x:c>
      <x:c r="N341" t="str"/>
      <x:c r="O341" t="str"/>
      <x:c r="P341" t="str">
        <x:v>Liberada Para Producao</x:v>
      </x:c>
      <x:c r="Q341" t="str">
        <x:v>610084</x:v>
      </x:c>
      <x:c r="R341" t="str">
        <x:v>0</x:v>
      </x:c>
      <x:c r="S341" t="str"/>
      <x:c r="T341" t="str"/>
      <x:c r="U341" t="str"/>
      <x:c r="V341" t="str"/>
      <x:c r="W341" t="str">
        <x:v>N/A</x:v>
      </x:c>
      <x:c r="X341" t="str">
        <x:v>N/A</x:v>
      </x:c>
      <x:c r="Y341" t="str">
        <x:v>N/A</x:v>
      </x:c>
      <x:c r="Z341" t="str">
        <x:v>0</x:v>
      </x:c>
      <x:c r="AA341" t="str">
        <x:v>0</x:v>
      </x:c>
      <x:c r="AB341" t="str">
        <x:v>N/A</x:v>
      </x:c>
      <x:c r="AC341" t="str">
        <x:v>N/A</x:v>
      </x:c>
      <x:c r="AD341" t="str">
        <x:v>N/A</x:v>
      </x:c>
      <x:c r="AE341" t="str">
        <x:v>N/A</x:v>
      </x:c>
    </x:row>
    <x:row r="342">
      <x:c r="A342" t="str">
        <x:v>51</x:v>
      </x:c>
      <x:c r="B342" t="str">
        <x:v>26747</x:v>
      </x:c>
      <x:c r="C342" t="str">
        <x:v>9</x:v>
      </x:c>
      <x:c r="D342" t="str">
        <x:v>5110012094</x:v>
      </x:c>
      <x:c r="E342" t="str">
        <x:v>FO P COR S GD HDF 3 2100X900X35 ESM BCO</x:v>
      </x:c>
      <x:c r="F342" t="str">
        <x:v>LISA</x:v>
      </x:c>
      <x:c r="G342" t="str"/>
      <x:c r="H342" t="str"/>
      <x:c r="I342" t="str">
        <x:v>ESMALTE</x:v>
      </x:c>
      <x:c r="J342" t="str">
        <x:v>BRANCO CARRARA</x:v>
      </x:c>
      <x:c r="K342" t="str">
        <x:v>0</x:v>
      </x:c>
      <x:c r="L342" t="str">
        <x:v>1</x:v>
      </x:c>
      <x:c r="M342" t="str">
        <x:v>0,066</x:v>
      </x:c>
      <x:c r="N342" t="str"/>
      <x:c r="O342" t="str"/>
      <x:c r="P342" t="str">
        <x:v>Liberada Para Producao</x:v>
      </x:c>
      <x:c r="Q342" t="str">
        <x:v>609017</x:v>
      </x:c>
      <x:c r="R342" t="str">
        <x:v>22,22</x:v>
      </x:c>
      <x:c r="S342" t="str">
        <x:v>1</x:v>
      </x:c>
      <x:c r="T342" t="str">
        <x:v>PORTA LINHA PREMIUM</x:v>
      </x:c>
      <x:c r="U342" t="str">
        <x:v>BORDA 2 LADOS</x:v>
      </x:c>
      <x:c r="V342" t="str"/>
      <x:c r="W342" t="str">
        <x:v>N/A</x:v>
      </x:c>
      <x:c r="X342" t="str">
        <x:v>66,67</x:v>
      </x:c>
      <x:c r="Y342" t="str">
        <x:v>N/A</x:v>
      </x:c>
      <x:c r="Z342" t="str">
        <x:v>N/A</x:v>
      </x:c>
      <x:c r="AA342" t="str">
        <x:v>N/A</x:v>
      </x:c>
      <x:c r="AB342" t="str">
        <x:v>0</x:v>
      </x:c>
      <x:c r="AC342" t="str">
        <x:v>N/A</x:v>
      </x:c>
      <x:c r="AD342" t="str">
        <x:v>0</x:v>
      </x:c>
      <x:c r="AE342" t="str">
        <x:v>N/A</x:v>
      </x:c>
    </x:row>
    <x:row r="343">
      <x:c r="A343" t="str">
        <x:v>51</x:v>
      </x:c>
      <x:c r="B343" t="str">
        <x:v>26747</x:v>
      </x:c>
      <x:c r="C343" t="str">
        <x:v>10</x:v>
      </x:c>
      <x:c r="D343" t="str">
        <x:v>5210192006</x:v>
      </x:c>
      <x:c r="E343" t="str">
        <x:v>FPC COLM HDF 3 2100x700x35 ESM BCO C C/U</x:v>
      </x:c>
      <x:c r="F343" t="str">
        <x:v>LISA</x:v>
      </x:c>
      <x:c r="G343" t="str"/>
      <x:c r="H343" t="str"/>
      <x:c r="I343" t="str">
        <x:v>ESMALTE</x:v>
      </x:c>
      <x:c r="J343" t="str">
        <x:v>BRANCO CARRARA</x:v>
      </x:c>
      <x:c r="K343" t="str">
        <x:v>0</x:v>
      </x:c>
      <x:c r="L343" t="str">
        <x:v>1</x:v>
      </x:c>
      <x:c r="M343" t="str">
        <x:v>0,051</x:v>
      </x:c>
      <x:c r="N343" t="str"/>
      <x:c r="O343" t="str"/>
      <x:c r="P343" t="str">
        <x:v>Liberada Para Producao</x:v>
      </x:c>
      <x:c r="Q343" t="str">
        <x:v>609018</x:v>
      </x:c>
      <x:c r="R343" t="str">
        <x:v>22,22</x:v>
      </x:c>
      <x:c r="S343" t="str">
        <x:v>1</x:v>
      </x:c>
      <x:c r="T343" t="str">
        <x:v>PORTA LINHA PREMIUM</x:v>
      </x:c>
      <x:c r="U343" t="str">
        <x:v>BORDA 2 LADOS</x:v>
      </x:c>
      <x:c r="V343" t="str"/>
      <x:c r="W343" t="str">
        <x:v>N/A</x:v>
      </x:c>
      <x:c r="X343" t="str">
        <x:v>66,67</x:v>
      </x:c>
      <x:c r="Y343" t="str">
        <x:v>N/A</x:v>
      </x:c>
      <x:c r="Z343" t="str">
        <x:v>N/A</x:v>
      </x:c>
      <x:c r="AA343" t="str">
        <x:v>N/A</x:v>
      </x:c>
      <x:c r="AB343" t="str">
        <x:v>0</x:v>
      </x:c>
      <x:c r="AC343" t="str">
        <x:v>N/A</x:v>
      </x:c>
      <x:c r="AD343" t="str">
        <x:v>0</x:v>
      </x:c>
      <x:c r="AE343" t="str">
        <x:v>N/A</x:v>
      </x:c>
    </x:row>
    <x:row r="344">
      <x:c r="A344" t="str">
        <x:v>51</x:v>
      </x:c>
      <x:c r="B344" t="str">
        <x:v>26739</x:v>
      </x:c>
      <x:c r="C344" t="str">
        <x:v>11</x:v>
      </x:c>
      <x:c r="D344" t="str">
        <x:v>960977</x:v>
      </x:c>
      <x:c r="E344" t="str">
        <x:v>767x130x30 42X10 R2L BIA RT PET BCO (ULT</x:v>
      </x:c>
      <x:c r="F344" t="str"/>
      <x:c r="G344" t="str"/>
      <x:c r="H344" t="str"/>
      <x:c r="I344" t="str">
        <x:v>ESMALTE</x:v>
      </x:c>
      <x:c r="J344" t="str">
        <x:v>BRANCO CARRARA</x:v>
      </x:c>
      <x:c r="K344" t="str">
        <x:v>0</x:v>
      </x:c>
      <x:c r="L344" t="str">
        <x:v>16</x:v>
      </x:c>
      <x:c r="M344" t="str">
        <x:v>0,048</x:v>
      </x:c>
      <x:c r="N344" t="str"/>
      <x:c r="O344" t="str"/>
      <x:c r="P344" t="str">
        <x:v>Liberada Para Producao</x:v>
      </x:c>
      <x:c r="Q344" t="str">
        <x:v>609665</x:v>
      </x:c>
      <x:c r="R344" t="str">
        <x:v>0</x:v>
      </x:c>
      <x:c r="S344" t="str"/>
      <x:c r="T344" t="str"/>
      <x:c r="U344" t="str"/>
      <x:c r="V344" t="str"/>
      <x:c r="W344" t="str">
        <x:v>N/A</x:v>
      </x:c>
      <x:c r="X344" t="str">
        <x:v>N/A</x:v>
      </x:c>
      <x:c r="Y344" t="str">
        <x:v>N/A</x:v>
      </x:c>
      <x:c r="Z344" t="str">
        <x:v>0</x:v>
      </x:c>
      <x:c r="AA344" t="str">
        <x:v>0</x:v>
      </x:c>
      <x:c r="AB344" t="str">
        <x:v>N/A</x:v>
      </x:c>
      <x:c r="AC344" t="str">
        <x:v>N/A</x:v>
      </x:c>
      <x:c r="AD344" t="str">
        <x:v>N/A</x:v>
      </x:c>
      <x:c r="AE344" t="str">
        <x:v>N/A</x:v>
      </x:c>
    </x:row>
    <x:row r="345">
      <x:c r="A345" t="str">
        <x:v>51</x:v>
      </x:c>
      <x:c r="B345" t="str">
        <x:v>26750</x:v>
      </x:c>
      <x:c r="C345" t="str">
        <x:v>14</x:v>
      </x:c>
      <x:c r="D345" t="str">
        <x:v>960977</x:v>
      </x:c>
      <x:c r="E345" t="str">
        <x:v>767x130x30 42X10 R2L BIA RT PET BCO (ULT</x:v>
      </x:c>
      <x:c r="F345" t="str"/>
      <x:c r="G345" t="str"/>
      <x:c r="H345" t="str"/>
      <x:c r="I345" t="str">
        <x:v>ESMALTE</x:v>
      </x:c>
      <x:c r="J345" t="str">
        <x:v>BRANCO CARRARA</x:v>
      </x:c>
      <x:c r="K345" t="str">
        <x:v>0</x:v>
      </x:c>
      <x:c r="L345" t="str">
        <x:v>19</x:v>
      </x:c>
      <x:c r="M345" t="str">
        <x:v>0,057</x:v>
      </x:c>
      <x:c r="N345" t="str"/>
      <x:c r="O345" t="str"/>
      <x:c r="P345" t="str">
        <x:v>Liberada Para Producao</x:v>
      </x:c>
      <x:c r="Q345" t="str">
        <x:v>609838</x:v>
      </x:c>
      <x:c r="R345" t="str">
        <x:v>0</x:v>
      </x:c>
      <x:c r="S345" t="str"/>
      <x:c r="T345" t="str"/>
      <x:c r="U345" t="str"/>
      <x:c r="V345" t="str"/>
      <x:c r="W345" t="str">
        <x:v>N/A</x:v>
      </x:c>
      <x:c r="X345" t="str">
        <x:v>N/A</x:v>
      </x:c>
      <x:c r="Y345" t="str">
        <x:v>N/A</x:v>
      </x:c>
      <x:c r="Z345" t="str">
        <x:v>0</x:v>
      </x:c>
      <x:c r="AA345" t="str">
        <x:v>0</x:v>
      </x:c>
      <x:c r="AB345" t="str">
        <x:v>N/A</x:v>
      </x:c>
      <x:c r="AC345" t="str">
        <x:v>N/A</x:v>
      </x:c>
      <x:c r="AD345" t="str">
        <x:v>N/A</x:v>
      </x:c>
      <x:c r="AE345" t="str">
        <x:v>N/A</x:v>
      </x:c>
    </x:row>
    <x:row r="346">
      <x:c r="A346" t="str">
        <x:v>51</x:v>
      </x:c>
      <x:c r="B346" t="str">
        <x:v>26747</x:v>
      </x:c>
      <x:c r="C346" t="str">
        <x:v>12</x:v>
      </x:c>
      <x:c r="D346" t="str">
        <x:v>675619</x:v>
      </x:c>
      <x:c r="E346" t="str">
        <x:v>PERNA KIT ULTRA  KIT DE CORRER EM MDF ULTRA</x:v>
      </x:c>
      <x:c r="F346" t="str"/>
      <x:c r="G346" t="str"/>
      <x:c r="H346" t="str"/>
      <x:c r="I346" t="str">
        <x:v>RECOBERTO PET</x:v>
      </x:c>
      <x:c r="J346" t="str">
        <x:v>BRANCO CARRARA</x:v>
      </x:c>
      <x:c r="K346" t="str">
        <x:v>0</x:v>
      </x:c>
      <x:c r="L346" t="str">
        <x:v>4</x:v>
      </x:c>
      <x:c r="M346" t="str">
        <x:v>0,022</x:v>
      </x:c>
      <x:c r="N346" t="str"/>
      <x:c r="O346" t="str"/>
      <x:c r="P346" t="str">
        <x:v>Liberada Para Producao</x:v>
      </x:c>
      <x:c r="Q346" t="str">
        <x:v>609023</x:v>
      </x:c>
      <x:c r="R346" t="str">
        <x:v>0</x:v>
      </x:c>
      <x:c r="S346" t="str"/>
      <x:c r="T346" t="str"/>
      <x:c r="U346" t="str"/>
      <x:c r="V346" t="str"/>
      <x:c r="W346" t="str">
        <x:v>0</x:v>
      </x:c>
      <x:c r="X346" t="str">
        <x:v>0</x:v>
      </x:c>
      <x:c r="Y346" t="str">
        <x:v>0</x:v>
      </x:c>
      <x:c r="Z346" t="str">
        <x:v>0</x:v>
      </x:c>
      <x:c r="AA346" t="str">
        <x:v>0</x:v>
      </x:c>
      <x:c r="AB346" t="str">
        <x:v>N/A</x:v>
      </x:c>
      <x:c r="AC346" t="str">
        <x:v>N/A</x:v>
      </x:c>
      <x:c r="AD346" t="str">
        <x:v>N/A</x:v>
      </x:c>
      <x:c r="AE346" t="str">
        <x:v>N/A</x:v>
      </x:c>
    </x:row>
    <x:row r="347">
      <x:c r="A347" t="str">
        <x:v>51</x:v>
      </x:c>
      <x:c r="B347" t="str">
        <x:v>26747</x:v>
      </x:c>
      <x:c r="C347" t="str">
        <x:v>12</x:v>
      </x:c>
      <x:c r="D347" t="str">
        <x:v>962738</x:v>
      </x:c>
      <x:c r="E347" t="str">
        <x:v> KIT DE CORRER EM MDF ULTRA</x:v>
      </x:c>
      <x:c r="F347" t="str"/>
      <x:c r="G347" t="str"/>
      <x:c r="H347" t="str"/>
      <x:c r="I347" t="str">
        <x:v>RECOBERTO PET</x:v>
      </x:c>
      <x:c r="J347" t="str">
        <x:v>BRANCO CARRARA</x:v>
      </x:c>
      <x:c r="K347" t="str">
        <x:v>0</x:v>
      </x:c>
      <x:c r="L347" t="str">
        <x:v>2</x:v>
      </x:c>
      <x:c r="M347" t="str">
        <x:v>0</x:v>
      </x:c>
      <x:c r="N347" t="str"/>
      <x:c r="O347" t="str"/>
      <x:c r="P347" t="str">
        <x:v>Liberada Para Producao</x:v>
      </x:c>
      <x:c r="Q347" t="str">
        <x:v>609024</x:v>
      </x:c>
      <x:c r="R347" t="str">
        <x:v>33,33</x:v>
      </x:c>
      <x:c r="S347" t="str"/>
      <x:c r="T347" t="str"/>
      <x:c r="U347" t="str"/>
      <x:c r="V347" t="str"/>
      <x:c r="W347" t="str">
        <x:v>N/A</x:v>
      </x:c>
      <x:c r="X347" t="str">
        <x:v>100</x:v>
      </x:c>
      <x:c r="Y347" t="str">
        <x:v>0</x:v>
      </x:c>
      <x:c r="Z347" t="str">
        <x:v>0</x:v>
      </x:c>
      <x:c r="AA347" t="str">
        <x:v>N/A</x:v>
      </x:c>
      <x:c r="AB347" t="str">
        <x:v>N/A</x:v>
      </x:c>
      <x:c r="AC347" t="str">
        <x:v>N/A</x:v>
      </x:c>
      <x:c r="AD347" t="str">
        <x:v>N/A</x:v>
      </x:c>
      <x:c r="AE347" t="str">
        <x:v>N/A</x:v>
      </x:c>
    </x:row>
    <x:row r="348">
      <x:c r="A348" t="str">
        <x:v>51</x:v>
      </x:c>
      <x:c r="B348" t="str">
        <x:v>26747</x:v>
      </x:c>
      <x:c r="C348" t="str">
        <x:v>12</x:v>
      </x:c>
      <x:c r="D348" t="str">
        <x:v>962739</x:v>
      </x:c>
      <x:c r="E348" t="str">
        <x:v>AL KIT L MEN ULT  KIT DE CORRER EM MDF ULTRA</x:v>
      </x:c>
      <x:c r="F348" t="str"/>
      <x:c r="G348" t="str"/>
      <x:c r="H348" t="str"/>
      <x:c r="I348" t="str">
        <x:v>RECOBERTO PET</x:v>
      </x:c>
      <x:c r="J348" t="str">
        <x:v>BRANCO CARRARA</x:v>
      </x:c>
      <x:c r="K348" t="str">
        <x:v>0</x:v>
      </x:c>
      <x:c r="L348" t="str">
        <x:v>6</x:v>
      </x:c>
      <x:c r="M348" t="str">
        <x:v>0,006</x:v>
      </x:c>
      <x:c r="N348" t="str"/>
      <x:c r="O348" t="str"/>
      <x:c r="P348" t="str">
        <x:v>Liberada Para Producao</x:v>
      </x:c>
      <x:c r="Q348" t="str">
        <x:v>609025</x:v>
      </x:c>
      <x:c r="R348" t="str">
        <x:v>0</x:v>
      </x:c>
      <x:c r="S348" t="str"/>
      <x:c r="T348" t="str"/>
      <x:c r="U348" t="str"/>
      <x:c r="V348" t="str"/>
      <x:c r="W348" t="str">
        <x:v>N/A</x:v>
      </x:c>
      <x:c r="X348" t="str">
        <x:v>0</x:v>
      </x:c>
      <x:c r="Y348" t="str">
        <x:v>0</x:v>
      </x:c>
      <x:c r="Z348" t="str">
        <x:v>0</x:v>
      </x:c>
      <x:c r="AA348" t="str">
        <x:v>N/A</x:v>
      </x:c>
      <x:c r="AB348" t="str">
        <x:v>N/A</x:v>
      </x:c>
      <x:c r="AC348" t="str">
        <x:v>N/A</x:v>
      </x:c>
      <x:c r="AD348" t="str">
        <x:v>N/A</x:v>
      </x:c>
      <x:c r="AE348" t="str">
        <x:v>N/A</x:v>
      </x:c>
    </x:row>
    <x:row r="349">
      <x:c r="A349" t="str">
        <x:v>51</x:v>
      </x:c>
      <x:c r="B349" t="str">
        <x:v>26747</x:v>
      </x:c>
      <x:c r="C349" t="str">
        <x:v>12</x:v>
      </x:c>
      <x:c r="D349" t="str">
        <x:v>987029</x:v>
      </x:c>
      <x:c r="E349" t="str">
        <x:v>SUP TRILHO ULTRA  KIT DE CORRER EM MDF ULTRA</x:v>
      </x:c>
      <x:c r="F349" t="str"/>
      <x:c r="G349" t="str"/>
      <x:c r="H349" t="str"/>
      <x:c r="I349" t="str">
        <x:v>RECOBERTO PET</x:v>
      </x:c>
      <x:c r="J349" t="str">
        <x:v>BRANCO CARRARA</x:v>
      </x:c>
      <x:c r="K349" t="str">
        <x:v>0</x:v>
      </x:c>
      <x:c r="L349" t="str">
        <x:v>2</x:v>
      </x:c>
      <x:c r="M349" t="str">
        <x:v>0,011</x:v>
      </x:c>
      <x:c r="N349" t="str"/>
      <x:c r="O349" t="str"/>
      <x:c r="P349" t="str">
        <x:v>Liberada Para Producao</x:v>
      </x:c>
      <x:c r="Q349" t="str">
        <x:v>609026</x:v>
      </x:c>
      <x:c r="R349" t="str">
        <x:v>0</x:v>
      </x:c>
      <x:c r="S349" t="str"/>
      <x:c r="T349" t="str"/>
      <x:c r="U349" t="str"/>
      <x:c r="V349" t="str"/>
      <x:c r="W349" t="str">
        <x:v>0</x:v>
      </x:c>
      <x:c r="X349" t="str">
        <x:v>0</x:v>
      </x:c>
      <x:c r="Y349" t="str">
        <x:v>0</x:v>
      </x:c>
      <x:c r="Z349" t="str">
        <x:v>0</x:v>
      </x:c>
      <x:c r="AA349" t="str">
        <x:v>N/A</x:v>
      </x:c>
      <x:c r="AB349" t="str">
        <x:v>N/A</x:v>
      </x:c>
      <x:c r="AC349" t="str">
        <x:v>N/A</x:v>
      </x:c>
      <x:c r="AD349" t="str">
        <x:v>N/A</x:v>
      </x:c>
      <x:c r="AE349" t="str">
        <x:v>N/A</x:v>
      </x:c>
    </x:row>
    <x:row r="350">
      <x:c r="A350" t="str">
        <x:v>51</x:v>
      </x:c>
      <x:c r="B350" t="str">
        <x:v>26747</x:v>
      </x:c>
      <x:c r="C350" t="str">
        <x:v>12</x:v>
      </x:c>
      <x:c r="D350" t="str">
        <x:v>1000076</x:v>
      </x:c>
      <x:c r="E350" t="str">
        <x:v> KIT DE CORRER EM MDF ULTRA</x:v>
      </x:c>
      <x:c r="F350" t="str"/>
      <x:c r="G350" t="str"/>
      <x:c r="H350" t="str"/>
      <x:c r="I350" t="str">
        <x:v>RECOBERTO PET</x:v>
      </x:c>
      <x:c r="J350" t="str">
        <x:v>BRANCO CARRARA</x:v>
      </x:c>
      <x:c r="K350" t="str">
        <x:v>0</x:v>
      </x:c>
      <x:c r="L350" t="str">
        <x:v>2</x:v>
      </x:c>
      <x:c r="M350" t="str">
        <x:v>0</x:v>
      </x:c>
      <x:c r="N350" t="str"/>
      <x:c r="O350" t="str"/>
      <x:c r="P350" t="str">
        <x:v>Liberada Para Producao</x:v>
      </x:c>
      <x:c r="Q350" t="str">
        <x:v>609027</x:v>
      </x:c>
      <x:c r="R350" t="str">
        <x:v>0</x:v>
      </x:c>
      <x:c r="S350" t="str"/>
      <x:c r="T350" t="str"/>
      <x:c r="U350" t="str"/>
      <x:c r="V350" t="str"/>
      <x:c r="W350" t="str">
        <x:v>N/A</x:v>
      </x:c>
      <x:c r="X350" t="str">
        <x:v>N/A</x:v>
      </x:c>
      <x:c r="Y350" t="str">
        <x:v>N/A</x:v>
      </x:c>
      <x:c r="Z350" t="str">
        <x:v>N/A</x:v>
      </x:c>
      <x:c r="AA350" t="str">
        <x:v>N/A</x:v>
      </x:c>
      <x:c r="AB350" t="str">
        <x:v>N/A</x:v>
      </x:c>
      <x:c r="AC350" t="str">
        <x:v>N/A</x:v>
      </x:c>
      <x:c r="AD350" t="str">
        <x:v>0</x:v>
      </x:c>
      <x:c r="AE350" t="str">
        <x:v>N/A</x:v>
      </x:c>
    </x:row>
    <x:row r="351">
      <x:c r="A351" t="str">
        <x:v>51</x:v>
      </x:c>
      <x:c r="B351" t="str">
        <x:v>26808</x:v>
      </x:c>
      <x:c r="C351" t="str">
        <x:v>7</x:v>
      </x:c>
      <x:c r="D351" t="str">
        <x:v>675742</x:v>
      </x:c>
      <x:c r="E351" t="str">
        <x:v>847x130x30 42x10 R2L BIA PET BC(PREMIUM)</x:v>
      </x:c>
      <x:c r="F351" t="str"/>
      <x:c r="G351" t="str"/>
      <x:c r="H351" t="str"/>
      <x:c r="I351" t="str">
        <x:v>ESMALTE</x:v>
      </x:c>
      <x:c r="J351" t="str">
        <x:v>BRANCO CARRARA</x:v>
      </x:c>
      <x:c r="K351" t="str">
        <x:v>0</x:v>
      </x:c>
      <x:c r="L351" t="str">
        <x:v>4</x:v>
      </x:c>
      <x:c r="M351" t="str">
        <x:v>0</x:v>
      </x:c>
      <x:c r="N351" t="str"/>
      <x:c r="O351" t="str"/>
      <x:c r="P351" t="str">
        <x:v>Liberada Para Producao</x:v>
      </x:c>
      <x:c r="Q351" t="str">
        <x:v>608945</x:v>
      </x:c>
      <x:c r="R351" t="str">
        <x:v>0</x:v>
      </x:c>
      <x:c r="S351" t="str"/>
      <x:c r="T351" t="str"/>
      <x:c r="U351" t="str"/>
      <x:c r="V351" t="str"/>
      <x:c r="W351" t="str">
        <x:v>N/A</x:v>
      </x:c>
      <x:c r="X351" t="str">
        <x:v>N/A</x:v>
      </x:c>
      <x:c r="Y351" t="str">
        <x:v>0</x:v>
      </x:c>
      <x:c r="Z351" t="str">
        <x:v>0</x:v>
      </x:c>
      <x:c r="AA351" t="str">
        <x:v>0</x:v>
      </x:c>
      <x:c r="AB351" t="str">
        <x:v>N/A</x:v>
      </x:c>
      <x:c r="AC351" t="str">
        <x:v>N/A</x:v>
      </x:c>
      <x:c r="AD351" t="str">
        <x:v>N/A</x:v>
      </x:c>
      <x:c r="AE351" t="str">
        <x:v>N/A</x:v>
      </x:c>
    </x:row>
    <x:row r="352">
      <x:c r="A352" t="str">
        <x:v>51</x:v>
      </x:c>
      <x:c r="B352" t="str">
        <x:v>26747</x:v>
      </x:c>
      <x:c r="C352" t="str">
        <x:v>13</x:v>
      </x:c>
      <x:c r="D352" t="str">
        <x:v>964082</x:v>
      </x:c>
      <x:c r="E352" t="str">
        <x:v>1000x150x30 S/REB R1L RTo PET BC (UL)</x:v>
      </x:c>
      <x:c r="F352" t="str">
        <x:v>MDF ULTRA</x:v>
      </x:c>
      <x:c r="G352" t="str">
        <x:v>S/CANAL</x:v>
      </x:c>
      <x:c r="H352" t="str">
        <x:v>S/REB</x:v>
      </x:c>
      <x:c r="I352" t="str">
        <x:v>RECOBERTO PET</x:v>
      </x:c>
      <x:c r="J352" t="str">
        <x:v>BRANCO CARRARA</x:v>
      </x:c>
      <x:c r="K352" t="str">
        <x:v>0</x:v>
      </x:c>
      <x:c r="L352" t="str">
        <x:v>1</x:v>
      </x:c>
      <x:c r="M352" t="str">
        <x:v>0</x:v>
      </x:c>
      <x:c r="N352" t="str"/>
      <x:c r="O352" t="str"/>
      <x:c r="P352" t="str">
        <x:v>Liberada Para Producao</x:v>
      </x:c>
      <x:c r="Q352" t="str">
        <x:v>609030</x:v>
      </x:c>
      <x:c r="R352" t="str">
        <x:v>33,33</x:v>
      </x:c>
      <x:c r="S352" t="str"/>
      <x:c r="T352" t="str"/>
      <x:c r="U352" t="str"/>
      <x:c r="V352" t="str"/>
      <x:c r="W352" t="str">
        <x:v>N/A</x:v>
      </x:c>
      <x:c r="X352" t="str">
        <x:v>100</x:v>
      </x:c>
      <x:c r="Y352" t="str">
        <x:v>N/A</x:v>
      </x:c>
      <x:c r="Z352" t="str">
        <x:v>0</x:v>
      </x:c>
      <x:c r="AA352" t="str">
        <x:v>0</x:v>
      </x:c>
      <x:c r="AB352" t="str">
        <x:v>N/A</x:v>
      </x:c>
      <x:c r="AC352" t="str">
        <x:v>N/A</x:v>
      </x:c>
      <x:c r="AD352" t="str">
        <x:v>N/A</x:v>
      </x:c>
      <x:c r="AE352" t="str">
        <x:v>N/A</x:v>
      </x:c>
    </x:row>
    <x:row r="353">
      <x:c r="A353" t="str">
        <x:v>51</x:v>
      </x:c>
      <x:c r="B353" t="str">
        <x:v>26750</x:v>
      </x:c>
      <x:c r="C353" t="str">
        <x:v>1</x:v>
      </x:c>
      <x:c r="D353" t="str">
        <x:v>3220800010</x:v>
      </x:c>
      <x:c r="E353" t="str">
        <x:v>F P P EST HDF 6 2100X1000X35 SU PR BCO C</x:v>
      </x:c>
      <x:c r="F353" t="str"/>
      <x:c r="G353" t="str"/>
      <x:c r="H353" t="str"/>
      <x:c r="I353" t="str">
        <x:v>DUPLO LASER</x:v>
      </x:c>
      <x:c r="J353" t="str">
        <x:v>BRANCO</x:v>
      </x:c>
      <x:c r="K353" t="str">
        <x:v>0</x:v>
      </x:c>
      <x:c r="L353" t="str">
        <x:v>11</x:v>
      </x:c>
      <x:c r="M353" t="str">
        <x:v>0,809</x:v>
      </x:c>
      <x:c r="N353" t="str"/>
      <x:c r="O353" t="str"/>
      <x:c r="P353" t="str">
        <x:v>Liberada Para Producao</x:v>
      </x:c>
      <x:c r="Q353" t="str">
        <x:v>609786</x:v>
      </x:c>
      <x:c r="R353" t="str">
        <x:v>0</x:v>
      </x:c>
      <x:c r="S353" t="str">
        <x:v>10</x:v>
      </x:c>
      <x:c r="T353" t="str">
        <x:v>PORTA SUPER PREMIUM</x:v>
      </x:c>
      <x:c r="U353" t="str"/>
      <x:c r="V353" t="str"/>
      <x:c r="W353" t="str">
        <x:v>N/A</x:v>
      </x:c>
      <x:c r="X353" t="str">
        <x:v>0</x:v>
      </x:c>
      <x:c r="Y353" t="str">
        <x:v>N/A</x:v>
      </x:c>
      <x:c r="Z353" t="str">
        <x:v>N/A</x:v>
      </x:c>
      <x:c r="AA353" t="str">
        <x:v>N/A</x:v>
      </x:c>
      <x:c r="AB353" t="str">
        <x:v>N/A</x:v>
      </x:c>
      <x:c r="AC353" t="str">
        <x:v>0</x:v>
      </x:c>
      <x:c r="AD353" t="str">
        <x:v>0</x:v>
      </x:c>
      <x:c r="AE353" t="str">
        <x:v>N/A</x:v>
      </x:c>
    </x:row>
    <x:row r="354">
      <x:c r="A354" t="str">
        <x:v>51</x:v>
      </x:c>
      <x:c r="B354" t="str">
        <x:v>26808</x:v>
      </x:c>
      <x:c r="C354" t="str">
        <x:v>10</x:v>
      </x:c>
      <x:c r="D354" t="str">
        <x:v>675742</x:v>
      </x:c>
      <x:c r="E354" t="str">
        <x:v>847x130x30 42x10 R2L BIA PET BC(PREMIUM)</x:v>
      </x:c>
      <x:c r="F354" t="str"/>
      <x:c r="G354" t="str"/>
      <x:c r="H354" t="str"/>
      <x:c r="I354" t="str">
        <x:v>ESMALTE</x:v>
      </x:c>
      <x:c r="J354" t="str">
        <x:v>BRANCO CARRARA</x:v>
      </x:c>
      <x:c r="K354" t="str">
        <x:v>0</x:v>
      </x:c>
      <x:c r="L354" t="str">
        <x:v>1</x:v>
      </x:c>
      <x:c r="M354" t="str">
        <x:v>0</x:v>
      </x:c>
      <x:c r="N354" t="str"/>
      <x:c r="O354" t="str"/>
      <x:c r="P354" t="str">
        <x:v>Liberada Para Producao</x:v>
      </x:c>
      <x:c r="Q354" t="str">
        <x:v>608969</x:v>
      </x:c>
      <x:c r="R354" t="str">
        <x:v>0</x:v>
      </x:c>
      <x:c r="S354" t="str"/>
      <x:c r="T354" t="str"/>
      <x:c r="U354" t="str"/>
      <x:c r="V354" t="str"/>
      <x:c r="W354" t="str">
        <x:v>N/A</x:v>
      </x:c>
      <x:c r="X354" t="str">
        <x:v>N/A</x:v>
      </x:c>
      <x:c r="Y354" t="str">
        <x:v>0</x:v>
      </x:c>
      <x:c r="Z354" t="str">
        <x:v>0</x:v>
      </x:c>
      <x:c r="AA354" t="str">
        <x:v>0</x:v>
      </x:c>
      <x:c r="AB354" t="str">
        <x:v>N/A</x:v>
      </x:c>
      <x:c r="AC354" t="str">
        <x:v>N/A</x:v>
      </x:c>
      <x:c r="AD354" t="str">
        <x:v>N/A</x:v>
      </x:c>
      <x:c r="AE354" t="str">
        <x:v>N/A</x:v>
      </x:c>
    </x:row>
    <x:row r="355">
      <x:c r="A355" t="str">
        <x:v>51</x:v>
      </x:c>
      <x:c r="B355" t="str">
        <x:v>26750</x:v>
      </x:c>
      <x:c r="C355" t="str">
        <x:v>2</x:v>
      </x:c>
      <x:c r="D355" t="str">
        <x:v>2010701227</x:v>
      </x:c>
      <x:c r="E355" t="str">
        <x:v>M ULTRA PVC R BCO 1200X170X30 S/REB R2L</x:v>
      </x:c>
      <x:c r="F355" t="str">
        <x:v>MDF ULTRA</x:v>
      </x:c>
      <x:c r="G355" t="str">
        <x:v>S/CANAL</x:v>
      </x:c>
      <x:c r="H355" t="str">
        <x:v>S/REB</x:v>
      </x:c>
      <x:c r="I355" t="str">
        <x:v>RECOBERTO PVC RENOLIT</x:v>
      </x:c>
      <x:c r="J355" t="str">
        <x:v>BRANCO</x:v>
      </x:c>
      <x:c r="K355" t="str">
        <x:v>0</x:v>
      </x:c>
      <x:c r="L355" t="str">
        <x:v>9</x:v>
      </x:c>
      <x:c r="M355" t="str">
        <x:v>0,055</x:v>
      </x:c>
      <x:c r="N355" t="str"/>
      <x:c r="O355" t="str"/>
      <x:c r="P355" t="str">
        <x:v>Liberada Para Producao</x:v>
      </x:c>
      <x:c r="Q355" t="str">
        <x:v>609789</x:v>
      </x:c>
      <x:c r="R355" t="str">
        <x:v>33,33</x:v>
      </x:c>
      <x:c r="S355" t="str">
        <x:v>1503</x:v>
      </x:c>
      <x:c r="T355" t="str">
        <x:v>TV.BAT. 1100-2200 PET/PVC(SEMI</x:v>
      </x:c>
      <x:c r="U355" t="str"/>
      <x:c r="V355" t="str"/>
      <x:c r="W355" t="str">
        <x:v>N/A</x:v>
      </x:c>
      <x:c r="X355" t="str">
        <x:v>100</x:v>
      </x:c>
      <x:c r="Y355" t="str">
        <x:v>N/A</x:v>
      </x:c>
      <x:c r="Z355" t="str">
        <x:v>0</x:v>
      </x:c>
      <x:c r="AA355" t="str">
        <x:v>0</x:v>
      </x:c>
      <x:c r="AB355" t="str">
        <x:v>N/A</x:v>
      </x:c>
      <x:c r="AC355" t="str">
        <x:v>N/A</x:v>
      </x:c>
      <x:c r="AD355" t="str">
        <x:v>N/A</x:v>
      </x:c>
      <x:c r="AE355" t="str">
        <x:v>N/A</x:v>
      </x:c>
    </x:row>
    <x:row r="356">
      <x:c r="A356" t="str">
        <x:v>51</x:v>
      </x:c>
      <x:c r="B356" t="str">
        <x:v>26747</x:v>
      </x:c>
      <x:c r="C356" t="str">
        <x:v>8</x:v>
      </x:c>
      <x:c r="D356" t="str">
        <x:v>955171</x:v>
      </x:c>
      <x:c r="E356" t="str">
        <x:v>847x130x30 42X10 R2L BIA RT PET BCO (ULT</x:v>
      </x:c>
      <x:c r="F356" t="str">
        <x:v>MDF ULTRA</x:v>
      </x:c>
      <x:c r="G356" t="str">
        <x:v>C/BORRACHA I APLICADA</x:v>
      </x:c>
      <x:c r="H356" t="str">
        <x:v>C/REB 42X10</x:v>
      </x:c>
      <x:c r="I356" t="str">
        <x:v>RECOBERTO PET</x:v>
      </x:c>
      <x:c r="J356" t="str">
        <x:v>BRANCO CARRARA</x:v>
      </x:c>
      <x:c r="K356" t="str">
        <x:v>0</x:v>
      </x:c>
      <x:c r="L356" t="str">
        <x:v>4</x:v>
      </x:c>
      <x:c r="M356" t="str">
        <x:v>0</x:v>
      </x:c>
      <x:c r="N356" t="str"/>
      <x:c r="O356" t="str"/>
      <x:c r="P356" t="str">
        <x:v>Liberada Para Producao</x:v>
      </x:c>
      <x:c r="Q356" t="str">
        <x:v>609015</x:v>
      </x:c>
      <x:c r="R356" t="str">
        <x:v>0</x:v>
      </x:c>
      <x:c r="S356" t="str"/>
      <x:c r="T356" t="str"/>
      <x:c r="U356" t="str"/>
      <x:c r="V356" t="str"/>
      <x:c r="W356" t="str">
        <x:v>N/A</x:v>
      </x:c>
      <x:c r="X356" t="str">
        <x:v>N/A</x:v>
      </x:c>
      <x:c r="Y356" t="str">
        <x:v>N/A</x:v>
      </x:c>
      <x:c r="Z356" t="str">
        <x:v>0</x:v>
      </x:c>
      <x:c r="AA356" t="str">
        <x:v>0</x:v>
      </x:c>
      <x:c r="AB356" t="str">
        <x:v>N/A</x:v>
      </x:c>
      <x:c r="AC356" t="str">
        <x:v>N/A</x:v>
      </x:c>
      <x:c r="AD356" t="str">
        <x:v>N/A</x:v>
      </x:c>
      <x:c r="AE356" t="str">
        <x:v>N/A</x:v>
      </x:c>
    </x:row>
    <x:row r="357">
      <x:c r="A357" t="str">
        <x:v>51</x:v>
      </x:c>
      <x:c r="B357" t="str">
        <x:v>26750</x:v>
      </x:c>
      <x:c r="C357" t="str">
        <x:v>3</x:v>
      </x:c>
      <x:c r="D357" t="str">
        <x:v>2010701232</x:v>
      </x:c>
      <x:c r="E357" t="str">
        <x:v>M ULTRA PVC R BCO 1200X190X30 S/REB R2L</x:v>
      </x:c>
      <x:c r="F357" t="str">
        <x:v>MDF ULTRA</x:v>
      </x:c>
      <x:c r="G357" t="str">
        <x:v>S/CANAL</x:v>
      </x:c>
      <x:c r="H357" t="str">
        <x:v>S/REB</x:v>
      </x:c>
      <x:c r="I357" t="str">
        <x:v>RECOBERTO PVC RENOLIT</x:v>
      </x:c>
      <x:c r="J357" t="str">
        <x:v>BRANCO</x:v>
      </x:c>
      <x:c r="K357" t="str">
        <x:v>0</x:v>
      </x:c>
      <x:c r="L357" t="str">
        <x:v>2</x:v>
      </x:c>
      <x:c r="M357" t="str">
        <x:v>0,014</x:v>
      </x:c>
      <x:c r="N357" t="str"/>
      <x:c r="O357" t="str"/>
      <x:c r="P357" t="str">
        <x:v>Liberada Para Producao</x:v>
      </x:c>
      <x:c r="Q357" t="str">
        <x:v>609792</x:v>
      </x:c>
      <x:c r="R357" t="str">
        <x:v>33,33</x:v>
      </x:c>
      <x:c r="S357" t="str">
        <x:v>1503</x:v>
      </x:c>
      <x:c r="T357" t="str">
        <x:v>TV.BAT. 1100-2200 PET/PVC(SEMI</x:v>
      </x:c>
      <x:c r="U357" t="str"/>
      <x:c r="V357" t="str"/>
      <x:c r="W357" t="str">
        <x:v>N/A</x:v>
      </x:c>
      <x:c r="X357" t="str">
        <x:v>100</x:v>
      </x:c>
      <x:c r="Y357" t="str">
        <x:v>N/A</x:v>
      </x:c>
      <x:c r="Z357" t="str">
        <x:v>0</x:v>
      </x:c>
      <x:c r="AA357" t="str">
        <x:v>0</x:v>
      </x:c>
      <x:c r="AB357" t="str">
        <x:v>N/A</x:v>
      </x:c>
      <x:c r="AC357" t="str">
        <x:v>N/A</x:v>
      </x:c>
      <x:c r="AD357" t="str">
        <x:v>N/A</x:v>
      </x:c>
      <x:c r="AE357" t="str">
        <x:v>N/A</x:v>
      </x:c>
    </x:row>
    <x:row r="358">
      <x:c r="A358" t="str">
        <x:v>51</x:v>
      </x:c>
      <x:c r="B358" t="str">
        <x:v>26750</x:v>
      </x:c>
      <x:c r="C358" t="str">
        <x:v>4</x:v>
      </x:c>
      <x:c r="D358" t="str">
        <x:v>2020700627</x:v>
      </x:c>
      <x:c r="E358" t="str">
        <x:v>A ULTRA PVC R BCO 2250X100X9 RG(80) RTO</x:v>
      </x:c>
      <x:c r="F358" t="str">
        <x:v>REG 1L(MAIOR 80MM)</x:v>
      </x:c>
      <x:c r="G358" t="str"/>
      <x:c r="H358" t="str"/>
      <x:c r="I358" t="str">
        <x:v>RECOBERTO PVC RENOLIT</x:v>
      </x:c>
      <x:c r="J358" t="str">
        <x:v>BRANCO</x:v>
      </x:c>
      <x:c r="K358" t="str">
        <x:v>0</x:v>
      </x:c>
      <x:c r="L358" t="str">
        <x:v>6</x:v>
      </x:c>
      <x:c r="M358" t="str">
        <x:v>0</x:v>
      </x:c>
      <x:c r="N358" t="str"/>
      <x:c r="O358" t="str"/>
      <x:c r="P358" t="str">
        <x:v>Liberada Para Producao</x:v>
      </x:c>
      <x:c r="Q358" t="str">
        <x:v>609794</x:v>
      </x:c>
      <x:c r="R358" t="str">
        <x:v>0</x:v>
      </x:c>
      <x:c r="S358" t="str">
        <x:v>2021</x:v>
      </x:c>
      <x:c r="T358" t="str">
        <x:v>PERNA ALIZAR RG 80 (SEMI)</x:v>
      </x:c>
      <x:c r="U358" t="str"/>
      <x:c r="V358" t="str"/>
      <x:c r="W358" t="str">
        <x:v>N/A</x:v>
      </x:c>
      <x:c r="X358" t="str">
        <x:v>0</x:v>
      </x:c>
      <x:c r="Y358" t="str">
        <x:v>0</x:v>
      </x:c>
      <x:c r="Z358" t="str">
        <x:v>0</x:v>
      </x:c>
      <x:c r="AA358" t="str">
        <x:v>N/A</x:v>
      </x:c>
      <x:c r="AB358" t="str">
        <x:v>N/A</x:v>
      </x:c>
      <x:c r="AC358" t="str">
        <x:v>N/A</x:v>
      </x:c>
      <x:c r="AD358" t="str">
        <x:v>N/A</x:v>
      </x:c>
      <x:c r="AE358" t="str">
        <x:v>N/A</x:v>
      </x:c>
    </x:row>
    <x:row r="359">
      <x:c r="A359" t="str">
        <x:v>51</x:v>
      </x:c>
      <x:c r="B359" t="str">
        <x:v>26750</x:v>
      </x:c>
      <x:c r="C359" t="str">
        <x:v>5</x:v>
      </x:c>
      <x:c r="D359" t="str">
        <x:v>2020700628</x:v>
      </x:c>
      <x:c r="E359" t="str">
        <x:v>A ULTRA PVC R BCO 2200X50X9 RG(ME) RTO</x:v>
      </x:c>
      <x:c r="F359" t="str">
        <x:v>REG 1L(MENOR)</x:v>
      </x:c>
      <x:c r="G359" t="str"/>
      <x:c r="H359" t="str"/>
      <x:c r="I359" t="str">
        <x:v>RECOBERTO PVC RENOLIT</x:v>
      </x:c>
      <x:c r="J359" t="str">
        <x:v>BRANCO</x:v>
      </x:c>
      <x:c r="K359" t="str">
        <x:v>0</x:v>
      </x:c>
      <x:c r="L359" t="str">
        <x:v>22</x:v>
      </x:c>
      <x:c r="M359" t="str">
        <x:v>0</x:v>
      </x:c>
      <x:c r="N359" t="str"/>
      <x:c r="O359" t="str"/>
      <x:c r="P359" t="str">
        <x:v>Liberada Para Producao</x:v>
      </x:c>
      <x:c r="Q359" t="str">
        <x:v>609796</x:v>
      </x:c>
      <x:c r="R359" t="str">
        <x:v>0</x:v>
      </x:c>
      <x:c r="S359" t="str">
        <x:v>2003</x:v>
      </x:c>
      <x:c r="T359" t="str">
        <x:v>PERNA ALIZAR L MENOR  (SEMI)</x:v>
      </x:c>
      <x:c r="U359" t="str"/>
      <x:c r="V359" t="str"/>
      <x:c r="W359" t="str">
        <x:v>N/A</x:v>
      </x:c>
      <x:c r="X359" t="str">
        <x:v>0</x:v>
      </x:c>
      <x:c r="Y359" t="str">
        <x:v>0</x:v>
      </x:c>
      <x:c r="Z359" t="str">
        <x:v>0</x:v>
      </x:c>
      <x:c r="AA359" t="str">
        <x:v>N/A</x:v>
      </x:c>
      <x:c r="AB359" t="str">
        <x:v>N/A</x:v>
      </x:c>
      <x:c r="AC359" t="str">
        <x:v>N/A</x:v>
      </x:c>
      <x:c r="AD359" t="str">
        <x:v>N/A</x:v>
      </x:c>
      <x:c r="AE359" t="str">
        <x:v>N/A</x:v>
      </x:c>
    </x:row>
    <x:row r="360">
      <x:c r="A360" t="str">
        <x:v>51</x:v>
      </x:c>
      <x:c r="B360" t="str">
        <x:v>26750</x:v>
      </x:c>
      <x:c r="C360" t="str">
        <x:v>5</x:v>
      </x:c>
      <x:c r="D360" t="str">
        <x:v>2020700629</x:v>
      </x:c>
      <x:c r="E360" t="str">
        <x:v>A ULTRA PVC R BCO 1200X50X9 RG(ME) RTO</x:v>
      </x:c>
      <x:c r="F360" t="str">
        <x:v>REG 1L(MENOR)</x:v>
      </x:c>
      <x:c r="G360" t="str"/>
      <x:c r="H360" t="str"/>
      <x:c r="I360" t="str">
        <x:v>RECOBERTO PVC RENOLIT</x:v>
      </x:c>
      <x:c r="J360" t="str">
        <x:v>BRANCO</x:v>
      </x:c>
      <x:c r="K360" t="str">
        <x:v>0</x:v>
      </x:c>
      <x:c r="L360" t="str">
        <x:v>11</x:v>
      </x:c>
      <x:c r="M360" t="str">
        <x:v>0</x:v>
      </x:c>
      <x:c r="N360" t="str"/>
      <x:c r="O360" t="str"/>
      <x:c r="P360" t="str">
        <x:v>Liberada Para Producao</x:v>
      </x:c>
      <x:c r="Q360" t="str">
        <x:v>609797</x:v>
      </x:c>
      <x:c r="R360" t="str">
        <x:v>0</x:v>
      </x:c>
      <x:c r="S360" t="str">
        <x:v>2007</x:v>
      </x:c>
      <x:c r="T360" t="str">
        <x:v>TRAVESS ALIZAR L MENOR  (SEMI)</x:v>
      </x:c>
      <x:c r="U360" t="str"/>
      <x:c r="V360" t="str"/>
      <x:c r="W360" t="str">
        <x:v>N/A</x:v>
      </x:c>
      <x:c r="X360" t="str">
        <x:v>0</x:v>
      </x:c>
      <x:c r="Y360" t="str">
        <x:v>N/A</x:v>
      </x:c>
      <x:c r="Z360" t="str">
        <x:v>0</x:v>
      </x:c>
      <x:c r="AA360" t="str">
        <x:v>0</x:v>
      </x:c>
      <x:c r="AB360" t="str">
        <x:v>N/A</x:v>
      </x:c>
      <x:c r="AC360" t="str">
        <x:v>N/A</x:v>
      </x:c>
      <x:c r="AD360" t="str">
        <x:v>N/A</x:v>
      </x:c>
      <x:c r="AE360" t="str">
        <x:v>N/A</x:v>
      </x:c>
    </x:row>
    <x:row r="361">
      <x:c r="A361" t="str">
        <x:v>51</x:v>
      </x:c>
      <x:c r="B361" t="str">
        <x:v>26750</x:v>
      </x:c>
      <x:c r="C361" t="str">
        <x:v>6</x:v>
      </x:c>
      <x:c r="D361" t="str">
        <x:v>2020700630</x:v>
      </x:c>
      <x:c r="E361" t="str">
        <x:v>A ULTRA PVC R BCO 2200X70X9 RG(80) RTO</x:v>
      </x:c>
      <x:c r="F361" t="str">
        <x:v>REG 1L(MAIOR 80MM)</x:v>
      </x:c>
      <x:c r="G361" t="str"/>
      <x:c r="H361" t="str"/>
      <x:c r="I361" t="str">
        <x:v>RECOBERTO PVC RENOLIT</x:v>
      </x:c>
      <x:c r="J361" t="str">
        <x:v>BRANCO</x:v>
      </x:c>
      <x:c r="K361" t="str">
        <x:v>0</x:v>
      </x:c>
      <x:c r="L361" t="str">
        <x:v>16</x:v>
      </x:c>
      <x:c r="M361" t="str">
        <x:v>0</x:v>
      </x:c>
      <x:c r="N361" t="str"/>
      <x:c r="O361" t="str"/>
      <x:c r="P361" t="str">
        <x:v>Liberada Para Producao</x:v>
      </x:c>
      <x:c r="Q361" t="str">
        <x:v>609799</x:v>
      </x:c>
      <x:c r="R361" t="str">
        <x:v>0</x:v>
      </x:c>
      <x:c r="S361" t="str">
        <x:v>2021</x:v>
      </x:c>
      <x:c r="T361" t="str">
        <x:v>PERNA ALIZAR RG 80 (SEMI)</x:v>
      </x:c>
      <x:c r="U361" t="str"/>
      <x:c r="V361" t="str"/>
      <x:c r="W361" t="str">
        <x:v>N/A</x:v>
      </x:c>
      <x:c r="X361" t="str">
        <x:v>0</x:v>
      </x:c>
      <x:c r="Y361" t="str">
        <x:v>0</x:v>
      </x:c>
      <x:c r="Z361" t="str">
        <x:v>0</x:v>
      </x:c>
      <x:c r="AA361" t="str">
        <x:v>N/A</x:v>
      </x:c>
      <x:c r="AB361" t="str">
        <x:v>N/A</x:v>
      </x:c>
      <x:c r="AC361" t="str">
        <x:v>N/A</x:v>
      </x:c>
      <x:c r="AD361" t="str">
        <x:v>N/A</x:v>
      </x:c>
      <x:c r="AE361" t="str">
        <x:v>N/A</x:v>
      </x:c>
    </x:row>
    <x:row r="362">
      <x:c r="A362" t="str">
        <x:v>51</x:v>
      </x:c>
      <x:c r="B362" t="str">
        <x:v>26750</x:v>
      </x:c>
      <x:c r="C362" t="str">
        <x:v>7</x:v>
      </x:c>
      <x:c r="D362" t="str">
        <x:v>3020701843</x:v>
      </x:c>
      <x:c r="E362" t="str">
        <x:v>BAND DOB ULTRA 700X1166X9 PVC R BCO RTO</x:v>
      </x:c>
      <x:c r="F362" t="str"/>
      <x:c r="G362" t="str"/>
      <x:c r="H362" t="str"/>
      <x:c r="I362" t="str">
        <x:v>RECOBERTO PVC RENOLIT</x:v>
      </x:c>
      <x:c r="J362" t="str">
        <x:v>BRANCO</x:v>
      </x:c>
      <x:c r="K362" t="str">
        <x:v>0</x:v>
      </x:c>
      <x:c r="L362" t="str">
        <x:v>8</x:v>
      </x:c>
      <x:c r="M362" t="str">
        <x:v>0,059</x:v>
      </x:c>
      <x:c r="N362" t="str"/>
      <x:c r="O362" t="str"/>
      <x:c r="P362" t="str">
        <x:v>Liberada Para Producao</x:v>
      </x:c>
      <x:c r="Q362" t="str">
        <x:v>609800</x:v>
      </x:c>
      <x:c r="R362" t="str">
        <x:v>0</x:v>
      </x:c>
      <x:c r="S362" t="str"/>
      <x:c r="T362" t="str"/>
      <x:c r="U362" t="str"/>
      <x:c r="V362" t="str"/>
      <x:c r="W362" t="str">
        <x:v>N/A</x:v>
      </x:c>
      <x:c r="X362" t="str">
        <x:v>N/A</x:v>
      </x:c>
      <x:c r="Y362" t="str">
        <x:v>N/A</x:v>
      </x:c>
      <x:c r="Z362" t="str">
        <x:v>N/A</x:v>
      </x:c>
      <x:c r="AA362" t="str">
        <x:v>N/A</x:v>
      </x:c>
      <x:c r="AB362" t="str">
        <x:v>N/A</x:v>
      </x:c>
      <x:c r="AC362" t="str">
        <x:v>0</x:v>
      </x:c>
      <x:c r="AD362" t="str">
        <x:v>0</x:v>
      </x:c>
      <x:c r="AE362" t="str">
        <x:v>N/A</x:v>
      </x:c>
    </x:row>
    <x:row r="363">
      <x:c r="A363" t="str">
        <x:v>51</x:v>
      </x:c>
      <x:c r="B363" t="str">
        <x:v>26750</x:v>
      </x:c>
      <x:c r="C363" t="str">
        <x:v>8</x:v>
      </x:c>
      <x:c r="D363" t="str">
        <x:v>972638</x:v>
      </x:c>
      <x:c r="E363" t="str">
        <x:v>DOBRADICA PIVOTANTE  COM ESFERA</x:v>
      </x:c>
      <x:c r="F363" t="str"/>
      <x:c r="G363" t="str"/>
      <x:c r="H363" t="str"/>
      <x:c r="I363" t="str">
        <x:v>FERRAGENS</x:v>
      </x:c>
      <x:c r="J363" t="str">
        <x:v>COMPNENTES FECHADURAS</x:v>
      </x:c>
      <x:c r="K363" t="str">
        <x:v>0</x:v>
      </x:c>
      <x:c r="L363" t="str">
        <x:v>11</x:v>
      </x:c>
      <x:c r="M363" t="str">
        <x:v>0</x:v>
      </x:c>
      <x:c r="N363" t="str"/>
      <x:c r="O363" t="str"/>
      <x:c r="P363" t="str">
        <x:v>SEM ENGENHARIA CADASTRADA</x:v>
      </x:c>
      <x:c r="Q363" t="str"/>
      <x:c r="R363" t="str">
        <x:v>0</x:v>
      </x:c>
      <x:c r="S363" t="str"/>
      <x:c r="T363" t="str"/>
      <x:c r="U363" t="str"/>
      <x:c r="V363" t="str"/>
      <x:c r="W363" t="str">
        <x:v>N/A</x:v>
      </x:c>
      <x:c r="X363" t="str">
        <x:v>N/A</x:v>
      </x:c>
      <x:c r="Y363" t="str">
        <x:v>N/A</x:v>
      </x:c>
      <x:c r="Z363" t="str">
        <x:v>N/A</x:v>
      </x:c>
      <x:c r="AA363" t="str">
        <x:v>N/A</x:v>
      </x:c>
      <x:c r="AB363" t="str">
        <x:v>N/A</x:v>
      </x:c>
      <x:c r="AC363" t="str">
        <x:v>N/A</x:v>
      </x:c>
      <x:c r="AD363" t="str">
        <x:v>N/A</x:v>
      </x:c>
      <x:c r="AE363" t="str">
        <x:v>N/A</x:v>
      </x:c>
    </x:row>
    <x:row r="364">
      <x:c r="A364" t="str">
        <x:v>51</x:v>
      </x:c>
      <x:c r="B364" t="str">
        <x:v>26750</x:v>
      </x:c>
      <x:c r="C364" t="str">
        <x:v>9</x:v>
      </x:c>
      <x:c r="D364" t="str">
        <x:v>961470</x:v>
      </x:c>
      <x:c r="E364" t="str">
        <x:v>BAG 2200X40X14 RTO BTA. PVC REN BCO</x:v>
      </x:c>
      <x:c r="F364" t="str"/>
      <x:c r="G364" t="str"/>
      <x:c r="H364" t="str"/>
      <x:c r="I364" t="str">
        <x:v>RECOBERTO PVC RENOLIT</x:v>
      </x:c>
      <x:c r="J364" t="str">
        <x:v>BRANCO</x:v>
      </x:c>
      <x:c r="K364" t="str">
        <x:v>0</x:v>
      </x:c>
      <x:c r="L364" t="str">
        <x:v>25</x:v>
      </x:c>
      <x:c r="M364" t="str">
        <x:v>0,031</x:v>
      </x:c>
      <x:c r="N364" t="str"/>
      <x:c r="O364" t="str"/>
      <x:c r="P364" t="str">
        <x:v>Liberada Para Producao</x:v>
      </x:c>
      <x:c r="Q364" t="str">
        <x:v>609802</x:v>
      </x:c>
      <x:c r="R364" t="str">
        <x:v>0</x:v>
      </x:c>
      <x:c r="S364" t="str"/>
      <x:c r="T364" t="str"/>
      <x:c r="U364" t="str"/>
      <x:c r="V364" t="str"/>
      <x:c r="W364" t="str">
        <x:v>0</x:v>
      </x:c>
      <x:c r="X364" t="str">
        <x:v>N/A</x:v>
      </x:c>
      <x:c r="Y364" t="str">
        <x:v>0</x:v>
      </x:c>
      <x:c r="Z364" t="str">
        <x:v>0</x:v>
      </x:c>
      <x:c r="AA364" t="str">
        <x:v>0</x:v>
      </x:c>
      <x:c r="AB364" t="str">
        <x:v>N/A</x:v>
      </x:c>
      <x:c r="AC364" t="str">
        <x:v>N/A</x:v>
      </x:c>
      <x:c r="AD364" t="str">
        <x:v>0</x:v>
      </x:c>
      <x:c r="AE364" t="str">
        <x:v>N/A</x:v>
      </x:c>
    </x:row>
    <x:row r="365">
      <x:c r="A365" t="str">
        <x:v>51</x:v>
      </x:c>
      <x:c r="B365" t="str">
        <x:v>26750</x:v>
      </x:c>
      <x:c r="C365" t="str">
        <x:v>10</x:v>
      </x:c>
      <x:c r="D365" t="str">
        <x:v>919640</x:v>
      </x:c>
      <x:c r="E365" t="str">
        <x:v>TR AL 1100X50X9 RTO LME REC PET BCO (ULT</x:v>
      </x:c>
      <x:c r="F365" t="str"/>
      <x:c r="G365" t="str"/>
      <x:c r="H365" t="str"/>
      <x:c r="I365" t="str">
        <x:v>ESMALTE</x:v>
      </x:c>
      <x:c r="J365" t="str">
        <x:v>BRANCO CARRARA</x:v>
      </x:c>
      <x:c r="K365" t="str">
        <x:v>0</x:v>
      </x:c>
      <x:c r="L365" t="str">
        <x:v>2</x:v>
      </x:c>
      <x:c r="M365" t="str">
        <x:v>0</x:v>
      </x:c>
      <x:c r="N365" t="str"/>
      <x:c r="O365" t="str"/>
      <x:c r="P365" t="str">
        <x:v>Liberada Para Producao</x:v>
      </x:c>
      <x:c r="Q365" t="str">
        <x:v>609804</x:v>
      </x:c>
      <x:c r="R365" t="str">
        <x:v>0</x:v>
      </x:c>
      <x:c r="S365" t="str"/>
      <x:c r="T365" t="str"/>
      <x:c r="U365" t="str"/>
      <x:c r="V365" t="str"/>
      <x:c r="W365" t="str">
        <x:v>N/A</x:v>
      </x:c>
      <x:c r="X365" t="str">
        <x:v>0</x:v>
      </x:c>
      <x:c r="Y365" t="str">
        <x:v>0</x:v>
      </x:c>
      <x:c r="Z365" t="str">
        <x:v>0</x:v>
      </x:c>
      <x:c r="AA365" t="str">
        <x:v>0</x:v>
      </x:c>
      <x:c r="AB365" t="str">
        <x:v>N/A</x:v>
      </x:c>
      <x:c r="AC365" t="str">
        <x:v>N/A</x:v>
      </x:c>
      <x:c r="AD365" t="str">
        <x:v>N/A</x:v>
      </x:c>
      <x:c r="AE365" t="str">
        <x:v>N/A</x:v>
      </x:c>
    </x:row>
    <x:row r="366">
      <x:c r="A366" t="str">
        <x:v>51</x:v>
      </x:c>
      <x:c r="B366" t="str">
        <x:v>26750</x:v>
      </x:c>
      <x:c r="C366" t="str">
        <x:v>10</x:v>
      </x:c>
      <x:c r="D366" t="str">
        <x:v>957273</x:v>
      </x:c>
      <x:c r="E366" t="str">
        <x:v>2110x150x30 42x10 R2 RTO BIA PET BC U UL</x:v>
      </x:c>
      <x:c r="F366" t="str"/>
      <x:c r="G366" t="str"/>
      <x:c r="H366" t="str"/>
      <x:c r="I366" t="str">
        <x:v>ESMALTE</x:v>
      </x:c>
      <x:c r="J366" t="str">
        <x:v>BRANCO CARRARA</x:v>
      </x:c>
      <x:c r="K366" t="str">
        <x:v>0</x:v>
      </x:c>
      <x:c r="L366" t="str">
        <x:v>4</x:v>
      </x:c>
      <x:c r="M366" t="str">
        <x:v>0</x:v>
      </x:c>
      <x:c r="N366" t="str"/>
      <x:c r="O366" t="str"/>
      <x:c r="P366" t="str">
        <x:v>Liberada Para Producao</x:v>
      </x:c>
      <x:c r="Q366" t="str">
        <x:v>609805</x:v>
      </x:c>
      <x:c r="R366" t="str">
        <x:v>0</x:v>
      </x:c>
      <x:c r="S366" t="str"/>
      <x:c r="T366" t="str"/>
      <x:c r="U366" t="str"/>
      <x:c r="V366" t="str"/>
      <x:c r="W366" t="str">
        <x:v>N/A</x:v>
      </x:c>
      <x:c r="X366" t="str">
        <x:v>N/A</x:v>
      </x:c>
      <x:c r="Y366" t="str">
        <x:v>N/A</x:v>
      </x:c>
      <x:c r="Z366" t="str">
        <x:v>0</x:v>
      </x:c>
      <x:c r="AA366" t="str">
        <x:v>0</x:v>
      </x:c>
      <x:c r="AB366" t="str">
        <x:v>N/A</x:v>
      </x:c>
      <x:c r="AC366" t="str">
        <x:v>N/A</x:v>
      </x:c>
      <x:c r="AD366" t="str">
        <x:v>N/A</x:v>
      </x:c>
      <x:c r="AE366" t="str">
        <x:v>N/A</x:v>
      </x:c>
    </x:row>
    <x:row r="367">
      <x:c r="A367" t="str">
        <x:v>51</x:v>
      </x:c>
      <x:c r="B367" t="str">
        <x:v>26750</x:v>
      </x:c>
      <x:c r="C367" t="str">
        <x:v>10</x:v>
      </x:c>
      <x:c r="D367" t="str">
        <x:v>963311</x:v>
      </x:c>
      <x:c r="E367" t="str">
        <x:v>PE AL 2250X50X9 RTO LME REC PET BCO(ULTR</x:v>
      </x:c>
      <x:c r="F367" t="str"/>
      <x:c r="G367" t="str"/>
      <x:c r="H367" t="str"/>
      <x:c r="I367" t="str">
        <x:v>ESMALTE</x:v>
      </x:c>
      <x:c r="J367" t="str">
        <x:v>BRANCO CARRARA</x:v>
      </x:c>
      <x:c r="K367" t="str">
        <x:v>0</x:v>
      </x:c>
      <x:c r="L367" t="str">
        <x:v>4</x:v>
      </x:c>
      <x:c r="M367" t="str">
        <x:v>0</x:v>
      </x:c>
      <x:c r="N367" t="str"/>
      <x:c r="O367" t="str"/>
      <x:c r="P367" t="str">
        <x:v>Liberada Para Producao</x:v>
      </x:c>
      <x:c r="Q367" t="str">
        <x:v>609806</x:v>
      </x:c>
      <x:c r="R367" t="str">
        <x:v>0</x:v>
      </x:c>
      <x:c r="S367" t="str"/>
      <x:c r="T367" t="str"/>
      <x:c r="U367" t="str"/>
      <x:c r="V367" t="str"/>
      <x:c r="W367" t="str">
        <x:v>N/A</x:v>
      </x:c>
      <x:c r="X367" t="str">
        <x:v>0</x:v>
      </x:c>
      <x:c r="Y367" t="str">
        <x:v>0</x:v>
      </x:c>
      <x:c r="Z367" t="str">
        <x:v>0</x:v>
      </x:c>
      <x:c r="AA367" t="str">
        <x:v>N/A</x:v>
      </x:c>
      <x:c r="AB367" t="str">
        <x:v>N/A</x:v>
      </x:c>
      <x:c r="AC367" t="str">
        <x:v>N/A</x:v>
      </x:c>
      <x:c r="AD367" t="str">
        <x:v>N/A</x:v>
      </x:c>
      <x:c r="AE367" t="str">
        <x:v>N/A</x:v>
      </x:c>
    </x:row>
    <x:row r="368">
      <x:c r="A368" t="str">
        <x:v>51</x:v>
      </x:c>
      <x:c r="B368" t="str">
        <x:v>26750</x:v>
      </x:c>
      <x:c r="C368" t="str">
        <x:v>10</x:v>
      </x:c>
      <x:c r="D368" t="str">
        <x:v>966149</x:v>
      </x:c>
      <x:c r="E368" t="str">
        <x:v>TR AL 1100X50X9 RTO RL80 REC PET BCO (UL</x:v>
      </x:c>
      <x:c r="F368" t="str"/>
      <x:c r="G368" t="str"/>
      <x:c r="H368" t="str"/>
      <x:c r="I368" t="str">
        <x:v>ESMALTE</x:v>
      </x:c>
      <x:c r="J368" t="str">
        <x:v>BRANCO CARRARA</x:v>
      </x:c>
      <x:c r="K368" t="str">
        <x:v>0</x:v>
      </x:c>
      <x:c r="L368" t="str">
        <x:v>2</x:v>
      </x:c>
      <x:c r="M368" t="str">
        <x:v>0</x:v>
      </x:c>
      <x:c r="N368" t="str"/>
      <x:c r="O368" t="str"/>
      <x:c r="P368" t="str">
        <x:v>Liberada Para Producao</x:v>
      </x:c>
      <x:c r="Q368" t="str">
        <x:v>609807</x:v>
      </x:c>
      <x:c r="R368" t="str">
        <x:v>0</x:v>
      </x:c>
      <x:c r="S368" t="str"/>
      <x:c r="T368" t="str"/>
      <x:c r="U368" t="str"/>
      <x:c r="V368" t="str"/>
      <x:c r="W368" t="str">
        <x:v>N/A</x:v>
      </x:c>
      <x:c r="X368" t="str">
        <x:v>0</x:v>
      </x:c>
      <x:c r="Y368" t="str">
        <x:v>0</x:v>
      </x:c>
      <x:c r="Z368" t="str">
        <x:v>0</x:v>
      </x:c>
      <x:c r="AA368" t="str">
        <x:v>0</x:v>
      </x:c>
      <x:c r="AB368" t="str">
        <x:v>N/A</x:v>
      </x:c>
      <x:c r="AC368" t="str">
        <x:v>N/A</x:v>
      </x:c>
      <x:c r="AD368" t="str">
        <x:v>N/A</x:v>
      </x:c>
      <x:c r="AE368" t="str">
        <x:v>N/A</x:v>
      </x:c>
    </x:row>
    <x:row r="369">
      <x:c r="A369" t="str">
        <x:v>51</x:v>
      </x:c>
      <x:c r="B369" t="str">
        <x:v>26750</x:v>
      </x:c>
      <x:c r="C369" t="str">
        <x:v>10</x:v>
      </x:c>
      <x:c r="D369" t="str">
        <x:v>971601</x:v>
      </x:c>
      <x:c r="E369" t="str">
        <x:v>PE AL 2250X50X9 RTO RL80 REC PET BCO(ULT</x:v>
      </x:c>
      <x:c r="F369" t="str"/>
      <x:c r="G369" t="str"/>
      <x:c r="H369" t="str"/>
      <x:c r="I369" t="str">
        <x:v>ESMALTE</x:v>
      </x:c>
      <x:c r="J369" t="str">
        <x:v>BRANCO CARRARA</x:v>
      </x:c>
      <x:c r="K369" t="str">
        <x:v>0</x:v>
      </x:c>
      <x:c r="L369" t="str">
        <x:v>4</x:v>
      </x:c>
      <x:c r="M369" t="str">
        <x:v>0</x:v>
      </x:c>
      <x:c r="N369" t="str"/>
      <x:c r="O369" t="str"/>
      <x:c r="P369" t="str">
        <x:v>Liberada Para Producao</x:v>
      </x:c>
      <x:c r="Q369" t="str">
        <x:v>609808</x:v>
      </x:c>
      <x:c r="R369" t="str">
        <x:v>0</x:v>
      </x:c>
      <x:c r="S369" t="str"/>
      <x:c r="T369" t="str"/>
      <x:c r="U369" t="str"/>
      <x:c r="V369" t="str"/>
      <x:c r="W369" t="str">
        <x:v>N/A</x:v>
      </x:c>
      <x:c r="X369" t="str">
        <x:v>0</x:v>
      </x:c>
      <x:c r="Y369" t="str">
        <x:v>0</x:v>
      </x:c>
      <x:c r="Z369" t="str">
        <x:v>0</x:v>
      </x:c>
      <x:c r="AA369" t="str">
        <x:v>N/A</x:v>
      </x:c>
      <x:c r="AB369" t="str">
        <x:v>N/A</x:v>
      </x:c>
      <x:c r="AC369" t="str">
        <x:v>N/A</x:v>
      </x:c>
      <x:c r="AD369" t="str">
        <x:v>N/A</x:v>
      </x:c>
      <x:c r="AE369" t="str">
        <x:v>N/A</x:v>
      </x:c>
    </x:row>
    <x:row r="370">
      <x:c r="A370" t="str">
        <x:v>51</x:v>
      </x:c>
      <x:c r="B370" t="str">
        <x:v>26750</x:v>
      </x:c>
      <x:c r="C370" t="str">
        <x:v>10</x:v>
      </x:c>
      <x:c r="D370" t="str">
        <x:v>974320</x:v>
      </x:c>
      <x:c r="E370" t="str">
        <x:v>867x150x30 42x10 R2L RTO BIA PET BCO ULT</x:v>
      </x:c>
      <x:c r="F370" t="str"/>
      <x:c r="G370" t="str"/>
      <x:c r="H370" t="str"/>
      <x:c r="I370" t="str">
        <x:v>ESMALTE</x:v>
      </x:c>
      <x:c r="J370" t="str">
        <x:v>BRANCO CARRARA</x:v>
      </x:c>
      <x:c r="K370" t="str">
        <x:v>0</x:v>
      </x:c>
      <x:c r="L370" t="str">
        <x:v>2</x:v>
      </x:c>
      <x:c r="M370" t="str">
        <x:v>0,008</x:v>
      </x:c>
      <x:c r="N370" t="str"/>
      <x:c r="O370" t="str"/>
      <x:c r="P370" t="str">
        <x:v>Liberada Para Producao</x:v>
      </x:c>
      <x:c r="Q370" t="str">
        <x:v>609809</x:v>
      </x:c>
      <x:c r="R370" t="str">
        <x:v>0</x:v>
      </x:c>
      <x:c r="S370" t="str"/>
      <x:c r="T370" t="str"/>
      <x:c r="U370" t="str"/>
      <x:c r="V370" t="str"/>
      <x:c r="W370" t="str">
        <x:v>N/A</x:v>
      </x:c>
      <x:c r="X370" t="str">
        <x:v>N/A</x:v>
      </x:c>
      <x:c r="Y370" t="str">
        <x:v>N/A</x:v>
      </x:c>
      <x:c r="Z370" t="str">
        <x:v>0</x:v>
      </x:c>
      <x:c r="AA370" t="str">
        <x:v>0</x:v>
      </x:c>
      <x:c r="AB370" t="str">
        <x:v>N/A</x:v>
      </x:c>
      <x:c r="AC370" t="str">
        <x:v>N/A</x:v>
      </x:c>
      <x:c r="AD370" t="str">
        <x:v>N/A</x:v>
      </x:c>
      <x:c r="AE370" t="str">
        <x:v>N/A</x:v>
      </x:c>
    </x:row>
    <x:row r="371">
      <x:c r="A371" t="str">
        <x:v>51</x:v>
      </x:c>
      <x:c r="B371" t="str">
        <x:v>26750</x:v>
      </x:c>
      <x:c r="C371" t="str">
        <x:v>10</x:v>
      </x:c>
      <x:c r="D371" t="str">
        <x:v>3040300443</x:v>
      </x:c>
      <x:c r="E371" t="str">
        <x:v>FO POR COL HDF 3 ESM BCO CAR 2100X820X35</x:v>
      </x:c>
      <x:c r="F371" t="str"/>
      <x:c r="G371" t="str"/>
      <x:c r="H371" t="str"/>
      <x:c r="I371" t="str">
        <x:v>ESMALTE</x:v>
      </x:c>
      <x:c r="J371" t="str">
        <x:v>BRANCO CARRARA</x:v>
      </x:c>
      <x:c r="K371" t="str">
        <x:v>0</x:v>
      </x:c>
      <x:c r="L371" t="str">
        <x:v>2</x:v>
      </x:c>
      <x:c r="M371" t="str">
        <x:v>0,121</x:v>
      </x:c>
      <x:c r="N371" t="str"/>
      <x:c r="O371" t="str"/>
      <x:c r="P371" t="str">
        <x:v>Liberada Para Producao</x:v>
      </x:c>
      <x:c r="Q371" t="str">
        <x:v>609810</x:v>
      </x:c>
      <x:c r="R371" t="str">
        <x:v>50</x:v>
      </x:c>
      <x:c r="S371" t="str">
        <x:v>1</x:v>
      </x:c>
      <x:c r="T371" t="str">
        <x:v>PORTA LINHA PREMIUM</x:v>
      </x:c>
      <x:c r="U371" t="str"/>
      <x:c r="V371" t="str"/>
      <x:c r="W371" t="str">
        <x:v>N/A</x:v>
      </x:c>
      <x:c r="X371" t="str">
        <x:v>100</x:v>
      </x:c>
      <x:c r="Y371" t="str">
        <x:v>N/A</x:v>
      </x:c>
      <x:c r="Z371" t="str">
        <x:v>N/A</x:v>
      </x:c>
      <x:c r="AA371" t="str">
        <x:v>N/A</x:v>
      </x:c>
      <x:c r="AB371" t="str">
        <x:v>50</x:v>
      </x:c>
      <x:c r="AC371" t="str">
        <x:v>N/A</x:v>
      </x:c>
      <x:c r="AD371" t="str">
        <x:v>0</x:v>
      </x:c>
      <x:c r="AE371" t="str">
        <x:v>N/A</x:v>
      </x:c>
    </x:row>
    <x:row r="372">
      <x:c r="A372" t="str">
        <x:v>51</x:v>
      </x:c>
      <x:c r="B372" t="str">
        <x:v>26750</x:v>
      </x:c>
      <x:c r="C372" t="str">
        <x:v>11</x:v>
      </x:c>
      <x:c r="D372" t="str">
        <x:v>919640</x:v>
      </x:c>
      <x:c r="E372" t="str">
        <x:v>TR AL 1100X50X9 RTO LME REC PET BCO (ULT</x:v>
      </x:c>
      <x:c r="F372" t="str"/>
      <x:c r="G372" t="str"/>
      <x:c r="H372" t="str"/>
      <x:c r="I372" t="str">
        <x:v>ESMALTE</x:v>
      </x:c>
      <x:c r="J372" t="str">
        <x:v>BRANCO CARRARA</x:v>
      </x:c>
      <x:c r="K372" t="str">
        <x:v>0</x:v>
      </x:c>
      <x:c r="L372" t="str">
        <x:v>12</x:v>
      </x:c>
      <x:c r="M372" t="str">
        <x:v>0</x:v>
      </x:c>
      <x:c r="N372" t="str"/>
      <x:c r="O372" t="str"/>
      <x:c r="P372" t="str">
        <x:v>Liberada Para Producao</x:v>
      </x:c>
      <x:c r="Q372" t="str">
        <x:v>609812</x:v>
      </x:c>
      <x:c r="R372" t="str">
        <x:v>0</x:v>
      </x:c>
      <x:c r="S372" t="str"/>
      <x:c r="T372" t="str"/>
      <x:c r="U372" t="str"/>
      <x:c r="V372" t="str"/>
      <x:c r="W372" t="str">
        <x:v>N/A</x:v>
      </x:c>
      <x:c r="X372" t="str">
        <x:v>0</x:v>
      </x:c>
      <x:c r="Y372" t="str">
        <x:v>0</x:v>
      </x:c>
      <x:c r="Z372" t="str">
        <x:v>0</x:v>
      </x:c>
      <x:c r="AA372" t="str">
        <x:v>0</x:v>
      </x:c>
      <x:c r="AB372" t="str">
        <x:v>N/A</x:v>
      </x:c>
      <x:c r="AC372" t="str">
        <x:v>N/A</x:v>
      </x:c>
      <x:c r="AD372" t="str">
        <x:v>N/A</x:v>
      </x:c>
      <x:c r="AE372" t="str">
        <x:v>N/A</x:v>
      </x:c>
    </x:row>
    <x:row r="373">
      <x:c r="A373" t="str">
        <x:v>51</x:v>
      </x:c>
      <x:c r="B373" t="str">
        <x:v>26750</x:v>
      </x:c>
      <x:c r="C373" t="str">
        <x:v>11</x:v>
      </x:c>
      <x:c r="D373" t="str">
        <x:v>963311</x:v>
      </x:c>
      <x:c r="E373" t="str">
        <x:v>PE AL 2250X50X9 RTO LME REC PET BCO(ULTR</x:v>
      </x:c>
      <x:c r="F373" t="str"/>
      <x:c r="G373" t="str"/>
      <x:c r="H373" t="str"/>
      <x:c r="I373" t="str">
        <x:v>ESMALTE</x:v>
      </x:c>
      <x:c r="J373" t="str">
        <x:v>BRANCO CARRARA</x:v>
      </x:c>
      <x:c r="K373" t="str">
        <x:v>0</x:v>
      </x:c>
      <x:c r="L373" t="str">
        <x:v>24</x:v>
      </x:c>
      <x:c r="M373" t="str">
        <x:v>0</x:v>
      </x:c>
      <x:c r="N373" t="str"/>
      <x:c r="O373" t="str"/>
      <x:c r="P373" t="str">
        <x:v>Liberada Para Producao</x:v>
      </x:c>
      <x:c r="Q373" t="str">
        <x:v>609813</x:v>
      </x:c>
      <x:c r="R373" t="str">
        <x:v>0</x:v>
      </x:c>
      <x:c r="S373" t="str"/>
      <x:c r="T373" t="str"/>
      <x:c r="U373" t="str"/>
      <x:c r="V373" t="str"/>
      <x:c r="W373" t="str">
        <x:v>N/A</x:v>
      </x:c>
      <x:c r="X373" t="str">
        <x:v>0</x:v>
      </x:c>
      <x:c r="Y373" t="str">
        <x:v>0</x:v>
      </x:c>
      <x:c r="Z373" t="str">
        <x:v>0</x:v>
      </x:c>
      <x:c r="AA373" t="str">
        <x:v>N/A</x:v>
      </x:c>
      <x:c r="AB373" t="str">
        <x:v>N/A</x:v>
      </x:c>
      <x:c r="AC373" t="str">
        <x:v>N/A</x:v>
      </x:c>
      <x:c r="AD373" t="str">
        <x:v>N/A</x:v>
      </x:c>
      <x:c r="AE373" t="str">
        <x:v>N/A</x:v>
      </x:c>
    </x:row>
    <x:row r="374">
      <x:c r="A374" t="str">
        <x:v>51</x:v>
      </x:c>
      <x:c r="B374" t="str">
        <x:v>26750</x:v>
      </x:c>
      <x:c r="C374" t="str">
        <x:v>11</x:v>
      </x:c>
      <x:c r="D374" t="str">
        <x:v>966149</x:v>
      </x:c>
      <x:c r="E374" t="str">
        <x:v>TR AL 1100X50X9 RTO RL80 REC PET BCO (UL</x:v>
      </x:c>
      <x:c r="F374" t="str"/>
      <x:c r="G374" t="str"/>
      <x:c r="H374" t="str"/>
      <x:c r="I374" t="str">
        <x:v>ESMALTE</x:v>
      </x:c>
      <x:c r="J374" t="str">
        <x:v>BRANCO CARRARA</x:v>
      </x:c>
      <x:c r="K374" t="str">
        <x:v>0</x:v>
      </x:c>
      <x:c r="L374" t="str">
        <x:v>12</x:v>
      </x:c>
      <x:c r="M374" t="str">
        <x:v>0</x:v>
      </x:c>
      <x:c r="N374" t="str"/>
      <x:c r="O374" t="str"/>
      <x:c r="P374" t="str">
        <x:v>Liberada Para Producao</x:v>
      </x:c>
      <x:c r="Q374" t="str">
        <x:v>609814</x:v>
      </x:c>
      <x:c r="R374" t="str">
        <x:v>0</x:v>
      </x:c>
      <x:c r="S374" t="str"/>
      <x:c r="T374" t="str"/>
      <x:c r="U374" t="str"/>
      <x:c r="V374" t="str"/>
      <x:c r="W374" t="str">
        <x:v>N/A</x:v>
      </x:c>
      <x:c r="X374" t="str">
        <x:v>0</x:v>
      </x:c>
      <x:c r="Y374" t="str">
        <x:v>0</x:v>
      </x:c>
      <x:c r="Z374" t="str">
        <x:v>0</x:v>
      </x:c>
      <x:c r="AA374" t="str">
        <x:v>0</x:v>
      </x:c>
      <x:c r="AB374" t="str">
        <x:v>N/A</x:v>
      </x:c>
      <x:c r="AC374" t="str">
        <x:v>N/A</x:v>
      </x:c>
      <x:c r="AD374" t="str">
        <x:v>N/A</x:v>
      </x:c>
      <x:c r="AE374" t="str">
        <x:v>N/A</x:v>
      </x:c>
    </x:row>
    <x:row r="375">
      <x:c r="A375" t="str">
        <x:v>51</x:v>
      </x:c>
      <x:c r="B375" t="str">
        <x:v>26750</x:v>
      </x:c>
      <x:c r="C375" t="str">
        <x:v>11</x:v>
      </x:c>
      <x:c r="D375" t="str">
        <x:v>971601</x:v>
      </x:c>
      <x:c r="E375" t="str">
        <x:v>PE AL 2250X50X9 RTO RL80 REC PET BCO(ULT</x:v>
      </x:c>
      <x:c r="F375" t="str"/>
      <x:c r="G375" t="str"/>
      <x:c r="H375" t="str"/>
      <x:c r="I375" t="str">
        <x:v>ESMALTE</x:v>
      </x:c>
      <x:c r="J375" t="str">
        <x:v>BRANCO CARRARA</x:v>
      </x:c>
      <x:c r="K375" t="str">
        <x:v>0</x:v>
      </x:c>
      <x:c r="L375" t="str">
        <x:v>24</x:v>
      </x:c>
      <x:c r="M375" t="str">
        <x:v>0</x:v>
      </x:c>
      <x:c r="N375" t="str"/>
      <x:c r="O375" t="str"/>
      <x:c r="P375" t="str">
        <x:v>Liberada Para Producao</x:v>
      </x:c>
      <x:c r="Q375" t="str">
        <x:v>609815</x:v>
      </x:c>
      <x:c r="R375" t="str">
        <x:v>0</x:v>
      </x:c>
      <x:c r="S375" t="str"/>
      <x:c r="T375" t="str"/>
      <x:c r="U375" t="str"/>
      <x:c r="V375" t="str"/>
      <x:c r="W375" t="str">
        <x:v>N/A</x:v>
      </x:c>
      <x:c r="X375" t="str">
        <x:v>0</x:v>
      </x:c>
      <x:c r="Y375" t="str">
        <x:v>0</x:v>
      </x:c>
      <x:c r="Z375" t="str">
        <x:v>0</x:v>
      </x:c>
      <x:c r="AA375" t="str">
        <x:v>N/A</x:v>
      </x:c>
      <x:c r="AB375" t="str">
        <x:v>N/A</x:v>
      </x:c>
      <x:c r="AC375" t="str">
        <x:v>N/A</x:v>
      </x:c>
      <x:c r="AD375" t="str">
        <x:v>N/A</x:v>
      </x:c>
      <x:c r="AE375" t="str">
        <x:v>N/A</x:v>
      </x:c>
    </x:row>
    <x:row r="376">
      <x:c r="A376" t="str">
        <x:v>51</x:v>
      </x:c>
      <x:c r="B376" t="str">
        <x:v>26750</x:v>
      </x:c>
      <x:c r="C376" t="str">
        <x:v>11</x:v>
      </x:c>
      <x:c r="D376" t="str">
        <x:v>2010701021</x:v>
      </x:c>
      <x:c r="E376" t="str">
        <x:v>M ULTRA PET BCO CAR 2110X80X30 42X10 R2L</x:v>
      </x:c>
      <x:c r="F376" t="str"/>
      <x:c r="G376" t="str"/>
      <x:c r="H376" t="str"/>
      <x:c r="I376" t="str">
        <x:v>ESMALTE</x:v>
      </x:c>
      <x:c r="J376" t="str">
        <x:v>BRANCO CARRARA</x:v>
      </x:c>
      <x:c r="K376" t="str">
        <x:v>0</x:v>
      </x:c>
      <x:c r="L376" t="str">
        <x:v>24</x:v>
      </x:c>
      <x:c r="M376" t="str">
        <x:v>0,122</x:v>
      </x:c>
      <x:c r="N376" t="str"/>
      <x:c r="O376" t="str"/>
      <x:c r="P376" t="str">
        <x:v>Liberada Para Producao</x:v>
      </x:c>
      <x:c r="Q376" t="str">
        <x:v>609816</x:v>
      </x:c>
      <x:c r="R376" t="str">
        <x:v>50</x:v>
      </x:c>
      <x:c r="S376" t="str">
        <x:v>1500</x:v>
      </x:c>
      <x:c r="T376" t="str">
        <x:v>PERNA DE BATENTE PREMIUM(SEMIA</x:v>
      </x:c>
      <x:c r="U376" t="str"/>
      <x:c r="V376" t="str"/>
      <x:c r="W376" t="str">
        <x:v>100</x:v>
      </x:c>
      <x:c r="X376" t="str">
        <x:v>100</x:v>
      </x:c>
      <x:c r="Y376" t="str">
        <x:v>N/A</x:v>
      </x:c>
      <x:c r="Z376" t="str">
        <x:v>0</x:v>
      </x:c>
      <x:c r="AA376" t="str">
        <x:v>0</x:v>
      </x:c>
      <x:c r="AB376" t="str">
        <x:v>N/A</x:v>
      </x:c>
      <x:c r="AC376" t="str">
        <x:v>N/A</x:v>
      </x:c>
      <x:c r="AD376" t="str">
        <x:v>N/A</x:v>
      </x:c>
      <x:c r="AE376" t="str">
        <x:v>N/A</x:v>
      </x:c>
    </x:row>
    <x:row r="377">
      <x:c r="A377" t="str">
        <x:v>51</x:v>
      </x:c>
      <x:c r="B377" t="str">
        <x:v>26750</x:v>
      </x:c>
      <x:c r="C377" t="str">
        <x:v>11</x:v>
      </x:c>
      <x:c r="D377" t="str">
        <x:v>2010701245</x:v>
      </x:c>
      <x:c r="E377" t="str">
        <x:v>M ULTRA PET BCO CAR 767X80X30 42X10 R2L</x:v>
      </x:c>
      <x:c r="F377" t="str"/>
      <x:c r="G377" t="str"/>
      <x:c r="H377" t="str"/>
      <x:c r="I377" t="str">
        <x:v>ESMALTE</x:v>
      </x:c>
      <x:c r="J377" t="str">
        <x:v>BRANCO CARRARA</x:v>
      </x:c>
      <x:c r="K377" t="str">
        <x:v>0</x:v>
      </x:c>
      <x:c r="L377" t="str">
        <x:v>12</x:v>
      </x:c>
      <x:c r="M377" t="str">
        <x:v>0,022</x:v>
      </x:c>
      <x:c r="N377" t="str"/>
      <x:c r="O377" t="str"/>
      <x:c r="P377" t="str">
        <x:v>Liberada Para Producao</x:v>
      </x:c>
      <x:c r="Q377" t="str">
        <x:v>609817</x:v>
      </x:c>
      <x:c r="R377" t="str">
        <x:v>50</x:v>
      </x:c>
      <x:c r="S377" t="str">
        <x:v>1502</x:v>
      </x:c>
      <x:c r="T377" t="str">
        <x:v>TV.BAT. 680-1100 PET/PVC(SEMI)</x:v>
      </x:c>
      <x:c r="U377" t="str"/>
      <x:c r="V377" t="str"/>
      <x:c r="W377" t="str">
        <x:v>100</x:v>
      </x:c>
      <x:c r="X377" t="str">
        <x:v>100</x:v>
      </x:c>
      <x:c r="Y377" t="str">
        <x:v>N/A</x:v>
      </x:c>
      <x:c r="Z377" t="str">
        <x:v>0</x:v>
      </x:c>
      <x:c r="AA377" t="str">
        <x:v>0</x:v>
      </x:c>
      <x:c r="AB377" t="str">
        <x:v>N/A</x:v>
      </x:c>
      <x:c r="AC377" t="str">
        <x:v>N/A</x:v>
      </x:c>
      <x:c r="AD377" t="str">
        <x:v>N/A</x:v>
      </x:c>
      <x:c r="AE377" t="str">
        <x:v>N/A</x:v>
      </x:c>
    </x:row>
    <x:row r="378">
      <x:c r="A378" t="str">
        <x:v>51</x:v>
      </x:c>
      <x:c r="B378" t="str">
        <x:v>26750</x:v>
      </x:c>
      <x:c r="C378" t="str">
        <x:v>11</x:v>
      </x:c>
      <x:c r="D378" t="str">
        <x:v>4210012023</x:v>
      </x:c>
      <x:c r="E378" t="str">
        <x:v>FP COLM HDF 3 2100x720x35 ESM BCO C C/US</x:v>
      </x:c>
      <x:c r="F378" t="str"/>
      <x:c r="G378" t="str">
        <x:v>C/USINAGEM COMPLETA</x:v>
      </x:c>
      <x:c r="H378" t="str"/>
      <x:c r="I378" t="str">
        <x:v>ESMALTE</x:v>
      </x:c>
      <x:c r="J378" t="str">
        <x:v>BRANCO CARRARA</x:v>
      </x:c>
      <x:c r="K378" t="str">
        <x:v>0</x:v>
      </x:c>
      <x:c r="L378" t="str">
        <x:v>12</x:v>
      </x:c>
      <x:c r="M378" t="str">
        <x:v>0,635</x:v>
      </x:c>
      <x:c r="N378" t="str"/>
      <x:c r="O378" t="str"/>
      <x:c r="P378" t="str">
        <x:v>Liberada Para Producao</x:v>
      </x:c>
      <x:c r="Q378" t="str">
        <x:v>609818</x:v>
      </x:c>
      <x:c r="R378" t="str">
        <x:v>33,33</x:v>
      </x:c>
      <x:c r="S378" t="str">
        <x:v>1</x:v>
      </x:c>
      <x:c r="T378" t="str">
        <x:v>PORTA LINHA PREMIUM</x:v>
      </x:c>
      <x:c r="U378" t="str"/>
      <x:c r="V378" t="str"/>
      <x:c r="W378" t="str">
        <x:v>N/A</x:v>
      </x:c>
      <x:c r="X378" t="str">
        <x:v>100</x:v>
      </x:c>
      <x:c r="Y378" t="str">
        <x:v>N/A</x:v>
      </x:c>
      <x:c r="Z378" t="str">
        <x:v>N/A</x:v>
      </x:c>
      <x:c r="AA378" t="str">
        <x:v>N/A</x:v>
      </x:c>
      <x:c r="AB378" t="str">
        <x:v>0</x:v>
      </x:c>
      <x:c r="AC378" t="str">
        <x:v>N/A</x:v>
      </x:c>
      <x:c r="AD378" t="str">
        <x:v>0</x:v>
      </x:c>
      <x:c r="AE378" t="str">
        <x:v>N/A</x:v>
      </x:c>
    </x:row>
    <x:row r="379">
      <x:c r="A379" t="str">
        <x:v>51</x:v>
      </x:c>
      <x:c r="B379" t="str">
        <x:v>26750</x:v>
      </x:c>
      <x:c r="C379" t="str">
        <x:v>12</x:v>
      </x:c>
      <x:c r="D379" t="str">
        <x:v>918484</x:v>
      </x:c>
      <x:c r="E379" t="str">
        <x:v>2110x90x30 42x10 R2 R1 BIA PET BC U(UL)</x:v>
      </x:c>
      <x:c r="F379" t="str"/>
      <x:c r="G379" t="str"/>
      <x:c r="H379" t="str"/>
      <x:c r="I379" t="str">
        <x:v>ESMALTE</x:v>
      </x:c>
      <x:c r="J379" t="str">
        <x:v>BRANCO CARRARA</x:v>
      </x:c>
      <x:c r="K379" t="str">
        <x:v>0</x:v>
      </x:c>
      <x:c r="L379" t="str">
        <x:v>8</x:v>
      </x:c>
      <x:c r="M379" t="str">
        <x:v>0</x:v>
      </x:c>
      <x:c r="N379" t="str"/>
      <x:c r="O379" t="str"/>
      <x:c r="P379" t="str">
        <x:v>Liberada Para Producao</x:v>
      </x:c>
      <x:c r="Q379" t="str">
        <x:v>609820</x:v>
      </x:c>
      <x:c r="R379" t="str">
        <x:v>0</x:v>
      </x:c>
      <x:c r="S379" t="str"/>
      <x:c r="T379" t="str"/>
      <x:c r="U379" t="str"/>
      <x:c r="V379" t="str"/>
      <x:c r="W379" t="str">
        <x:v>N/A</x:v>
      </x:c>
      <x:c r="X379" t="str">
        <x:v>N/A</x:v>
      </x:c>
      <x:c r="Y379" t="str">
        <x:v>N/A</x:v>
      </x:c>
      <x:c r="Z379" t="str">
        <x:v>0</x:v>
      </x:c>
      <x:c r="AA379" t="str">
        <x:v>0</x:v>
      </x:c>
      <x:c r="AB379" t="str">
        <x:v>N/A</x:v>
      </x:c>
      <x:c r="AC379" t="str">
        <x:v>N/A</x:v>
      </x:c>
      <x:c r="AD379" t="str">
        <x:v>N/A</x:v>
      </x:c>
      <x:c r="AE379" t="str">
        <x:v>N/A</x:v>
      </x:c>
    </x:row>
    <x:row r="380">
      <x:c r="A380" t="str">
        <x:v>51</x:v>
      </x:c>
      <x:c r="B380" t="str">
        <x:v>26750</x:v>
      </x:c>
      <x:c r="C380" t="str">
        <x:v>12</x:v>
      </x:c>
      <x:c r="D380" t="str">
        <x:v>919640</x:v>
      </x:c>
      <x:c r="E380" t="str">
        <x:v>TR AL 1100X50X9 RTO LME REC PET BCO (ULT</x:v>
      </x:c>
      <x:c r="F380" t="str"/>
      <x:c r="G380" t="str"/>
      <x:c r="H380" t="str"/>
      <x:c r="I380" t="str">
        <x:v>ESMALTE</x:v>
      </x:c>
      <x:c r="J380" t="str">
        <x:v>BRANCO CARRARA</x:v>
      </x:c>
      <x:c r="K380" t="str">
        <x:v>0</x:v>
      </x:c>
      <x:c r="L380" t="str">
        <x:v>4</x:v>
      </x:c>
      <x:c r="M380" t="str">
        <x:v>0</x:v>
      </x:c>
      <x:c r="N380" t="str"/>
      <x:c r="O380" t="str"/>
      <x:c r="P380" t="str">
        <x:v>Liberada Para Producao</x:v>
      </x:c>
      <x:c r="Q380" t="str">
        <x:v>609821</x:v>
      </x:c>
      <x:c r="R380" t="str">
        <x:v>0</x:v>
      </x:c>
      <x:c r="S380" t="str"/>
      <x:c r="T380" t="str"/>
      <x:c r="U380" t="str"/>
      <x:c r="V380" t="str"/>
      <x:c r="W380" t="str">
        <x:v>N/A</x:v>
      </x:c>
      <x:c r="X380" t="str">
        <x:v>0</x:v>
      </x:c>
      <x:c r="Y380" t="str">
        <x:v>0</x:v>
      </x:c>
      <x:c r="Z380" t="str">
        <x:v>0</x:v>
      </x:c>
      <x:c r="AA380" t="str">
        <x:v>0</x:v>
      </x:c>
      <x:c r="AB380" t="str">
        <x:v>N/A</x:v>
      </x:c>
      <x:c r="AC380" t="str">
        <x:v>N/A</x:v>
      </x:c>
      <x:c r="AD380" t="str">
        <x:v>N/A</x:v>
      </x:c>
      <x:c r="AE380" t="str">
        <x:v>N/A</x:v>
      </x:c>
    </x:row>
    <x:row r="381">
      <x:c r="A381" t="str">
        <x:v>51</x:v>
      </x:c>
      <x:c r="B381" t="str">
        <x:v>26750</x:v>
      </x:c>
      <x:c r="C381" t="str">
        <x:v>12</x:v>
      </x:c>
      <x:c r="D381" t="str">
        <x:v>963311</x:v>
      </x:c>
      <x:c r="E381" t="str">
        <x:v>PE AL 2250X50X9 RTO LME REC PET BCO(ULTR</x:v>
      </x:c>
      <x:c r="F381" t="str"/>
      <x:c r="G381" t="str"/>
      <x:c r="H381" t="str"/>
      <x:c r="I381" t="str">
        <x:v>ESMALTE</x:v>
      </x:c>
      <x:c r="J381" t="str">
        <x:v>BRANCO CARRARA</x:v>
      </x:c>
      <x:c r="K381" t="str">
        <x:v>0</x:v>
      </x:c>
      <x:c r="L381" t="str">
        <x:v>8</x:v>
      </x:c>
      <x:c r="M381" t="str">
        <x:v>0</x:v>
      </x:c>
      <x:c r="N381" t="str"/>
      <x:c r="O381" t="str"/>
      <x:c r="P381" t="str">
        <x:v>Liberada Para Producao</x:v>
      </x:c>
      <x:c r="Q381" t="str">
        <x:v>609822</x:v>
      </x:c>
      <x:c r="R381" t="str">
        <x:v>0</x:v>
      </x:c>
      <x:c r="S381" t="str"/>
      <x:c r="T381" t="str"/>
      <x:c r="U381" t="str"/>
      <x:c r="V381" t="str"/>
      <x:c r="W381" t="str">
        <x:v>N/A</x:v>
      </x:c>
      <x:c r="X381" t="str">
        <x:v>0</x:v>
      </x:c>
      <x:c r="Y381" t="str">
        <x:v>0</x:v>
      </x:c>
      <x:c r="Z381" t="str">
        <x:v>0</x:v>
      </x:c>
      <x:c r="AA381" t="str">
        <x:v>N/A</x:v>
      </x:c>
      <x:c r="AB381" t="str">
        <x:v>N/A</x:v>
      </x:c>
      <x:c r="AC381" t="str">
        <x:v>N/A</x:v>
      </x:c>
      <x:c r="AD381" t="str">
        <x:v>N/A</x:v>
      </x:c>
      <x:c r="AE381" t="str">
        <x:v>N/A</x:v>
      </x:c>
    </x:row>
    <x:row r="382">
      <x:c r="A382" t="str">
        <x:v>51</x:v>
      </x:c>
      <x:c r="B382" t="str">
        <x:v>26750</x:v>
      </x:c>
      <x:c r="C382" t="str">
        <x:v>12</x:v>
      </x:c>
      <x:c r="D382" t="str">
        <x:v>966149</x:v>
      </x:c>
      <x:c r="E382" t="str">
        <x:v>TR AL 1100X50X9 RTO RL80 REC PET BCO (UL</x:v>
      </x:c>
      <x:c r="F382" t="str"/>
      <x:c r="G382" t="str"/>
      <x:c r="H382" t="str"/>
      <x:c r="I382" t="str">
        <x:v>ESMALTE</x:v>
      </x:c>
      <x:c r="J382" t="str">
        <x:v>BRANCO CARRARA</x:v>
      </x:c>
      <x:c r="K382" t="str">
        <x:v>0</x:v>
      </x:c>
      <x:c r="L382" t="str">
        <x:v>4</x:v>
      </x:c>
      <x:c r="M382" t="str">
        <x:v>0</x:v>
      </x:c>
      <x:c r="N382" t="str"/>
      <x:c r="O382" t="str"/>
      <x:c r="P382" t="str">
        <x:v>Liberada Para Producao</x:v>
      </x:c>
      <x:c r="Q382" t="str">
        <x:v>609823</x:v>
      </x:c>
      <x:c r="R382" t="str">
        <x:v>0</x:v>
      </x:c>
      <x:c r="S382" t="str"/>
      <x:c r="T382" t="str"/>
      <x:c r="U382" t="str"/>
      <x:c r="V382" t="str"/>
      <x:c r="W382" t="str">
        <x:v>N/A</x:v>
      </x:c>
      <x:c r="X382" t="str">
        <x:v>0</x:v>
      </x:c>
      <x:c r="Y382" t="str">
        <x:v>0</x:v>
      </x:c>
      <x:c r="Z382" t="str">
        <x:v>0</x:v>
      </x:c>
      <x:c r="AA382" t="str">
        <x:v>0</x:v>
      </x:c>
      <x:c r="AB382" t="str">
        <x:v>N/A</x:v>
      </x:c>
      <x:c r="AC382" t="str">
        <x:v>N/A</x:v>
      </x:c>
      <x:c r="AD382" t="str">
        <x:v>N/A</x:v>
      </x:c>
      <x:c r="AE382" t="str">
        <x:v>N/A</x:v>
      </x:c>
    </x:row>
    <x:row r="383">
      <x:c r="A383" t="str">
        <x:v>51</x:v>
      </x:c>
      <x:c r="B383" t="str">
        <x:v>26750</x:v>
      </x:c>
      <x:c r="C383" t="str">
        <x:v>12</x:v>
      </x:c>
      <x:c r="D383" t="str">
        <x:v>968118</x:v>
      </x:c>
      <x:c r="E383" t="str">
        <x:v>767x90x30 42x10 R2L R1 BIA PET BRC (UL)</x:v>
      </x:c>
      <x:c r="F383" t="str"/>
      <x:c r="G383" t="str"/>
      <x:c r="H383" t="str"/>
      <x:c r="I383" t="str">
        <x:v>ESMALTE</x:v>
      </x:c>
      <x:c r="J383" t="str">
        <x:v>BRANCO CARRARA</x:v>
      </x:c>
      <x:c r="K383" t="str">
        <x:v>0</x:v>
      </x:c>
      <x:c r="L383" t="str">
        <x:v>4</x:v>
      </x:c>
      <x:c r="M383" t="str">
        <x:v>0,008</x:v>
      </x:c>
      <x:c r="N383" t="str"/>
      <x:c r="O383" t="str"/>
      <x:c r="P383" t="str">
        <x:v>Liberada Para Producao</x:v>
      </x:c>
      <x:c r="Q383" t="str">
        <x:v>609824</x:v>
      </x:c>
      <x:c r="R383" t="str">
        <x:v>0</x:v>
      </x:c>
      <x:c r="S383" t="str"/>
      <x:c r="T383" t="str"/>
      <x:c r="U383" t="str"/>
      <x:c r="V383" t="str"/>
      <x:c r="W383" t="str">
        <x:v>N/A</x:v>
      </x:c>
      <x:c r="X383" t="str">
        <x:v>N/A</x:v>
      </x:c>
      <x:c r="Y383" t="str">
        <x:v>N/A</x:v>
      </x:c>
      <x:c r="Z383" t="str">
        <x:v>0</x:v>
      </x:c>
      <x:c r="AA383" t="str">
        <x:v>0</x:v>
      </x:c>
      <x:c r="AB383" t="str">
        <x:v>N/A</x:v>
      </x:c>
      <x:c r="AC383" t="str">
        <x:v>N/A</x:v>
      </x:c>
      <x:c r="AD383" t="str">
        <x:v>N/A</x:v>
      </x:c>
      <x:c r="AE383" t="str">
        <x:v>N/A</x:v>
      </x:c>
    </x:row>
    <x:row r="384">
      <x:c r="A384" t="str">
        <x:v>51</x:v>
      </x:c>
      <x:c r="B384" t="str">
        <x:v>26750</x:v>
      </x:c>
      <x:c r="C384" t="str">
        <x:v>12</x:v>
      </x:c>
      <x:c r="D384" t="str">
        <x:v>971601</x:v>
      </x:c>
      <x:c r="E384" t="str">
        <x:v>PE AL 2250X50X9 RTO RL80 REC PET BCO(ULT</x:v>
      </x:c>
      <x:c r="F384" t="str"/>
      <x:c r="G384" t="str"/>
      <x:c r="H384" t="str"/>
      <x:c r="I384" t="str">
        <x:v>ESMALTE</x:v>
      </x:c>
      <x:c r="J384" t="str">
        <x:v>BRANCO CARRARA</x:v>
      </x:c>
      <x:c r="K384" t="str">
        <x:v>0</x:v>
      </x:c>
      <x:c r="L384" t="str">
        <x:v>8</x:v>
      </x:c>
      <x:c r="M384" t="str">
        <x:v>0</x:v>
      </x:c>
      <x:c r="N384" t="str"/>
      <x:c r="O384" t="str"/>
      <x:c r="P384" t="str">
        <x:v>Liberada Para Producao</x:v>
      </x:c>
      <x:c r="Q384" t="str">
        <x:v>609825</x:v>
      </x:c>
      <x:c r="R384" t="str">
        <x:v>0</x:v>
      </x:c>
      <x:c r="S384" t="str"/>
      <x:c r="T384" t="str"/>
      <x:c r="U384" t="str"/>
      <x:c r="V384" t="str"/>
      <x:c r="W384" t="str">
        <x:v>N/A</x:v>
      </x:c>
      <x:c r="X384" t="str">
        <x:v>0</x:v>
      </x:c>
      <x:c r="Y384" t="str">
        <x:v>0</x:v>
      </x:c>
      <x:c r="Z384" t="str">
        <x:v>0</x:v>
      </x:c>
      <x:c r="AA384" t="str">
        <x:v>N/A</x:v>
      </x:c>
      <x:c r="AB384" t="str">
        <x:v>N/A</x:v>
      </x:c>
      <x:c r="AC384" t="str">
        <x:v>N/A</x:v>
      </x:c>
      <x:c r="AD384" t="str">
        <x:v>N/A</x:v>
      </x:c>
      <x:c r="AE384" t="str">
        <x:v>N/A</x:v>
      </x:c>
    </x:row>
    <x:row r="385">
      <x:c r="A385" t="str">
        <x:v>51</x:v>
      </x:c>
      <x:c r="B385" t="str">
        <x:v>26750</x:v>
      </x:c>
      <x:c r="C385" t="str">
        <x:v>12</x:v>
      </x:c>
      <x:c r="D385" t="str">
        <x:v>4210012023</x:v>
      </x:c>
      <x:c r="E385" t="str">
        <x:v>FP COLM HDF 3 2100x720x35 ESM BCO C C/US</x:v>
      </x:c>
      <x:c r="F385" t="str"/>
      <x:c r="G385" t="str">
        <x:v>C/USINAGEM COMPLETA</x:v>
      </x:c>
      <x:c r="H385" t="str"/>
      <x:c r="I385" t="str">
        <x:v>ESMALTE</x:v>
      </x:c>
      <x:c r="J385" t="str">
        <x:v>BRANCO CARRARA</x:v>
      </x:c>
      <x:c r="K385" t="str">
        <x:v>0</x:v>
      </x:c>
      <x:c r="L385" t="str">
        <x:v>4</x:v>
      </x:c>
      <x:c r="M385" t="str">
        <x:v>0,212</x:v>
      </x:c>
      <x:c r="N385" t="str"/>
      <x:c r="O385" t="str"/>
      <x:c r="P385" t="str">
        <x:v>Liberada Para Producao</x:v>
      </x:c>
      <x:c r="Q385" t="str">
        <x:v>609826</x:v>
      </x:c>
      <x:c r="R385" t="str">
        <x:v>33,33</x:v>
      </x:c>
      <x:c r="S385" t="str">
        <x:v>1</x:v>
      </x:c>
      <x:c r="T385" t="str">
        <x:v>PORTA LINHA PREMIUM</x:v>
      </x:c>
      <x:c r="U385" t="str"/>
      <x:c r="V385" t="str"/>
      <x:c r="W385" t="str">
        <x:v>N/A</x:v>
      </x:c>
      <x:c r="X385" t="str">
        <x:v>100</x:v>
      </x:c>
      <x:c r="Y385" t="str">
        <x:v>N/A</x:v>
      </x:c>
      <x:c r="Z385" t="str">
        <x:v>N/A</x:v>
      </x:c>
      <x:c r="AA385" t="str">
        <x:v>N/A</x:v>
      </x:c>
      <x:c r="AB385" t="str">
        <x:v>0</x:v>
      </x:c>
      <x:c r="AC385" t="str">
        <x:v>N/A</x:v>
      </x:c>
      <x:c r="AD385" t="str">
        <x:v>0</x:v>
      </x:c>
      <x:c r="AE385" t="str">
        <x:v>N/A</x:v>
      </x:c>
    </x:row>
    <x:row r="386">
      <x:c r="A386" t="str">
        <x:v>51</x:v>
      </x:c>
      <x:c r="B386" t="str">
        <x:v>26750</x:v>
      </x:c>
      <x:c r="C386" t="str">
        <x:v>13</x:v>
      </x:c>
      <x:c r="D386" t="str">
        <x:v>919640</x:v>
      </x:c>
      <x:c r="E386" t="str">
        <x:v>TR AL 1100X50X9 RTO LME REC PET BCO (ULT</x:v>
      </x:c>
      <x:c r="F386" t="str"/>
      <x:c r="G386" t="str"/>
      <x:c r="H386" t="str"/>
      <x:c r="I386" t="str">
        <x:v>ESMALTE</x:v>
      </x:c>
      <x:c r="J386" t="str">
        <x:v>BRANCO CARRARA</x:v>
      </x:c>
      <x:c r="K386" t="str">
        <x:v>0</x:v>
      </x:c>
      <x:c r="L386" t="str">
        <x:v>28</x:v>
      </x:c>
      <x:c r="M386" t="str">
        <x:v>0</x:v>
      </x:c>
      <x:c r="N386" t="str"/>
      <x:c r="O386" t="str"/>
      <x:c r="P386" t="str">
        <x:v>Liberada Para Producao</x:v>
      </x:c>
      <x:c r="Q386" t="str">
        <x:v>609828</x:v>
      </x:c>
      <x:c r="R386" t="str">
        <x:v>0</x:v>
      </x:c>
      <x:c r="S386" t="str"/>
      <x:c r="T386" t="str"/>
      <x:c r="U386" t="str"/>
      <x:c r="V386" t="str"/>
      <x:c r="W386" t="str">
        <x:v>N/A</x:v>
      </x:c>
      <x:c r="X386" t="str">
        <x:v>0</x:v>
      </x:c>
      <x:c r="Y386" t="str">
        <x:v>0</x:v>
      </x:c>
      <x:c r="Z386" t="str">
        <x:v>0</x:v>
      </x:c>
      <x:c r="AA386" t="str">
        <x:v>0</x:v>
      </x:c>
      <x:c r="AB386" t="str">
        <x:v>N/A</x:v>
      </x:c>
      <x:c r="AC386" t="str">
        <x:v>N/A</x:v>
      </x:c>
      <x:c r="AD386" t="str">
        <x:v>N/A</x:v>
      </x:c>
      <x:c r="AE386" t="str">
        <x:v>N/A</x:v>
      </x:c>
    </x:row>
    <x:row r="387">
      <x:c r="A387" t="str">
        <x:v>51</x:v>
      </x:c>
      <x:c r="B387" t="str">
        <x:v>26750</x:v>
      </x:c>
      <x:c r="C387" t="str">
        <x:v>13</x:v>
      </x:c>
      <x:c r="D387" t="str">
        <x:v>963311</x:v>
      </x:c>
      <x:c r="E387" t="str">
        <x:v>PE AL 2250X50X9 RTO LME REC PET BCO(ULTR</x:v>
      </x:c>
      <x:c r="F387" t="str"/>
      <x:c r="G387" t="str"/>
      <x:c r="H387" t="str"/>
      <x:c r="I387" t="str">
        <x:v>ESMALTE</x:v>
      </x:c>
      <x:c r="J387" t="str">
        <x:v>BRANCO CARRARA</x:v>
      </x:c>
      <x:c r="K387" t="str">
        <x:v>0</x:v>
      </x:c>
      <x:c r="L387" t="str">
        <x:v>56</x:v>
      </x:c>
      <x:c r="M387" t="str">
        <x:v>0</x:v>
      </x:c>
      <x:c r="N387" t="str"/>
      <x:c r="O387" t="str"/>
      <x:c r="P387" t="str">
        <x:v>Liberada Para Producao</x:v>
      </x:c>
      <x:c r="Q387" t="str">
        <x:v>609829</x:v>
      </x:c>
      <x:c r="R387" t="str">
        <x:v>0</x:v>
      </x:c>
      <x:c r="S387" t="str"/>
      <x:c r="T387" t="str"/>
      <x:c r="U387" t="str"/>
      <x:c r="V387" t="str"/>
      <x:c r="W387" t="str">
        <x:v>N/A</x:v>
      </x:c>
      <x:c r="X387" t="str">
        <x:v>0</x:v>
      </x:c>
      <x:c r="Y387" t="str">
        <x:v>0</x:v>
      </x:c>
      <x:c r="Z387" t="str">
        <x:v>0</x:v>
      </x:c>
      <x:c r="AA387" t="str">
        <x:v>N/A</x:v>
      </x:c>
      <x:c r="AB387" t="str">
        <x:v>N/A</x:v>
      </x:c>
      <x:c r="AC387" t="str">
        <x:v>N/A</x:v>
      </x:c>
      <x:c r="AD387" t="str">
        <x:v>N/A</x:v>
      </x:c>
      <x:c r="AE387" t="str">
        <x:v>N/A</x:v>
      </x:c>
    </x:row>
    <x:row r="388">
      <x:c r="A388" t="str">
        <x:v>51</x:v>
      </x:c>
      <x:c r="B388" t="str">
        <x:v>26750</x:v>
      </x:c>
      <x:c r="C388" t="str">
        <x:v>13</x:v>
      </x:c>
      <x:c r="D388" t="str">
        <x:v>966149</x:v>
      </x:c>
      <x:c r="E388" t="str">
        <x:v>TR AL 1100X50X9 RTO RL80 REC PET BCO (UL</x:v>
      </x:c>
      <x:c r="F388" t="str"/>
      <x:c r="G388" t="str"/>
      <x:c r="H388" t="str"/>
      <x:c r="I388" t="str">
        <x:v>ESMALTE</x:v>
      </x:c>
      <x:c r="J388" t="str">
        <x:v>BRANCO CARRARA</x:v>
      </x:c>
      <x:c r="K388" t="str">
        <x:v>0</x:v>
      </x:c>
      <x:c r="L388" t="str">
        <x:v>28</x:v>
      </x:c>
      <x:c r="M388" t="str">
        <x:v>0</x:v>
      </x:c>
      <x:c r="N388" t="str"/>
      <x:c r="O388" t="str"/>
      <x:c r="P388" t="str">
        <x:v>Liberada Para Producao</x:v>
      </x:c>
      <x:c r="Q388" t="str">
        <x:v>609830</x:v>
      </x:c>
      <x:c r="R388" t="str">
        <x:v>0</x:v>
      </x:c>
      <x:c r="S388" t="str"/>
      <x:c r="T388" t="str"/>
      <x:c r="U388" t="str"/>
      <x:c r="V388" t="str"/>
      <x:c r="W388" t="str">
        <x:v>N/A</x:v>
      </x:c>
      <x:c r="X388" t="str">
        <x:v>0</x:v>
      </x:c>
      <x:c r="Y388" t="str">
        <x:v>0</x:v>
      </x:c>
      <x:c r="Z388" t="str">
        <x:v>0</x:v>
      </x:c>
      <x:c r="AA388" t="str">
        <x:v>0</x:v>
      </x:c>
      <x:c r="AB388" t="str">
        <x:v>N/A</x:v>
      </x:c>
      <x:c r="AC388" t="str">
        <x:v>N/A</x:v>
      </x:c>
      <x:c r="AD388" t="str">
        <x:v>N/A</x:v>
      </x:c>
      <x:c r="AE388" t="str">
        <x:v>N/A</x:v>
      </x:c>
    </x:row>
    <x:row r="389">
      <x:c r="A389" t="str">
        <x:v>51</x:v>
      </x:c>
      <x:c r="B389" t="str">
        <x:v>26750</x:v>
      </x:c>
      <x:c r="C389" t="str">
        <x:v>13</x:v>
      </x:c>
      <x:c r="D389" t="str">
        <x:v>971601</x:v>
      </x:c>
      <x:c r="E389" t="str">
        <x:v>PE AL 2250X50X9 RTO RL80 REC PET BCO(ULT</x:v>
      </x:c>
      <x:c r="F389" t="str"/>
      <x:c r="G389" t="str"/>
      <x:c r="H389" t="str"/>
      <x:c r="I389" t="str">
        <x:v>ESMALTE</x:v>
      </x:c>
      <x:c r="J389" t="str">
        <x:v>BRANCO CARRARA</x:v>
      </x:c>
      <x:c r="K389" t="str">
        <x:v>0</x:v>
      </x:c>
      <x:c r="L389" t="str">
        <x:v>56</x:v>
      </x:c>
      <x:c r="M389" t="str">
        <x:v>0</x:v>
      </x:c>
      <x:c r="N389" t="str"/>
      <x:c r="O389" t="str"/>
      <x:c r="P389" t="str">
        <x:v>Liberada Para Producao</x:v>
      </x:c>
      <x:c r="Q389" t="str">
        <x:v>609831</x:v>
      </x:c>
      <x:c r="R389" t="str">
        <x:v>0</x:v>
      </x:c>
      <x:c r="S389" t="str"/>
      <x:c r="T389" t="str"/>
      <x:c r="U389" t="str"/>
      <x:c r="V389" t="str"/>
      <x:c r="W389" t="str">
        <x:v>N/A</x:v>
      </x:c>
      <x:c r="X389" t="str">
        <x:v>0</x:v>
      </x:c>
      <x:c r="Y389" t="str">
        <x:v>0</x:v>
      </x:c>
      <x:c r="Z389" t="str">
        <x:v>0</x:v>
      </x:c>
      <x:c r="AA389" t="str">
        <x:v>N/A</x:v>
      </x:c>
      <x:c r="AB389" t="str">
        <x:v>N/A</x:v>
      </x:c>
      <x:c r="AC389" t="str">
        <x:v>N/A</x:v>
      </x:c>
      <x:c r="AD389" t="str">
        <x:v>N/A</x:v>
      </x:c>
      <x:c r="AE389" t="str">
        <x:v>N/A</x:v>
      </x:c>
    </x:row>
    <x:row r="390">
      <x:c r="A390" t="str">
        <x:v>51</x:v>
      </x:c>
      <x:c r="B390" t="str">
        <x:v>26750</x:v>
      </x:c>
      <x:c r="C390" t="str">
        <x:v>13</x:v>
      </x:c>
      <x:c r="D390" t="str">
        <x:v>2010700601</x:v>
      </x:c>
      <x:c r="E390" t="str">
        <x:v>P M ULTRA PET BCO CAR 2110X110X30 42X10</x:v>
      </x:c>
      <x:c r="F390" t="str"/>
      <x:c r="G390" t="str"/>
      <x:c r="H390" t="str"/>
      <x:c r="I390" t="str">
        <x:v>ESMALTE</x:v>
      </x:c>
      <x:c r="J390" t="str">
        <x:v>BRANCO CARRARA</x:v>
      </x:c>
      <x:c r="K390" t="str">
        <x:v>0</x:v>
      </x:c>
      <x:c r="L390" t="str">
        <x:v>56</x:v>
      </x:c>
      <x:c r="M390" t="str">
        <x:v>0,39</x:v>
      </x:c>
      <x:c r="N390" t="str"/>
      <x:c r="O390" t="str"/>
      <x:c r="P390" t="str">
        <x:v>Liberada Para Producao</x:v>
      </x:c>
      <x:c r="Q390" t="str">
        <x:v>609832</x:v>
      </x:c>
      <x:c r="R390" t="str">
        <x:v>0</x:v>
      </x:c>
      <x:c r="S390" t="str">
        <x:v>1500</x:v>
      </x:c>
      <x:c r="T390" t="str">
        <x:v>PERNA DE BATENTE PREMIUM(SEMIA</x:v>
      </x:c>
      <x:c r="U390" t="str"/>
      <x:c r="V390" t="str"/>
      <x:c r="W390" t="str">
        <x:v>N/A</x:v>
      </x:c>
      <x:c r="X390" t="str">
        <x:v>N/A</x:v>
      </x:c>
      <x:c r="Y390" t="str">
        <x:v>N/A</x:v>
      </x:c>
      <x:c r="Z390" t="str">
        <x:v>0</x:v>
      </x:c>
      <x:c r="AA390" t="str">
        <x:v>0</x:v>
      </x:c>
      <x:c r="AB390" t="str">
        <x:v>N/A</x:v>
      </x:c>
      <x:c r="AC390" t="str">
        <x:v>N/A</x:v>
      </x:c>
      <x:c r="AD390" t="str">
        <x:v>N/A</x:v>
      </x:c>
      <x:c r="AE390" t="str">
        <x:v>N/A</x:v>
      </x:c>
    </x:row>
    <x:row r="391">
      <x:c r="A391" t="str">
        <x:v>51</x:v>
      </x:c>
      <x:c r="B391" t="str">
        <x:v>26750</x:v>
      </x:c>
      <x:c r="C391" t="str">
        <x:v>13</x:v>
      </x:c>
      <x:c r="D391" t="str">
        <x:v>2010700634</x:v>
      </x:c>
      <x:c r="E391" t="str">
        <x:v>M ULTRA PET BCO CAR 767X110X30 42X10 R2L</x:v>
      </x:c>
      <x:c r="F391" t="str"/>
      <x:c r="G391" t="str"/>
      <x:c r="H391" t="str"/>
      <x:c r="I391" t="str">
        <x:v>ESMALTE</x:v>
      </x:c>
      <x:c r="J391" t="str">
        <x:v>BRANCO CARRARA</x:v>
      </x:c>
      <x:c r="K391" t="str">
        <x:v>0</x:v>
      </x:c>
      <x:c r="L391" t="str">
        <x:v>28</x:v>
      </x:c>
      <x:c r="M391" t="str">
        <x:v>0,071</x:v>
      </x:c>
      <x:c r="N391" t="str"/>
      <x:c r="O391" t="str"/>
      <x:c r="P391" t="str">
        <x:v>Liberada Para Producao</x:v>
      </x:c>
      <x:c r="Q391" t="str">
        <x:v>609833</x:v>
      </x:c>
      <x:c r="R391" t="str">
        <x:v>0</x:v>
      </x:c>
      <x:c r="S391" t="str">
        <x:v>1502</x:v>
      </x:c>
      <x:c r="T391" t="str">
        <x:v>TV.BAT. 680-1100 PET/PVC(SEMI)</x:v>
      </x:c>
      <x:c r="U391" t="str"/>
      <x:c r="V391" t="str"/>
      <x:c r="W391" t="str">
        <x:v>N/A</x:v>
      </x:c>
      <x:c r="X391" t="str">
        <x:v>N/A</x:v>
      </x:c>
      <x:c r="Y391" t="str">
        <x:v>N/A</x:v>
      </x:c>
      <x:c r="Z391" t="str">
        <x:v>0</x:v>
      </x:c>
      <x:c r="AA391" t="str">
        <x:v>0</x:v>
      </x:c>
      <x:c r="AB391" t="str">
        <x:v>N/A</x:v>
      </x:c>
      <x:c r="AC391" t="str">
        <x:v>N/A</x:v>
      </x:c>
      <x:c r="AD391" t="str">
        <x:v>N/A</x:v>
      </x:c>
      <x:c r="AE391" t="str">
        <x:v>N/A</x:v>
      </x:c>
    </x:row>
    <x:row r="392">
      <x:c r="A392" t="str">
        <x:v>51</x:v>
      </x:c>
      <x:c r="B392" t="str">
        <x:v>26750</x:v>
      </x:c>
      <x:c r="C392" t="str">
        <x:v>13</x:v>
      </x:c>
      <x:c r="D392" t="str">
        <x:v>4210012023</x:v>
      </x:c>
      <x:c r="E392" t="str">
        <x:v>FP COLM HDF 3 2100x720x35 ESM BCO C C/US</x:v>
      </x:c>
      <x:c r="F392" t="str"/>
      <x:c r="G392" t="str">
        <x:v>C/USINAGEM COMPLETA</x:v>
      </x:c>
      <x:c r="H392" t="str"/>
      <x:c r="I392" t="str">
        <x:v>ESMALTE</x:v>
      </x:c>
      <x:c r="J392" t="str">
        <x:v>BRANCO CARRARA</x:v>
      </x:c>
      <x:c r="K392" t="str">
        <x:v>0</x:v>
      </x:c>
      <x:c r="L392" t="str">
        <x:v>28</x:v>
      </x:c>
      <x:c r="M392" t="str">
        <x:v>1,482</x:v>
      </x:c>
      <x:c r="N392" t="str"/>
      <x:c r="O392" t="str"/>
      <x:c r="P392" t="str">
        <x:v>Liberada Para Producao</x:v>
      </x:c>
      <x:c r="Q392" t="str">
        <x:v>609834</x:v>
      </x:c>
      <x:c r="R392" t="str">
        <x:v>66,67</x:v>
      </x:c>
      <x:c r="S392" t="str">
        <x:v>1</x:v>
      </x:c>
      <x:c r="T392" t="str">
        <x:v>PORTA LINHA PREMIUM</x:v>
      </x:c>
      <x:c r="U392" t="str"/>
      <x:c r="V392" t="str"/>
      <x:c r="W392" t="str">
        <x:v>N/A</x:v>
      </x:c>
      <x:c r="X392" t="str">
        <x:v>100</x:v>
      </x:c>
      <x:c r="Y392" t="str">
        <x:v>N/A</x:v>
      </x:c>
      <x:c r="Z392" t="str">
        <x:v>N/A</x:v>
      </x:c>
      <x:c r="AA392" t="str">
        <x:v>N/A</x:v>
      </x:c>
      <x:c r="AB392" t="str">
        <x:v>100</x:v>
      </x:c>
      <x:c r="AC392" t="str">
        <x:v>N/A</x:v>
      </x:c>
      <x:c r="AD392" t="str">
        <x:v>0</x:v>
      </x:c>
      <x:c r="AE392" t="str">
        <x:v>N/A</x:v>
      </x:c>
    </x:row>
    <x:row r="393">
      <x:c r="A393" t="str">
        <x:v>51</x:v>
      </x:c>
      <x:c r="B393" t="str">
        <x:v>26750</x:v>
      </x:c>
      <x:c r="C393" t="str">
        <x:v>14</x:v>
      </x:c>
      <x:c r="D393" t="str">
        <x:v>919640</x:v>
      </x:c>
      <x:c r="E393" t="str">
        <x:v>TR AL 1100X50X9 RTO LME REC PET BCO (ULT</x:v>
      </x:c>
      <x:c r="F393" t="str"/>
      <x:c r="G393" t="str"/>
      <x:c r="H393" t="str"/>
      <x:c r="I393" t="str">
        <x:v>ESMALTE</x:v>
      </x:c>
      <x:c r="J393" t="str">
        <x:v>BRANCO CARRARA</x:v>
      </x:c>
      <x:c r="K393" t="str">
        <x:v>0</x:v>
      </x:c>
      <x:c r="L393" t="str">
        <x:v>19</x:v>
      </x:c>
      <x:c r="M393" t="str">
        <x:v>0</x:v>
      </x:c>
      <x:c r="N393" t="str"/>
      <x:c r="O393" t="str"/>
      <x:c r="P393" t="str">
        <x:v>Liberada Para Producao</x:v>
      </x:c>
      <x:c r="Q393" t="str">
        <x:v>609836</x:v>
      </x:c>
      <x:c r="R393" t="str">
        <x:v>0</x:v>
      </x:c>
      <x:c r="S393" t="str"/>
      <x:c r="T393" t="str"/>
      <x:c r="U393" t="str"/>
      <x:c r="V393" t="str"/>
      <x:c r="W393" t="str">
        <x:v>N/A</x:v>
      </x:c>
      <x:c r="X393" t="str">
        <x:v>0</x:v>
      </x:c>
      <x:c r="Y393" t="str">
        <x:v>0</x:v>
      </x:c>
      <x:c r="Z393" t="str">
        <x:v>0</x:v>
      </x:c>
      <x:c r="AA393" t="str">
        <x:v>0</x:v>
      </x:c>
      <x:c r="AB393" t="str">
        <x:v>N/A</x:v>
      </x:c>
      <x:c r="AC393" t="str">
        <x:v>N/A</x:v>
      </x:c>
      <x:c r="AD393" t="str">
        <x:v>N/A</x:v>
      </x:c>
      <x:c r="AE393" t="str">
        <x:v>N/A</x:v>
      </x:c>
    </x:row>
    <x:row r="394">
      <x:c r="A394" t="str">
        <x:v>51</x:v>
      </x:c>
      <x:c r="B394" t="str">
        <x:v>26520</x:v>
      </x:c>
      <x:c r="C394" t="str">
        <x:v>1</x:v>
      </x:c>
      <x:c r="D394" t="str">
        <x:v>984360</x:v>
      </x:c>
      <x:c r="E394" t="str">
        <x:v>867x130x30 42x10 R2 RT BIA PET CNZ UL)</x:v>
      </x:c>
      <x:c r="F394" t="str"/>
      <x:c r="G394" t="str"/>
      <x:c r="H394" t="str"/>
      <x:c r="I394" t="str">
        <x:v>RECOBERTO PET</x:v>
      </x:c>
      <x:c r="J394" t="str">
        <x:v>CINZA VERONA</x:v>
      </x:c>
      <x:c r="K394" t="str">
        <x:v>0</x:v>
      </x:c>
      <x:c r="L394" t="str">
        <x:v>2</x:v>
      </x:c>
      <x:c r="M394" t="str">
        <x:v>0</x:v>
      </x:c>
      <x:c r="N394" t="str"/>
      <x:c r="O394" t="str"/>
      <x:c r="P394" t="str">
        <x:v>Liberada Para Producao</x:v>
      </x:c>
      <x:c r="Q394" t="str">
        <x:v>610068</x:v>
      </x:c>
      <x:c r="R394" t="str">
        <x:v>0</x:v>
      </x:c>
      <x:c r="S394" t="str"/>
      <x:c r="T394" t="str"/>
      <x:c r="U394" t="str"/>
      <x:c r="V394" t="str"/>
      <x:c r="W394" t="str">
        <x:v>N/A</x:v>
      </x:c>
      <x:c r="X394" t="str">
        <x:v>N/A</x:v>
      </x:c>
      <x:c r="Y394" t="str">
        <x:v>N/A</x:v>
      </x:c>
      <x:c r="Z394" t="str">
        <x:v>0</x:v>
      </x:c>
      <x:c r="AA394" t="str">
        <x:v>0</x:v>
      </x:c>
      <x:c r="AB394" t="str">
        <x:v>N/A</x:v>
      </x:c>
      <x:c r="AC394" t="str">
        <x:v>N/A</x:v>
      </x:c>
      <x:c r="AD394" t="str">
        <x:v>N/A</x:v>
      </x:c>
      <x:c r="AE394" t="str">
        <x:v>N/A</x:v>
      </x:c>
    </x:row>
    <x:row r="395">
      <x:c r="A395" t="str">
        <x:v>51</x:v>
      </x:c>
      <x:c r="B395" t="str">
        <x:v>26684</x:v>
      </x:c>
      <x:c r="C395" t="str">
        <x:v>3</x:v>
      </x:c>
      <x:c r="D395" t="str">
        <x:v>966817</x:v>
      </x:c>
      <x:c r="E395" t="str">
        <x:v>867x130x30 42x10 R2L RT BIA PET STD PREM</x:v>
      </x:c>
      <x:c r="F395" t="str"/>
      <x:c r="G395" t="str"/>
      <x:c r="H395" t="str"/>
      <x:c r="I395" t="str">
        <x:v>ESMALTE</x:v>
      </x:c>
      <x:c r="J395" t="str">
        <x:v>BRANCO CARRARA</x:v>
      </x:c>
      <x:c r="K395" t="str">
        <x:v>0</x:v>
      </x:c>
      <x:c r="L395" t="str">
        <x:v>3</x:v>
      </x:c>
      <x:c r="M395" t="str">
        <x:v>0</x:v>
      </x:c>
      <x:c r="N395" t="str">
        <x:v>4500262368</x:v>
      </x:c>
      <x:c r="O395" t="str"/>
      <x:c r="P395" t="str">
        <x:v>Liberada Para Producao</x:v>
      </x:c>
      <x:c r="Q395" t="str">
        <x:v>609128</x:v>
      </x:c>
      <x:c r="R395" t="str">
        <x:v>0</x:v>
      </x:c>
      <x:c r="S395" t="str"/>
      <x:c r="T395" t="str"/>
      <x:c r="U395" t="str"/>
      <x:c r="V395" t="str"/>
      <x:c r="W395" t="str">
        <x:v>N/A</x:v>
      </x:c>
      <x:c r="X395" t="str">
        <x:v>N/A</x:v>
      </x:c>
      <x:c r="Y395" t="str">
        <x:v>N/A</x:v>
      </x:c>
      <x:c r="Z395" t="str">
        <x:v>0</x:v>
      </x:c>
      <x:c r="AA395" t="str">
        <x:v>0</x:v>
      </x:c>
      <x:c r="AB395" t="str">
        <x:v>N/A</x:v>
      </x:c>
      <x:c r="AC395" t="str">
        <x:v>N/A</x:v>
      </x:c>
      <x:c r="AD395" t="str">
        <x:v>N/A</x:v>
      </x:c>
      <x:c r="AE395" t="str">
        <x:v>N/A</x:v>
      </x:c>
    </x:row>
    <x:row r="396">
      <x:c r="A396" t="str">
        <x:v>51</x:v>
      </x:c>
      <x:c r="B396" t="str">
        <x:v>26750</x:v>
      </x:c>
      <x:c r="C396" t="str">
        <x:v>14</x:v>
      </x:c>
      <x:c r="D396" t="str">
        <x:v>963311</x:v>
      </x:c>
      <x:c r="E396" t="str">
        <x:v>PE AL 2250X50X9 RTO LME REC PET BCO(ULTR</x:v>
      </x:c>
      <x:c r="F396" t="str"/>
      <x:c r="G396" t="str"/>
      <x:c r="H396" t="str"/>
      <x:c r="I396" t="str">
        <x:v>ESMALTE</x:v>
      </x:c>
      <x:c r="J396" t="str">
        <x:v>BRANCO CARRARA</x:v>
      </x:c>
      <x:c r="K396" t="str">
        <x:v>0</x:v>
      </x:c>
      <x:c r="L396" t="str">
        <x:v>38</x:v>
      </x:c>
      <x:c r="M396" t="str">
        <x:v>0</x:v>
      </x:c>
      <x:c r="N396" t="str"/>
      <x:c r="O396" t="str"/>
      <x:c r="P396" t="str">
        <x:v>Liberada Para Producao</x:v>
      </x:c>
      <x:c r="Q396" t="str">
        <x:v>609839</x:v>
      </x:c>
      <x:c r="R396" t="str">
        <x:v>0</x:v>
      </x:c>
      <x:c r="S396" t="str"/>
      <x:c r="T396" t="str"/>
      <x:c r="U396" t="str"/>
      <x:c r="V396" t="str"/>
      <x:c r="W396" t="str">
        <x:v>N/A</x:v>
      </x:c>
      <x:c r="X396" t="str">
        <x:v>0</x:v>
      </x:c>
      <x:c r="Y396" t="str">
        <x:v>0</x:v>
      </x:c>
      <x:c r="Z396" t="str">
        <x:v>0</x:v>
      </x:c>
      <x:c r="AA396" t="str">
        <x:v>N/A</x:v>
      </x:c>
      <x:c r="AB396" t="str">
        <x:v>N/A</x:v>
      </x:c>
      <x:c r="AC396" t="str">
        <x:v>N/A</x:v>
      </x:c>
      <x:c r="AD396" t="str">
        <x:v>N/A</x:v>
      </x:c>
      <x:c r="AE396" t="str">
        <x:v>N/A</x:v>
      </x:c>
    </x:row>
    <x:row r="397">
      <x:c r="A397" t="str">
        <x:v>51</x:v>
      </x:c>
      <x:c r="B397" t="str">
        <x:v>26750</x:v>
      </x:c>
      <x:c r="C397" t="str">
        <x:v>14</x:v>
      </x:c>
      <x:c r="D397" t="str">
        <x:v>966149</x:v>
      </x:c>
      <x:c r="E397" t="str">
        <x:v>TR AL 1100X50X9 RTO RL80 REC PET BCO (UL</x:v>
      </x:c>
      <x:c r="F397" t="str"/>
      <x:c r="G397" t="str"/>
      <x:c r="H397" t="str"/>
      <x:c r="I397" t="str">
        <x:v>ESMALTE</x:v>
      </x:c>
      <x:c r="J397" t="str">
        <x:v>BRANCO CARRARA</x:v>
      </x:c>
      <x:c r="K397" t="str">
        <x:v>0</x:v>
      </x:c>
      <x:c r="L397" t="str">
        <x:v>19</x:v>
      </x:c>
      <x:c r="M397" t="str">
        <x:v>0</x:v>
      </x:c>
      <x:c r="N397" t="str"/>
      <x:c r="O397" t="str"/>
      <x:c r="P397" t="str">
        <x:v>Liberada Para Producao</x:v>
      </x:c>
      <x:c r="Q397" t="str">
        <x:v>609840</x:v>
      </x:c>
      <x:c r="R397" t="str">
        <x:v>0</x:v>
      </x:c>
      <x:c r="S397" t="str"/>
      <x:c r="T397" t="str"/>
      <x:c r="U397" t="str"/>
      <x:c r="V397" t="str"/>
      <x:c r="W397" t="str">
        <x:v>N/A</x:v>
      </x:c>
      <x:c r="X397" t="str">
        <x:v>0</x:v>
      </x:c>
      <x:c r="Y397" t="str">
        <x:v>0</x:v>
      </x:c>
      <x:c r="Z397" t="str">
        <x:v>0</x:v>
      </x:c>
      <x:c r="AA397" t="str">
        <x:v>0</x:v>
      </x:c>
      <x:c r="AB397" t="str">
        <x:v>N/A</x:v>
      </x:c>
      <x:c r="AC397" t="str">
        <x:v>N/A</x:v>
      </x:c>
      <x:c r="AD397" t="str">
        <x:v>N/A</x:v>
      </x:c>
      <x:c r="AE397" t="str">
        <x:v>N/A</x:v>
      </x:c>
    </x:row>
    <x:row r="398">
      <x:c r="A398" t="str">
        <x:v>51</x:v>
      </x:c>
      <x:c r="B398" t="str">
        <x:v>26750</x:v>
      </x:c>
      <x:c r="C398" t="str">
        <x:v>14</x:v>
      </x:c>
      <x:c r="D398" t="str">
        <x:v>971601</x:v>
      </x:c>
      <x:c r="E398" t="str">
        <x:v>PE AL 2250X50X9 RTO RL80 REC PET BCO(ULT</x:v>
      </x:c>
      <x:c r="F398" t="str"/>
      <x:c r="G398" t="str"/>
      <x:c r="H398" t="str"/>
      <x:c r="I398" t="str">
        <x:v>ESMALTE</x:v>
      </x:c>
      <x:c r="J398" t="str">
        <x:v>BRANCO CARRARA</x:v>
      </x:c>
      <x:c r="K398" t="str">
        <x:v>0</x:v>
      </x:c>
      <x:c r="L398" t="str">
        <x:v>38</x:v>
      </x:c>
      <x:c r="M398" t="str">
        <x:v>0</x:v>
      </x:c>
      <x:c r="N398" t="str"/>
      <x:c r="O398" t="str"/>
      <x:c r="P398" t="str">
        <x:v>Liberada Para Producao</x:v>
      </x:c>
      <x:c r="Q398" t="str">
        <x:v>609841</x:v>
      </x:c>
      <x:c r="R398" t="str">
        <x:v>0</x:v>
      </x:c>
      <x:c r="S398" t="str"/>
      <x:c r="T398" t="str"/>
      <x:c r="U398" t="str"/>
      <x:c r="V398" t="str"/>
      <x:c r="W398" t="str">
        <x:v>N/A</x:v>
      </x:c>
      <x:c r="X398" t="str">
        <x:v>0</x:v>
      </x:c>
      <x:c r="Y398" t="str">
        <x:v>0</x:v>
      </x:c>
      <x:c r="Z398" t="str">
        <x:v>0</x:v>
      </x:c>
      <x:c r="AA398" t="str">
        <x:v>N/A</x:v>
      </x:c>
      <x:c r="AB398" t="str">
        <x:v>N/A</x:v>
      </x:c>
      <x:c r="AC398" t="str">
        <x:v>N/A</x:v>
      </x:c>
      <x:c r="AD398" t="str">
        <x:v>N/A</x:v>
      </x:c>
      <x:c r="AE398" t="str">
        <x:v>N/A</x:v>
      </x:c>
    </x:row>
    <x:row r="399">
      <x:c r="A399" t="str">
        <x:v>51</x:v>
      </x:c>
      <x:c r="B399" t="str">
        <x:v>26750</x:v>
      </x:c>
      <x:c r="C399" t="str">
        <x:v>14</x:v>
      </x:c>
      <x:c r="D399" t="str">
        <x:v>4210012023</x:v>
      </x:c>
      <x:c r="E399" t="str">
        <x:v>FP COLM HDF 3 2100x720x35 ESM BCO C C/US</x:v>
      </x:c>
      <x:c r="F399" t="str"/>
      <x:c r="G399" t="str">
        <x:v>C/USINAGEM COMPLETA</x:v>
      </x:c>
      <x:c r="H399" t="str"/>
      <x:c r="I399" t="str">
        <x:v>ESMALTE</x:v>
      </x:c>
      <x:c r="J399" t="str">
        <x:v>BRANCO CARRARA</x:v>
      </x:c>
      <x:c r="K399" t="str">
        <x:v>0</x:v>
      </x:c>
      <x:c r="L399" t="str">
        <x:v>19</x:v>
      </x:c>
      <x:c r="M399" t="str">
        <x:v>1,005</x:v>
      </x:c>
      <x:c r="N399" t="str"/>
      <x:c r="O399" t="str"/>
      <x:c r="P399" t="str">
        <x:v>Liberada Para Producao</x:v>
      </x:c>
      <x:c r="Q399" t="str">
        <x:v>609842</x:v>
      </x:c>
      <x:c r="R399" t="str">
        <x:v>66,67</x:v>
      </x:c>
      <x:c r="S399" t="str">
        <x:v>1</x:v>
      </x:c>
      <x:c r="T399" t="str">
        <x:v>PORTA LINHA PREMIUM</x:v>
      </x:c>
      <x:c r="U399" t="str"/>
      <x:c r="V399" t="str"/>
      <x:c r="W399" t="str">
        <x:v>N/A</x:v>
      </x:c>
      <x:c r="X399" t="str">
        <x:v>100</x:v>
      </x:c>
      <x:c r="Y399" t="str">
        <x:v>N/A</x:v>
      </x:c>
      <x:c r="Z399" t="str">
        <x:v>N/A</x:v>
      </x:c>
      <x:c r="AA399" t="str">
        <x:v>N/A</x:v>
      </x:c>
      <x:c r="AB399" t="str">
        <x:v>100</x:v>
      </x:c>
      <x:c r="AC399" t="str">
        <x:v>N/A</x:v>
      </x:c>
      <x:c r="AD399" t="str">
        <x:v>0</x:v>
      </x:c>
      <x:c r="AE399" t="str">
        <x:v>N/A</x:v>
      </x:c>
    </x:row>
    <x:row r="400">
      <x:c r="A400" t="str">
        <x:v>51</x:v>
      </x:c>
      <x:c r="B400" t="str">
        <x:v>26750</x:v>
      </x:c>
      <x:c r="C400" t="str">
        <x:v>15</x:v>
      </x:c>
      <x:c r="D400" t="str">
        <x:v>675612</x:v>
      </x:c>
      <x:c r="E400" t="str">
        <x:v>2110x150x30 42x10 R2 RT BIA PET BC U(UL)</x:v>
      </x:c>
      <x:c r="F400" t="str"/>
      <x:c r="G400" t="str"/>
      <x:c r="H400" t="str"/>
      <x:c r="I400" t="str">
        <x:v>ESMALTE</x:v>
      </x:c>
      <x:c r="J400" t="str">
        <x:v>BRANCO CARRARA</x:v>
      </x:c>
      <x:c r="K400" t="str">
        <x:v>0</x:v>
      </x:c>
      <x:c r="L400" t="str">
        <x:v>8</x:v>
      </x:c>
      <x:c r="M400" t="str">
        <x:v>0</x:v>
      </x:c>
      <x:c r="N400" t="str"/>
      <x:c r="O400" t="str"/>
      <x:c r="P400" t="str">
        <x:v>Liberada Para Producao</x:v>
      </x:c>
      <x:c r="Q400" t="str">
        <x:v>609844</x:v>
      </x:c>
      <x:c r="R400" t="str">
        <x:v>0</x:v>
      </x:c>
      <x:c r="S400" t="str"/>
      <x:c r="T400" t="str"/>
      <x:c r="U400" t="str"/>
      <x:c r="V400" t="str"/>
      <x:c r="W400" t="str">
        <x:v>N/A</x:v>
      </x:c>
      <x:c r="X400" t="str">
        <x:v>N/A</x:v>
      </x:c>
      <x:c r="Y400" t="str">
        <x:v>N/A</x:v>
      </x:c>
      <x:c r="Z400" t="str">
        <x:v>0</x:v>
      </x:c>
      <x:c r="AA400" t="str">
        <x:v>0</x:v>
      </x:c>
      <x:c r="AB400" t="str">
        <x:v>N/A</x:v>
      </x:c>
      <x:c r="AC400" t="str">
        <x:v>N/A</x:v>
      </x:c>
      <x:c r="AD400" t="str">
        <x:v>N/A</x:v>
      </x:c>
      <x:c r="AE400" t="str">
        <x:v>N/A</x:v>
      </x:c>
    </x:row>
    <x:row r="401">
      <x:c r="A401" t="str">
        <x:v>51</x:v>
      </x:c>
      <x:c r="B401" t="str">
        <x:v>26750</x:v>
      </x:c>
      <x:c r="C401" t="str">
        <x:v>15</x:v>
      </x:c>
      <x:c r="D401" t="str">
        <x:v>919640</x:v>
      </x:c>
      <x:c r="E401" t="str">
        <x:v>TR AL 1100X50X9 RTO LME REC PET BCO (ULT</x:v>
      </x:c>
      <x:c r="F401" t="str"/>
      <x:c r="G401" t="str"/>
      <x:c r="H401" t="str"/>
      <x:c r="I401" t="str">
        <x:v>ESMALTE</x:v>
      </x:c>
      <x:c r="J401" t="str">
        <x:v>BRANCO CARRARA</x:v>
      </x:c>
      <x:c r="K401" t="str">
        <x:v>0</x:v>
      </x:c>
      <x:c r="L401" t="str">
        <x:v>4</x:v>
      </x:c>
      <x:c r="M401" t="str">
        <x:v>0</x:v>
      </x:c>
      <x:c r="N401" t="str"/>
      <x:c r="O401" t="str"/>
      <x:c r="P401" t="str">
        <x:v>Liberada Para Producao</x:v>
      </x:c>
      <x:c r="Q401" t="str">
        <x:v>609845</x:v>
      </x:c>
      <x:c r="R401" t="str">
        <x:v>0</x:v>
      </x:c>
      <x:c r="S401" t="str"/>
      <x:c r="T401" t="str"/>
      <x:c r="U401" t="str"/>
      <x:c r="V401" t="str"/>
      <x:c r="W401" t="str">
        <x:v>N/A</x:v>
      </x:c>
      <x:c r="X401" t="str">
        <x:v>0</x:v>
      </x:c>
      <x:c r="Y401" t="str">
        <x:v>0</x:v>
      </x:c>
      <x:c r="Z401" t="str">
        <x:v>0</x:v>
      </x:c>
      <x:c r="AA401" t="str">
        <x:v>0</x:v>
      </x:c>
      <x:c r="AB401" t="str">
        <x:v>N/A</x:v>
      </x:c>
      <x:c r="AC401" t="str">
        <x:v>N/A</x:v>
      </x:c>
      <x:c r="AD401" t="str">
        <x:v>N/A</x:v>
      </x:c>
      <x:c r="AE401" t="str">
        <x:v>N/A</x:v>
      </x:c>
    </x:row>
    <x:row r="402">
      <x:c r="A402" t="str">
        <x:v>51</x:v>
      </x:c>
      <x:c r="B402" t="str">
        <x:v>26750</x:v>
      </x:c>
      <x:c r="C402" t="str">
        <x:v>15</x:v>
      </x:c>
      <x:c r="D402" t="str">
        <x:v>963311</x:v>
      </x:c>
      <x:c r="E402" t="str">
        <x:v>PE AL 2250X50X9 RTO LME REC PET BCO(ULTR</x:v>
      </x:c>
      <x:c r="F402" t="str"/>
      <x:c r="G402" t="str"/>
      <x:c r="H402" t="str"/>
      <x:c r="I402" t="str">
        <x:v>ESMALTE</x:v>
      </x:c>
      <x:c r="J402" t="str">
        <x:v>BRANCO CARRARA</x:v>
      </x:c>
      <x:c r="K402" t="str">
        <x:v>0</x:v>
      </x:c>
      <x:c r="L402" t="str">
        <x:v>8</x:v>
      </x:c>
      <x:c r="M402" t="str">
        <x:v>0</x:v>
      </x:c>
      <x:c r="N402" t="str"/>
      <x:c r="O402" t="str"/>
      <x:c r="P402" t="str">
        <x:v>Liberada Para Producao</x:v>
      </x:c>
      <x:c r="Q402" t="str">
        <x:v>609846</x:v>
      </x:c>
      <x:c r="R402" t="str">
        <x:v>0</x:v>
      </x:c>
      <x:c r="S402" t="str"/>
      <x:c r="T402" t="str"/>
      <x:c r="U402" t="str"/>
      <x:c r="V402" t="str"/>
      <x:c r="W402" t="str">
        <x:v>N/A</x:v>
      </x:c>
      <x:c r="X402" t="str">
        <x:v>0</x:v>
      </x:c>
      <x:c r="Y402" t="str">
        <x:v>0</x:v>
      </x:c>
      <x:c r="Z402" t="str">
        <x:v>0</x:v>
      </x:c>
      <x:c r="AA402" t="str">
        <x:v>N/A</x:v>
      </x:c>
      <x:c r="AB402" t="str">
        <x:v>N/A</x:v>
      </x:c>
      <x:c r="AC402" t="str">
        <x:v>N/A</x:v>
      </x:c>
      <x:c r="AD402" t="str">
        <x:v>N/A</x:v>
      </x:c>
      <x:c r="AE402" t="str">
        <x:v>N/A</x:v>
      </x:c>
    </x:row>
    <x:row r="403">
      <x:c r="A403" t="str">
        <x:v>51</x:v>
      </x:c>
      <x:c r="B403" t="str">
        <x:v>26750</x:v>
      </x:c>
      <x:c r="C403" t="str">
        <x:v>15</x:v>
      </x:c>
      <x:c r="D403" t="str">
        <x:v>966149</x:v>
      </x:c>
      <x:c r="E403" t="str">
        <x:v>TR AL 1100X50X9 RTO RL80 REC PET BCO (UL</x:v>
      </x:c>
      <x:c r="F403" t="str"/>
      <x:c r="G403" t="str"/>
      <x:c r="H403" t="str"/>
      <x:c r="I403" t="str">
        <x:v>ESMALTE</x:v>
      </x:c>
      <x:c r="J403" t="str">
        <x:v>BRANCO CARRARA</x:v>
      </x:c>
      <x:c r="K403" t="str">
        <x:v>0</x:v>
      </x:c>
      <x:c r="L403" t="str">
        <x:v>4</x:v>
      </x:c>
      <x:c r="M403" t="str">
        <x:v>0</x:v>
      </x:c>
      <x:c r="N403" t="str"/>
      <x:c r="O403" t="str"/>
      <x:c r="P403" t="str">
        <x:v>Liberada Para Producao</x:v>
      </x:c>
      <x:c r="Q403" t="str">
        <x:v>609847</x:v>
      </x:c>
      <x:c r="R403" t="str">
        <x:v>0</x:v>
      </x:c>
      <x:c r="S403" t="str"/>
      <x:c r="T403" t="str"/>
      <x:c r="U403" t="str"/>
      <x:c r="V403" t="str"/>
      <x:c r="W403" t="str">
        <x:v>N/A</x:v>
      </x:c>
      <x:c r="X403" t="str">
        <x:v>0</x:v>
      </x:c>
      <x:c r="Y403" t="str">
        <x:v>0</x:v>
      </x:c>
      <x:c r="Z403" t="str">
        <x:v>0</x:v>
      </x:c>
      <x:c r="AA403" t="str">
        <x:v>0</x:v>
      </x:c>
      <x:c r="AB403" t="str">
        <x:v>N/A</x:v>
      </x:c>
      <x:c r="AC403" t="str">
        <x:v>N/A</x:v>
      </x:c>
      <x:c r="AD403" t="str">
        <x:v>N/A</x:v>
      </x:c>
      <x:c r="AE403" t="str">
        <x:v>N/A</x:v>
      </x:c>
    </x:row>
    <x:row r="404">
      <x:c r="A404" t="str">
        <x:v>51</x:v>
      </x:c>
      <x:c r="B404" t="str">
        <x:v>26750</x:v>
      </x:c>
      <x:c r="C404" t="str">
        <x:v>15</x:v>
      </x:c>
      <x:c r="D404" t="str">
        <x:v>968128</x:v>
      </x:c>
      <x:c r="E404" t="str">
        <x:v>767x150x30 42x10 R2L RTO BIA PET BCO ULT</x:v>
      </x:c>
      <x:c r="F404" t="str"/>
      <x:c r="G404" t="str"/>
      <x:c r="H404" t="str"/>
      <x:c r="I404" t="str">
        <x:v>ESMALTE</x:v>
      </x:c>
      <x:c r="J404" t="str">
        <x:v>BRANCO CARRARA</x:v>
      </x:c>
      <x:c r="K404" t="str">
        <x:v>0</x:v>
      </x:c>
      <x:c r="L404" t="str">
        <x:v>4</x:v>
      </x:c>
      <x:c r="M404" t="str">
        <x:v>0,014</x:v>
      </x:c>
      <x:c r="N404" t="str"/>
      <x:c r="O404" t="str"/>
      <x:c r="P404" t="str">
        <x:v>Liberada Para Producao</x:v>
      </x:c>
      <x:c r="Q404" t="str">
        <x:v>609848</x:v>
      </x:c>
      <x:c r="R404" t="str">
        <x:v>0</x:v>
      </x:c>
      <x:c r="S404" t="str"/>
      <x:c r="T404" t="str"/>
      <x:c r="U404" t="str"/>
      <x:c r="V404" t="str"/>
      <x:c r="W404" t="str">
        <x:v>N/A</x:v>
      </x:c>
      <x:c r="X404" t="str">
        <x:v>N/A</x:v>
      </x:c>
      <x:c r="Y404" t="str">
        <x:v>N/A</x:v>
      </x:c>
      <x:c r="Z404" t="str">
        <x:v>0</x:v>
      </x:c>
      <x:c r="AA404" t="str">
        <x:v>0</x:v>
      </x:c>
      <x:c r="AB404" t="str">
        <x:v>N/A</x:v>
      </x:c>
      <x:c r="AC404" t="str">
        <x:v>N/A</x:v>
      </x:c>
      <x:c r="AD404" t="str">
        <x:v>N/A</x:v>
      </x:c>
      <x:c r="AE404" t="str">
        <x:v>N/A</x:v>
      </x:c>
    </x:row>
    <x:row r="405">
      <x:c r="A405" t="str">
        <x:v>51</x:v>
      </x:c>
      <x:c r="B405" t="str">
        <x:v>26750</x:v>
      </x:c>
      <x:c r="C405" t="str">
        <x:v>15</x:v>
      </x:c>
      <x:c r="D405" t="str">
        <x:v>971601</x:v>
      </x:c>
      <x:c r="E405" t="str">
        <x:v>PE AL 2250X50X9 RTO RL80 REC PET BCO(ULT</x:v>
      </x:c>
      <x:c r="F405" t="str"/>
      <x:c r="G405" t="str"/>
      <x:c r="H405" t="str"/>
      <x:c r="I405" t="str">
        <x:v>ESMALTE</x:v>
      </x:c>
      <x:c r="J405" t="str">
        <x:v>BRANCO CARRARA</x:v>
      </x:c>
      <x:c r="K405" t="str">
        <x:v>0</x:v>
      </x:c>
      <x:c r="L405" t="str">
        <x:v>8</x:v>
      </x:c>
      <x:c r="M405" t="str">
        <x:v>0</x:v>
      </x:c>
      <x:c r="N405" t="str"/>
      <x:c r="O405" t="str"/>
      <x:c r="P405" t="str">
        <x:v>Liberada Para Producao</x:v>
      </x:c>
      <x:c r="Q405" t="str">
        <x:v>609849</x:v>
      </x:c>
      <x:c r="R405" t="str">
        <x:v>0</x:v>
      </x:c>
      <x:c r="S405" t="str"/>
      <x:c r="T405" t="str"/>
      <x:c r="U405" t="str"/>
      <x:c r="V405" t="str"/>
      <x:c r="W405" t="str">
        <x:v>N/A</x:v>
      </x:c>
      <x:c r="X405" t="str">
        <x:v>0</x:v>
      </x:c>
      <x:c r="Y405" t="str">
        <x:v>0</x:v>
      </x:c>
      <x:c r="Z405" t="str">
        <x:v>0</x:v>
      </x:c>
      <x:c r="AA405" t="str">
        <x:v>N/A</x:v>
      </x:c>
      <x:c r="AB405" t="str">
        <x:v>N/A</x:v>
      </x:c>
      <x:c r="AC405" t="str">
        <x:v>N/A</x:v>
      </x:c>
      <x:c r="AD405" t="str">
        <x:v>N/A</x:v>
      </x:c>
      <x:c r="AE405" t="str">
        <x:v>N/A</x:v>
      </x:c>
    </x:row>
    <x:row r="406">
      <x:c r="A406" t="str">
        <x:v>51</x:v>
      </x:c>
      <x:c r="B406" t="str">
        <x:v>26750</x:v>
      </x:c>
      <x:c r="C406" t="str">
        <x:v>15</x:v>
      </x:c>
      <x:c r="D406" t="str">
        <x:v>4210012023</x:v>
      </x:c>
      <x:c r="E406" t="str">
        <x:v>FP COLM HDF 3 2100x720x35 ESM BCO C C/US</x:v>
      </x:c>
      <x:c r="F406" t="str"/>
      <x:c r="G406" t="str">
        <x:v>C/USINAGEM COMPLETA</x:v>
      </x:c>
      <x:c r="H406" t="str"/>
      <x:c r="I406" t="str">
        <x:v>ESMALTE</x:v>
      </x:c>
      <x:c r="J406" t="str">
        <x:v>BRANCO CARRARA</x:v>
      </x:c>
      <x:c r="K406" t="str">
        <x:v>0</x:v>
      </x:c>
      <x:c r="L406" t="str">
        <x:v>4</x:v>
      </x:c>
      <x:c r="M406" t="str">
        <x:v>0,212</x:v>
      </x:c>
      <x:c r="N406" t="str"/>
      <x:c r="O406" t="str"/>
      <x:c r="P406" t="str">
        <x:v>Liberada Para Producao</x:v>
      </x:c>
      <x:c r="Q406" t="str">
        <x:v>609850</x:v>
      </x:c>
      <x:c r="R406" t="str">
        <x:v>66,67</x:v>
      </x:c>
      <x:c r="S406" t="str">
        <x:v>1</x:v>
      </x:c>
      <x:c r="T406" t="str">
        <x:v>PORTA LINHA PREMIUM</x:v>
      </x:c>
      <x:c r="U406" t="str"/>
      <x:c r="V406" t="str"/>
      <x:c r="W406" t="str">
        <x:v>N/A</x:v>
      </x:c>
      <x:c r="X406" t="str">
        <x:v>100</x:v>
      </x:c>
      <x:c r="Y406" t="str">
        <x:v>N/A</x:v>
      </x:c>
      <x:c r="Z406" t="str">
        <x:v>N/A</x:v>
      </x:c>
      <x:c r="AA406" t="str">
        <x:v>N/A</x:v>
      </x:c>
      <x:c r="AB406" t="str">
        <x:v>100</x:v>
      </x:c>
      <x:c r="AC406" t="str">
        <x:v>N/A</x:v>
      </x:c>
      <x:c r="AD406" t="str">
        <x:v>0</x:v>
      </x:c>
      <x:c r="AE406" t="str">
        <x:v>N/A</x:v>
      </x:c>
    </x:row>
    <x:row r="407">
      <x:c r="A407" t="str">
        <x:v>51</x:v>
      </x:c>
      <x:c r="B407" t="str">
        <x:v>26750</x:v>
      </x:c>
      <x:c r="C407" t="str">
        <x:v>16</x:v>
      </x:c>
      <x:c r="D407" t="str">
        <x:v>3050300065</x:v>
      </x:c>
      <x:c r="E407" t="str">
        <x:v>FO P COR COL HDF 3 ESM BCO CAR 2100X700X</x:v>
      </x:c>
      <x:c r="F407" t="str">
        <x:v>LISA</x:v>
      </x:c>
      <x:c r="G407" t="str"/>
      <x:c r="H407" t="str"/>
      <x:c r="I407" t="str">
        <x:v>ESMALTE</x:v>
      </x:c>
      <x:c r="J407" t="str">
        <x:v>BRANCO CARRARA</x:v>
      </x:c>
      <x:c r="K407" t="str">
        <x:v>0</x:v>
      </x:c>
      <x:c r="L407" t="str">
        <x:v>7</x:v>
      </x:c>
      <x:c r="M407" t="str">
        <x:v>0,36</x:v>
      </x:c>
      <x:c r="N407" t="str"/>
      <x:c r="O407" t="str"/>
      <x:c r="P407" t="str">
        <x:v>Liberada Para Producao</x:v>
      </x:c>
      <x:c r="Q407" t="str">
        <x:v>609851</x:v>
      </x:c>
      <x:c r="R407" t="str">
        <x:v>33,33</x:v>
      </x:c>
      <x:c r="S407" t="str">
        <x:v>1</x:v>
      </x:c>
      <x:c r="T407" t="str">
        <x:v>PORTA LINHA PREMIUM</x:v>
      </x:c>
      <x:c r="U407" t="str">
        <x:v>BORDA 2 LADOS</x:v>
      </x:c>
      <x:c r="V407" t="str"/>
      <x:c r="W407" t="str">
        <x:v>N/A</x:v>
      </x:c>
      <x:c r="X407" t="str">
        <x:v>50</x:v>
      </x:c>
      <x:c r="Y407" t="str">
        <x:v>N/A</x:v>
      </x:c>
      <x:c r="Z407" t="str">
        <x:v>N/A</x:v>
      </x:c>
      <x:c r="AA407" t="str">
        <x:v>N/A</x:v>
      </x:c>
      <x:c r="AB407" t="str">
        <x:v>50</x:v>
      </x:c>
      <x:c r="AC407" t="str">
        <x:v>0</x:v>
      </x:c>
      <x:c r="AD407" t="str">
        <x:v>0</x:v>
      </x:c>
      <x:c r="AE407" t="str">
        <x:v>N/A</x:v>
      </x:c>
    </x:row>
    <x:row r="408">
      <x:c r="A408" t="str">
        <x:v>51</x:v>
      </x:c>
      <x:c r="B408" t="str">
        <x:v>26750</x:v>
      </x:c>
      <x:c r="C408" t="str">
        <x:v>17</x:v>
      </x:c>
      <x:c r="D408" t="str">
        <x:v>2010700216</x:v>
      </x:c>
      <x:c r="E408" t="str">
        <x:v>M T ULTRA PET BCO CAR 1000X90X30 S/REB R</x:v>
      </x:c>
      <x:c r="F408" t="str">
        <x:v>MDF ULTRA</x:v>
      </x:c>
      <x:c r="G408" t="str">
        <x:v>S/CANAL</x:v>
      </x:c>
      <x:c r="H408" t="str">
        <x:v>S/REB</x:v>
      </x:c>
      <x:c r="I408" t="str">
        <x:v>RECOBERTO PET</x:v>
      </x:c>
      <x:c r="J408" t="str">
        <x:v>BRANCO CARRARA</x:v>
      </x:c>
      <x:c r="K408" t="str">
        <x:v>0</x:v>
      </x:c>
      <x:c r="L408" t="str">
        <x:v>7</x:v>
      </x:c>
      <x:c r="M408" t="str">
        <x:v>0,019</x:v>
      </x:c>
      <x:c r="N408" t="str"/>
      <x:c r="O408" t="str"/>
      <x:c r="P408" t="str">
        <x:v>Liberada Para Producao</x:v>
      </x:c>
      <x:c r="Q408" t="str">
        <x:v>609853</x:v>
      </x:c>
      <x:c r="R408" t="str">
        <x:v>50</x:v>
      </x:c>
      <x:c r="S408" t="str">
        <x:v>1552</x:v>
      </x:c>
      <x:c r="T408" t="str">
        <x:v>TV.BAT. 680-1100 PET/PVC(SEMI)</x:v>
      </x:c>
      <x:c r="U408" t="str"/>
      <x:c r="V408" t="str"/>
      <x:c r="W408" t="str">
        <x:v>100</x:v>
      </x:c>
      <x:c r="X408" t="str">
        <x:v>100</x:v>
      </x:c>
      <x:c r="Y408" t="str">
        <x:v>N/A</x:v>
      </x:c>
      <x:c r="Z408" t="str">
        <x:v>0</x:v>
      </x:c>
      <x:c r="AA408" t="str">
        <x:v>0</x:v>
      </x:c>
      <x:c r="AB408" t="str">
        <x:v>N/A</x:v>
      </x:c>
      <x:c r="AC408" t="str">
        <x:v>N/A</x:v>
      </x:c>
      <x:c r="AD408" t="str">
        <x:v>N/A</x:v>
      </x:c>
      <x:c r="AE408" t="str">
        <x:v>N/A</x:v>
      </x:c>
    </x:row>
    <x:row r="409">
      <x:c r="A409" t="str">
        <x:v>51</x:v>
      </x:c>
      <x:c r="B409" t="str">
        <x:v>26684</x:v>
      </x:c>
      <x:c r="C409" t="str">
        <x:v>5</x:v>
      </x:c>
      <x:c r="D409" t="str">
        <x:v>966817</x:v>
      </x:c>
      <x:c r="E409" t="str">
        <x:v>867x130x30 42x10 R2L RT BIA PET STD PREM</x:v>
      </x:c>
      <x:c r="F409" t="str"/>
      <x:c r="G409" t="str"/>
      <x:c r="H409" t="str"/>
      <x:c r="I409" t="str">
        <x:v>ESMALTE</x:v>
      </x:c>
      <x:c r="J409" t="str">
        <x:v>BRANCO CARRARA</x:v>
      </x:c>
      <x:c r="K409" t="str">
        <x:v>0</x:v>
      </x:c>
      <x:c r="L409" t="str">
        <x:v>6</x:v>
      </x:c>
      <x:c r="M409" t="str">
        <x:v>0</x:v>
      </x:c>
      <x:c r="N409" t="str">
        <x:v>4500262368</x:v>
      </x:c>
      <x:c r="O409" t="str"/>
      <x:c r="P409" t="str">
        <x:v>Liberada Para Producao</x:v>
      </x:c>
      <x:c r="Q409" t="str">
        <x:v>609144</x:v>
      </x:c>
      <x:c r="R409" t="str">
        <x:v>0</x:v>
      </x:c>
      <x:c r="S409" t="str"/>
      <x:c r="T409" t="str"/>
      <x:c r="U409" t="str"/>
      <x:c r="V409" t="str"/>
      <x:c r="W409" t="str">
        <x:v>N/A</x:v>
      </x:c>
      <x:c r="X409" t="str">
        <x:v>N/A</x:v>
      </x:c>
      <x:c r="Y409" t="str">
        <x:v>N/A</x:v>
      </x:c>
      <x:c r="Z409" t="str">
        <x:v>0</x:v>
      </x:c>
      <x:c r="AA409" t="str">
        <x:v>0</x:v>
      </x:c>
      <x:c r="AB409" t="str">
        <x:v>N/A</x:v>
      </x:c>
      <x:c r="AC409" t="str">
        <x:v>N/A</x:v>
      </x:c>
      <x:c r="AD409" t="str">
        <x:v>N/A</x:v>
      </x:c>
      <x:c r="AE409" t="str">
        <x:v>N/A</x:v>
      </x:c>
    </x:row>
    <x:row r="410">
      <x:c r="A410" t="str">
        <x:v>51</x:v>
      </x:c>
      <x:c r="B410" t="str">
        <x:v>26750</x:v>
      </x:c>
      <x:c r="C410" t="str">
        <x:v>18</x:v>
      </x:c>
      <x:c r="D410" t="str">
        <x:v>919640</x:v>
      </x:c>
      <x:c r="E410" t="str">
        <x:v>TR AL 1100X50X9 RTO LME REC PET BCO (ULT</x:v>
      </x:c>
      <x:c r="F410" t="str">
        <x:v>REG 2L(MAIOR 80MM)</x:v>
      </x:c>
      <x:c r="G410" t="str"/>
      <x:c r="H410" t="str"/>
      <x:c r="I410" t="str">
        <x:v>RECOBERTO PET</x:v>
      </x:c>
      <x:c r="J410" t="str">
        <x:v>BRANCO CARRARA</x:v>
      </x:c>
      <x:c r="K410" t="str">
        <x:v>0</x:v>
      </x:c>
      <x:c r="L410" t="str">
        <x:v>7</x:v>
      </x:c>
      <x:c r="M410" t="str">
        <x:v>0</x:v>
      </x:c>
      <x:c r="N410" t="str"/>
      <x:c r="O410" t="str"/>
      <x:c r="P410" t="str">
        <x:v>Liberada Para Producao</x:v>
      </x:c>
      <x:c r="Q410" t="str">
        <x:v>609856</x:v>
      </x:c>
      <x:c r="R410" t="str">
        <x:v>0</x:v>
      </x:c>
      <x:c r="S410" t="str"/>
      <x:c r="T410" t="str"/>
      <x:c r="U410" t="str"/>
      <x:c r="V410" t="str"/>
      <x:c r="W410" t="str">
        <x:v>N/A</x:v>
      </x:c>
      <x:c r="X410" t="str">
        <x:v>0</x:v>
      </x:c>
      <x:c r="Y410" t="str">
        <x:v>0</x:v>
      </x:c>
      <x:c r="Z410" t="str">
        <x:v>0</x:v>
      </x:c>
      <x:c r="AA410" t="str">
        <x:v>0</x:v>
      </x:c>
      <x:c r="AB410" t="str">
        <x:v>N/A</x:v>
      </x:c>
      <x:c r="AC410" t="str">
        <x:v>N/A</x:v>
      </x:c>
      <x:c r="AD410" t="str">
        <x:v>N/A</x:v>
      </x:c>
      <x:c r="AE410" t="str">
        <x:v>N/A</x:v>
      </x:c>
    </x:row>
    <x:row r="411">
      <x:c r="A411" t="str">
        <x:v>51</x:v>
      </x:c>
      <x:c r="B411" t="str">
        <x:v>26750</x:v>
      </x:c>
      <x:c r="C411" t="str">
        <x:v>18</x:v>
      </x:c>
      <x:c r="D411" t="str">
        <x:v>963311</x:v>
      </x:c>
      <x:c r="E411" t="str">
        <x:v>PE AL 2250X50X9 RTO LME REC PET BCO(ULTR</x:v>
      </x:c>
      <x:c r="F411" t="str">
        <x:v>REG 2L(MAIOR 80MM)</x:v>
      </x:c>
      <x:c r="G411" t="str"/>
      <x:c r="H411" t="str"/>
      <x:c r="I411" t="str">
        <x:v>RECOBERTO PET</x:v>
      </x:c>
      <x:c r="J411" t="str">
        <x:v>BRANCO CARRARA</x:v>
      </x:c>
      <x:c r="K411" t="str">
        <x:v>0</x:v>
      </x:c>
      <x:c r="L411" t="str">
        <x:v>14</x:v>
      </x:c>
      <x:c r="M411" t="str">
        <x:v>0</x:v>
      </x:c>
      <x:c r="N411" t="str"/>
      <x:c r="O411" t="str"/>
      <x:c r="P411" t="str">
        <x:v>Liberada Para Producao</x:v>
      </x:c>
      <x:c r="Q411" t="str">
        <x:v>609857</x:v>
      </x:c>
      <x:c r="R411" t="str">
        <x:v>0</x:v>
      </x:c>
      <x:c r="S411" t="str"/>
      <x:c r="T411" t="str"/>
      <x:c r="U411" t="str"/>
      <x:c r="V411" t="str"/>
      <x:c r="W411" t="str">
        <x:v>N/A</x:v>
      </x:c>
      <x:c r="X411" t="str">
        <x:v>0</x:v>
      </x:c>
      <x:c r="Y411" t="str">
        <x:v>0</x:v>
      </x:c>
      <x:c r="Z411" t="str">
        <x:v>0</x:v>
      </x:c>
      <x:c r="AA411" t="str">
        <x:v>N/A</x:v>
      </x:c>
      <x:c r="AB411" t="str">
        <x:v>N/A</x:v>
      </x:c>
      <x:c r="AC411" t="str">
        <x:v>N/A</x:v>
      </x:c>
      <x:c r="AD411" t="str">
        <x:v>N/A</x:v>
      </x:c>
      <x:c r="AE411" t="str">
        <x:v>N/A</x:v>
      </x:c>
    </x:row>
    <x:row r="412">
      <x:c r="A412" t="str">
        <x:v>51</x:v>
      </x:c>
      <x:c r="B412" t="str">
        <x:v>26750</x:v>
      </x:c>
      <x:c r="C412" t="str">
        <x:v>18</x:v>
      </x:c>
      <x:c r="D412" t="str">
        <x:v>966149</x:v>
      </x:c>
      <x:c r="E412" t="str">
        <x:v>TR AL 1100X50X9 RTO RL80 REC PET BCO (UL</x:v>
      </x:c>
      <x:c r="F412" t="str">
        <x:v>REG 2L(MAIOR 80MM)</x:v>
      </x:c>
      <x:c r="G412" t="str"/>
      <x:c r="H412" t="str"/>
      <x:c r="I412" t="str">
        <x:v>RECOBERTO PET</x:v>
      </x:c>
      <x:c r="J412" t="str">
        <x:v>BRANCO CARRARA</x:v>
      </x:c>
      <x:c r="K412" t="str">
        <x:v>0</x:v>
      </x:c>
      <x:c r="L412" t="str">
        <x:v>7</x:v>
      </x:c>
      <x:c r="M412" t="str">
        <x:v>0</x:v>
      </x:c>
      <x:c r="N412" t="str"/>
      <x:c r="O412" t="str"/>
      <x:c r="P412" t="str">
        <x:v>Liberada Para Producao</x:v>
      </x:c>
      <x:c r="Q412" t="str">
        <x:v>609858</x:v>
      </x:c>
      <x:c r="R412" t="str">
        <x:v>0</x:v>
      </x:c>
      <x:c r="S412" t="str"/>
      <x:c r="T412" t="str"/>
      <x:c r="U412" t="str"/>
      <x:c r="V412" t="str"/>
      <x:c r="W412" t="str">
        <x:v>N/A</x:v>
      </x:c>
      <x:c r="X412" t="str">
        <x:v>0</x:v>
      </x:c>
      <x:c r="Y412" t="str">
        <x:v>0</x:v>
      </x:c>
      <x:c r="Z412" t="str">
        <x:v>0</x:v>
      </x:c>
      <x:c r="AA412" t="str">
        <x:v>0</x:v>
      </x:c>
      <x:c r="AB412" t="str">
        <x:v>N/A</x:v>
      </x:c>
      <x:c r="AC412" t="str">
        <x:v>N/A</x:v>
      </x:c>
      <x:c r="AD412" t="str">
        <x:v>N/A</x:v>
      </x:c>
      <x:c r="AE412" t="str">
        <x:v>N/A</x:v>
      </x:c>
    </x:row>
    <x:row r="413">
      <x:c r="A413" t="str">
        <x:v>51</x:v>
      </x:c>
      <x:c r="B413" t="str">
        <x:v>26750</x:v>
      </x:c>
      <x:c r="C413" t="str">
        <x:v>18</x:v>
      </x:c>
      <x:c r="D413" t="str">
        <x:v>971601</x:v>
      </x:c>
      <x:c r="E413" t="str">
        <x:v>PE AL 2250X50X9 RTO RL80 REC PET BCO(ULT</x:v>
      </x:c>
      <x:c r="F413" t="str">
        <x:v>REG 2L(MAIOR 80MM)</x:v>
      </x:c>
      <x:c r="G413" t="str"/>
      <x:c r="H413" t="str"/>
      <x:c r="I413" t="str">
        <x:v>RECOBERTO PET</x:v>
      </x:c>
      <x:c r="J413" t="str">
        <x:v>BRANCO CARRARA</x:v>
      </x:c>
      <x:c r="K413" t="str">
        <x:v>0</x:v>
      </x:c>
      <x:c r="L413" t="str">
        <x:v>14</x:v>
      </x:c>
      <x:c r="M413" t="str">
        <x:v>0</x:v>
      </x:c>
      <x:c r="N413" t="str"/>
      <x:c r="O413" t="str"/>
      <x:c r="P413" t="str">
        <x:v>Liberada Para Producao</x:v>
      </x:c>
      <x:c r="Q413" t="str">
        <x:v>609859</x:v>
      </x:c>
      <x:c r="R413" t="str">
        <x:v>0</x:v>
      </x:c>
      <x:c r="S413" t="str"/>
      <x:c r="T413" t="str"/>
      <x:c r="U413" t="str"/>
      <x:c r="V413" t="str"/>
      <x:c r="W413" t="str">
        <x:v>N/A</x:v>
      </x:c>
      <x:c r="X413" t="str">
        <x:v>0</x:v>
      </x:c>
      <x:c r="Y413" t="str">
        <x:v>0</x:v>
      </x:c>
      <x:c r="Z413" t="str">
        <x:v>0</x:v>
      </x:c>
      <x:c r="AA413" t="str">
        <x:v>N/A</x:v>
      </x:c>
      <x:c r="AB413" t="str">
        <x:v>N/A</x:v>
      </x:c>
      <x:c r="AC413" t="str">
        <x:v>N/A</x:v>
      </x:c>
      <x:c r="AD413" t="str">
        <x:v>N/A</x:v>
      </x:c>
      <x:c r="AE413" t="str">
        <x:v>N/A</x:v>
      </x:c>
    </x:row>
    <x:row r="414">
      <x:c r="A414" t="str">
        <x:v>51</x:v>
      </x:c>
      <x:c r="B414" t="str">
        <x:v>26750</x:v>
      </x:c>
      <x:c r="C414" t="str">
        <x:v>19</x:v>
      </x:c>
      <x:c r="D414" t="str">
        <x:v>1000076</x:v>
      </x:c>
      <x:c r="E414" t="str">
        <x:v> KIT DE CORRER EM MDF ULTRA</x:v>
      </x:c>
      <x:c r="F414" t="str"/>
      <x:c r="G414" t="str"/>
      <x:c r="H414" t="str"/>
      <x:c r="I414" t="str">
        <x:v>RECOBERTO PET</x:v>
      </x:c>
      <x:c r="J414" t="str">
        <x:v>BRANCO CARRARA</x:v>
      </x:c>
      <x:c r="K414" t="str">
        <x:v>0</x:v>
      </x:c>
      <x:c r="L414" t="str">
        <x:v>7</x:v>
      </x:c>
      <x:c r="M414" t="str">
        <x:v>0</x:v>
      </x:c>
      <x:c r="N414" t="str"/>
      <x:c r="O414" t="str"/>
      <x:c r="P414" t="str">
        <x:v>Liberada Para Producao</x:v>
      </x:c>
      <x:c r="Q414" t="str">
        <x:v>609861</x:v>
      </x:c>
      <x:c r="R414" t="str">
        <x:v>0</x:v>
      </x:c>
      <x:c r="S414" t="str"/>
      <x:c r="T414" t="str"/>
      <x:c r="U414" t="str"/>
      <x:c r="V414" t="str"/>
      <x:c r="W414" t="str">
        <x:v>N/A</x:v>
      </x:c>
      <x:c r="X414" t="str">
        <x:v>N/A</x:v>
      </x:c>
      <x:c r="Y414" t="str">
        <x:v>N/A</x:v>
      </x:c>
      <x:c r="Z414" t="str">
        <x:v>N/A</x:v>
      </x:c>
      <x:c r="AA414" t="str">
        <x:v>N/A</x:v>
      </x:c>
      <x:c r="AB414" t="str">
        <x:v>N/A</x:v>
      </x:c>
      <x:c r="AC414" t="str">
        <x:v>N/A</x:v>
      </x:c>
      <x:c r="AD414" t="str">
        <x:v>0</x:v>
      </x:c>
      <x:c r="AE414" t="str">
        <x:v>N/A</x:v>
      </x:c>
    </x:row>
    <x:row r="415">
      <x:c r="A415" t="str">
        <x:v>51</x:v>
      </x:c>
      <x:c r="B415" t="str">
        <x:v>26750</x:v>
      </x:c>
      <x:c r="C415" t="str">
        <x:v>19</x:v>
      </x:c>
      <x:c r="D415" t="str">
        <x:v>2010700829</x:v>
      </x:c>
      <x:c r="E415" t="str">
        <x:v>P K COR ULTRA PET BCO CAR  KIT DE CORRER EM MDF ULTRA</x:v>
      </x:c>
      <x:c r="F415" t="str"/>
      <x:c r="G415" t="str"/>
      <x:c r="H415" t="str"/>
      <x:c r="I415" t="str">
        <x:v>RECOBERTO PET</x:v>
      </x:c>
      <x:c r="J415" t="str">
        <x:v>BRANCO CARRARA</x:v>
      </x:c>
      <x:c r="K415" t="str">
        <x:v>0</x:v>
      </x:c>
      <x:c r="L415" t="str">
        <x:v>14</x:v>
      </x:c>
      <x:c r="M415" t="str">
        <x:v>0,076</x:v>
      </x:c>
      <x:c r="N415" t="str"/>
      <x:c r="O415" t="str"/>
      <x:c r="P415" t="str">
        <x:v>Liberada Para Producao</x:v>
      </x:c>
      <x:c r="Q415" t="str">
        <x:v>609862</x:v>
      </x:c>
      <x:c r="R415" t="str">
        <x:v>0</x:v>
      </x:c>
      <x:c r="S415" t="str">
        <x:v>2500</x:v>
      </x:c>
      <x:c r="T415" t="str">
        <x:v>PERNA KIT DE CORRER</x:v>
      </x:c>
      <x:c r="U415" t="str"/>
      <x:c r="V415" t="str"/>
      <x:c r="W415" t="str">
        <x:v>0</x:v>
      </x:c>
      <x:c r="X415" t="str">
        <x:v>0</x:v>
      </x:c>
      <x:c r="Y415" t="str">
        <x:v>0</x:v>
      </x:c>
      <x:c r="Z415" t="str">
        <x:v>0</x:v>
      </x:c>
      <x:c r="AA415" t="str">
        <x:v>0</x:v>
      </x:c>
      <x:c r="AB415" t="str">
        <x:v>N/A</x:v>
      </x:c>
      <x:c r="AC415" t="str">
        <x:v>N/A</x:v>
      </x:c>
      <x:c r="AD415" t="str">
        <x:v>N/A</x:v>
      </x:c>
      <x:c r="AE415" t="str">
        <x:v>N/A</x:v>
      </x:c>
    </x:row>
    <x:row r="416">
      <x:c r="A416" t="str">
        <x:v>51</x:v>
      </x:c>
      <x:c r="B416" t="str">
        <x:v>26750</x:v>
      </x:c>
      <x:c r="C416" t="str">
        <x:v>19</x:v>
      </x:c>
      <x:c r="D416" t="str">
        <x:v>2010700830</x:v>
      </x:c>
      <x:c r="E416" t="str">
        <x:v>S K COR ULTRA PET BCO CAR  KIT DE CORRER EM MDF ULTRA</x:v>
      </x:c>
      <x:c r="F416" t="str"/>
      <x:c r="G416" t="str"/>
      <x:c r="H416" t="str"/>
      <x:c r="I416" t="str">
        <x:v>RECOBERTO PET</x:v>
      </x:c>
      <x:c r="J416" t="str">
        <x:v>BRANCO CARRARA</x:v>
      </x:c>
      <x:c r="K416" t="str">
        <x:v>0</x:v>
      </x:c>
      <x:c r="L416" t="str">
        <x:v>7</x:v>
      </x:c>
      <x:c r="M416" t="str">
        <x:v>0,038</x:v>
      </x:c>
      <x:c r="N416" t="str"/>
      <x:c r="O416" t="str"/>
      <x:c r="P416" t="str">
        <x:v>Liberada Para Producao</x:v>
      </x:c>
      <x:c r="Q416" t="str">
        <x:v>609863</x:v>
      </x:c>
      <x:c r="R416" t="str">
        <x:v>0</x:v>
      </x:c>
      <x:c r="S416" t="str">
        <x:v>2510</x:v>
      </x:c>
      <x:c r="T416" t="str">
        <x:v>SUPORTE KIT DE CORRER</x:v>
      </x:c>
      <x:c r="U416" t="str"/>
      <x:c r="V416" t="str"/>
      <x:c r="W416" t="str">
        <x:v>0</x:v>
      </x:c>
      <x:c r="X416" t="str">
        <x:v>0</x:v>
      </x:c>
      <x:c r="Y416" t="str">
        <x:v>0</x:v>
      </x:c>
      <x:c r="Z416" t="str">
        <x:v>0</x:v>
      </x:c>
      <x:c r="AA416" t="str">
        <x:v>N/A</x:v>
      </x:c>
      <x:c r="AB416" t="str">
        <x:v>N/A</x:v>
      </x:c>
      <x:c r="AC416" t="str">
        <x:v>N/A</x:v>
      </x:c>
      <x:c r="AD416" t="str">
        <x:v>N/A</x:v>
      </x:c>
      <x:c r="AE416" t="str">
        <x:v>N/A</x:v>
      </x:c>
    </x:row>
    <x:row r="417">
      <x:c r="A417" t="str">
        <x:v>51</x:v>
      </x:c>
      <x:c r="B417" t="str">
        <x:v>26750</x:v>
      </x:c>
      <x:c r="C417" t="str">
        <x:v>19</x:v>
      </x:c>
      <x:c r="D417" t="str">
        <x:v>2020700312</x:v>
      </x:c>
      <x:c r="E417" t="str">
        <x:v>CAB K COR ULTRA PET BCO CAR 2200X100X KIT DE CORRER EM MDF ULTRA</x:v>
      </x:c>
      <x:c r="F417" t="str"/>
      <x:c r="G417" t="str"/>
      <x:c r="H417" t="str"/>
      <x:c r="I417" t="str">
        <x:v>RECOBERTO PET</x:v>
      </x:c>
      <x:c r="J417" t="str">
        <x:v>BRANCO CARRARA</x:v>
      </x:c>
      <x:c r="K417" t="str">
        <x:v>0</x:v>
      </x:c>
      <x:c r="L417" t="str">
        <x:v>7</x:v>
      </x:c>
      <x:c r="M417" t="str">
        <x:v>0,018</x:v>
      </x:c>
      <x:c r="N417" t="str"/>
      <x:c r="O417" t="str"/>
      <x:c r="P417" t="str">
        <x:v>Liberada Para Producao</x:v>
      </x:c>
      <x:c r="Q417" t="str">
        <x:v>609864</x:v>
      </x:c>
      <x:c r="R417" t="str">
        <x:v>0</x:v>
      </x:c>
      <x:c r="S417" t="str">
        <x:v>2520</x:v>
      </x:c>
      <x:c r="T417" t="str">
        <x:v>CABECEIRA L MAIOR KIT D/CORRER</x:v>
      </x:c>
      <x:c r="U417" t="str"/>
      <x:c r="V417" t="str"/>
      <x:c r="W417" t="str">
        <x:v>N/A</x:v>
      </x:c>
      <x:c r="X417" t="str">
        <x:v>0</x:v>
      </x:c>
      <x:c r="Y417" t="str">
        <x:v>0</x:v>
      </x:c>
      <x:c r="Z417" t="str">
        <x:v>0</x:v>
      </x:c>
      <x:c r="AA417" t="str">
        <x:v>N/A</x:v>
      </x:c>
      <x:c r="AB417" t="str">
        <x:v>N/A</x:v>
      </x:c>
      <x:c r="AC417" t="str">
        <x:v>N/A</x:v>
      </x:c>
      <x:c r="AD417" t="str">
        <x:v>N/A</x:v>
      </x:c>
      <x:c r="AE417" t="str">
        <x:v>N/A</x:v>
      </x:c>
    </x:row>
    <x:row r="418">
      <x:c r="A418" t="str">
        <x:v>51</x:v>
      </x:c>
      <x:c r="B418" t="str">
        <x:v>26750</x:v>
      </x:c>
      <x:c r="C418" t="str">
        <x:v>19</x:v>
      </x:c>
      <x:c r="D418" t="str">
        <x:v>2020700313</x:v>
      </x:c>
      <x:c r="E418" t="str">
        <x:v>A K LME COR ULTRA PET BCO CAR  KIT DE CORRER EM MDF ULTRA</x:v>
      </x:c>
      <x:c r="F418" t="str"/>
      <x:c r="G418" t="str"/>
      <x:c r="H418" t="str"/>
      <x:c r="I418" t="str">
        <x:v>RECOBERTO PET</x:v>
      </x:c>
      <x:c r="J418" t="str">
        <x:v>BRANCO CARRARA</x:v>
      </x:c>
      <x:c r="K418" t="str">
        <x:v>0</x:v>
      </x:c>
      <x:c r="L418" t="str">
        <x:v>21</x:v>
      </x:c>
      <x:c r="M418" t="str">
        <x:v>0,028</x:v>
      </x:c>
      <x:c r="N418" t="str"/>
      <x:c r="O418" t="str"/>
      <x:c r="P418" t="str">
        <x:v>Liberada Para Producao</x:v>
      </x:c>
      <x:c r="Q418" t="str">
        <x:v>609865</x:v>
      </x:c>
      <x:c r="R418" t="str">
        <x:v>0</x:v>
      </x:c>
      <x:c r="S418" t="str">
        <x:v>2530</x:v>
      </x:c>
      <x:c r="T418" t="str">
        <x:v>ALIZAR L MENOR KIT DE CORRER</x:v>
      </x:c>
      <x:c r="U418" t="str"/>
      <x:c r="V418" t="str"/>
      <x:c r="W418" t="str">
        <x:v>N/A</x:v>
      </x:c>
      <x:c r="X418" t="str">
        <x:v>0</x:v>
      </x:c>
      <x:c r="Y418" t="str">
        <x:v>0</x:v>
      </x:c>
      <x:c r="Z418" t="str">
        <x:v>0</x:v>
      </x:c>
      <x:c r="AA418" t="str">
        <x:v>N/A</x:v>
      </x:c>
      <x:c r="AB418" t="str">
        <x:v>N/A</x:v>
      </x:c>
      <x:c r="AC418" t="str">
        <x:v>N/A</x:v>
      </x:c>
      <x:c r="AD418" t="str">
        <x:v>N/A</x:v>
      </x:c>
      <x:c r="AE418" t="str">
        <x:v>N/A</x:v>
      </x:c>
    </x:row>
    <x:row r="419">
      <x:c r="A419" t="str">
        <x:v>51</x:v>
      </x:c>
      <x:c r="B419" t="str">
        <x:v>26750</x:v>
      </x:c>
      <x:c r="C419" t="str">
        <x:v>20</x:v>
      </x:c>
      <x:c r="D419" t="str">
        <x:v>919640</x:v>
      </x:c>
      <x:c r="E419" t="str">
        <x:v>TR AL 1100X50X9 RTO LME REC PET BCO (ULT</x:v>
      </x:c>
      <x:c r="F419" t="str"/>
      <x:c r="G419" t="str"/>
      <x:c r="H419" t="str"/>
      <x:c r="I419" t="str">
        <x:v>ESMALTE</x:v>
      </x:c>
      <x:c r="J419" t="str">
        <x:v>BRANCO CARRARA</x:v>
      </x:c>
      <x:c r="K419" t="str">
        <x:v>0</x:v>
      </x:c>
      <x:c r="L419" t="str">
        <x:v>9</x:v>
      </x:c>
      <x:c r="M419" t="str">
        <x:v>0</x:v>
      </x:c>
      <x:c r="N419" t="str"/>
      <x:c r="O419" t="str"/>
      <x:c r="P419" t="str">
        <x:v>Liberada Para Producao</x:v>
      </x:c>
      <x:c r="Q419" t="str">
        <x:v>609867</x:v>
      </x:c>
      <x:c r="R419" t="str">
        <x:v>0</x:v>
      </x:c>
      <x:c r="S419" t="str"/>
      <x:c r="T419" t="str"/>
      <x:c r="U419" t="str"/>
      <x:c r="V419" t="str"/>
      <x:c r="W419" t="str">
        <x:v>N/A</x:v>
      </x:c>
      <x:c r="X419" t="str">
        <x:v>0</x:v>
      </x:c>
      <x:c r="Y419" t="str">
        <x:v>0</x:v>
      </x:c>
      <x:c r="Z419" t="str">
        <x:v>0</x:v>
      </x:c>
      <x:c r="AA419" t="str">
        <x:v>0</x:v>
      </x:c>
      <x:c r="AB419" t="str">
        <x:v>N/A</x:v>
      </x:c>
      <x:c r="AC419" t="str">
        <x:v>N/A</x:v>
      </x:c>
      <x:c r="AD419" t="str">
        <x:v>N/A</x:v>
      </x:c>
      <x:c r="AE419" t="str">
        <x:v>N/A</x:v>
      </x:c>
    </x:row>
    <x:row r="420">
      <x:c r="A420" t="str">
        <x:v>51</x:v>
      </x:c>
      <x:c r="B420" t="str">
        <x:v>26750</x:v>
      </x:c>
      <x:c r="C420" t="str">
        <x:v>20</x:v>
      </x:c>
      <x:c r="D420" t="str">
        <x:v>963311</x:v>
      </x:c>
      <x:c r="E420" t="str">
        <x:v>PE AL 2250X50X9 RTO LME REC PET BCO(ULTR</x:v>
      </x:c>
      <x:c r="F420" t="str"/>
      <x:c r="G420" t="str"/>
      <x:c r="H420" t="str"/>
      <x:c r="I420" t="str">
        <x:v>ESMALTE</x:v>
      </x:c>
      <x:c r="J420" t="str">
        <x:v>BRANCO CARRARA</x:v>
      </x:c>
      <x:c r="K420" t="str">
        <x:v>0</x:v>
      </x:c>
      <x:c r="L420" t="str">
        <x:v>18</x:v>
      </x:c>
      <x:c r="M420" t="str">
        <x:v>0</x:v>
      </x:c>
      <x:c r="N420" t="str"/>
      <x:c r="O420" t="str"/>
      <x:c r="P420" t="str">
        <x:v>Liberada Para Producao</x:v>
      </x:c>
      <x:c r="Q420" t="str">
        <x:v>609868</x:v>
      </x:c>
      <x:c r="R420" t="str">
        <x:v>0</x:v>
      </x:c>
      <x:c r="S420" t="str"/>
      <x:c r="T420" t="str"/>
      <x:c r="U420" t="str"/>
      <x:c r="V420" t="str"/>
      <x:c r="W420" t="str">
        <x:v>N/A</x:v>
      </x:c>
      <x:c r="X420" t="str">
        <x:v>0</x:v>
      </x:c>
      <x:c r="Y420" t="str">
        <x:v>0</x:v>
      </x:c>
      <x:c r="Z420" t="str">
        <x:v>0</x:v>
      </x:c>
      <x:c r="AA420" t="str">
        <x:v>N/A</x:v>
      </x:c>
      <x:c r="AB420" t="str">
        <x:v>N/A</x:v>
      </x:c>
      <x:c r="AC420" t="str">
        <x:v>N/A</x:v>
      </x:c>
      <x:c r="AD420" t="str">
        <x:v>N/A</x:v>
      </x:c>
      <x:c r="AE420" t="str">
        <x:v>N/A</x:v>
      </x:c>
    </x:row>
    <x:row r="421">
      <x:c r="A421" t="str">
        <x:v>51</x:v>
      </x:c>
      <x:c r="B421" t="str">
        <x:v>26750</x:v>
      </x:c>
      <x:c r="C421" t="str">
        <x:v>20</x:v>
      </x:c>
      <x:c r="D421" t="str">
        <x:v>966149</x:v>
      </x:c>
      <x:c r="E421" t="str">
        <x:v>TR AL 1100X50X9 RTO RL80 REC PET BCO (UL</x:v>
      </x:c>
      <x:c r="F421" t="str"/>
      <x:c r="G421" t="str"/>
      <x:c r="H421" t="str"/>
      <x:c r="I421" t="str">
        <x:v>ESMALTE</x:v>
      </x:c>
      <x:c r="J421" t="str">
        <x:v>BRANCO CARRARA</x:v>
      </x:c>
      <x:c r="K421" t="str">
        <x:v>0</x:v>
      </x:c>
      <x:c r="L421" t="str">
        <x:v>9</x:v>
      </x:c>
      <x:c r="M421" t="str">
        <x:v>0</x:v>
      </x:c>
      <x:c r="N421" t="str"/>
      <x:c r="O421" t="str"/>
      <x:c r="P421" t="str">
        <x:v>Liberada Para Producao</x:v>
      </x:c>
      <x:c r="Q421" t="str">
        <x:v>609869</x:v>
      </x:c>
      <x:c r="R421" t="str">
        <x:v>0</x:v>
      </x:c>
      <x:c r="S421" t="str"/>
      <x:c r="T421" t="str"/>
      <x:c r="U421" t="str"/>
      <x:c r="V421" t="str"/>
      <x:c r="W421" t="str">
        <x:v>N/A</x:v>
      </x:c>
      <x:c r="X421" t="str">
        <x:v>0</x:v>
      </x:c>
      <x:c r="Y421" t="str">
        <x:v>0</x:v>
      </x:c>
      <x:c r="Z421" t="str">
        <x:v>0</x:v>
      </x:c>
      <x:c r="AA421" t="str">
        <x:v>0</x:v>
      </x:c>
      <x:c r="AB421" t="str">
        <x:v>N/A</x:v>
      </x:c>
      <x:c r="AC421" t="str">
        <x:v>N/A</x:v>
      </x:c>
      <x:c r="AD421" t="str">
        <x:v>N/A</x:v>
      </x:c>
      <x:c r="AE421" t="str">
        <x:v>N/A</x:v>
      </x:c>
    </x:row>
    <x:row r="422">
      <x:c r="A422" t="str">
        <x:v>51</x:v>
      </x:c>
      <x:c r="B422" t="str">
        <x:v>26750</x:v>
      </x:c>
      <x:c r="C422" t="str">
        <x:v>20</x:v>
      </x:c>
      <x:c r="D422" t="str">
        <x:v>971601</x:v>
      </x:c>
      <x:c r="E422" t="str">
        <x:v>PE AL 2250X50X9 RTO RL80 REC PET BCO(ULT</x:v>
      </x:c>
      <x:c r="F422" t="str"/>
      <x:c r="G422" t="str"/>
      <x:c r="H422" t="str"/>
      <x:c r="I422" t="str">
        <x:v>ESMALTE</x:v>
      </x:c>
      <x:c r="J422" t="str">
        <x:v>BRANCO CARRARA</x:v>
      </x:c>
      <x:c r="K422" t="str">
        <x:v>0</x:v>
      </x:c>
      <x:c r="L422" t="str">
        <x:v>18</x:v>
      </x:c>
      <x:c r="M422" t="str">
        <x:v>0</x:v>
      </x:c>
      <x:c r="N422" t="str"/>
      <x:c r="O422" t="str"/>
      <x:c r="P422" t="str">
        <x:v>Liberada Para Producao</x:v>
      </x:c>
      <x:c r="Q422" t="str">
        <x:v>609870</x:v>
      </x:c>
      <x:c r="R422" t="str">
        <x:v>0</x:v>
      </x:c>
      <x:c r="S422" t="str"/>
      <x:c r="T422" t="str"/>
      <x:c r="U422" t="str"/>
      <x:c r="V422" t="str"/>
      <x:c r="W422" t="str">
        <x:v>N/A</x:v>
      </x:c>
      <x:c r="X422" t="str">
        <x:v>0</x:v>
      </x:c>
      <x:c r="Y422" t="str">
        <x:v>0</x:v>
      </x:c>
      <x:c r="Z422" t="str">
        <x:v>0</x:v>
      </x:c>
      <x:c r="AA422" t="str">
        <x:v>N/A</x:v>
      </x:c>
      <x:c r="AB422" t="str">
        <x:v>N/A</x:v>
      </x:c>
      <x:c r="AC422" t="str">
        <x:v>N/A</x:v>
      </x:c>
      <x:c r="AD422" t="str">
        <x:v>N/A</x:v>
      </x:c>
      <x:c r="AE422" t="str">
        <x:v>N/A</x:v>
      </x:c>
    </x:row>
    <x:row r="423">
      <x:c r="A423" t="str">
        <x:v>51</x:v>
      </x:c>
      <x:c r="B423" t="str">
        <x:v>26750</x:v>
      </x:c>
      <x:c r="C423" t="str">
        <x:v>20</x:v>
      </x:c>
      <x:c r="D423" t="str">
        <x:v>421010005</x:v>
      </x:c>
      <x:c r="E423" t="str">
        <x:v>FO POR COL HDF 3 RU 2100X620X35 ESM BCO</x:v>
      </x:c>
      <x:c r="F423" t="str"/>
      <x:c r="G423" t="str"/>
      <x:c r="H423" t="str"/>
      <x:c r="I423" t="str">
        <x:v>ESMALTE</x:v>
      </x:c>
      <x:c r="J423" t="str">
        <x:v>BRANCO CARRARA</x:v>
      </x:c>
      <x:c r="K423" t="str">
        <x:v>0</x:v>
      </x:c>
      <x:c r="L423" t="str">
        <x:v>9</x:v>
      </x:c>
      <x:c r="M423" t="str">
        <x:v>0,41</x:v>
      </x:c>
      <x:c r="N423" t="str"/>
      <x:c r="O423" t="str"/>
      <x:c r="P423" t="str">
        <x:v>Liberada Para Producao</x:v>
      </x:c>
      <x:c r="Q423" t="str">
        <x:v>609871</x:v>
      </x:c>
      <x:c r="R423" t="str">
        <x:v>66,67</x:v>
      </x:c>
      <x:c r="S423" t="str">
        <x:v>1</x:v>
      </x:c>
      <x:c r="T423" t="str">
        <x:v>PORTA LINHA PREMIUM</x:v>
      </x:c>
      <x:c r="U423" t="str"/>
      <x:c r="V423" t="str"/>
      <x:c r="W423" t="str">
        <x:v>N/A</x:v>
      </x:c>
      <x:c r="X423" t="str">
        <x:v>100</x:v>
      </x:c>
      <x:c r="Y423" t="str">
        <x:v>N/A</x:v>
      </x:c>
      <x:c r="Z423" t="str">
        <x:v>N/A</x:v>
      </x:c>
      <x:c r="AA423" t="str">
        <x:v>N/A</x:v>
      </x:c>
      <x:c r="AB423" t="str">
        <x:v>100</x:v>
      </x:c>
      <x:c r="AC423" t="str">
        <x:v>N/A</x:v>
      </x:c>
      <x:c r="AD423" t="str">
        <x:v>0</x:v>
      </x:c>
      <x:c r="AE423" t="str">
        <x:v>N/A</x:v>
      </x:c>
    </x:row>
    <x:row r="424">
      <x:c r="A424" t="str">
        <x:v>51</x:v>
      </x:c>
      <x:c r="B424" t="str">
        <x:v>26750</x:v>
      </x:c>
      <x:c r="C424" t="str">
        <x:v>20</x:v>
      </x:c>
      <x:c r="D424" t="str">
        <x:v>2010701021</x:v>
      </x:c>
      <x:c r="E424" t="str">
        <x:v>M ULTRA PET BCO CAR 2110X80X30 42X10 R2L</x:v>
      </x:c>
      <x:c r="F424" t="str"/>
      <x:c r="G424" t="str"/>
      <x:c r="H424" t="str"/>
      <x:c r="I424" t="str">
        <x:v>ESMALTE</x:v>
      </x:c>
      <x:c r="J424" t="str">
        <x:v>BRANCO CARRARA</x:v>
      </x:c>
      <x:c r="K424" t="str">
        <x:v>0</x:v>
      </x:c>
      <x:c r="L424" t="str">
        <x:v>18</x:v>
      </x:c>
      <x:c r="M424" t="str">
        <x:v>0,091</x:v>
      </x:c>
      <x:c r="N424" t="str"/>
      <x:c r="O424" t="str"/>
      <x:c r="P424" t="str">
        <x:v>Liberada Para Producao</x:v>
      </x:c>
      <x:c r="Q424" t="str">
        <x:v>609872</x:v>
      </x:c>
      <x:c r="R424" t="str">
        <x:v>25</x:v>
      </x:c>
      <x:c r="S424" t="str">
        <x:v>1500</x:v>
      </x:c>
      <x:c r="T424" t="str">
        <x:v>PERNA DE BATENTE PREMIUM(SEMIA</x:v>
      </x:c>
      <x:c r="U424" t="str"/>
      <x:c r="V424" t="str"/>
      <x:c r="W424" t="str">
        <x:v>100</x:v>
      </x:c>
      <x:c r="X424" t="str">
        <x:v>0</x:v>
      </x:c>
      <x:c r="Y424" t="str">
        <x:v>N/A</x:v>
      </x:c>
      <x:c r="Z424" t="str">
        <x:v>0</x:v>
      </x:c>
      <x:c r="AA424" t="str">
        <x:v>0</x:v>
      </x:c>
      <x:c r="AB424" t="str">
        <x:v>N/A</x:v>
      </x:c>
      <x:c r="AC424" t="str">
        <x:v>N/A</x:v>
      </x:c>
      <x:c r="AD424" t="str">
        <x:v>N/A</x:v>
      </x:c>
      <x:c r="AE424" t="str">
        <x:v>N/A</x:v>
      </x:c>
    </x:row>
    <x:row r="425">
      <x:c r="A425" t="str">
        <x:v>51</x:v>
      </x:c>
      <x:c r="B425" t="str">
        <x:v>26750</x:v>
      </x:c>
      <x:c r="C425" t="str">
        <x:v>20</x:v>
      </x:c>
      <x:c r="D425" t="str">
        <x:v>2010701246</x:v>
      </x:c>
      <x:c r="E425" t="str">
        <x:v>M ULTRA PET BCO CAR 667X80X30 42X10 R2L</x:v>
      </x:c>
      <x:c r="F425" t="str"/>
      <x:c r="G425" t="str"/>
      <x:c r="H425" t="str"/>
      <x:c r="I425" t="str">
        <x:v>ESMALTE</x:v>
      </x:c>
      <x:c r="J425" t="str">
        <x:v>BRANCO CARRARA</x:v>
      </x:c>
      <x:c r="K425" t="str">
        <x:v>0</x:v>
      </x:c>
      <x:c r="L425" t="str">
        <x:v>9</x:v>
      </x:c>
      <x:c r="M425" t="str">
        <x:v>0,014</x:v>
      </x:c>
      <x:c r="N425" t="str"/>
      <x:c r="O425" t="str"/>
      <x:c r="P425" t="str">
        <x:v>Liberada Para Producao</x:v>
      </x:c>
      <x:c r="Q425" t="str">
        <x:v>609873</x:v>
      </x:c>
      <x:c r="R425" t="str">
        <x:v>50</x:v>
      </x:c>
      <x:c r="S425" t="str">
        <x:v>1501</x:v>
      </x:c>
      <x:c r="T425" t="str">
        <x:v>TRAV. BAT. 680 PET/PVC(SEMI)</x:v>
      </x:c>
      <x:c r="U425" t="str"/>
      <x:c r="V425" t="str"/>
      <x:c r="W425" t="str">
        <x:v>100</x:v>
      </x:c>
      <x:c r="X425" t="str">
        <x:v>100</x:v>
      </x:c>
      <x:c r="Y425" t="str">
        <x:v>N/A</x:v>
      </x:c>
      <x:c r="Z425" t="str">
        <x:v>0</x:v>
      </x:c>
      <x:c r="AA425" t="str">
        <x:v>0</x:v>
      </x:c>
      <x:c r="AB425" t="str">
        <x:v>N/A</x:v>
      </x:c>
      <x:c r="AC425" t="str">
        <x:v>N/A</x:v>
      </x:c>
      <x:c r="AD425" t="str">
        <x:v>N/A</x:v>
      </x:c>
      <x:c r="AE425" t="str">
        <x:v>N/A</x:v>
      </x:c>
    </x:row>
    <x:row r="426">
      <x:c r="A426" t="str">
        <x:v>51</x:v>
      </x:c>
      <x:c r="B426" t="str">
        <x:v>26750</x:v>
      </x:c>
      <x:c r="C426" t="str">
        <x:v>21</x:v>
      </x:c>
      <x:c r="D426" t="str">
        <x:v>919640</x:v>
      </x:c>
      <x:c r="E426" t="str">
        <x:v>TR AL 1100X50X9 RTO LME REC PET BCO (ULT</x:v>
      </x:c>
      <x:c r="F426" t="str"/>
      <x:c r="G426" t="str"/>
      <x:c r="H426" t="str"/>
      <x:c r="I426" t="str">
        <x:v>ESMALTE</x:v>
      </x:c>
      <x:c r="J426" t="str">
        <x:v>BRANCO CARRARA</x:v>
      </x:c>
      <x:c r="K426" t="str">
        <x:v>0</x:v>
      </x:c>
      <x:c r="L426" t="str">
        <x:v>5</x:v>
      </x:c>
      <x:c r="M426" t="str">
        <x:v>0</x:v>
      </x:c>
      <x:c r="N426" t="str"/>
      <x:c r="O426" t="str"/>
      <x:c r="P426" t="str">
        <x:v>Liberada Para Producao</x:v>
      </x:c>
      <x:c r="Q426" t="str">
        <x:v>609875</x:v>
      </x:c>
      <x:c r="R426" t="str">
        <x:v>0</x:v>
      </x:c>
      <x:c r="S426" t="str"/>
      <x:c r="T426" t="str"/>
      <x:c r="U426" t="str"/>
      <x:c r="V426" t="str"/>
      <x:c r="W426" t="str">
        <x:v>N/A</x:v>
      </x:c>
      <x:c r="X426" t="str">
        <x:v>0</x:v>
      </x:c>
      <x:c r="Y426" t="str">
        <x:v>0</x:v>
      </x:c>
      <x:c r="Z426" t="str">
        <x:v>0</x:v>
      </x:c>
      <x:c r="AA426" t="str">
        <x:v>0</x:v>
      </x:c>
      <x:c r="AB426" t="str">
        <x:v>N/A</x:v>
      </x:c>
      <x:c r="AC426" t="str">
        <x:v>N/A</x:v>
      </x:c>
      <x:c r="AD426" t="str">
        <x:v>N/A</x:v>
      </x:c>
      <x:c r="AE426" t="str">
        <x:v>N/A</x:v>
      </x:c>
    </x:row>
    <x:row r="427">
      <x:c r="A427" t="str">
        <x:v>51</x:v>
      </x:c>
      <x:c r="B427" t="str">
        <x:v>26750</x:v>
      </x:c>
      <x:c r="C427" t="str">
        <x:v>21</x:v>
      </x:c>
      <x:c r="D427" t="str">
        <x:v>963311</x:v>
      </x:c>
      <x:c r="E427" t="str">
        <x:v>PE AL 2250X50X9 RTO LME REC PET BCO(ULTR</x:v>
      </x:c>
      <x:c r="F427" t="str"/>
      <x:c r="G427" t="str"/>
      <x:c r="H427" t="str"/>
      <x:c r="I427" t="str">
        <x:v>ESMALTE</x:v>
      </x:c>
      <x:c r="J427" t="str">
        <x:v>BRANCO CARRARA</x:v>
      </x:c>
      <x:c r="K427" t="str">
        <x:v>0</x:v>
      </x:c>
      <x:c r="L427" t="str">
        <x:v>10</x:v>
      </x:c>
      <x:c r="M427" t="str">
        <x:v>0</x:v>
      </x:c>
      <x:c r="N427" t="str"/>
      <x:c r="O427" t="str"/>
      <x:c r="P427" t="str">
        <x:v>Liberada Para Producao</x:v>
      </x:c>
      <x:c r="Q427" t="str">
        <x:v>609876</x:v>
      </x:c>
      <x:c r="R427" t="str">
        <x:v>0</x:v>
      </x:c>
      <x:c r="S427" t="str"/>
      <x:c r="T427" t="str"/>
      <x:c r="U427" t="str"/>
      <x:c r="V427" t="str"/>
      <x:c r="W427" t="str">
        <x:v>N/A</x:v>
      </x:c>
      <x:c r="X427" t="str">
        <x:v>0</x:v>
      </x:c>
      <x:c r="Y427" t="str">
        <x:v>0</x:v>
      </x:c>
      <x:c r="Z427" t="str">
        <x:v>0</x:v>
      </x:c>
      <x:c r="AA427" t="str">
        <x:v>N/A</x:v>
      </x:c>
      <x:c r="AB427" t="str">
        <x:v>N/A</x:v>
      </x:c>
      <x:c r="AC427" t="str">
        <x:v>N/A</x:v>
      </x:c>
      <x:c r="AD427" t="str">
        <x:v>N/A</x:v>
      </x:c>
      <x:c r="AE427" t="str">
        <x:v>N/A</x:v>
      </x:c>
    </x:row>
    <x:row r="428">
      <x:c r="A428" t="str">
        <x:v>51</x:v>
      </x:c>
      <x:c r="B428" t="str">
        <x:v>26750</x:v>
      </x:c>
      <x:c r="C428" t="str">
        <x:v>21</x:v>
      </x:c>
      <x:c r="D428" t="str">
        <x:v>966149</x:v>
      </x:c>
      <x:c r="E428" t="str">
        <x:v>TR AL 1100X50X9 RTO RL80 REC PET BCO (UL</x:v>
      </x:c>
      <x:c r="F428" t="str"/>
      <x:c r="G428" t="str"/>
      <x:c r="H428" t="str"/>
      <x:c r="I428" t="str">
        <x:v>ESMALTE</x:v>
      </x:c>
      <x:c r="J428" t="str">
        <x:v>BRANCO CARRARA</x:v>
      </x:c>
      <x:c r="K428" t="str">
        <x:v>0</x:v>
      </x:c>
      <x:c r="L428" t="str">
        <x:v>5</x:v>
      </x:c>
      <x:c r="M428" t="str">
        <x:v>0</x:v>
      </x:c>
      <x:c r="N428" t="str"/>
      <x:c r="O428" t="str"/>
      <x:c r="P428" t="str">
        <x:v>Liberada Para Producao</x:v>
      </x:c>
      <x:c r="Q428" t="str">
        <x:v>609877</x:v>
      </x:c>
      <x:c r="R428" t="str">
        <x:v>0</x:v>
      </x:c>
      <x:c r="S428" t="str"/>
      <x:c r="T428" t="str"/>
      <x:c r="U428" t="str"/>
      <x:c r="V428" t="str"/>
      <x:c r="W428" t="str">
        <x:v>N/A</x:v>
      </x:c>
      <x:c r="X428" t="str">
        <x:v>0</x:v>
      </x:c>
      <x:c r="Y428" t="str">
        <x:v>0</x:v>
      </x:c>
      <x:c r="Z428" t="str">
        <x:v>0</x:v>
      </x:c>
      <x:c r="AA428" t="str">
        <x:v>0</x:v>
      </x:c>
      <x:c r="AB428" t="str">
        <x:v>N/A</x:v>
      </x:c>
      <x:c r="AC428" t="str">
        <x:v>N/A</x:v>
      </x:c>
      <x:c r="AD428" t="str">
        <x:v>N/A</x:v>
      </x:c>
      <x:c r="AE428" t="str">
        <x:v>N/A</x:v>
      </x:c>
    </x:row>
    <x:row r="429">
      <x:c r="A429" t="str">
        <x:v>51</x:v>
      </x:c>
      <x:c r="B429" t="str">
        <x:v>26750</x:v>
      </x:c>
      <x:c r="C429" t="str">
        <x:v>21</x:v>
      </x:c>
      <x:c r="D429" t="str">
        <x:v>971601</x:v>
      </x:c>
      <x:c r="E429" t="str">
        <x:v>PE AL 2250X50X9 RTO RL80 REC PET BCO(ULT</x:v>
      </x:c>
      <x:c r="F429" t="str"/>
      <x:c r="G429" t="str"/>
      <x:c r="H429" t="str"/>
      <x:c r="I429" t="str">
        <x:v>ESMALTE</x:v>
      </x:c>
      <x:c r="J429" t="str">
        <x:v>BRANCO CARRARA</x:v>
      </x:c>
      <x:c r="K429" t="str">
        <x:v>0</x:v>
      </x:c>
      <x:c r="L429" t="str">
        <x:v>10</x:v>
      </x:c>
      <x:c r="M429" t="str">
        <x:v>0</x:v>
      </x:c>
      <x:c r="N429" t="str"/>
      <x:c r="O429" t="str"/>
      <x:c r="P429" t="str">
        <x:v>Liberada Para Producao</x:v>
      </x:c>
      <x:c r="Q429" t="str">
        <x:v>609878</x:v>
      </x:c>
      <x:c r="R429" t="str">
        <x:v>0</x:v>
      </x:c>
      <x:c r="S429" t="str"/>
      <x:c r="T429" t="str"/>
      <x:c r="U429" t="str"/>
      <x:c r="V429" t="str"/>
      <x:c r="W429" t="str">
        <x:v>N/A</x:v>
      </x:c>
      <x:c r="X429" t="str">
        <x:v>0</x:v>
      </x:c>
      <x:c r="Y429" t="str">
        <x:v>0</x:v>
      </x:c>
      <x:c r="Z429" t="str">
        <x:v>0</x:v>
      </x:c>
      <x:c r="AA429" t="str">
        <x:v>N/A</x:v>
      </x:c>
      <x:c r="AB429" t="str">
        <x:v>N/A</x:v>
      </x:c>
      <x:c r="AC429" t="str">
        <x:v>N/A</x:v>
      </x:c>
      <x:c r="AD429" t="str">
        <x:v>N/A</x:v>
      </x:c>
      <x:c r="AE429" t="str">
        <x:v>N/A</x:v>
      </x:c>
    </x:row>
    <x:row r="430">
      <x:c r="A430" t="str">
        <x:v>51</x:v>
      </x:c>
      <x:c r="B430" t="str">
        <x:v>26750</x:v>
      </x:c>
      <x:c r="C430" t="str">
        <x:v>21</x:v>
      </x:c>
      <x:c r="D430" t="str">
        <x:v>421010005</x:v>
      </x:c>
      <x:c r="E430" t="str">
        <x:v>FO POR COL HDF 3 RU 2100X620X35 ESM BCO</x:v>
      </x:c>
      <x:c r="F430" t="str"/>
      <x:c r="G430" t="str"/>
      <x:c r="H430" t="str"/>
      <x:c r="I430" t="str">
        <x:v>ESMALTE</x:v>
      </x:c>
      <x:c r="J430" t="str">
        <x:v>BRANCO CARRARA</x:v>
      </x:c>
      <x:c r="K430" t="str">
        <x:v>0</x:v>
      </x:c>
      <x:c r="L430" t="str">
        <x:v>5</x:v>
      </x:c>
      <x:c r="M430" t="str">
        <x:v>0,228</x:v>
      </x:c>
      <x:c r="N430" t="str"/>
      <x:c r="O430" t="str"/>
      <x:c r="P430" t="str">
        <x:v>Liberada Para Producao</x:v>
      </x:c>
      <x:c r="Q430" t="str">
        <x:v>609879</x:v>
      </x:c>
      <x:c r="R430" t="str">
        <x:v>33,33</x:v>
      </x:c>
      <x:c r="S430" t="str">
        <x:v>1</x:v>
      </x:c>
      <x:c r="T430" t="str">
        <x:v>PORTA LINHA PREMIUM</x:v>
      </x:c>
      <x:c r="U430" t="str"/>
      <x:c r="V430" t="str"/>
      <x:c r="W430" t="str">
        <x:v>N/A</x:v>
      </x:c>
      <x:c r="X430" t="str">
        <x:v>100</x:v>
      </x:c>
      <x:c r="Y430" t="str">
        <x:v>N/A</x:v>
      </x:c>
      <x:c r="Z430" t="str">
        <x:v>N/A</x:v>
      </x:c>
      <x:c r="AA430" t="str">
        <x:v>N/A</x:v>
      </x:c>
      <x:c r="AB430" t="str">
        <x:v>0</x:v>
      </x:c>
      <x:c r="AC430" t="str">
        <x:v>N/A</x:v>
      </x:c>
      <x:c r="AD430" t="str">
        <x:v>0</x:v>
      </x:c>
      <x:c r="AE430" t="str">
        <x:v>N/A</x:v>
      </x:c>
    </x:row>
    <x:row r="431">
      <x:c r="A431" t="str">
        <x:v>51</x:v>
      </x:c>
      <x:c r="B431" t="str">
        <x:v>26750</x:v>
      </x:c>
      <x:c r="C431" t="str">
        <x:v>21</x:v>
      </x:c>
      <x:c r="D431" t="str">
        <x:v>2010700591</x:v>
      </x:c>
      <x:c r="E431" t="str">
        <x:v>CJ M ULTRA PET BCO CAR 2110X90X30 42X10</x:v>
      </x:c>
      <x:c r="F431" t="str"/>
      <x:c r="G431" t="str"/>
      <x:c r="H431" t="str"/>
      <x:c r="I431" t="str">
        <x:v>ESMALTE</x:v>
      </x:c>
      <x:c r="J431" t="str">
        <x:v>BRANCO CARRARA</x:v>
      </x:c>
      <x:c r="K431" t="str">
        <x:v>0</x:v>
      </x:c>
      <x:c r="L431" t="str">
        <x:v>10</x:v>
      </x:c>
      <x:c r="M431" t="str">
        <x:v>0,057</x:v>
      </x:c>
      <x:c r="N431" t="str"/>
      <x:c r="O431" t="str"/>
      <x:c r="P431" t="str">
        <x:v>Liberada Para Producao</x:v>
      </x:c>
      <x:c r="Q431" t="str">
        <x:v>609880</x:v>
      </x:c>
      <x:c r="R431" t="str">
        <x:v>0</x:v>
      </x:c>
      <x:c r="S431" t="str">
        <x:v>1500</x:v>
      </x:c>
      <x:c r="T431" t="str">
        <x:v>PERNA DE BATENTE PREMIUM(SEMIA</x:v>
      </x:c>
      <x:c r="U431" t="str"/>
      <x:c r="V431" t="str"/>
      <x:c r="W431" t="str">
        <x:v>N/A</x:v>
      </x:c>
      <x:c r="X431" t="str">
        <x:v>N/A</x:v>
      </x:c>
      <x:c r="Y431" t="str">
        <x:v>N/A</x:v>
      </x:c>
      <x:c r="Z431" t="str">
        <x:v>0</x:v>
      </x:c>
      <x:c r="AA431" t="str">
        <x:v>0</x:v>
      </x:c>
      <x:c r="AB431" t="str">
        <x:v>N/A</x:v>
      </x:c>
      <x:c r="AC431" t="str">
        <x:v>N/A</x:v>
      </x:c>
      <x:c r="AD431" t="str">
        <x:v>N/A</x:v>
      </x:c>
      <x:c r="AE431" t="str">
        <x:v>N/A</x:v>
      </x:c>
    </x:row>
    <x:row r="432">
      <x:c r="A432" t="str">
        <x:v>51</x:v>
      </x:c>
      <x:c r="B432" t="str">
        <x:v>26750</x:v>
      </x:c>
      <x:c r="C432" t="str">
        <x:v>21</x:v>
      </x:c>
      <x:c r="D432" t="str">
        <x:v>2010700704</x:v>
      </x:c>
      <x:c r="E432" t="str">
        <x:v>M ULTRA PET BCO CAR 667X90X30 42X10 R2L</x:v>
      </x:c>
      <x:c r="F432" t="str"/>
      <x:c r="G432" t="str"/>
      <x:c r="H432" t="str"/>
      <x:c r="I432" t="str">
        <x:v>ESMALTE</x:v>
      </x:c>
      <x:c r="J432" t="str">
        <x:v>BRANCO CARRARA</x:v>
      </x:c>
      <x:c r="K432" t="str">
        <x:v>0</x:v>
      </x:c>
      <x:c r="L432" t="str">
        <x:v>5</x:v>
      </x:c>
      <x:c r="M432" t="str">
        <x:v>0,009</x:v>
      </x:c>
      <x:c r="N432" t="str"/>
      <x:c r="O432" t="str"/>
      <x:c r="P432" t="str">
        <x:v>Liberada Para Producao</x:v>
      </x:c>
      <x:c r="Q432" t="str">
        <x:v>609881</x:v>
      </x:c>
      <x:c r="R432" t="str">
        <x:v>0</x:v>
      </x:c>
      <x:c r="S432" t="str">
        <x:v>1501</x:v>
      </x:c>
      <x:c r="T432" t="str">
        <x:v>TRAV. BAT. 680 PET/PVC(SEMI)</x:v>
      </x:c>
      <x:c r="U432" t="str"/>
      <x:c r="V432" t="str"/>
      <x:c r="W432" t="str">
        <x:v>N/A</x:v>
      </x:c>
      <x:c r="X432" t="str">
        <x:v>N/A</x:v>
      </x:c>
      <x:c r="Y432" t="str">
        <x:v>N/A</x:v>
      </x:c>
      <x:c r="Z432" t="str">
        <x:v>0</x:v>
      </x:c>
      <x:c r="AA432" t="str">
        <x:v>0</x:v>
      </x:c>
      <x:c r="AB432" t="str">
        <x:v>N/A</x:v>
      </x:c>
      <x:c r="AC432" t="str">
        <x:v>N/A</x:v>
      </x:c>
      <x:c r="AD432" t="str">
        <x:v>N/A</x:v>
      </x:c>
      <x:c r="AE432" t="str">
        <x:v>N/A</x:v>
      </x:c>
    </x:row>
    <x:row r="433">
      <x:c r="A433" t="str">
        <x:v>51</x:v>
      </x:c>
      <x:c r="B433" t="str">
        <x:v>26750</x:v>
      </x:c>
      <x:c r="C433" t="str">
        <x:v>22</x:v>
      </x:c>
      <x:c r="D433" t="str">
        <x:v>919640</x:v>
      </x:c>
      <x:c r="E433" t="str">
        <x:v>TR AL 1100X50X9 RTO LME REC PET BCO (ULT</x:v>
      </x:c>
      <x:c r="F433" t="str"/>
      <x:c r="G433" t="str"/>
      <x:c r="H433" t="str"/>
      <x:c r="I433" t="str">
        <x:v>ESMALTE</x:v>
      </x:c>
      <x:c r="J433" t="str">
        <x:v>BRANCO CARRARA</x:v>
      </x:c>
      <x:c r="K433" t="str">
        <x:v>0</x:v>
      </x:c>
      <x:c r="L433" t="str">
        <x:v>19</x:v>
      </x:c>
      <x:c r="M433" t="str">
        <x:v>0</x:v>
      </x:c>
      <x:c r="N433" t="str"/>
      <x:c r="O433" t="str"/>
      <x:c r="P433" t="str">
        <x:v>Liberada Para Producao</x:v>
      </x:c>
      <x:c r="Q433" t="str">
        <x:v>609883</x:v>
      </x:c>
      <x:c r="R433" t="str">
        <x:v>0</x:v>
      </x:c>
      <x:c r="S433" t="str"/>
      <x:c r="T433" t="str"/>
      <x:c r="U433" t="str"/>
      <x:c r="V433" t="str"/>
      <x:c r="W433" t="str">
        <x:v>N/A</x:v>
      </x:c>
      <x:c r="X433" t="str">
        <x:v>0</x:v>
      </x:c>
      <x:c r="Y433" t="str">
        <x:v>0</x:v>
      </x:c>
      <x:c r="Z433" t="str">
        <x:v>0</x:v>
      </x:c>
      <x:c r="AA433" t="str">
        <x:v>0</x:v>
      </x:c>
      <x:c r="AB433" t="str">
        <x:v>N/A</x:v>
      </x:c>
      <x:c r="AC433" t="str">
        <x:v>N/A</x:v>
      </x:c>
      <x:c r="AD433" t="str">
        <x:v>N/A</x:v>
      </x:c>
      <x:c r="AE433" t="str">
        <x:v>N/A</x:v>
      </x:c>
    </x:row>
    <x:row r="434">
      <x:c r="A434" t="str">
        <x:v>51</x:v>
      </x:c>
      <x:c r="B434" t="str">
        <x:v>26750</x:v>
      </x:c>
      <x:c r="C434" t="str">
        <x:v>22</x:v>
      </x:c>
      <x:c r="D434" t="str">
        <x:v>959077</x:v>
      </x:c>
      <x:c r="E434" t="str">
        <x:v>2110x110x30 42x10 R2 RT BIA PET BC U(UL)</x:v>
      </x:c>
      <x:c r="F434" t="str"/>
      <x:c r="G434" t="str"/>
      <x:c r="H434" t="str"/>
      <x:c r="I434" t="str">
        <x:v>ESMALTE</x:v>
      </x:c>
      <x:c r="J434" t="str">
        <x:v>BRANCO CARRARA</x:v>
      </x:c>
      <x:c r="K434" t="str">
        <x:v>0</x:v>
      </x:c>
      <x:c r="L434" t="str">
        <x:v>38</x:v>
      </x:c>
      <x:c r="M434" t="str">
        <x:v>0</x:v>
      </x:c>
      <x:c r="N434" t="str"/>
      <x:c r="O434" t="str"/>
      <x:c r="P434" t="str">
        <x:v>Liberada Para Producao</x:v>
      </x:c>
      <x:c r="Q434" t="str">
        <x:v>609884</x:v>
      </x:c>
      <x:c r="R434" t="str">
        <x:v>0</x:v>
      </x:c>
      <x:c r="S434" t="str"/>
      <x:c r="T434" t="str"/>
      <x:c r="U434" t="str"/>
      <x:c r="V434" t="str"/>
      <x:c r="W434" t="str">
        <x:v>N/A</x:v>
      </x:c>
      <x:c r="X434" t="str">
        <x:v>N/A</x:v>
      </x:c>
      <x:c r="Y434" t="str">
        <x:v>N/A</x:v>
      </x:c>
      <x:c r="Z434" t="str">
        <x:v>0</x:v>
      </x:c>
      <x:c r="AA434" t="str">
        <x:v>0</x:v>
      </x:c>
      <x:c r="AB434" t="str">
        <x:v>N/A</x:v>
      </x:c>
      <x:c r="AC434" t="str">
        <x:v>N/A</x:v>
      </x:c>
      <x:c r="AD434" t="str">
        <x:v>N/A</x:v>
      </x:c>
      <x:c r="AE434" t="str">
        <x:v>N/A</x:v>
      </x:c>
    </x:row>
    <x:row r="435">
      <x:c r="A435" t="str">
        <x:v>51</x:v>
      </x:c>
      <x:c r="B435" t="str">
        <x:v>26750</x:v>
      </x:c>
      <x:c r="C435" t="str">
        <x:v>22</x:v>
      </x:c>
      <x:c r="D435" t="str">
        <x:v>963311</x:v>
      </x:c>
      <x:c r="E435" t="str">
        <x:v>PE AL 2250X50X9 RTO LME REC PET BCO(ULTR</x:v>
      </x:c>
      <x:c r="F435" t="str"/>
      <x:c r="G435" t="str"/>
      <x:c r="H435" t="str"/>
      <x:c r="I435" t="str">
        <x:v>ESMALTE</x:v>
      </x:c>
      <x:c r="J435" t="str">
        <x:v>BRANCO CARRARA</x:v>
      </x:c>
      <x:c r="K435" t="str">
        <x:v>0</x:v>
      </x:c>
      <x:c r="L435" t="str">
        <x:v>38</x:v>
      </x:c>
      <x:c r="M435" t="str">
        <x:v>0</x:v>
      </x:c>
      <x:c r="N435" t="str"/>
      <x:c r="O435" t="str"/>
      <x:c r="P435" t="str">
        <x:v>Liberada Para Producao</x:v>
      </x:c>
      <x:c r="Q435" t="str">
        <x:v>609885</x:v>
      </x:c>
      <x:c r="R435" t="str">
        <x:v>0</x:v>
      </x:c>
      <x:c r="S435" t="str"/>
      <x:c r="T435" t="str"/>
      <x:c r="U435" t="str"/>
      <x:c r="V435" t="str"/>
      <x:c r="W435" t="str">
        <x:v>N/A</x:v>
      </x:c>
      <x:c r="X435" t="str">
        <x:v>0</x:v>
      </x:c>
      <x:c r="Y435" t="str">
        <x:v>0</x:v>
      </x:c>
      <x:c r="Z435" t="str">
        <x:v>0</x:v>
      </x:c>
      <x:c r="AA435" t="str">
        <x:v>N/A</x:v>
      </x:c>
      <x:c r="AB435" t="str">
        <x:v>N/A</x:v>
      </x:c>
      <x:c r="AC435" t="str">
        <x:v>N/A</x:v>
      </x:c>
      <x:c r="AD435" t="str">
        <x:v>N/A</x:v>
      </x:c>
      <x:c r="AE435" t="str">
        <x:v>N/A</x:v>
      </x:c>
    </x:row>
    <x:row r="436">
      <x:c r="A436" t="str">
        <x:v>51</x:v>
      </x:c>
      <x:c r="B436" t="str">
        <x:v>26750</x:v>
      </x:c>
      <x:c r="C436" t="str">
        <x:v>22</x:v>
      </x:c>
      <x:c r="D436" t="str">
        <x:v>966149</x:v>
      </x:c>
      <x:c r="E436" t="str">
        <x:v>TR AL 1100X50X9 RTO RL80 REC PET BCO (UL</x:v>
      </x:c>
      <x:c r="F436" t="str"/>
      <x:c r="G436" t="str"/>
      <x:c r="H436" t="str"/>
      <x:c r="I436" t="str">
        <x:v>ESMALTE</x:v>
      </x:c>
      <x:c r="J436" t="str">
        <x:v>BRANCO CARRARA</x:v>
      </x:c>
      <x:c r="K436" t="str">
        <x:v>0</x:v>
      </x:c>
      <x:c r="L436" t="str">
        <x:v>19</x:v>
      </x:c>
      <x:c r="M436" t="str">
        <x:v>0</x:v>
      </x:c>
      <x:c r="N436" t="str"/>
      <x:c r="O436" t="str"/>
      <x:c r="P436" t="str">
        <x:v>Liberada Para Producao</x:v>
      </x:c>
      <x:c r="Q436" t="str">
        <x:v>609886</x:v>
      </x:c>
      <x:c r="R436" t="str">
        <x:v>0</x:v>
      </x:c>
      <x:c r="S436" t="str"/>
      <x:c r="T436" t="str"/>
      <x:c r="U436" t="str"/>
      <x:c r="V436" t="str"/>
      <x:c r="W436" t="str">
        <x:v>N/A</x:v>
      </x:c>
      <x:c r="X436" t="str">
        <x:v>0</x:v>
      </x:c>
      <x:c r="Y436" t="str">
        <x:v>0</x:v>
      </x:c>
      <x:c r="Z436" t="str">
        <x:v>0</x:v>
      </x:c>
      <x:c r="AA436" t="str">
        <x:v>0</x:v>
      </x:c>
      <x:c r="AB436" t="str">
        <x:v>N/A</x:v>
      </x:c>
      <x:c r="AC436" t="str">
        <x:v>N/A</x:v>
      </x:c>
      <x:c r="AD436" t="str">
        <x:v>N/A</x:v>
      </x:c>
      <x:c r="AE436" t="str">
        <x:v>N/A</x:v>
      </x:c>
    </x:row>
    <x:row r="437">
      <x:c r="A437" t="str">
        <x:v>51</x:v>
      </x:c>
      <x:c r="B437" t="str">
        <x:v>26750</x:v>
      </x:c>
      <x:c r="C437" t="str">
        <x:v>22</x:v>
      </x:c>
      <x:c r="D437" t="str">
        <x:v>971601</x:v>
      </x:c>
      <x:c r="E437" t="str">
        <x:v>PE AL 2250X50X9 RTO RL80 REC PET BCO(ULT</x:v>
      </x:c>
      <x:c r="F437" t="str"/>
      <x:c r="G437" t="str"/>
      <x:c r="H437" t="str"/>
      <x:c r="I437" t="str">
        <x:v>ESMALTE</x:v>
      </x:c>
      <x:c r="J437" t="str">
        <x:v>BRANCO CARRARA</x:v>
      </x:c>
      <x:c r="K437" t="str">
        <x:v>0</x:v>
      </x:c>
      <x:c r="L437" t="str">
        <x:v>38</x:v>
      </x:c>
      <x:c r="M437" t="str">
        <x:v>0</x:v>
      </x:c>
      <x:c r="N437" t="str"/>
      <x:c r="O437" t="str"/>
      <x:c r="P437" t="str">
        <x:v>Liberada Para Producao</x:v>
      </x:c>
      <x:c r="Q437" t="str">
        <x:v>609887</x:v>
      </x:c>
      <x:c r="R437" t="str">
        <x:v>0</x:v>
      </x:c>
      <x:c r="S437" t="str"/>
      <x:c r="T437" t="str"/>
      <x:c r="U437" t="str"/>
      <x:c r="V437" t="str"/>
      <x:c r="W437" t="str">
        <x:v>N/A</x:v>
      </x:c>
      <x:c r="X437" t="str">
        <x:v>0</x:v>
      </x:c>
      <x:c r="Y437" t="str">
        <x:v>0</x:v>
      </x:c>
      <x:c r="Z437" t="str">
        <x:v>0</x:v>
      </x:c>
      <x:c r="AA437" t="str">
        <x:v>N/A</x:v>
      </x:c>
      <x:c r="AB437" t="str">
        <x:v>N/A</x:v>
      </x:c>
      <x:c r="AC437" t="str">
        <x:v>N/A</x:v>
      </x:c>
      <x:c r="AD437" t="str">
        <x:v>N/A</x:v>
      </x:c>
      <x:c r="AE437" t="str">
        <x:v>N/A</x:v>
      </x:c>
    </x:row>
    <x:row r="438">
      <x:c r="A438" t="str">
        <x:v>51</x:v>
      </x:c>
      <x:c r="B438" t="str">
        <x:v>26750</x:v>
      </x:c>
      <x:c r="C438" t="str">
        <x:v>22</x:v>
      </x:c>
      <x:c r="D438" t="str">
        <x:v>974316</x:v>
      </x:c>
      <x:c r="E438" t="str">
        <x:v>667x110x30 42x10 R2L RT BIA PET BC (UL)</x:v>
      </x:c>
      <x:c r="F438" t="str"/>
      <x:c r="G438" t="str"/>
      <x:c r="H438" t="str"/>
      <x:c r="I438" t="str">
        <x:v>ESMALTE</x:v>
      </x:c>
      <x:c r="J438" t="str">
        <x:v>BRANCO CARRARA</x:v>
      </x:c>
      <x:c r="K438" t="str">
        <x:v>0</x:v>
      </x:c>
      <x:c r="L438" t="str">
        <x:v>19</x:v>
      </x:c>
      <x:c r="M438" t="str">
        <x:v>0,042</x:v>
      </x:c>
      <x:c r="N438" t="str"/>
      <x:c r="O438" t="str"/>
      <x:c r="P438" t="str">
        <x:v>Liberada Para Producao</x:v>
      </x:c>
      <x:c r="Q438" t="str">
        <x:v>609888</x:v>
      </x:c>
      <x:c r="R438" t="str">
        <x:v>0</x:v>
      </x:c>
      <x:c r="S438" t="str"/>
      <x:c r="T438" t="str"/>
      <x:c r="U438" t="str"/>
      <x:c r="V438" t="str"/>
      <x:c r="W438" t="str">
        <x:v>N/A</x:v>
      </x:c>
      <x:c r="X438" t="str">
        <x:v>N/A</x:v>
      </x:c>
      <x:c r="Y438" t="str">
        <x:v>N/A</x:v>
      </x:c>
      <x:c r="Z438" t="str">
        <x:v>0</x:v>
      </x:c>
      <x:c r="AA438" t="str">
        <x:v>0</x:v>
      </x:c>
      <x:c r="AB438" t="str">
        <x:v>N/A</x:v>
      </x:c>
      <x:c r="AC438" t="str">
        <x:v>N/A</x:v>
      </x:c>
      <x:c r="AD438" t="str">
        <x:v>N/A</x:v>
      </x:c>
      <x:c r="AE438" t="str">
        <x:v>N/A</x:v>
      </x:c>
    </x:row>
    <x:row r="439">
      <x:c r="A439" t="str">
        <x:v>51</x:v>
      </x:c>
      <x:c r="B439" t="str">
        <x:v>26750</x:v>
      </x:c>
      <x:c r="C439" t="str">
        <x:v>22</x:v>
      </x:c>
      <x:c r="D439" t="str">
        <x:v>421010005</x:v>
      </x:c>
      <x:c r="E439" t="str">
        <x:v>FO POR COL HDF 3 RU 2100X620X35 ESM BCO</x:v>
      </x:c>
      <x:c r="F439" t="str"/>
      <x:c r="G439" t="str"/>
      <x:c r="H439" t="str"/>
      <x:c r="I439" t="str">
        <x:v>ESMALTE</x:v>
      </x:c>
      <x:c r="J439" t="str">
        <x:v>BRANCO CARRARA</x:v>
      </x:c>
      <x:c r="K439" t="str">
        <x:v>0</x:v>
      </x:c>
      <x:c r="L439" t="str">
        <x:v>19</x:v>
      </x:c>
      <x:c r="M439" t="str">
        <x:v>0,866</x:v>
      </x:c>
      <x:c r="N439" t="str"/>
      <x:c r="O439" t="str"/>
      <x:c r="P439" t="str">
        <x:v>Liberada Para Producao</x:v>
      </x:c>
      <x:c r="Q439" t="str">
        <x:v>609889</x:v>
      </x:c>
      <x:c r="R439" t="str">
        <x:v>33,33</x:v>
      </x:c>
      <x:c r="S439" t="str">
        <x:v>1</x:v>
      </x:c>
      <x:c r="T439" t="str">
        <x:v>PORTA LINHA PREMIUM</x:v>
      </x:c>
      <x:c r="U439" t="str"/>
      <x:c r="V439" t="str"/>
      <x:c r="W439" t="str">
        <x:v>N/A</x:v>
      </x:c>
      <x:c r="X439" t="str">
        <x:v>100</x:v>
      </x:c>
      <x:c r="Y439" t="str">
        <x:v>N/A</x:v>
      </x:c>
      <x:c r="Z439" t="str">
        <x:v>N/A</x:v>
      </x:c>
      <x:c r="AA439" t="str">
        <x:v>N/A</x:v>
      </x:c>
      <x:c r="AB439" t="str">
        <x:v>0</x:v>
      </x:c>
      <x:c r="AC439" t="str">
        <x:v>N/A</x:v>
      </x:c>
      <x:c r="AD439" t="str">
        <x:v>0</x:v>
      </x:c>
      <x:c r="AE439" t="str">
        <x:v>N/A</x:v>
      </x:c>
    </x:row>
    <x:row r="440">
      <x:c r="A440" t="str">
        <x:v>51</x:v>
      </x:c>
      <x:c r="B440" t="str">
        <x:v>26750</x:v>
      </x:c>
      <x:c r="C440" t="str">
        <x:v>23</x:v>
      </x:c>
      <x:c r="D440" t="str">
        <x:v>919640</x:v>
      </x:c>
      <x:c r="E440" t="str">
        <x:v>TR AL 1100X50X9 RTO LME REC PET BCO (ULT</x:v>
      </x:c>
      <x:c r="F440" t="str"/>
      <x:c r="G440" t="str"/>
      <x:c r="H440" t="str"/>
      <x:c r="I440" t="str">
        <x:v>ESMALTE</x:v>
      </x:c>
      <x:c r="J440" t="str">
        <x:v>BRANCO CARRARA</x:v>
      </x:c>
      <x:c r="K440" t="str">
        <x:v>0</x:v>
      </x:c>
      <x:c r="L440" t="str">
        <x:v>4</x:v>
      </x:c>
      <x:c r="M440" t="str">
        <x:v>0</x:v>
      </x:c>
      <x:c r="N440" t="str"/>
      <x:c r="O440" t="str"/>
      <x:c r="P440" t="str">
        <x:v>Liberada Para Producao</x:v>
      </x:c>
      <x:c r="Q440" t="str">
        <x:v>609891</x:v>
      </x:c>
      <x:c r="R440" t="str">
        <x:v>0</x:v>
      </x:c>
      <x:c r="S440" t="str"/>
      <x:c r="T440" t="str"/>
      <x:c r="U440" t="str"/>
      <x:c r="V440" t="str"/>
      <x:c r="W440" t="str">
        <x:v>N/A</x:v>
      </x:c>
      <x:c r="X440" t="str">
        <x:v>0</x:v>
      </x:c>
      <x:c r="Y440" t="str">
        <x:v>0</x:v>
      </x:c>
      <x:c r="Z440" t="str">
        <x:v>0</x:v>
      </x:c>
      <x:c r="AA440" t="str">
        <x:v>0</x:v>
      </x:c>
      <x:c r="AB440" t="str">
        <x:v>N/A</x:v>
      </x:c>
      <x:c r="AC440" t="str">
        <x:v>N/A</x:v>
      </x:c>
      <x:c r="AD440" t="str">
        <x:v>N/A</x:v>
      </x:c>
      <x:c r="AE440" t="str">
        <x:v>N/A</x:v>
      </x:c>
    </x:row>
    <x:row r="441">
      <x:c r="A441" t="str">
        <x:v>51</x:v>
      </x:c>
      <x:c r="B441" t="str">
        <x:v>26684</x:v>
      </x:c>
      <x:c r="C441" t="str">
        <x:v>9</x:v>
      </x:c>
      <x:c r="D441" t="str">
        <x:v>966817</x:v>
      </x:c>
      <x:c r="E441" t="str">
        <x:v>867x130x30 42x10 R2L RT BIA PET STD PREM</x:v>
      </x:c>
      <x:c r="F441" t="str"/>
      <x:c r="G441" t="str"/>
      <x:c r="H441" t="str"/>
      <x:c r="I441" t="str">
        <x:v>ESMALTE</x:v>
      </x:c>
      <x:c r="J441" t="str">
        <x:v>BRANCO CARRARA</x:v>
      </x:c>
      <x:c r="K441" t="str">
        <x:v>0</x:v>
      </x:c>
      <x:c r="L441" t="str">
        <x:v>57</x:v>
      </x:c>
      <x:c r="M441" t="str">
        <x:v>0</x:v>
      </x:c>
      <x:c r="N441" t="str">
        <x:v>4500262368</x:v>
      </x:c>
      <x:c r="O441" t="str"/>
      <x:c r="P441" t="str">
        <x:v>Liberada Para Producao</x:v>
      </x:c>
      <x:c r="Q441" t="str">
        <x:v>609176</x:v>
      </x:c>
      <x:c r="R441" t="str">
        <x:v>0</x:v>
      </x:c>
      <x:c r="S441" t="str"/>
      <x:c r="T441" t="str"/>
      <x:c r="U441" t="str"/>
      <x:c r="V441" t="str"/>
      <x:c r="W441" t="str">
        <x:v>N/A</x:v>
      </x:c>
      <x:c r="X441" t="str">
        <x:v>N/A</x:v>
      </x:c>
      <x:c r="Y441" t="str">
        <x:v>N/A</x:v>
      </x:c>
      <x:c r="Z441" t="str">
        <x:v>0</x:v>
      </x:c>
      <x:c r="AA441" t="str">
        <x:v>0</x:v>
      </x:c>
      <x:c r="AB441" t="str">
        <x:v>N/A</x:v>
      </x:c>
      <x:c r="AC441" t="str">
        <x:v>N/A</x:v>
      </x:c>
      <x:c r="AD441" t="str">
        <x:v>N/A</x:v>
      </x:c>
      <x:c r="AE441" t="str">
        <x:v>N/A</x:v>
      </x:c>
    </x:row>
    <x:row r="442">
      <x:c r="A442" t="str">
        <x:v>51</x:v>
      </x:c>
      <x:c r="B442" t="str">
        <x:v>26750</x:v>
      </x:c>
      <x:c r="C442" t="str">
        <x:v>23</x:v>
      </x:c>
      <x:c r="D442" t="str">
        <x:v>963311</x:v>
      </x:c>
      <x:c r="E442" t="str">
        <x:v>PE AL 2250X50X9 RTO LME REC PET BCO(ULTR</x:v>
      </x:c>
      <x:c r="F442" t="str"/>
      <x:c r="G442" t="str"/>
      <x:c r="H442" t="str"/>
      <x:c r="I442" t="str">
        <x:v>ESMALTE</x:v>
      </x:c>
      <x:c r="J442" t="str">
        <x:v>BRANCO CARRARA</x:v>
      </x:c>
      <x:c r="K442" t="str">
        <x:v>0</x:v>
      </x:c>
      <x:c r="L442" t="str">
        <x:v>8</x:v>
      </x:c>
      <x:c r="M442" t="str">
        <x:v>0</x:v>
      </x:c>
      <x:c r="N442" t="str"/>
      <x:c r="O442" t="str"/>
      <x:c r="P442" t="str">
        <x:v>Liberada Para Producao</x:v>
      </x:c>
      <x:c r="Q442" t="str">
        <x:v>609893</x:v>
      </x:c>
      <x:c r="R442" t="str">
        <x:v>0</x:v>
      </x:c>
      <x:c r="S442" t="str"/>
      <x:c r="T442" t="str"/>
      <x:c r="U442" t="str"/>
      <x:c r="V442" t="str"/>
      <x:c r="W442" t="str">
        <x:v>N/A</x:v>
      </x:c>
      <x:c r="X442" t="str">
        <x:v>0</x:v>
      </x:c>
      <x:c r="Y442" t="str">
        <x:v>0</x:v>
      </x:c>
      <x:c r="Z442" t="str">
        <x:v>0</x:v>
      </x:c>
      <x:c r="AA442" t="str">
        <x:v>N/A</x:v>
      </x:c>
      <x:c r="AB442" t="str">
        <x:v>N/A</x:v>
      </x:c>
      <x:c r="AC442" t="str">
        <x:v>N/A</x:v>
      </x:c>
      <x:c r="AD442" t="str">
        <x:v>N/A</x:v>
      </x:c>
      <x:c r="AE442" t="str">
        <x:v>N/A</x:v>
      </x:c>
    </x:row>
    <x:row r="443">
      <x:c r="A443" t="str">
        <x:v>51</x:v>
      </x:c>
      <x:c r="B443" t="str">
        <x:v>26750</x:v>
      </x:c>
      <x:c r="C443" t="str">
        <x:v>23</x:v>
      </x:c>
      <x:c r="D443" t="str">
        <x:v>966149</x:v>
      </x:c>
      <x:c r="E443" t="str">
        <x:v>TR AL 1100X50X9 RTO RL80 REC PET BCO (UL</x:v>
      </x:c>
      <x:c r="F443" t="str"/>
      <x:c r="G443" t="str"/>
      <x:c r="H443" t="str"/>
      <x:c r="I443" t="str">
        <x:v>ESMALTE</x:v>
      </x:c>
      <x:c r="J443" t="str">
        <x:v>BRANCO CARRARA</x:v>
      </x:c>
      <x:c r="K443" t="str">
        <x:v>0</x:v>
      </x:c>
      <x:c r="L443" t="str">
        <x:v>4</x:v>
      </x:c>
      <x:c r="M443" t="str">
        <x:v>0</x:v>
      </x:c>
      <x:c r="N443" t="str"/>
      <x:c r="O443" t="str"/>
      <x:c r="P443" t="str">
        <x:v>Liberada Para Producao</x:v>
      </x:c>
      <x:c r="Q443" t="str">
        <x:v>609894</x:v>
      </x:c>
      <x:c r="R443" t="str">
        <x:v>0</x:v>
      </x:c>
      <x:c r="S443" t="str"/>
      <x:c r="T443" t="str"/>
      <x:c r="U443" t="str"/>
      <x:c r="V443" t="str"/>
      <x:c r="W443" t="str">
        <x:v>N/A</x:v>
      </x:c>
      <x:c r="X443" t="str">
        <x:v>0</x:v>
      </x:c>
      <x:c r="Y443" t="str">
        <x:v>0</x:v>
      </x:c>
      <x:c r="Z443" t="str">
        <x:v>0</x:v>
      </x:c>
      <x:c r="AA443" t="str">
        <x:v>0</x:v>
      </x:c>
      <x:c r="AB443" t="str">
        <x:v>N/A</x:v>
      </x:c>
      <x:c r="AC443" t="str">
        <x:v>N/A</x:v>
      </x:c>
      <x:c r="AD443" t="str">
        <x:v>N/A</x:v>
      </x:c>
      <x:c r="AE443" t="str">
        <x:v>N/A</x:v>
      </x:c>
    </x:row>
    <x:row r="444">
      <x:c r="A444" t="str">
        <x:v>51</x:v>
      </x:c>
      <x:c r="B444" t="str">
        <x:v>26689</x:v>
      </x:c>
      <x:c r="C444" t="str">
        <x:v>3</x:v>
      </x:c>
      <x:c r="D444" t="str">
        <x:v>966817</x:v>
      </x:c>
      <x:c r="E444" t="str">
        <x:v>867x130x30 42x10 R2L RT BIA PET STD PREM</x:v>
      </x:c>
      <x:c r="F444" t="str"/>
      <x:c r="G444" t="str"/>
      <x:c r="H444" t="str"/>
      <x:c r="I444" t="str">
        <x:v>ESMALTE</x:v>
      </x:c>
      <x:c r="J444" t="str">
        <x:v>BRANCO CARRARA</x:v>
      </x:c>
      <x:c r="K444" t="str">
        <x:v>0</x:v>
      </x:c>
      <x:c r="L444" t="str">
        <x:v>61</x:v>
      </x:c>
      <x:c r="M444" t="str">
        <x:v>0</x:v>
      </x:c>
      <x:c r="N444" t="str">
        <x:v>4500262368</x:v>
      </x:c>
      <x:c r="O444" t="str"/>
      <x:c r="P444" t="str">
        <x:v>Liberada Para Producao</x:v>
      </x:c>
      <x:c r="Q444" t="str">
        <x:v>609095</x:v>
      </x:c>
      <x:c r="R444" t="str">
        <x:v>0</x:v>
      </x:c>
      <x:c r="S444" t="str"/>
      <x:c r="T444" t="str"/>
      <x:c r="U444" t="str"/>
      <x:c r="V444" t="str"/>
      <x:c r="W444" t="str">
        <x:v>N/A</x:v>
      </x:c>
      <x:c r="X444" t="str">
        <x:v>N/A</x:v>
      </x:c>
      <x:c r="Y444" t="str">
        <x:v>N/A</x:v>
      </x:c>
      <x:c r="Z444" t="str">
        <x:v>0</x:v>
      </x:c>
      <x:c r="AA444" t="str">
        <x:v>0</x:v>
      </x:c>
      <x:c r="AB444" t="str">
        <x:v>N/A</x:v>
      </x:c>
      <x:c r="AC444" t="str">
        <x:v>N/A</x:v>
      </x:c>
      <x:c r="AD444" t="str">
        <x:v>N/A</x:v>
      </x:c>
      <x:c r="AE444" t="str">
        <x:v>N/A</x:v>
      </x:c>
    </x:row>
    <x:row r="445">
      <x:c r="A445" t="str">
        <x:v>51</x:v>
      </x:c>
      <x:c r="B445" t="str">
        <x:v>26750</x:v>
      </x:c>
      <x:c r="C445" t="str">
        <x:v>23</x:v>
      </x:c>
      <x:c r="D445" t="str">
        <x:v>971601</x:v>
      </x:c>
      <x:c r="E445" t="str">
        <x:v>PE AL 2250X50X9 RTO RL80 REC PET BCO(ULT</x:v>
      </x:c>
      <x:c r="F445" t="str"/>
      <x:c r="G445" t="str"/>
      <x:c r="H445" t="str"/>
      <x:c r="I445" t="str">
        <x:v>ESMALTE</x:v>
      </x:c>
      <x:c r="J445" t="str">
        <x:v>BRANCO CARRARA</x:v>
      </x:c>
      <x:c r="K445" t="str">
        <x:v>0</x:v>
      </x:c>
      <x:c r="L445" t="str">
        <x:v>8</x:v>
      </x:c>
      <x:c r="M445" t="str">
        <x:v>0</x:v>
      </x:c>
      <x:c r="N445" t="str"/>
      <x:c r="O445" t="str"/>
      <x:c r="P445" t="str">
        <x:v>Liberada Para Producao</x:v>
      </x:c>
      <x:c r="Q445" t="str">
        <x:v>609896</x:v>
      </x:c>
      <x:c r="R445" t="str">
        <x:v>0</x:v>
      </x:c>
      <x:c r="S445" t="str"/>
      <x:c r="T445" t="str"/>
      <x:c r="U445" t="str"/>
      <x:c r="V445" t="str"/>
      <x:c r="W445" t="str">
        <x:v>N/A</x:v>
      </x:c>
      <x:c r="X445" t="str">
        <x:v>0</x:v>
      </x:c>
      <x:c r="Y445" t="str">
        <x:v>0</x:v>
      </x:c>
      <x:c r="Z445" t="str">
        <x:v>0</x:v>
      </x:c>
      <x:c r="AA445" t="str">
        <x:v>N/A</x:v>
      </x:c>
      <x:c r="AB445" t="str">
        <x:v>N/A</x:v>
      </x:c>
      <x:c r="AC445" t="str">
        <x:v>N/A</x:v>
      </x:c>
      <x:c r="AD445" t="str">
        <x:v>N/A</x:v>
      </x:c>
      <x:c r="AE445" t="str">
        <x:v>N/A</x:v>
      </x:c>
    </x:row>
    <x:row r="446">
      <x:c r="A446" t="str">
        <x:v>51</x:v>
      </x:c>
      <x:c r="B446" t="str">
        <x:v>26750</x:v>
      </x:c>
      <x:c r="C446" t="str">
        <x:v>23</x:v>
      </x:c>
      <x:c r="D446" t="str">
        <x:v>421010005</x:v>
      </x:c>
      <x:c r="E446" t="str">
        <x:v>FO POR COL HDF 3 RU 2100X620X35 ESM BCO</x:v>
      </x:c>
      <x:c r="F446" t="str"/>
      <x:c r="G446" t="str"/>
      <x:c r="H446" t="str"/>
      <x:c r="I446" t="str">
        <x:v>ESMALTE</x:v>
      </x:c>
      <x:c r="J446" t="str">
        <x:v>BRANCO CARRARA</x:v>
      </x:c>
      <x:c r="K446" t="str">
        <x:v>0</x:v>
      </x:c>
      <x:c r="L446" t="str">
        <x:v>4</x:v>
      </x:c>
      <x:c r="M446" t="str">
        <x:v>0,182</x:v>
      </x:c>
      <x:c r="N446" t="str"/>
      <x:c r="O446" t="str"/>
      <x:c r="P446" t="str">
        <x:v>Liberada Para Producao</x:v>
      </x:c>
      <x:c r="Q446" t="str">
        <x:v>609897</x:v>
      </x:c>
      <x:c r="R446" t="str">
        <x:v>33,33</x:v>
      </x:c>
      <x:c r="S446" t="str">
        <x:v>1</x:v>
      </x:c>
      <x:c r="T446" t="str">
        <x:v>PORTA LINHA PREMIUM</x:v>
      </x:c>
      <x:c r="U446" t="str"/>
      <x:c r="V446" t="str"/>
      <x:c r="W446" t="str">
        <x:v>N/A</x:v>
      </x:c>
      <x:c r="X446" t="str">
        <x:v>100</x:v>
      </x:c>
      <x:c r="Y446" t="str">
        <x:v>N/A</x:v>
      </x:c>
      <x:c r="Z446" t="str">
        <x:v>N/A</x:v>
      </x:c>
      <x:c r="AA446" t="str">
        <x:v>N/A</x:v>
      </x:c>
      <x:c r="AB446" t="str">
        <x:v>0</x:v>
      </x:c>
      <x:c r="AC446" t="str">
        <x:v>N/A</x:v>
      </x:c>
      <x:c r="AD446" t="str">
        <x:v>0</x:v>
      </x:c>
      <x:c r="AE446" t="str">
        <x:v>N/A</x:v>
      </x:c>
    </x:row>
    <x:row r="447">
      <x:c r="A447" t="str">
        <x:v>51</x:v>
      </x:c>
      <x:c r="B447" t="str">
        <x:v>26750</x:v>
      </x:c>
      <x:c r="C447" t="str">
        <x:v>24</x:v>
      </x:c>
      <x:c r="D447" t="str">
        <x:v>675612</x:v>
      </x:c>
      <x:c r="E447" t="str">
        <x:v>2110x150x30 42x10 R2 RT BIA PET BC U(UL)</x:v>
      </x:c>
      <x:c r="F447" t="str"/>
      <x:c r="G447" t="str"/>
      <x:c r="H447" t="str"/>
      <x:c r="I447" t="str">
        <x:v>ESMALTE</x:v>
      </x:c>
      <x:c r="J447" t="str">
        <x:v>BRANCO CARRARA</x:v>
      </x:c>
      <x:c r="K447" t="str">
        <x:v>0</x:v>
      </x:c>
      <x:c r="L447" t="str">
        <x:v>20</x:v>
      </x:c>
      <x:c r="M447" t="str">
        <x:v>0</x:v>
      </x:c>
      <x:c r="N447" t="str"/>
      <x:c r="O447" t="str"/>
      <x:c r="P447" t="str">
        <x:v>Liberada Para Producao</x:v>
      </x:c>
      <x:c r="Q447" t="str">
        <x:v>609899</x:v>
      </x:c>
      <x:c r="R447" t="str">
        <x:v>0</x:v>
      </x:c>
      <x:c r="S447" t="str"/>
      <x:c r="T447" t="str"/>
      <x:c r="U447" t="str"/>
      <x:c r="V447" t="str"/>
      <x:c r="W447" t="str">
        <x:v>N/A</x:v>
      </x:c>
      <x:c r="X447" t="str">
        <x:v>N/A</x:v>
      </x:c>
      <x:c r="Y447" t="str">
        <x:v>N/A</x:v>
      </x:c>
      <x:c r="Z447" t="str">
        <x:v>0</x:v>
      </x:c>
      <x:c r="AA447" t="str">
        <x:v>0</x:v>
      </x:c>
      <x:c r="AB447" t="str">
        <x:v>N/A</x:v>
      </x:c>
      <x:c r="AC447" t="str">
        <x:v>N/A</x:v>
      </x:c>
      <x:c r="AD447" t="str">
        <x:v>N/A</x:v>
      </x:c>
      <x:c r="AE447" t="str">
        <x:v>N/A</x:v>
      </x:c>
    </x:row>
    <x:row r="448">
      <x:c r="A448" t="str">
        <x:v>51</x:v>
      </x:c>
      <x:c r="B448" t="str">
        <x:v>26750</x:v>
      </x:c>
      <x:c r="C448" t="str">
        <x:v>24</x:v>
      </x:c>
      <x:c r="D448" t="str">
        <x:v>919640</x:v>
      </x:c>
      <x:c r="E448" t="str">
        <x:v>TR AL 1100X50X9 RTO LME REC PET BCO (ULT</x:v>
      </x:c>
      <x:c r="F448" t="str"/>
      <x:c r="G448" t="str"/>
      <x:c r="H448" t="str"/>
      <x:c r="I448" t="str">
        <x:v>ESMALTE</x:v>
      </x:c>
      <x:c r="J448" t="str">
        <x:v>BRANCO CARRARA</x:v>
      </x:c>
      <x:c r="K448" t="str">
        <x:v>0</x:v>
      </x:c>
      <x:c r="L448" t="str">
        <x:v>10</x:v>
      </x:c>
      <x:c r="M448" t="str">
        <x:v>0</x:v>
      </x:c>
      <x:c r="N448" t="str"/>
      <x:c r="O448" t="str"/>
      <x:c r="P448" t="str">
        <x:v>Liberada Para Producao</x:v>
      </x:c>
      <x:c r="Q448" t="str">
        <x:v>609900</x:v>
      </x:c>
      <x:c r="R448" t="str">
        <x:v>0</x:v>
      </x:c>
      <x:c r="S448" t="str"/>
      <x:c r="T448" t="str"/>
      <x:c r="U448" t="str"/>
      <x:c r="V448" t="str"/>
      <x:c r="W448" t="str">
        <x:v>N/A</x:v>
      </x:c>
      <x:c r="X448" t="str">
        <x:v>0</x:v>
      </x:c>
      <x:c r="Y448" t="str">
        <x:v>0</x:v>
      </x:c>
      <x:c r="Z448" t="str">
        <x:v>0</x:v>
      </x:c>
      <x:c r="AA448" t="str">
        <x:v>0</x:v>
      </x:c>
      <x:c r="AB448" t="str">
        <x:v>N/A</x:v>
      </x:c>
      <x:c r="AC448" t="str">
        <x:v>N/A</x:v>
      </x:c>
      <x:c r="AD448" t="str">
        <x:v>N/A</x:v>
      </x:c>
      <x:c r="AE448" t="str">
        <x:v>N/A</x:v>
      </x:c>
    </x:row>
    <x:row r="449">
      <x:c r="A449" t="str">
        <x:v>51</x:v>
      </x:c>
      <x:c r="B449" t="str">
        <x:v>26750</x:v>
      </x:c>
      <x:c r="C449" t="str">
        <x:v>24</x:v>
      </x:c>
      <x:c r="D449" t="str">
        <x:v>959621</x:v>
      </x:c>
      <x:c r="E449" t="str">
        <x:v>667x150x30 42x10 R2L BIA PET BRC (UL)</x:v>
      </x:c>
      <x:c r="F449" t="str"/>
      <x:c r="G449" t="str"/>
      <x:c r="H449" t="str"/>
      <x:c r="I449" t="str">
        <x:v>ESMALTE</x:v>
      </x:c>
      <x:c r="J449" t="str">
        <x:v>BRANCO CARRARA</x:v>
      </x:c>
      <x:c r="K449" t="str">
        <x:v>0</x:v>
      </x:c>
      <x:c r="L449" t="str">
        <x:v>10</x:v>
      </x:c>
      <x:c r="M449" t="str">
        <x:v>0</x:v>
      </x:c>
      <x:c r="N449" t="str"/>
      <x:c r="O449" t="str"/>
      <x:c r="P449" t="str">
        <x:v>Liberada Para Producao</x:v>
      </x:c>
      <x:c r="Q449" t="str">
        <x:v>609901</x:v>
      </x:c>
      <x:c r="R449" t="str">
        <x:v>0</x:v>
      </x:c>
      <x:c r="S449" t="str"/>
      <x:c r="T449" t="str"/>
      <x:c r="U449" t="str"/>
      <x:c r="V449" t="str"/>
      <x:c r="W449" t="str">
        <x:v>N/A</x:v>
      </x:c>
      <x:c r="X449" t="str">
        <x:v>N/A</x:v>
      </x:c>
      <x:c r="Y449" t="str">
        <x:v>N/A</x:v>
      </x:c>
      <x:c r="Z449" t="str">
        <x:v>0</x:v>
      </x:c>
      <x:c r="AA449" t="str">
        <x:v>0</x:v>
      </x:c>
      <x:c r="AB449" t="str">
        <x:v>N/A</x:v>
      </x:c>
      <x:c r="AC449" t="str">
        <x:v>N/A</x:v>
      </x:c>
      <x:c r="AD449" t="str">
        <x:v>N/A</x:v>
      </x:c>
      <x:c r="AE449" t="str">
        <x:v>N/A</x:v>
      </x:c>
    </x:row>
    <x:row r="450">
      <x:c r="A450" t="str">
        <x:v>51</x:v>
      </x:c>
      <x:c r="B450" t="str">
        <x:v>26750</x:v>
      </x:c>
      <x:c r="C450" t="str">
        <x:v>24</x:v>
      </x:c>
      <x:c r="D450" t="str">
        <x:v>963311</x:v>
      </x:c>
      <x:c r="E450" t="str">
        <x:v>PE AL 2250X50X9 RTO LME REC PET BCO(ULTR</x:v>
      </x:c>
      <x:c r="F450" t="str"/>
      <x:c r="G450" t="str"/>
      <x:c r="H450" t="str"/>
      <x:c r="I450" t="str">
        <x:v>ESMALTE</x:v>
      </x:c>
      <x:c r="J450" t="str">
        <x:v>BRANCO CARRARA</x:v>
      </x:c>
      <x:c r="K450" t="str">
        <x:v>0</x:v>
      </x:c>
      <x:c r="L450" t="str">
        <x:v>20</x:v>
      </x:c>
      <x:c r="M450" t="str">
        <x:v>0</x:v>
      </x:c>
      <x:c r="N450" t="str"/>
      <x:c r="O450" t="str"/>
      <x:c r="P450" t="str">
        <x:v>Liberada Para Producao</x:v>
      </x:c>
      <x:c r="Q450" t="str">
        <x:v>609902</x:v>
      </x:c>
      <x:c r="R450" t="str">
        <x:v>0</x:v>
      </x:c>
      <x:c r="S450" t="str"/>
      <x:c r="T450" t="str"/>
      <x:c r="U450" t="str"/>
      <x:c r="V450" t="str"/>
      <x:c r="W450" t="str">
        <x:v>N/A</x:v>
      </x:c>
      <x:c r="X450" t="str">
        <x:v>0</x:v>
      </x:c>
      <x:c r="Y450" t="str">
        <x:v>0</x:v>
      </x:c>
      <x:c r="Z450" t="str">
        <x:v>0</x:v>
      </x:c>
      <x:c r="AA450" t="str">
        <x:v>N/A</x:v>
      </x:c>
      <x:c r="AB450" t="str">
        <x:v>N/A</x:v>
      </x:c>
      <x:c r="AC450" t="str">
        <x:v>N/A</x:v>
      </x:c>
      <x:c r="AD450" t="str">
        <x:v>N/A</x:v>
      </x:c>
      <x:c r="AE450" t="str">
        <x:v>N/A</x:v>
      </x:c>
    </x:row>
    <x:row r="451">
      <x:c r="A451" t="str">
        <x:v>51</x:v>
      </x:c>
      <x:c r="B451" t="str">
        <x:v>26750</x:v>
      </x:c>
      <x:c r="C451" t="str">
        <x:v>24</x:v>
      </x:c>
      <x:c r="D451" t="str">
        <x:v>966149</x:v>
      </x:c>
      <x:c r="E451" t="str">
        <x:v>TR AL 1100X50X9 RTO RL80 REC PET BCO (UL</x:v>
      </x:c>
      <x:c r="F451" t="str"/>
      <x:c r="G451" t="str"/>
      <x:c r="H451" t="str"/>
      <x:c r="I451" t="str">
        <x:v>ESMALTE</x:v>
      </x:c>
      <x:c r="J451" t="str">
        <x:v>BRANCO CARRARA</x:v>
      </x:c>
      <x:c r="K451" t="str">
        <x:v>0</x:v>
      </x:c>
      <x:c r="L451" t="str">
        <x:v>10</x:v>
      </x:c>
      <x:c r="M451" t="str">
        <x:v>0</x:v>
      </x:c>
      <x:c r="N451" t="str"/>
      <x:c r="O451" t="str"/>
      <x:c r="P451" t="str">
        <x:v>Liberada Para Producao</x:v>
      </x:c>
      <x:c r="Q451" t="str">
        <x:v>609903</x:v>
      </x:c>
      <x:c r="R451" t="str">
        <x:v>0</x:v>
      </x:c>
      <x:c r="S451" t="str"/>
      <x:c r="T451" t="str"/>
      <x:c r="U451" t="str"/>
      <x:c r="V451" t="str"/>
      <x:c r="W451" t="str">
        <x:v>N/A</x:v>
      </x:c>
      <x:c r="X451" t="str">
        <x:v>0</x:v>
      </x:c>
      <x:c r="Y451" t="str">
        <x:v>0</x:v>
      </x:c>
      <x:c r="Z451" t="str">
        <x:v>0</x:v>
      </x:c>
      <x:c r="AA451" t="str">
        <x:v>0</x:v>
      </x:c>
      <x:c r="AB451" t="str">
        <x:v>N/A</x:v>
      </x:c>
      <x:c r="AC451" t="str">
        <x:v>N/A</x:v>
      </x:c>
      <x:c r="AD451" t="str">
        <x:v>N/A</x:v>
      </x:c>
      <x:c r="AE451" t="str">
        <x:v>N/A</x:v>
      </x:c>
    </x:row>
    <x:row r="452">
      <x:c r="A452" t="str">
        <x:v>51</x:v>
      </x:c>
      <x:c r="B452" t="str">
        <x:v>26750</x:v>
      </x:c>
      <x:c r="C452" t="str">
        <x:v>24</x:v>
      </x:c>
      <x:c r="D452" t="str">
        <x:v>971601</x:v>
      </x:c>
      <x:c r="E452" t="str">
        <x:v>PE AL 2250X50X9 RTO RL80 REC PET BCO(ULT</x:v>
      </x:c>
      <x:c r="F452" t="str"/>
      <x:c r="G452" t="str"/>
      <x:c r="H452" t="str"/>
      <x:c r="I452" t="str">
        <x:v>ESMALTE</x:v>
      </x:c>
      <x:c r="J452" t="str">
        <x:v>BRANCO CARRARA</x:v>
      </x:c>
      <x:c r="K452" t="str">
        <x:v>0</x:v>
      </x:c>
      <x:c r="L452" t="str">
        <x:v>20</x:v>
      </x:c>
      <x:c r="M452" t="str">
        <x:v>0</x:v>
      </x:c>
      <x:c r="N452" t="str"/>
      <x:c r="O452" t="str"/>
      <x:c r="P452" t="str">
        <x:v>Liberada Para Producao</x:v>
      </x:c>
      <x:c r="Q452" t="str">
        <x:v>609904</x:v>
      </x:c>
      <x:c r="R452" t="str">
        <x:v>0</x:v>
      </x:c>
      <x:c r="S452" t="str"/>
      <x:c r="T452" t="str"/>
      <x:c r="U452" t="str"/>
      <x:c r="V452" t="str"/>
      <x:c r="W452" t="str">
        <x:v>N/A</x:v>
      </x:c>
      <x:c r="X452" t="str">
        <x:v>0</x:v>
      </x:c>
      <x:c r="Y452" t="str">
        <x:v>0</x:v>
      </x:c>
      <x:c r="Z452" t="str">
        <x:v>0</x:v>
      </x:c>
      <x:c r="AA452" t="str">
        <x:v>N/A</x:v>
      </x:c>
      <x:c r="AB452" t="str">
        <x:v>N/A</x:v>
      </x:c>
      <x:c r="AC452" t="str">
        <x:v>N/A</x:v>
      </x:c>
      <x:c r="AD452" t="str">
        <x:v>N/A</x:v>
      </x:c>
      <x:c r="AE452" t="str">
        <x:v>N/A</x:v>
      </x:c>
    </x:row>
    <x:row r="453">
      <x:c r="A453" t="str">
        <x:v>51</x:v>
      </x:c>
      <x:c r="B453" t="str">
        <x:v>26750</x:v>
      </x:c>
      <x:c r="C453" t="str">
        <x:v>24</x:v>
      </x:c>
      <x:c r="D453" t="str">
        <x:v>421010005</x:v>
      </x:c>
      <x:c r="E453" t="str">
        <x:v>FO POR COL HDF 3 RU 2100X620X35 ESM BCO</x:v>
      </x:c>
      <x:c r="F453" t="str"/>
      <x:c r="G453" t="str"/>
      <x:c r="H453" t="str"/>
      <x:c r="I453" t="str">
        <x:v>ESMALTE</x:v>
      </x:c>
      <x:c r="J453" t="str">
        <x:v>BRANCO CARRARA</x:v>
      </x:c>
      <x:c r="K453" t="str">
        <x:v>0</x:v>
      </x:c>
      <x:c r="L453" t="str">
        <x:v>10</x:v>
      </x:c>
      <x:c r="M453" t="str">
        <x:v>0,456</x:v>
      </x:c>
      <x:c r="N453" t="str"/>
      <x:c r="O453" t="str"/>
      <x:c r="P453" t="str">
        <x:v>Liberada Para Producao</x:v>
      </x:c>
      <x:c r="Q453" t="str">
        <x:v>609905</x:v>
      </x:c>
      <x:c r="R453" t="str">
        <x:v>66,67</x:v>
      </x:c>
      <x:c r="S453" t="str">
        <x:v>1</x:v>
      </x:c>
      <x:c r="T453" t="str">
        <x:v>PORTA LINHA PREMIUM</x:v>
      </x:c>
      <x:c r="U453" t="str"/>
      <x:c r="V453" t="str"/>
      <x:c r="W453" t="str">
        <x:v>N/A</x:v>
      </x:c>
      <x:c r="X453" t="str">
        <x:v>100</x:v>
      </x:c>
      <x:c r="Y453" t="str">
        <x:v>N/A</x:v>
      </x:c>
      <x:c r="Z453" t="str">
        <x:v>N/A</x:v>
      </x:c>
      <x:c r="AA453" t="str">
        <x:v>N/A</x:v>
      </x:c>
      <x:c r="AB453" t="str">
        <x:v>100</x:v>
      </x:c>
      <x:c r="AC453" t="str">
        <x:v>N/A</x:v>
      </x:c>
      <x:c r="AD453" t="str">
        <x:v>0</x:v>
      </x:c>
      <x:c r="AE453" t="str">
        <x:v>N/A</x:v>
      </x:c>
    </x:row>
    <x:row r="454">
      <x:c r="A454" t="str">
        <x:v>51</x:v>
      </x:c>
      <x:c r="B454" t="str">
        <x:v>26750</x:v>
      </x:c>
      <x:c r="C454" t="str">
        <x:v>25</x:v>
      </x:c>
      <x:c r="D454" t="str">
        <x:v>919640</x:v>
      </x:c>
      <x:c r="E454" t="str">
        <x:v>TR AL 1100X50X9 RTO LME REC PET BCO (ULT</x:v>
      </x:c>
      <x:c r="F454" t="str"/>
      <x:c r="G454" t="str"/>
      <x:c r="H454" t="str"/>
      <x:c r="I454" t="str">
        <x:v>ESMALTE</x:v>
      </x:c>
      <x:c r="J454" t="str">
        <x:v>BRANCO CARRARA</x:v>
      </x:c>
      <x:c r="K454" t="str">
        <x:v>0</x:v>
      </x:c>
      <x:c r="L454" t="str">
        <x:v>3</x:v>
      </x:c>
      <x:c r="M454" t="str">
        <x:v>0</x:v>
      </x:c>
      <x:c r="N454" t="str"/>
      <x:c r="O454" t="str"/>
      <x:c r="P454" t="str">
        <x:v>Liberada Para Producao</x:v>
      </x:c>
      <x:c r="Q454" t="str">
        <x:v>609907</x:v>
      </x:c>
      <x:c r="R454" t="str">
        <x:v>0</x:v>
      </x:c>
      <x:c r="S454" t="str"/>
      <x:c r="T454" t="str"/>
      <x:c r="U454" t="str"/>
      <x:c r="V454" t="str"/>
      <x:c r="W454" t="str">
        <x:v>N/A</x:v>
      </x:c>
      <x:c r="X454" t="str">
        <x:v>0</x:v>
      </x:c>
      <x:c r="Y454" t="str">
        <x:v>0</x:v>
      </x:c>
      <x:c r="Z454" t="str">
        <x:v>0</x:v>
      </x:c>
      <x:c r="AA454" t="str">
        <x:v>0</x:v>
      </x:c>
      <x:c r="AB454" t="str">
        <x:v>N/A</x:v>
      </x:c>
      <x:c r="AC454" t="str">
        <x:v>N/A</x:v>
      </x:c>
      <x:c r="AD454" t="str">
        <x:v>N/A</x:v>
      </x:c>
      <x:c r="AE454" t="str">
        <x:v>N/A</x:v>
      </x:c>
    </x:row>
    <x:row r="455">
      <x:c r="A455" t="str">
        <x:v>51</x:v>
      </x:c>
      <x:c r="B455" t="str">
        <x:v>26750</x:v>
      </x:c>
      <x:c r="C455" t="str">
        <x:v>25</x:v>
      </x:c>
      <x:c r="D455" t="str">
        <x:v>963311</x:v>
      </x:c>
      <x:c r="E455" t="str">
        <x:v>PE AL 2250X50X9 RTO LME REC PET BCO(ULTR</x:v>
      </x:c>
      <x:c r="F455" t="str"/>
      <x:c r="G455" t="str"/>
      <x:c r="H455" t="str"/>
      <x:c r="I455" t="str">
        <x:v>ESMALTE</x:v>
      </x:c>
      <x:c r="J455" t="str">
        <x:v>BRANCO CARRARA</x:v>
      </x:c>
      <x:c r="K455" t="str">
        <x:v>0</x:v>
      </x:c>
      <x:c r="L455" t="str">
        <x:v>6</x:v>
      </x:c>
      <x:c r="M455" t="str">
        <x:v>0</x:v>
      </x:c>
      <x:c r="N455" t="str"/>
      <x:c r="O455" t="str"/>
      <x:c r="P455" t="str">
        <x:v>Liberada Para Producao</x:v>
      </x:c>
      <x:c r="Q455" t="str">
        <x:v>609908</x:v>
      </x:c>
      <x:c r="R455" t="str">
        <x:v>0</x:v>
      </x:c>
      <x:c r="S455" t="str"/>
      <x:c r="T455" t="str"/>
      <x:c r="U455" t="str"/>
      <x:c r="V455" t="str"/>
      <x:c r="W455" t="str">
        <x:v>N/A</x:v>
      </x:c>
      <x:c r="X455" t="str">
        <x:v>0</x:v>
      </x:c>
      <x:c r="Y455" t="str">
        <x:v>0</x:v>
      </x:c>
      <x:c r="Z455" t="str">
        <x:v>0</x:v>
      </x:c>
      <x:c r="AA455" t="str">
        <x:v>N/A</x:v>
      </x:c>
      <x:c r="AB455" t="str">
        <x:v>N/A</x:v>
      </x:c>
      <x:c r="AC455" t="str">
        <x:v>N/A</x:v>
      </x:c>
      <x:c r="AD455" t="str">
        <x:v>N/A</x:v>
      </x:c>
      <x:c r="AE455" t="str">
        <x:v>N/A</x:v>
      </x:c>
    </x:row>
    <x:row r="456">
      <x:c r="A456" t="str">
        <x:v>51</x:v>
      </x:c>
      <x:c r="B456" t="str">
        <x:v>26750</x:v>
      </x:c>
      <x:c r="C456" t="str">
        <x:v>25</x:v>
      </x:c>
      <x:c r="D456" t="str">
        <x:v>966149</x:v>
      </x:c>
      <x:c r="E456" t="str">
        <x:v>TR AL 1100X50X9 RTO RL80 REC PET BCO (UL</x:v>
      </x:c>
      <x:c r="F456" t="str"/>
      <x:c r="G456" t="str"/>
      <x:c r="H456" t="str"/>
      <x:c r="I456" t="str">
        <x:v>ESMALTE</x:v>
      </x:c>
      <x:c r="J456" t="str">
        <x:v>BRANCO CARRARA</x:v>
      </x:c>
      <x:c r="K456" t="str">
        <x:v>0</x:v>
      </x:c>
      <x:c r="L456" t="str">
        <x:v>3</x:v>
      </x:c>
      <x:c r="M456" t="str">
        <x:v>0</x:v>
      </x:c>
      <x:c r="N456" t="str"/>
      <x:c r="O456" t="str"/>
      <x:c r="P456" t="str">
        <x:v>Liberada Para Producao</x:v>
      </x:c>
      <x:c r="Q456" t="str">
        <x:v>609909</x:v>
      </x:c>
      <x:c r="R456" t="str">
        <x:v>0</x:v>
      </x:c>
      <x:c r="S456" t="str"/>
      <x:c r="T456" t="str"/>
      <x:c r="U456" t="str"/>
      <x:c r="V456" t="str"/>
      <x:c r="W456" t="str">
        <x:v>N/A</x:v>
      </x:c>
      <x:c r="X456" t="str">
        <x:v>0</x:v>
      </x:c>
      <x:c r="Y456" t="str">
        <x:v>0</x:v>
      </x:c>
      <x:c r="Z456" t="str">
        <x:v>0</x:v>
      </x:c>
      <x:c r="AA456" t="str">
        <x:v>0</x:v>
      </x:c>
      <x:c r="AB456" t="str">
        <x:v>N/A</x:v>
      </x:c>
      <x:c r="AC456" t="str">
        <x:v>N/A</x:v>
      </x:c>
      <x:c r="AD456" t="str">
        <x:v>N/A</x:v>
      </x:c>
      <x:c r="AE456" t="str">
        <x:v>N/A</x:v>
      </x:c>
    </x:row>
    <x:row r="457">
      <x:c r="A457" t="str">
        <x:v>51</x:v>
      </x:c>
      <x:c r="B457" t="str">
        <x:v>26750</x:v>
      </x:c>
      <x:c r="C457" t="str">
        <x:v>25</x:v>
      </x:c>
      <x:c r="D457" t="str">
        <x:v>971601</x:v>
      </x:c>
      <x:c r="E457" t="str">
        <x:v>PE AL 2250X50X9 RTO RL80 REC PET BCO(ULT</x:v>
      </x:c>
      <x:c r="F457" t="str"/>
      <x:c r="G457" t="str"/>
      <x:c r="H457" t="str"/>
      <x:c r="I457" t="str">
        <x:v>ESMALTE</x:v>
      </x:c>
      <x:c r="J457" t="str">
        <x:v>BRANCO CARRARA</x:v>
      </x:c>
      <x:c r="K457" t="str">
        <x:v>0</x:v>
      </x:c>
      <x:c r="L457" t="str">
        <x:v>6</x:v>
      </x:c>
      <x:c r="M457" t="str">
        <x:v>0</x:v>
      </x:c>
      <x:c r="N457" t="str"/>
      <x:c r="O457" t="str"/>
      <x:c r="P457" t="str">
        <x:v>Liberada Para Producao</x:v>
      </x:c>
      <x:c r="Q457" t="str">
        <x:v>609910</x:v>
      </x:c>
      <x:c r="R457" t="str">
        <x:v>0</x:v>
      </x:c>
      <x:c r="S457" t="str"/>
      <x:c r="T457" t="str"/>
      <x:c r="U457" t="str"/>
      <x:c r="V457" t="str"/>
      <x:c r="W457" t="str">
        <x:v>N/A</x:v>
      </x:c>
      <x:c r="X457" t="str">
        <x:v>0</x:v>
      </x:c>
      <x:c r="Y457" t="str">
        <x:v>0</x:v>
      </x:c>
      <x:c r="Z457" t="str">
        <x:v>0</x:v>
      </x:c>
      <x:c r="AA457" t="str">
        <x:v>N/A</x:v>
      </x:c>
      <x:c r="AB457" t="str">
        <x:v>N/A</x:v>
      </x:c>
      <x:c r="AC457" t="str">
        <x:v>N/A</x:v>
      </x:c>
      <x:c r="AD457" t="str">
        <x:v>N/A</x:v>
      </x:c>
      <x:c r="AE457" t="str">
        <x:v>N/A</x:v>
      </x:c>
    </x:row>
    <x:row r="458">
      <x:c r="A458" t="str">
        <x:v>51</x:v>
      </x:c>
      <x:c r="B458" t="str">
        <x:v>26750</x:v>
      </x:c>
      <x:c r="C458" t="str">
        <x:v>25</x:v>
      </x:c>
      <x:c r="D458" t="str">
        <x:v>421010005</x:v>
      </x:c>
      <x:c r="E458" t="str">
        <x:v>FO POR COL HDF 3 RU 2100X620X35 ESM BCO</x:v>
      </x:c>
      <x:c r="F458" t="str"/>
      <x:c r="G458" t="str"/>
      <x:c r="H458" t="str"/>
      <x:c r="I458" t="str">
        <x:v>ESMALTE</x:v>
      </x:c>
      <x:c r="J458" t="str">
        <x:v>BRANCO CARRARA</x:v>
      </x:c>
      <x:c r="K458" t="str">
        <x:v>0</x:v>
      </x:c>
      <x:c r="L458" t="str">
        <x:v>3</x:v>
      </x:c>
      <x:c r="M458" t="str">
        <x:v>0,137</x:v>
      </x:c>
      <x:c r="N458" t="str"/>
      <x:c r="O458" t="str"/>
      <x:c r="P458" t="str">
        <x:v>Liberada Para Producao</x:v>
      </x:c>
      <x:c r="Q458" t="str">
        <x:v>609911</x:v>
      </x:c>
      <x:c r="R458" t="str">
        <x:v>33,33</x:v>
      </x:c>
      <x:c r="S458" t="str">
        <x:v>1</x:v>
      </x:c>
      <x:c r="T458" t="str">
        <x:v>PORTA LINHA PREMIUM</x:v>
      </x:c>
      <x:c r="U458" t="str"/>
      <x:c r="V458" t="str"/>
      <x:c r="W458" t="str">
        <x:v>N/A</x:v>
      </x:c>
      <x:c r="X458" t="str">
        <x:v>100</x:v>
      </x:c>
      <x:c r="Y458" t="str">
        <x:v>N/A</x:v>
      </x:c>
      <x:c r="Z458" t="str">
        <x:v>N/A</x:v>
      </x:c>
      <x:c r="AA458" t="str">
        <x:v>N/A</x:v>
      </x:c>
      <x:c r="AB458" t="str">
        <x:v>0</x:v>
      </x:c>
      <x:c r="AC458" t="str">
        <x:v>N/A</x:v>
      </x:c>
      <x:c r="AD458" t="str">
        <x:v>0</x:v>
      </x:c>
      <x:c r="AE458" t="str">
        <x:v>N/A</x:v>
      </x:c>
    </x:row>
    <x:row r="459">
      <x:c r="A459" t="str">
        <x:v>51</x:v>
      </x:c>
      <x:c r="B459" t="str">
        <x:v>26750</x:v>
      </x:c>
      <x:c r="C459" t="str">
        <x:v>25</x:v>
      </x:c>
      <x:c r="D459" t="str">
        <x:v>2010700697</x:v>
      </x:c>
      <x:c r="E459" t="str">
        <x:v>M ULTRA PET BCO CAR 2110X170X30 42X10 R2</x:v>
      </x:c>
      <x:c r="F459" t="str"/>
      <x:c r="G459" t="str"/>
      <x:c r="H459" t="str"/>
      <x:c r="I459" t="str">
        <x:v>ESMALTE</x:v>
      </x:c>
      <x:c r="J459" t="str">
        <x:v>BRANCO CARRARA</x:v>
      </x:c>
      <x:c r="K459" t="str">
        <x:v>0</x:v>
      </x:c>
      <x:c r="L459" t="str">
        <x:v>6</x:v>
      </x:c>
      <x:c r="M459" t="str">
        <x:v>0,065</x:v>
      </x:c>
      <x:c r="N459" t="str"/>
      <x:c r="O459" t="str"/>
      <x:c r="P459" t="str">
        <x:v>Liberada Para Producao</x:v>
      </x:c>
      <x:c r="Q459" t="str">
        <x:v>609912</x:v>
      </x:c>
      <x:c r="R459" t="str">
        <x:v>0</x:v>
      </x:c>
      <x:c r="S459" t="str">
        <x:v>1500</x:v>
      </x:c>
      <x:c r="T459" t="str">
        <x:v>PERNA DE BATENTE PREMIUM(SEMIA</x:v>
      </x:c>
      <x:c r="U459" t="str"/>
      <x:c r="V459" t="str"/>
      <x:c r="W459" t="str">
        <x:v>N/A</x:v>
      </x:c>
      <x:c r="X459" t="str">
        <x:v>N/A</x:v>
      </x:c>
      <x:c r="Y459" t="str">
        <x:v>N/A</x:v>
      </x:c>
      <x:c r="Z459" t="str">
        <x:v>0</x:v>
      </x:c>
      <x:c r="AA459" t="str">
        <x:v>0</x:v>
      </x:c>
      <x:c r="AB459" t="str">
        <x:v>N/A</x:v>
      </x:c>
      <x:c r="AC459" t="str">
        <x:v>N/A</x:v>
      </x:c>
      <x:c r="AD459" t="str">
        <x:v>N/A</x:v>
      </x:c>
      <x:c r="AE459" t="str">
        <x:v>N/A</x:v>
      </x:c>
    </x:row>
    <x:row r="460">
      <x:c r="A460" t="str">
        <x:v>51</x:v>
      </x:c>
      <x:c r="B460" t="str">
        <x:v>26750</x:v>
      </x:c>
      <x:c r="C460" t="str">
        <x:v>25</x:v>
      </x:c>
      <x:c r="D460" t="str">
        <x:v>2010701230</x:v>
      </x:c>
      <x:c r="E460" t="str">
        <x:v>M ULTRA PET BCO CAR 667X170X30 42X10 R2L</x:v>
      </x:c>
      <x:c r="F460" t="str"/>
      <x:c r="G460" t="str"/>
      <x:c r="H460" t="str"/>
      <x:c r="I460" t="str">
        <x:v>ESMALTE</x:v>
      </x:c>
      <x:c r="J460" t="str">
        <x:v>BRANCO CARRARA</x:v>
      </x:c>
      <x:c r="K460" t="str">
        <x:v>0</x:v>
      </x:c>
      <x:c r="L460" t="str">
        <x:v>3</x:v>
      </x:c>
      <x:c r="M460" t="str">
        <x:v>0,01</x:v>
      </x:c>
      <x:c r="N460" t="str"/>
      <x:c r="O460" t="str"/>
      <x:c r="P460" t="str">
        <x:v>Liberada Para Producao</x:v>
      </x:c>
      <x:c r="Q460" t="str">
        <x:v>609913</x:v>
      </x:c>
      <x:c r="R460" t="str">
        <x:v>0</x:v>
      </x:c>
      <x:c r="S460" t="str">
        <x:v>1501</x:v>
      </x:c>
      <x:c r="T460" t="str">
        <x:v>TRAV. BAT. 680 PET/PVC(SEMI)</x:v>
      </x:c>
      <x:c r="U460" t="str"/>
      <x:c r="V460" t="str"/>
      <x:c r="W460" t="str">
        <x:v>N/A</x:v>
      </x:c>
      <x:c r="X460" t="str">
        <x:v>N/A</x:v>
      </x:c>
      <x:c r="Y460" t="str">
        <x:v>N/A</x:v>
      </x:c>
      <x:c r="Z460" t="str">
        <x:v>0</x:v>
      </x:c>
      <x:c r="AA460" t="str">
        <x:v>0</x:v>
      </x:c>
      <x:c r="AB460" t="str">
        <x:v>N/A</x:v>
      </x:c>
      <x:c r="AC460" t="str">
        <x:v>N/A</x:v>
      </x:c>
      <x:c r="AD460" t="str">
        <x:v>N/A</x:v>
      </x:c>
      <x:c r="AE460" t="str">
        <x:v>N/A</x:v>
      </x:c>
    </x:row>
    <x:row r="461">
      <x:c r="A461" t="str">
        <x:v>51</x:v>
      </x:c>
      <x:c r="B461" t="str">
        <x:v>26750</x:v>
      </x:c>
      <x:c r="C461" t="str">
        <x:v>26</x:v>
      </x:c>
      <x:c r="D461" t="str">
        <x:v>919640</x:v>
      </x:c>
      <x:c r="E461" t="str">
        <x:v>TR AL 1100X50X9 RTO LME REC PET BCO (ULT</x:v>
      </x:c>
      <x:c r="F461" t="str"/>
      <x:c r="G461" t="str"/>
      <x:c r="H461" t="str"/>
      <x:c r="I461" t="str">
        <x:v>ESMALTE</x:v>
      </x:c>
      <x:c r="J461" t="str">
        <x:v>BRANCO CARRARA</x:v>
      </x:c>
      <x:c r="K461" t="str">
        <x:v>0</x:v>
      </x:c>
      <x:c r="L461" t="str">
        <x:v>2</x:v>
      </x:c>
      <x:c r="M461" t="str">
        <x:v>0</x:v>
      </x:c>
      <x:c r="N461" t="str"/>
      <x:c r="O461" t="str"/>
      <x:c r="P461" t="str">
        <x:v>Liberada Para Producao</x:v>
      </x:c>
      <x:c r="Q461" t="str">
        <x:v>609916</x:v>
      </x:c>
      <x:c r="R461" t="str">
        <x:v>0</x:v>
      </x:c>
      <x:c r="S461" t="str"/>
      <x:c r="T461" t="str"/>
      <x:c r="U461" t="str"/>
      <x:c r="V461" t="str"/>
      <x:c r="W461" t="str">
        <x:v>N/A</x:v>
      </x:c>
      <x:c r="X461" t="str">
        <x:v>0</x:v>
      </x:c>
      <x:c r="Y461" t="str">
        <x:v>0</x:v>
      </x:c>
      <x:c r="Z461" t="str">
        <x:v>0</x:v>
      </x:c>
      <x:c r="AA461" t="str">
        <x:v>0</x:v>
      </x:c>
      <x:c r="AB461" t="str">
        <x:v>N/A</x:v>
      </x:c>
      <x:c r="AC461" t="str">
        <x:v>N/A</x:v>
      </x:c>
      <x:c r="AD461" t="str">
        <x:v>N/A</x:v>
      </x:c>
      <x:c r="AE461" t="str">
        <x:v>N/A</x:v>
      </x:c>
    </x:row>
    <x:row r="462">
      <x:c r="A462" t="str">
        <x:v>51</x:v>
      </x:c>
      <x:c r="B462" t="str">
        <x:v>26750</x:v>
      </x:c>
      <x:c r="C462" t="str">
        <x:v>26</x:v>
      </x:c>
      <x:c r="D462" t="str">
        <x:v>959077</x:v>
      </x:c>
      <x:c r="E462" t="str">
        <x:v>2110x110x30 42x10 R2 RT BIA PET BC U(UL)</x:v>
      </x:c>
      <x:c r="F462" t="str"/>
      <x:c r="G462" t="str"/>
      <x:c r="H462" t="str"/>
      <x:c r="I462" t="str">
        <x:v>ESMALTE</x:v>
      </x:c>
      <x:c r="J462" t="str">
        <x:v>BRANCO CARRARA</x:v>
      </x:c>
      <x:c r="K462" t="str">
        <x:v>0</x:v>
      </x:c>
      <x:c r="L462" t="str">
        <x:v>4</x:v>
      </x:c>
      <x:c r="M462" t="str">
        <x:v>0</x:v>
      </x:c>
      <x:c r="N462" t="str"/>
      <x:c r="O462" t="str"/>
      <x:c r="P462" t="str">
        <x:v>Liberada Para Producao</x:v>
      </x:c>
      <x:c r="Q462" t="str">
        <x:v>609917</x:v>
      </x:c>
      <x:c r="R462" t="str">
        <x:v>0</x:v>
      </x:c>
      <x:c r="S462" t="str"/>
      <x:c r="T462" t="str"/>
      <x:c r="U462" t="str"/>
      <x:c r="V462" t="str"/>
      <x:c r="W462" t="str">
        <x:v>N/A</x:v>
      </x:c>
      <x:c r="X462" t="str">
        <x:v>N/A</x:v>
      </x:c>
      <x:c r="Y462" t="str">
        <x:v>N/A</x:v>
      </x:c>
      <x:c r="Z462" t="str">
        <x:v>0</x:v>
      </x:c>
      <x:c r="AA462" t="str">
        <x:v>0</x:v>
      </x:c>
      <x:c r="AB462" t="str">
        <x:v>N/A</x:v>
      </x:c>
      <x:c r="AC462" t="str">
        <x:v>N/A</x:v>
      </x:c>
      <x:c r="AD462" t="str">
        <x:v>N/A</x:v>
      </x:c>
      <x:c r="AE462" t="str">
        <x:v>N/A</x:v>
      </x:c>
    </x:row>
    <x:row r="463">
      <x:c r="A463" t="str">
        <x:v>51</x:v>
      </x:c>
      <x:c r="B463" t="str">
        <x:v>26750</x:v>
      </x:c>
      <x:c r="C463" t="str">
        <x:v>26</x:v>
      </x:c>
      <x:c r="D463" t="str">
        <x:v>963311</x:v>
      </x:c>
      <x:c r="E463" t="str">
        <x:v>PE AL 2250X50X9 RTO LME REC PET BCO(ULTR</x:v>
      </x:c>
      <x:c r="F463" t="str"/>
      <x:c r="G463" t="str"/>
      <x:c r="H463" t="str"/>
      <x:c r="I463" t="str">
        <x:v>ESMALTE</x:v>
      </x:c>
      <x:c r="J463" t="str">
        <x:v>BRANCO CARRARA</x:v>
      </x:c>
      <x:c r="K463" t="str">
        <x:v>0</x:v>
      </x:c>
      <x:c r="L463" t="str">
        <x:v>4</x:v>
      </x:c>
      <x:c r="M463" t="str">
        <x:v>0</x:v>
      </x:c>
      <x:c r="N463" t="str"/>
      <x:c r="O463" t="str"/>
      <x:c r="P463" t="str">
        <x:v>Liberada Para Producao</x:v>
      </x:c>
      <x:c r="Q463" t="str">
        <x:v>609921</x:v>
      </x:c>
      <x:c r="R463" t="str">
        <x:v>0</x:v>
      </x:c>
      <x:c r="S463" t="str"/>
      <x:c r="T463" t="str"/>
      <x:c r="U463" t="str"/>
      <x:c r="V463" t="str"/>
      <x:c r="W463" t="str">
        <x:v>N/A</x:v>
      </x:c>
      <x:c r="X463" t="str">
        <x:v>0</x:v>
      </x:c>
      <x:c r="Y463" t="str">
        <x:v>0</x:v>
      </x:c>
      <x:c r="Z463" t="str">
        <x:v>0</x:v>
      </x:c>
      <x:c r="AA463" t="str">
        <x:v>N/A</x:v>
      </x:c>
      <x:c r="AB463" t="str">
        <x:v>N/A</x:v>
      </x:c>
      <x:c r="AC463" t="str">
        <x:v>N/A</x:v>
      </x:c>
      <x:c r="AD463" t="str">
        <x:v>N/A</x:v>
      </x:c>
      <x:c r="AE463" t="str">
        <x:v>N/A</x:v>
      </x:c>
    </x:row>
    <x:row r="464">
      <x:c r="A464" t="str">
        <x:v>51</x:v>
      </x:c>
      <x:c r="B464" t="str">
        <x:v>26750</x:v>
      </x:c>
      <x:c r="C464" t="str">
        <x:v>26</x:v>
      </x:c>
      <x:c r="D464" t="str">
        <x:v>966149</x:v>
      </x:c>
      <x:c r="E464" t="str">
        <x:v>TR AL 1100X50X9 RTO RL80 REC PET BCO (UL</x:v>
      </x:c>
      <x:c r="F464" t="str"/>
      <x:c r="G464" t="str"/>
      <x:c r="H464" t="str"/>
      <x:c r="I464" t="str">
        <x:v>ESMALTE</x:v>
      </x:c>
      <x:c r="J464" t="str">
        <x:v>BRANCO CARRARA</x:v>
      </x:c>
      <x:c r="K464" t="str">
        <x:v>0</x:v>
      </x:c>
      <x:c r="L464" t="str">
        <x:v>2</x:v>
      </x:c>
      <x:c r="M464" t="str">
        <x:v>0</x:v>
      </x:c>
      <x:c r="N464" t="str"/>
      <x:c r="O464" t="str"/>
      <x:c r="P464" t="str">
        <x:v>Liberada Para Producao</x:v>
      </x:c>
      <x:c r="Q464" t="str">
        <x:v>609922</x:v>
      </x:c>
      <x:c r="R464" t="str">
        <x:v>0</x:v>
      </x:c>
      <x:c r="S464" t="str"/>
      <x:c r="T464" t="str"/>
      <x:c r="U464" t="str"/>
      <x:c r="V464" t="str"/>
      <x:c r="W464" t="str">
        <x:v>N/A</x:v>
      </x:c>
      <x:c r="X464" t="str">
        <x:v>0</x:v>
      </x:c>
      <x:c r="Y464" t="str">
        <x:v>0</x:v>
      </x:c>
      <x:c r="Z464" t="str">
        <x:v>0</x:v>
      </x:c>
      <x:c r="AA464" t="str">
        <x:v>0</x:v>
      </x:c>
      <x:c r="AB464" t="str">
        <x:v>N/A</x:v>
      </x:c>
      <x:c r="AC464" t="str">
        <x:v>N/A</x:v>
      </x:c>
      <x:c r="AD464" t="str">
        <x:v>N/A</x:v>
      </x:c>
      <x:c r="AE464" t="str">
        <x:v>N/A</x:v>
      </x:c>
    </x:row>
    <x:row r="465">
      <x:c r="A465" t="str">
        <x:v>51</x:v>
      </x:c>
      <x:c r="B465" t="str">
        <x:v>26750</x:v>
      </x:c>
      <x:c r="C465" t="str">
        <x:v>26</x:v>
      </x:c>
      <x:c r="D465" t="str">
        <x:v>971601</x:v>
      </x:c>
      <x:c r="E465" t="str">
        <x:v>PE AL 2250X50X9 RTO RL80 REC PET BCO(ULT</x:v>
      </x:c>
      <x:c r="F465" t="str"/>
      <x:c r="G465" t="str"/>
      <x:c r="H465" t="str"/>
      <x:c r="I465" t="str">
        <x:v>ESMALTE</x:v>
      </x:c>
      <x:c r="J465" t="str">
        <x:v>BRANCO CARRARA</x:v>
      </x:c>
      <x:c r="K465" t="str">
        <x:v>0</x:v>
      </x:c>
      <x:c r="L465" t="str">
        <x:v>4</x:v>
      </x:c>
      <x:c r="M465" t="str">
        <x:v>0</x:v>
      </x:c>
      <x:c r="N465" t="str"/>
      <x:c r="O465" t="str"/>
      <x:c r="P465" t="str">
        <x:v>Liberada Para Producao</x:v>
      </x:c>
      <x:c r="Q465" t="str">
        <x:v>609923</x:v>
      </x:c>
      <x:c r="R465" t="str">
        <x:v>0</x:v>
      </x:c>
      <x:c r="S465" t="str"/>
      <x:c r="T465" t="str"/>
      <x:c r="U465" t="str"/>
      <x:c r="V465" t="str"/>
      <x:c r="W465" t="str">
        <x:v>N/A</x:v>
      </x:c>
      <x:c r="X465" t="str">
        <x:v>0</x:v>
      </x:c>
      <x:c r="Y465" t="str">
        <x:v>0</x:v>
      </x:c>
      <x:c r="Z465" t="str">
        <x:v>0</x:v>
      </x:c>
      <x:c r="AA465" t="str">
        <x:v>N/A</x:v>
      </x:c>
      <x:c r="AB465" t="str">
        <x:v>N/A</x:v>
      </x:c>
      <x:c r="AC465" t="str">
        <x:v>N/A</x:v>
      </x:c>
      <x:c r="AD465" t="str">
        <x:v>N/A</x:v>
      </x:c>
      <x:c r="AE465" t="str">
        <x:v>N/A</x:v>
      </x:c>
    </x:row>
    <x:row r="466">
      <x:c r="A466" t="str">
        <x:v>51</x:v>
      </x:c>
      <x:c r="B466" t="str">
        <x:v>26750</x:v>
      </x:c>
      <x:c r="C466" t="str">
        <x:v>26</x:v>
      </x:c>
      <x:c r="D466" t="str">
        <x:v>974316</x:v>
      </x:c>
      <x:c r="E466" t="str">
        <x:v>667x110x30 42x10 R2L RT BIA PET BC (UL)</x:v>
      </x:c>
      <x:c r="F466" t="str"/>
      <x:c r="G466" t="str"/>
      <x:c r="H466" t="str"/>
      <x:c r="I466" t="str">
        <x:v>ESMALTE</x:v>
      </x:c>
      <x:c r="J466" t="str">
        <x:v>BRANCO CARRARA</x:v>
      </x:c>
      <x:c r="K466" t="str">
        <x:v>0</x:v>
      </x:c>
      <x:c r="L466" t="str">
        <x:v>2</x:v>
      </x:c>
      <x:c r="M466" t="str">
        <x:v>0,004</x:v>
      </x:c>
      <x:c r="N466" t="str"/>
      <x:c r="O466" t="str"/>
      <x:c r="P466" t="str">
        <x:v>Liberada Para Producao</x:v>
      </x:c>
      <x:c r="Q466" t="str">
        <x:v>609924</x:v>
      </x:c>
      <x:c r="R466" t="str">
        <x:v>0</x:v>
      </x:c>
      <x:c r="S466" t="str"/>
      <x:c r="T466" t="str"/>
      <x:c r="U466" t="str"/>
      <x:c r="V466" t="str"/>
      <x:c r="W466" t="str">
        <x:v>N/A</x:v>
      </x:c>
      <x:c r="X466" t="str">
        <x:v>N/A</x:v>
      </x:c>
      <x:c r="Y466" t="str">
        <x:v>N/A</x:v>
      </x:c>
      <x:c r="Z466" t="str">
        <x:v>0</x:v>
      </x:c>
      <x:c r="AA466" t="str">
        <x:v>0</x:v>
      </x:c>
      <x:c r="AB466" t="str">
        <x:v>N/A</x:v>
      </x:c>
      <x:c r="AC466" t="str">
        <x:v>N/A</x:v>
      </x:c>
      <x:c r="AD466" t="str">
        <x:v>N/A</x:v>
      </x:c>
      <x:c r="AE466" t="str">
        <x:v>N/A</x:v>
      </x:c>
    </x:row>
    <x:row r="467">
      <x:c r="A467" t="str">
        <x:v>51</x:v>
      </x:c>
      <x:c r="B467" t="str">
        <x:v>26750</x:v>
      </x:c>
      <x:c r="C467" t="str">
        <x:v>26</x:v>
      </x:c>
      <x:c r="D467" t="str">
        <x:v>3040300238</x:v>
      </x:c>
      <x:c r="E467" t="str">
        <x:v>FO POR COL HDF 3 ESM BCO CAR 2100X620X35</x:v>
      </x:c>
      <x:c r="F467" t="str"/>
      <x:c r="G467" t="str"/>
      <x:c r="H467" t="str"/>
      <x:c r="I467" t="str">
        <x:v>ESMALTE</x:v>
      </x:c>
      <x:c r="J467" t="str">
        <x:v>BRANCO CARRARA</x:v>
      </x:c>
      <x:c r="K467" t="str">
        <x:v>0</x:v>
      </x:c>
      <x:c r="L467" t="str">
        <x:v>2</x:v>
      </x:c>
      <x:c r="M467" t="str">
        <x:v>0,091</x:v>
      </x:c>
      <x:c r="N467" t="str"/>
      <x:c r="O467" t="str"/>
      <x:c r="P467" t="str">
        <x:v>Liberada Para Producao</x:v>
      </x:c>
      <x:c r="Q467" t="str">
        <x:v>609925</x:v>
      </x:c>
      <x:c r="R467" t="str">
        <x:v>66,67</x:v>
      </x:c>
      <x:c r="S467" t="str">
        <x:v>1</x:v>
      </x:c>
      <x:c r="T467" t="str">
        <x:v>PORTA LINHA PREMIUM</x:v>
      </x:c>
      <x:c r="U467" t="str"/>
      <x:c r="V467" t="str"/>
      <x:c r="W467" t="str">
        <x:v>N/A</x:v>
      </x:c>
      <x:c r="X467" t="str">
        <x:v>100</x:v>
      </x:c>
      <x:c r="Y467" t="str">
        <x:v>N/A</x:v>
      </x:c>
      <x:c r="Z467" t="str">
        <x:v>N/A</x:v>
      </x:c>
      <x:c r="AA467" t="str">
        <x:v>N/A</x:v>
      </x:c>
      <x:c r="AB467" t="str">
        <x:v>100</x:v>
      </x:c>
      <x:c r="AC467" t="str">
        <x:v>N/A</x:v>
      </x:c>
      <x:c r="AD467" t="str">
        <x:v>0</x:v>
      </x:c>
      <x:c r="AE467" t="str">
        <x:v>N/A</x:v>
      </x:c>
    </x:row>
    <x:row r="468">
      <x:c r="A468" t="str">
        <x:v>51</x:v>
      </x:c>
      <x:c r="B468" t="str">
        <x:v>26750</x:v>
      </x:c>
      <x:c r="C468" t="str">
        <x:v>26</x:v>
      </x:c>
      <x:c r="D468" t="str">
        <x:v>3190500017</x:v>
      </x:c>
      <x:c r="E468" t="str">
        <x:v>BAG P/VEN PINUS 2200X25X7 RTO PET BCO CA</x:v>
      </x:c>
      <x:c r="F468" t="str"/>
      <x:c r="G468" t="str"/>
      <x:c r="H468" t="str"/>
      <x:c r="I468" t="str">
        <x:v>ESMALTE</x:v>
      </x:c>
      <x:c r="J468" t="str">
        <x:v>BRANCO CARRARA</x:v>
      </x:c>
      <x:c r="K468" t="str">
        <x:v>0</x:v>
      </x:c>
      <x:c r="L468" t="str">
        <x:v>6</x:v>
      </x:c>
      <x:c r="M468" t="str">
        <x:v>0,002</x:v>
      </x:c>
      <x:c r="N468" t="str"/>
      <x:c r="O468" t="str"/>
      <x:c r="P468" t="str">
        <x:v>Liberada Para Producao</x:v>
      </x:c>
      <x:c r="Q468" t="str">
        <x:v>609927</x:v>
      </x:c>
      <x:c r="R468" t="str">
        <x:v>0</x:v>
      </x:c>
      <x:c r="S468" t="str">
        <x:v>500</x:v>
      </x:c>
      <x:c r="T468" t="str">
        <x:v>BAGUETES PET/PVC</x:v>
      </x:c>
      <x:c r="U468" t="str"/>
      <x:c r="V468" t="str"/>
      <x:c r="W468" t="str">
        <x:v>N/A</x:v>
      </x:c>
      <x:c r="X468" t="str">
        <x:v>N/A</x:v>
      </x:c>
      <x:c r="Y468" t="str">
        <x:v>N/A</x:v>
      </x:c>
      <x:c r="Z468" t="str">
        <x:v>N/A</x:v>
      </x:c>
      <x:c r="AA468" t="str">
        <x:v>N/A</x:v>
      </x:c>
      <x:c r="AB468" t="str">
        <x:v>N/A</x:v>
      </x:c>
      <x:c r="AC468" t="str">
        <x:v>N/A</x:v>
      </x:c>
      <x:c r="AD468" t="str">
        <x:v>0</x:v>
      </x:c>
      <x:c r="AE468" t="str">
        <x:v>N/A</x:v>
      </x:c>
    </x:row>
    <x:row r="469">
      <x:c r="A469" t="str">
        <x:v>51</x:v>
      </x:c>
      <x:c r="B469" t="str">
        <x:v>26750</x:v>
      </x:c>
      <x:c r="C469" t="str">
        <x:v>27</x:v>
      </x:c>
      <x:c r="D469" t="str">
        <x:v>3020701844</x:v>
      </x:c>
      <x:c r="E469" t="str">
        <x:v>BAND DOB ULTRA 700X1226X9 PVC R BCO RTO</x:v>
      </x:c>
      <x:c r="F469" t="str"/>
      <x:c r="G469" t="str"/>
      <x:c r="H469" t="str"/>
      <x:c r="I469" t="str">
        <x:v>RECOBERTO PVC RENOLIT</x:v>
      </x:c>
      <x:c r="J469" t="str">
        <x:v>BRANCO</x:v>
      </x:c>
      <x:c r="K469" t="str">
        <x:v>0</x:v>
      </x:c>
      <x:c r="L469" t="str">
        <x:v>3</x:v>
      </x:c>
      <x:c r="M469" t="str">
        <x:v>0,023</x:v>
      </x:c>
      <x:c r="N469" t="str"/>
      <x:c r="O469" t="str"/>
      <x:c r="P469" t="str">
        <x:v>Liberada Para Producao</x:v>
      </x:c>
      <x:c r="Q469" t="str">
        <x:v>609928</x:v>
      </x:c>
      <x:c r="R469" t="str">
        <x:v>0</x:v>
      </x:c>
      <x:c r="S469" t="str"/>
      <x:c r="T469" t="str"/>
      <x:c r="U469" t="str"/>
      <x:c r="V469" t="str"/>
      <x:c r="W469" t="str">
        <x:v>N/A</x:v>
      </x:c>
      <x:c r="X469" t="str">
        <x:v>N/A</x:v>
      </x:c>
      <x:c r="Y469" t="str">
        <x:v>N/A</x:v>
      </x:c>
      <x:c r="Z469" t="str">
        <x:v>N/A</x:v>
      </x:c>
      <x:c r="AA469" t="str">
        <x:v>N/A</x:v>
      </x:c>
      <x:c r="AB469" t="str">
        <x:v>N/A</x:v>
      </x:c>
      <x:c r="AC469" t="str">
        <x:v>0</x:v>
      </x:c>
      <x:c r="AD469" t="str">
        <x:v>0</x:v>
      </x:c>
      <x:c r="AE469" t="str">
        <x:v>N/A</x:v>
      </x:c>
    </x:row>
    <x:row r="470">
      <x:c r="A470" t="str">
        <x:v>51</x:v>
      </x:c>
      <x:c r="B470" t="str">
        <x:v>26766</x:v>
      </x:c>
      <x:c r="C470" t="str">
        <x:v>1</x:v>
      </x:c>
      <x:c r="D470" t="str">
        <x:v>3040300002</x:v>
      </x:c>
      <x:c r="E470" t="str">
        <x:v>FO POR SMT HDF 3 COL RU 2100X700X35 IMP</x:v>
      </x:c>
      <x:c r="F470" t="str">
        <x:v>LISA</x:v>
      </x:c>
      <x:c r="G470" t="str"/>
      <x:c r="H470" t="str"/>
      <x:c r="I470" t="str">
        <x:v>IMPRESSO</x:v>
      </x:c>
      <x:c r="J470" t="str">
        <x:v>MOGNO BRASILEIRO</x:v>
      </x:c>
      <x:c r="K470" t="str">
        <x:v>0</x:v>
      </x:c>
      <x:c r="L470" t="str">
        <x:v>288</x:v>
      </x:c>
      <x:c r="M470" t="str">
        <x:v>14,818</x:v>
      </x:c>
      <x:c r="N470" t="str"/>
      <x:c r="O470" t="str"/>
      <x:c r="P470" t="str">
        <x:v>Liberada Para Producao</x:v>
      </x:c>
      <x:c r="Q470" t="str">
        <x:v>610141</x:v>
      </x:c>
      <x:c r="R470" t="str">
        <x:v>0</x:v>
      </x:c>
      <x:c r="S470" t="str">
        <x:v>11</x:v>
      </x:c>
      <x:c r="T470" t="str">
        <x:v>PORTA LINHA SMART</x:v>
      </x:c>
      <x:c r="U470" t="str">
        <x:v>RU</x:v>
      </x:c>
      <x:c r="V470" t="str"/>
      <x:c r="W470" t="str">
        <x:v>N/A</x:v>
      </x:c>
      <x:c r="X470" t="str">
        <x:v>0</x:v>
      </x:c>
      <x:c r="Y470" t="str">
        <x:v>N/A</x:v>
      </x:c>
      <x:c r="Z470" t="str">
        <x:v>N/A</x:v>
      </x:c>
      <x:c r="AA470" t="str">
        <x:v>N/A</x:v>
      </x:c>
      <x:c r="AB470" t="str">
        <x:v>0</x:v>
      </x:c>
      <x:c r="AC470" t="str">
        <x:v>N/A</x:v>
      </x:c>
      <x:c r="AD470" t="str">
        <x:v>0</x:v>
      </x:c>
      <x:c r="AE470" t="str">
        <x:v>N/A</x:v>
      </x:c>
    </x:row>
    <x:row r="471">
      <x:c r="A471" t="str">
        <x:v>51</x:v>
      </x:c>
      <x:c r="B471" t="str">
        <x:v>26766</x:v>
      </x:c>
      <x:c r="C471" t="str">
        <x:v>2</x:v>
      </x:c>
      <x:c r="D471" t="str">
        <x:v>985752</x:v>
      </x:c>
      <x:c r="E471" t="str">
        <x:v>2110x80x30 42x10R2L R1 BIA PET MOG STD U</x:v>
      </x:c>
      <x:c r="F471" t="str">
        <x:v>MDF STD</x:v>
      </x:c>
      <x:c r="G471" t="str">
        <x:v>C/BORRACHA I APLICADA</x:v>
      </x:c>
      <x:c r="H471" t="str">
        <x:v>C/REB 42X10</x:v>
      </x:c>
      <x:c r="I471" t="str">
        <x:v>RECOBERTO PET TXT</x:v>
      </x:c>
      <x:c r="J471" t="str">
        <x:v>MOGNO BRASILEIRO</x:v>
      </x:c>
      <x:c r="K471" t="str">
        <x:v>0</x:v>
      </x:c>
      <x:c r="L471" t="str">
        <x:v>360</x:v>
      </x:c>
      <x:c r="M471" t="str">
        <x:v>0</x:v>
      </x:c>
      <x:c r="N471" t="str"/>
      <x:c r="O471" t="str"/>
      <x:c r="P471" t="str">
        <x:v>Liberada Para Producao</x:v>
      </x:c>
      <x:c r="Q471" t="str">
        <x:v>610143</x:v>
      </x:c>
      <x:c r="R471" t="str">
        <x:v>0</x:v>
      </x:c>
      <x:c r="S471" t="str"/>
      <x:c r="T471" t="str"/>
      <x:c r="U471" t="str"/>
      <x:c r="V471" t="str"/>
      <x:c r="W471" t="str">
        <x:v>N/A</x:v>
      </x:c>
      <x:c r="X471" t="str">
        <x:v>N/A</x:v>
      </x:c>
      <x:c r="Y471" t="str">
        <x:v>N/A</x:v>
      </x:c>
      <x:c r="Z471" t="str">
        <x:v>0</x:v>
      </x:c>
      <x:c r="AA471" t="str">
        <x:v>0</x:v>
      </x:c>
      <x:c r="AB471" t="str">
        <x:v>N/A</x:v>
      </x:c>
      <x:c r="AC471" t="str">
        <x:v>N/A</x:v>
      </x:c>
      <x:c r="AD471" t="str">
        <x:v>N/A</x:v>
      </x:c>
      <x:c r="AE471" t="str">
        <x:v>N/A</x:v>
      </x:c>
    </x:row>
    <x:row r="472">
      <x:c r="A472" t="str">
        <x:v>51</x:v>
      </x:c>
      <x:c r="B472" t="str">
        <x:v>26766</x:v>
      </x:c>
      <x:c r="C472" t="str">
        <x:v>2</x:v>
      </x:c>
      <x:c r="D472" t="str">
        <x:v>985753</x:v>
      </x:c>
      <x:c r="E472" t="str">
        <x:v>747x80x30 42x10 R2L RT BIA PET MOG STD</x:v>
      </x:c>
      <x:c r="F472" t="str">
        <x:v>MDF STD</x:v>
      </x:c>
      <x:c r="G472" t="str">
        <x:v>C/BORRACHA I APLICADA</x:v>
      </x:c>
      <x:c r="H472" t="str">
        <x:v>C/REB 42X10</x:v>
      </x:c>
      <x:c r="I472" t="str">
        <x:v>RECOBERTO PET TXT</x:v>
      </x:c>
      <x:c r="J472" t="str">
        <x:v>MOGNO BRASILEIRO</x:v>
      </x:c>
      <x:c r="K472" t="str">
        <x:v>0</x:v>
      </x:c>
      <x:c r="L472" t="str">
        <x:v>180</x:v>
      </x:c>
      <x:c r="M472" t="str">
        <x:v>0</x:v>
      </x:c>
      <x:c r="N472" t="str"/>
      <x:c r="O472" t="str"/>
      <x:c r="P472" t="str">
        <x:v>Liberada Para Producao</x:v>
      </x:c>
      <x:c r="Q472" t="str">
        <x:v>610144</x:v>
      </x:c>
      <x:c r="R472" t="str">
        <x:v>0</x:v>
      </x:c>
      <x:c r="S472" t="str"/>
      <x:c r="T472" t="str"/>
      <x:c r="U472" t="str"/>
      <x:c r="V472" t="str"/>
      <x:c r="W472" t="str">
        <x:v>N/A</x:v>
      </x:c>
      <x:c r="X472" t="str">
        <x:v>N/A</x:v>
      </x:c>
      <x:c r="Y472" t="str">
        <x:v>N/A</x:v>
      </x:c>
      <x:c r="Z472" t="str">
        <x:v>0</x:v>
      </x:c>
      <x:c r="AA472" t="str">
        <x:v>0</x:v>
      </x:c>
      <x:c r="AB472" t="str">
        <x:v>N/A</x:v>
      </x:c>
      <x:c r="AC472" t="str">
        <x:v>N/A</x:v>
      </x:c>
      <x:c r="AD472" t="str">
        <x:v>N/A</x:v>
      </x:c>
      <x:c r="AE472" t="str">
        <x:v>N/A</x:v>
      </x:c>
    </x:row>
    <x:row r="473">
      <x:c r="A473" t="str">
        <x:v>51</x:v>
      </x:c>
      <x:c r="B473" t="str">
        <x:v>26766</x:v>
      </x:c>
      <x:c r="C473" t="str">
        <x:v>3</x:v>
      </x:c>
      <x:c r="D473" t="str">
        <x:v>985754</x:v>
      </x:c>
      <x:c r="E473" t="str">
        <x:v>2110x110x30 42x10R2LR1 BIA PET MOG STD U</x:v>
      </x:c>
      <x:c r="F473" t="str">
        <x:v>MDF STD</x:v>
      </x:c>
      <x:c r="G473" t="str">
        <x:v>C/BORRACHA I APLICADA</x:v>
      </x:c>
      <x:c r="H473" t="str">
        <x:v>C/REB 42X10</x:v>
      </x:c>
      <x:c r="I473" t="str">
        <x:v>RECOBERTO PET TXT</x:v>
      </x:c>
      <x:c r="J473" t="str">
        <x:v>MOGNO BRASILEIRO</x:v>
      </x:c>
      <x:c r="K473" t="str">
        <x:v>0</x:v>
      </x:c>
      <x:c r="L473" t="str">
        <x:v>216</x:v>
      </x:c>
      <x:c r="M473" t="str">
        <x:v>0</x:v>
      </x:c>
      <x:c r="N473" t="str"/>
      <x:c r="O473" t="str"/>
      <x:c r="P473" t="str">
        <x:v>Liberada Para Producao</x:v>
      </x:c>
      <x:c r="Q473" t="str">
        <x:v>610146</x:v>
      </x:c>
      <x:c r="R473" t="str">
        <x:v>0</x:v>
      </x:c>
      <x:c r="S473" t="str"/>
      <x:c r="T473" t="str"/>
      <x:c r="U473" t="str"/>
      <x:c r="V473" t="str"/>
      <x:c r="W473" t="str">
        <x:v>N/A</x:v>
      </x:c>
      <x:c r="X473" t="str">
        <x:v>N/A</x:v>
      </x:c>
      <x:c r="Y473" t="str">
        <x:v>N/A</x:v>
      </x:c>
      <x:c r="Z473" t="str">
        <x:v>0</x:v>
      </x:c>
      <x:c r="AA473" t="str">
        <x:v>0</x:v>
      </x:c>
      <x:c r="AB473" t="str">
        <x:v>N/A</x:v>
      </x:c>
      <x:c r="AC473" t="str">
        <x:v>N/A</x:v>
      </x:c>
      <x:c r="AD473" t="str">
        <x:v>N/A</x:v>
      </x:c>
      <x:c r="AE473" t="str">
        <x:v>N/A</x:v>
      </x:c>
    </x:row>
    <x:row r="474">
      <x:c r="A474" t="str">
        <x:v>51</x:v>
      </x:c>
      <x:c r="B474" t="str">
        <x:v>26766</x:v>
      </x:c>
      <x:c r="C474" t="str">
        <x:v>3</x:v>
      </x:c>
      <x:c r="D474" t="str">
        <x:v>985755</x:v>
      </x:c>
      <x:c r="E474" t="str">
        <x:v>747x110x30 42x10 R2L RT BIA PET MOG STD</x:v>
      </x:c>
      <x:c r="F474" t="str">
        <x:v>MDF STD</x:v>
      </x:c>
      <x:c r="G474" t="str">
        <x:v>C/BORRACHA I APLICADA</x:v>
      </x:c>
      <x:c r="H474" t="str">
        <x:v>C/REB 42X10</x:v>
      </x:c>
      <x:c r="I474" t="str">
        <x:v>RECOBERTO PET TXT</x:v>
      </x:c>
      <x:c r="J474" t="str">
        <x:v>MOGNO BRASILEIRO</x:v>
      </x:c>
      <x:c r="K474" t="str">
        <x:v>0</x:v>
      </x:c>
      <x:c r="L474" t="str">
        <x:v>108</x:v>
      </x:c>
      <x:c r="M474" t="str">
        <x:v>0</x:v>
      </x:c>
      <x:c r="N474" t="str"/>
      <x:c r="O474" t="str"/>
      <x:c r="P474" t="str">
        <x:v>Liberada Para Producao</x:v>
      </x:c>
      <x:c r="Q474" t="str">
        <x:v>610147</x:v>
      </x:c>
      <x:c r="R474" t="str">
        <x:v>0</x:v>
      </x:c>
      <x:c r="S474" t="str"/>
      <x:c r="T474" t="str"/>
      <x:c r="U474" t="str"/>
      <x:c r="V474" t="str"/>
      <x:c r="W474" t="str">
        <x:v>N/A</x:v>
      </x:c>
      <x:c r="X474" t="str">
        <x:v>N/A</x:v>
      </x:c>
      <x:c r="Y474" t="str">
        <x:v>N/A</x:v>
      </x:c>
      <x:c r="Z474" t="str">
        <x:v>0</x:v>
      </x:c>
      <x:c r="AA474" t="str">
        <x:v>0</x:v>
      </x:c>
      <x:c r="AB474" t="str">
        <x:v>N/A</x:v>
      </x:c>
      <x:c r="AC474" t="str">
        <x:v>N/A</x:v>
      </x:c>
      <x:c r="AD474" t="str">
        <x:v>N/A</x:v>
      </x:c>
      <x:c r="AE474" t="str">
        <x:v>N/A</x:v>
      </x:c>
    </x:row>
    <x:row r="475">
      <x:c r="A475" t="str">
        <x:v>51</x:v>
      </x:c>
      <x:c r="B475" t="str">
        <x:v>26766</x:v>
      </x:c>
      <x:c r="C475" t="str">
        <x:v>4</x:v>
      </x:c>
      <x:c r="D475" t="str">
        <x:v>3040300003</x:v>
      </x:c>
      <x:c r="E475" t="str">
        <x:v>FO POR SMT HDF 3 COL RU 2100X800X35 IMP</x:v>
      </x:c>
      <x:c r="F475" t="str">
        <x:v>LISA</x:v>
      </x:c>
      <x:c r="G475" t="str"/>
      <x:c r="H475" t="str"/>
      <x:c r="I475" t="str">
        <x:v>IMPRESSO</x:v>
      </x:c>
      <x:c r="J475" t="str">
        <x:v>MOGNO BRASILEIRO</x:v>
      </x:c>
      <x:c r="K475" t="str">
        <x:v>0</x:v>
      </x:c>
      <x:c r="L475" t="str">
        <x:v>324</x:v>
      </x:c>
      <x:c r="M475" t="str">
        <x:v>19,051</x:v>
      </x:c>
      <x:c r="N475" t="str"/>
      <x:c r="O475" t="str"/>
      <x:c r="P475" t="str">
        <x:v>Liberada Para Producao</x:v>
      </x:c>
      <x:c r="Q475" t="str">
        <x:v>610148</x:v>
      </x:c>
      <x:c r="R475" t="str">
        <x:v>0</x:v>
      </x:c>
      <x:c r="S475" t="str">
        <x:v>11</x:v>
      </x:c>
      <x:c r="T475" t="str">
        <x:v>PORTA LINHA SMART</x:v>
      </x:c>
      <x:c r="U475" t="str">
        <x:v>RU</x:v>
      </x:c>
      <x:c r="V475" t="str"/>
      <x:c r="W475" t="str">
        <x:v>N/A</x:v>
      </x:c>
      <x:c r="X475" t="str">
        <x:v>0</x:v>
      </x:c>
      <x:c r="Y475" t="str">
        <x:v>N/A</x:v>
      </x:c>
      <x:c r="Z475" t="str">
        <x:v>N/A</x:v>
      </x:c>
      <x:c r="AA475" t="str">
        <x:v>N/A</x:v>
      </x:c>
      <x:c r="AB475" t="str">
        <x:v>0</x:v>
      </x:c>
      <x:c r="AC475" t="str">
        <x:v>N/A</x:v>
      </x:c>
      <x:c r="AD475" t="str">
        <x:v>0</x:v>
      </x:c>
      <x:c r="AE475" t="str">
        <x:v>N/A</x:v>
      </x:c>
    </x:row>
    <x:row r="476">
      <x:c r="A476" t="str">
        <x:v>51</x:v>
      </x:c>
      <x:c r="B476" t="str">
        <x:v>26766</x:v>
      </x:c>
      <x:c r="C476" t="str">
        <x:v>5</x:v>
      </x:c>
      <x:c r="D476" t="str">
        <x:v>985754</x:v>
      </x:c>
      <x:c r="E476" t="str">
        <x:v>2110x110x30 42x10R2LR1 BIA PET MOG STD U</x:v>
      </x:c>
      <x:c r="F476" t="str">
        <x:v>MDF STD</x:v>
      </x:c>
      <x:c r="G476" t="str">
        <x:v>C/BORRACHA I APLICADA</x:v>
      </x:c>
      <x:c r="H476" t="str">
        <x:v>C/REB 42X10</x:v>
      </x:c>
      <x:c r="I476" t="str">
        <x:v>RECOBERTO PET TXT</x:v>
      </x:c>
      <x:c r="J476" t="str">
        <x:v>MOGNO BRASILEIRO</x:v>
      </x:c>
      <x:c r="K476" t="str">
        <x:v>0</x:v>
      </x:c>
      <x:c r="L476" t="str">
        <x:v>648</x:v>
      </x:c>
      <x:c r="M476" t="str">
        <x:v>0</x:v>
      </x:c>
      <x:c r="N476" t="str"/>
      <x:c r="O476" t="str"/>
      <x:c r="P476" t="str">
        <x:v>Liberada Para Producao</x:v>
      </x:c>
      <x:c r="Q476" t="str">
        <x:v>610150</x:v>
      </x:c>
      <x:c r="R476" t="str">
        <x:v>0</x:v>
      </x:c>
      <x:c r="S476" t="str"/>
      <x:c r="T476" t="str"/>
      <x:c r="U476" t="str"/>
      <x:c r="V476" t="str"/>
      <x:c r="W476" t="str">
        <x:v>N/A</x:v>
      </x:c>
      <x:c r="X476" t="str">
        <x:v>N/A</x:v>
      </x:c>
      <x:c r="Y476" t="str">
        <x:v>N/A</x:v>
      </x:c>
      <x:c r="Z476" t="str">
        <x:v>0</x:v>
      </x:c>
      <x:c r="AA476" t="str">
        <x:v>0</x:v>
      </x:c>
      <x:c r="AB476" t="str">
        <x:v>N/A</x:v>
      </x:c>
      <x:c r="AC476" t="str">
        <x:v>N/A</x:v>
      </x:c>
      <x:c r="AD476" t="str">
        <x:v>N/A</x:v>
      </x:c>
      <x:c r="AE476" t="str">
        <x:v>N/A</x:v>
      </x:c>
    </x:row>
    <x:row r="477">
      <x:c r="A477" t="str">
        <x:v>51</x:v>
      </x:c>
      <x:c r="B477" t="str">
        <x:v>26766</x:v>
      </x:c>
      <x:c r="C477" t="str">
        <x:v>5</x:v>
      </x:c>
      <x:c r="D477" t="str">
        <x:v>985762</x:v>
      </x:c>
      <x:c r="E477" t="str">
        <x:v>847x110x30 42x10 R2L RT BIA PET MOG STD</x:v>
      </x:c>
      <x:c r="F477" t="str">
        <x:v>MDF STD</x:v>
      </x:c>
      <x:c r="G477" t="str">
        <x:v>C/BORRACHA I APLICADA</x:v>
      </x:c>
      <x:c r="H477" t="str">
        <x:v>C/REB 42X10</x:v>
      </x:c>
      <x:c r="I477" t="str">
        <x:v>RECOBERTO PET TXT</x:v>
      </x:c>
      <x:c r="J477" t="str">
        <x:v>MOGNO BRASILEIRO</x:v>
      </x:c>
      <x:c r="K477" t="str">
        <x:v>0</x:v>
      </x:c>
      <x:c r="L477" t="str">
        <x:v>324</x:v>
      </x:c>
      <x:c r="M477" t="str">
        <x:v>0</x:v>
      </x:c>
      <x:c r="N477" t="str"/>
      <x:c r="O477" t="str"/>
      <x:c r="P477" t="str">
        <x:v>Liberada Para Producao</x:v>
      </x:c>
      <x:c r="Q477" t="str">
        <x:v>610151</x:v>
      </x:c>
      <x:c r="R477" t="str">
        <x:v>0</x:v>
      </x:c>
      <x:c r="S477" t="str"/>
      <x:c r="T477" t="str"/>
      <x:c r="U477" t="str"/>
      <x:c r="V477" t="str"/>
      <x:c r="W477" t="str">
        <x:v>N/A</x:v>
      </x:c>
      <x:c r="X477" t="str">
        <x:v>N/A</x:v>
      </x:c>
      <x:c r="Y477" t="str">
        <x:v>N/A</x:v>
      </x:c>
      <x:c r="Z477" t="str">
        <x:v>0</x:v>
      </x:c>
      <x:c r="AA477" t="str">
        <x:v>0</x:v>
      </x:c>
      <x:c r="AB477" t="str">
        <x:v>N/A</x:v>
      </x:c>
      <x:c r="AC477" t="str">
        <x:v>N/A</x:v>
      </x:c>
      <x:c r="AD477" t="str">
        <x:v>N/A</x:v>
      </x:c>
      <x:c r="AE477" t="str">
        <x:v>N/A</x:v>
      </x:c>
    </x:row>
    <x:row r="478">
      <x:c r="A478" t="str">
        <x:v>51</x:v>
      </x:c>
      <x:c r="B478" t="str">
        <x:v>26766</x:v>
      </x:c>
      <x:c r="C478" t="str">
        <x:v>6</x:v>
      </x:c>
      <x:c r="D478" t="str">
        <x:v>3041500098</x:v>
      </x:c>
      <x:c r="E478" t="str">
        <x:v>FO POR SMT HDF 3 S BD RU 2100X820X35 IMP</x:v>
      </x:c>
      <x:c r="F478" t="str">
        <x:v>LISA</x:v>
      </x:c>
      <x:c r="G478" t="str"/>
      <x:c r="H478" t="str"/>
      <x:c r="I478" t="str">
        <x:v>IMPRESSO</x:v>
      </x:c>
      <x:c r="J478" t="str">
        <x:v>MOGNO BRASILEIRO</x:v>
      </x:c>
      <x:c r="K478" t="str">
        <x:v>0</x:v>
      </x:c>
      <x:c r="L478" t="str">
        <x:v>144</x:v>
      </x:c>
      <x:c r="M478" t="str">
        <x:v>8,679</x:v>
      </x:c>
      <x:c r="N478" t="str"/>
      <x:c r="O478" t="str"/>
      <x:c r="P478" t="str">
        <x:v>Liberada Para Producao</x:v>
      </x:c>
      <x:c r="Q478" t="str">
        <x:v>610152</x:v>
      </x:c>
      <x:c r="R478" t="str">
        <x:v>0</x:v>
      </x:c>
      <x:c r="S478" t="str">
        <x:v>11</x:v>
      </x:c>
      <x:c r="T478" t="str">
        <x:v>PORTA LINHA SMART</x:v>
      </x:c>
      <x:c r="U478" t="str">
        <x:v>RU</x:v>
      </x:c>
      <x:c r="V478" t="str"/>
      <x:c r="W478" t="str">
        <x:v>N/A</x:v>
      </x:c>
      <x:c r="X478" t="str">
        <x:v>0</x:v>
      </x:c>
      <x:c r="Y478" t="str">
        <x:v>N/A</x:v>
      </x:c>
      <x:c r="Z478" t="str">
        <x:v>N/A</x:v>
      </x:c>
      <x:c r="AA478" t="str">
        <x:v>N/A</x:v>
      </x:c>
      <x:c r="AB478" t="str">
        <x:v>0</x:v>
      </x:c>
      <x:c r="AC478" t="str">
        <x:v>N/A</x:v>
      </x:c>
      <x:c r="AD478" t="str">
        <x:v>0</x:v>
      </x:c>
      <x:c r="AE478" t="str">
        <x:v>N/A</x:v>
      </x:c>
    </x:row>
    <x:row r="479">
      <x:c r="A479" t="str">
        <x:v>51</x:v>
      </x:c>
      <x:c r="B479" t="str">
        <x:v>26766</x:v>
      </x:c>
      <x:c r="C479" t="str">
        <x:v>7</x:v>
      </x:c>
      <x:c r="D479" t="str">
        <x:v>985754</x:v>
      </x:c>
      <x:c r="E479" t="str">
        <x:v>2110x110x30 42x10R2LR1 BIA PET MOG STD U</x:v>
      </x:c>
      <x:c r="F479" t="str">
        <x:v>MDF STD</x:v>
      </x:c>
      <x:c r="G479" t="str">
        <x:v>C/BORRACHA I APLICADA</x:v>
      </x:c>
      <x:c r="H479" t="str">
        <x:v>C/REB 42X10</x:v>
      </x:c>
      <x:c r="I479" t="str">
        <x:v>RECOBERTO PET TXT</x:v>
      </x:c>
      <x:c r="J479" t="str">
        <x:v>MOGNO BRASILEIRO</x:v>
      </x:c>
      <x:c r="K479" t="str">
        <x:v>0</x:v>
      </x:c>
      <x:c r="L479" t="str">
        <x:v>288</x:v>
      </x:c>
      <x:c r="M479" t="str">
        <x:v>0</x:v>
      </x:c>
      <x:c r="N479" t="str"/>
      <x:c r="O479" t="str"/>
      <x:c r="P479" t="str">
        <x:v>Liberada Para Producao</x:v>
      </x:c>
      <x:c r="Q479" t="str">
        <x:v>610154</x:v>
      </x:c>
      <x:c r="R479" t="str">
        <x:v>0</x:v>
      </x:c>
      <x:c r="S479" t="str"/>
      <x:c r="T479" t="str"/>
      <x:c r="U479" t="str"/>
      <x:c r="V479" t="str"/>
      <x:c r="W479" t="str">
        <x:v>N/A</x:v>
      </x:c>
      <x:c r="X479" t="str">
        <x:v>N/A</x:v>
      </x:c>
      <x:c r="Y479" t="str">
        <x:v>N/A</x:v>
      </x:c>
      <x:c r="Z479" t="str">
        <x:v>0</x:v>
      </x:c>
      <x:c r="AA479" t="str">
        <x:v>0</x:v>
      </x:c>
      <x:c r="AB479" t="str">
        <x:v>N/A</x:v>
      </x:c>
      <x:c r="AC479" t="str">
        <x:v>N/A</x:v>
      </x:c>
      <x:c r="AD479" t="str">
        <x:v>N/A</x:v>
      </x:c>
      <x:c r="AE479" t="str">
        <x:v>N/A</x:v>
      </x:c>
    </x:row>
    <x:row r="480">
      <x:c r="A480" t="str">
        <x:v>51</x:v>
      </x:c>
      <x:c r="B480" t="str">
        <x:v>26766</x:v>
      </x:c>
      <x:c r="C480" t="str">
        <x:v>7</x:v>
      </x:c>
      <x:c r="D480" t="str">
        <x:v>985764</x:v>
      </x:c>
      <x:c r="E480" t="str">
        <x:v>867x110x30 42x10 R2L RT BIA PET MOG STD</x:v>
      </x:c>
      <x:c r="F480" t="str">
        <x:v>MDF STD</x:v>
      </x:c>
      <x:c r="G480" t="str">
        <x:v>C/BORRACHA I APLICADA</x:v>
      </x:c>
      <x:c r="H480" t="str">
        <x:v>C/REB 42X10</x:v>
      </x:c>
      <x:c r="I480" t="str">
        <x:v>RECOBERTO PET TXT</x:v>
      </x:c>
      <x:c r="J480" t="str">
        <x:v>MOGNO BRASILEIRO</x:v>
      </x:c>
      <x:c r="K480" t="str">
        <x:v>0</x:v>
      </x:c>
      <x:c r="L480" t="str">
        <x:v>144</x:v>
      </x:c>
      <x:c r="M480" t="str">
        <x:v>0</x:v>
      </x:c>
      <x:c r="N480" t="str"/>
      <x:c r="O480" t="str"/>
      <x:c r="P480" t="str">
        <x:v>Liberada Para Producao</x:v>
      </x:c>
      <x:c r="Q480" t="str">
        <x:v>610155</x:v>
      </x:c>
      <x:c r="R480" t="str">
        <x:v>0</x:v>
      </x:c>
      <x:c r="S480" t="str"/>
      <x:c r="T480" t="str"/>
      <x:c r="U480" t="str"/>
      <x:c r="V480" t="str"/>
      <x:c r="W480" t="str">
        <x:v>N/A</x:v>
      </x:c>
      <x:c r="X480" t="str">
        <x:v>N/A</x:v>
      </x:c>
      <x:c r="Y480" t="str">
        <x:v>N/A</x:v>
      </x:c>
      <x:c r="Z480" t="str">
        <x:v>0</x:v>
      </x:c>
      <x:c r="AA480" t="str">
        <x:v>0</x:v>
      </x:c>
      <x:c r="AB480" t="str">
        <x:v>N/A</x:v>
      </x:c>
      <x:c r="AC480" t="str">
        <x:v>N/A</x:v>
      </x:c>
      <x:c r="AD480" t="str">
        <x:v>N/A</x:v>
      </x:c>
      <x:c r="AE480" t="str">
        <x:v>N/A</x:v>
      </x:c>
    </x:row>
    <x:row r="481">
      <x:c r="A481" t="str">
        <x:v>51</x:v>
      </x:c>
      <x:c r="B481" t="str">
        <x:v>26766</x:v>
      </x:c>
      <x:c r="C481" t="str">
        <x:v>8</x:v>
      </x:c>
      <x:c r="D481" t="str">
        <x:v>985771</x:v>
      </x:c>
      <x:c r="E481" t="str">
        <x:v>TRA ALI 1100X100X9 RT RL80 PET MOG STD</x:v>
      </x:c>
      <x:c r="F481" t="str">
        <x:v>REG 2L(MAIOR 80MM)</x:v>
      </x:c>
      <x:c r="G481" t="str"/>
      <x:c r="H481" t="str"/>
      <x:c r="I481" t="str">
        <x:v>RECOBERTO PET TXT</x:v>
      </x:c>
      <x:c r="J481" t="str">
        <x:v>MOGNO BRASILEIRO</x:v>
      </x:c>
      <x:c r="K481" t="str">
        <x:v>0</x:v>
      </x:c>
      <x:c r="L481" t="str">
        <x:v>756</x:v>
      </x:c>
      <x:c r="M481" t="str">
        <x:v>0,748</x:v>
      </x:c>
      <x:c r="N481" t="str"/>
      <x:c r="O481" t="str"/>
      <x:c r="P481" t="str">
        <x:v>Liberada Para Producao</x:v>
      </x:c>
      <x:c r="Q481" t="str">
        <x:v>610157</x:v>
      </x:c>
      <x:c r="R481" t="str">
        <x:v>0</x:v>
      </x:c>
      <x:c r="S481" t="str"/>
      <x:c r="T481" t="str"/>
      <x:c r="U481" t="str"/>
      <x:c r="V481" t="str"/>
      <x:c r="W481" t="str">
        <x:v>N/A</x:v>
      </x:c>
      <x:c r="X481" t="str">
        <x:v>0</x:v>
      </x:c>
      <x:c r="Y481" t="str">
        <x:v>0</x:v>
      </x:c>
      <x:c r="Z481" t="str">
        <x:v>0</x:v>
      </x:c>
      <x:c r="AA481" t="str">
        <x:v>0</x:v>
      </x:c>
      <x:c r="AB481" t="str">
        <x:v>N/A</x:v>
      </x:c>
      <x:c r="AC481" t="str">
        <x:v>N/A</x:v>
      </x:c>
      <x:c r="AD481" t="str">
        <x:v>N/A</x:v>
      </x:c>
      <x:c r="AE481" t="str">
        <x:v>N/A</x:v>
      </x:c>
    </x:row>
    <x:row r="482">
      <x:c r="A482" t="str">
        <x:v>51</x:v>
      </x:c>
      <x:c r="B482" t="str">
        <x:v>26766</x:v>
      </x:c>
      <x:c r="C482" t="str">
        <x:v>8</x:v>
      </x:c>
      <x:c r="D482" t="str">
        <x:v>985778</x:v>
      </x:c>
      <x:c r="E482" t="str">
        <x:v>TRA ALI 1100X100X9 RT LME PET MOG STD</x:v>
      </x:c>
      <x:c r="F482" t="str">
        <x:v>REG 2L(MAIOR 80MM)</x:v>
      </x:c>
      <x:c r="G482" t="str"/>
      <x:c r="H482" t="str"/>
      <x:c r="I482" t="str">
        <x:v>RECOBERTO PET TXT</x:v>
      </x:c>
      <x:c r="J482" t="str">
        <x:v>MOGNO BRASILEIRO</x:v>
      </x:c>
      <x:c r="K482" t="str">
        <x:v>0</x:v>
      </x:c>
      <x:c r="L482" t="str">
        <x:v>756</x:v>
      </x:c>
      <x:c r="M482" t="str">
        <x:v>0,748</x:v>
      </x:c>
      <x:c r="N482" t="str"/>
      <x:c r="O482" t="str"/>
      <x:c r="P482" t="str">
        <x:v>Liberada Para Producao</x:v>
      </x:c>
      <x:c r="Q482" t="str">
        <x:v>610158</x:v>
      </x:c>
      <x:c r="R482" t="str">
        <x:v>0</x:v>
      </x:c>
      <x:c r="S482" t="str"/>
      <x:c r="T482" t="str"/>
      <x:c r="U482" t="str"/>
      <x:c r="V482" t="str"/>
      <x:c r="W482" t="str">
        <x:v>N/A</x:v>
      </x:c>
      <x:c r="X482" t="str">
        <x:v>0</x:v>
      </x:c>
      <x:c r="Y482" t="str">
        <x:v>0</x:v>
      </x:c>
      <x:c r="Z482" t="str">
        <x:v>0</x:v>
      </x:c>
      <x:c r="AA482" t="str">
        <x:v>0</x:v>
      </x:c>
      <x:c r="AB482" t="str">
        <x:v>N/A</x:v>
      </x:c>
      <x:c r="AC482" t="str">
        <x:v>N/A</x:v>
      </x:c>
      <x:c r="AD482" t="str">
        <x:v>N/A</x:v>
      </x:c>
      <x:c r="AE482" t="str">
        <x:v>N/A</x:v>
      </x:c>
    </x:row>
    <x:row r="483">
      <x:c r="A483" t="str">
        <x:v>51</x:v>
      </x:c>
      <x:c r="B483" t="str">
        <x:v>26766</x:v>
      </x:c>
      <x:c r="C483" t="str">
        <x:v>8</x:v>
      </x:c>
      <x:c r="D483" t="str">
        <x:v>2020600152</x:v>
      </x:c>
      <x:c r="E483" t="str">
        <x:v>A STD PET TXT M BR 2250X70X9 RG(80) RTO</x:v>
      </x:c>
      <x:c r="F483" t="str">
        <x:v>REG 2L(MAIOR 80MM)</x:v>
      </x:c>
      <x:c r="G483" t="str"/>
      <x:c r="H483" t="str"/>
      <x:c r="I483" t="str">
        <x:v>RECOBERTO PET TXT</x:v>
      </x:c>
      <x:c r="J483" t="str">
        <x:v>MOGNO BRASILEIRO</x:v>
      </x:c>
      <x:c r="K483" t="str">
        <x:v>0</x:v>
      </x:c>
      <x:c r="L483" t="str">
        <x:v>1.512,00</x:v>
      </x:c>
      <x:c r="M483" t="str">
        <x:v>0</x:v>
      </x:c>
      <x:c r="N483" t="str"/>
      <x:c r="O483" t="str"/>
      <x:c r="P483" t="str">
        <x:v>Liberada Para Producao</x:v>
      </x:c>
      <x:c r="Q483" t="str">
        <x:v>610159</x:v>
      </x:c>
      <x:c r="R483" t="str">
        <x:v>33,33</x:v>
      </x:c>
      <x:c r="S483" t="str">
        <x:v>2021</x:v>
      </x:c>
      <x:c r="T483" t="str">
        <x:v>PERNA ALIZAR RG 80 (SEMI)</x:v>
      </x:c>
      <x:c r="U483" t="str"/>
      <x:c r="V483" t="str"/>
      <x:c r="W483" t="str">
        <x:v>N/A</x:v>
      </x:c>
      <x:c r="X483" t="str">
        <x:v>100</x:v>
      </x:c>
      <x:c r="Y483" t="str">
        <x:v>0</x:v>
      </x:c>
      <x:c r="Z483" t="str">
        <x:v>0</x:v>
      </x:c>
      <x:c r="AA483" t="str">
        <x:v>N/A</x:v>
      </x:c>
      <x:c r="AB483" t="str">
        <x:v>N/A</x:v>
      </x:c>
      <x:c r="AC483" t="str">
        <x:v>N/A</x:v>
      </x:c>
      <x:c r="AD483" t="str">
        <x:v>N/A</x:v>
      </x:c>
      <x:c r="AE483" t="str">
        <x:v>N/A</x:v>
      </x:c>
    </x:row>
    <x:row r="484">
      <x:c r="A484" t="str">
        <x:v>51</x:v>
      </x:c>
      <x:c r="B484" t="str">
        <x:v>26766</x:v>
      </x:c>
      <x:c r="C484" t="str">
        <x:v>8</x:v>
      </x:c>
      <x:c r="D484" t="str">
        <x:v>2020600184</x:v>
      </x:c>
      <x:c r="E484" t="str">
        <x:v>A STD PET TXT M BR 2250X70X9 RG(ME) RTO</x:v>
      </x:c>
      <x:c r="F484" t="str">
        <x:v>REG 2L(MAIOR 80MM)</x:v>
      </x:c>
      <x:c r="G484" t="str"/>
      <x:c r="H484" t="str"/>
      <x:c r="I484" t="str">
        <x:v>RECOBERTO PET TXT</x:v>
      </x:c>
      <x:c r="J484" t="str">
        <x:v>MOGNO BRASILEIRO</x:v>
      </x:c>
      <x:c r="K484" t="str">
        <x:v>0</x:v>
      </x:c>
      <x:c r="L484" t="str">
        <x:v>1.512,00</x:v>
      </x:c>
      <x:c r="M484" t="str">
        <x:v>0</x:v>
      </x:c>
      <x:c r="N484" t="str"/>
      <x:c r="O484" t="str"/>
      <x:c r="P484" t="str">
        <x:v>Liberada Para Producao</x:v>
      </x:c>
      <x:c r="Q484" t="str">
        <x:v>610160</x:v>
      </x:c>
      <x:c r="R484" t="str">
        <x:v>0</x:v>
      </x:c>
      <x:c r="S484" t="str">
        <x:v>2003</x:v>
      </x:c>
      <x:c r="T484" t="str">
        <x:v>PERNA ALIZAR L MENOR  (SEMI)</x:v>
      </x:c>
      <x:c r="U484" t="str"/>
      <x:c r="V484" t="str"/>
      <x:c r="W484" t="str">
        <x:v>N/A</x:v>
      </x:c>
      <x:c r="X484" t="str">
        <x:v>0</x:v>
      </x:c>
      <x:c r="Y484" t="str">
        <x:v>0</x:v>
      </x:c>
      <x:c r="Z484" t="str">
        <x:v>0</x:v>
      </x:c>
      <x:c r="AA484" t="str">
        <x:v>N/A</x:v>
      </x:c>
      <x:c r="AB484" t="str">
        <x:v>N/A</x:v>
      </x:c>
      <x:c r="AC484" t="str">
        <x:v>N/A</x:v>
      </x:c>
      <x:c r="AD484" t="str">
        <x:v>N/A</x:v>
      </x:c>
      <x:c r="AE484" t="str">
        <x:v>N/A</x:v>
      </x:c>
    </x:row>
    <x:row r="485">
      <x:c r="A485" t="str">
        <x:v>51</x:v>
      </x:c>
      <x:c r="B485" t="str">
        <x:v>26766</x:v>
      </x:c>
      <x:c r="C485" t="str">
        <x:v>9</x:v>
      </x:c>
      <x:c r="D485" t="str">
        <x:v>1539732</x:v>
      </x:c>
      <x:c r="E485" t="str">
        <x:v>CANTONEIRA PLASTICA ESPACADORA J PRETO</x:v>
      </x:c>
      <x:c r="F485" t="str"/>
      <x:c r="G485" t="str"/>
      <x:c r="H485" t="str"/>
      <x:c r="I485" t="str">
        <x:v>MATERIAL AUXILIAR DA PRODUCAO</x:v>
      </x:c>
      <x:c r="J485" t="str">
        <x:v>CONSUMO EM GERAL</x:v>
      </x:c>
      <x:c r="K485" t="str">
        <x:v>0</x:v>
      </x:c>
      <x:c r="L485" t="str">
        <x:v>2.268,00</x:v>
      </x:c>
      <x:c r="M485" t="str">
        <x:v>0</x:v>
      </x:c>
      <x:c r="N485" t="str"/>
      <x:c r="O485" t="str"/>
      <x:c r="P485" t="str">
        <x:v>SEM ENGENHARIA CADASTRADA</x:v>
      </x:c>
      <x:c r="Q485" t="str"/>
      <x:c r="R485" t="str">
        <x:v>0</x:v>
      </x:c>
      <x:c r="S485" t="str"/>
      <x:c r="T485" t="str"/>
      <x:c r="U485" t="str"/>
      <x:c r="V485" t="str"/>
      <x:c r="W485" t="str">
        <x:v>N/A</x:v>
      </x:c>
      <x:c r="X485" t="str">
        <x:v>N/A</x:v>
      </x:c>
      <x:c r="Y485" t="str">
        <x:v>N/A</x:v>
      </x:c>
      <x:c r="Z485" t="str">
        <x:v>N/A</x:v>
      </x:c>
      <x:c r="AA485" t="str">
        <x:v>N/A</x:v>
      </x:c>
      <x:c r="AB485" t="str">
        <x:v>N/A</x:v>
      </x:c>
      <x:c r="AC485" t="str">
        <x:v>N/A</x:v>
      </x:c>
      <x:c r="AD485" t="str">
        <x:v>N/A</x:v>
      </x:c>
      <x:c r="AE485" t="str">
        <x:v>N/A</x:v>
      </x:c>
    </x:row>
    <x:row r="486">
      <x:c r="A486" t="str">
        <x:v>51</x:v>
      </x:c>
      <x:c r="B486" t="str">
        <x:v>26792</x:v>
      </x:c>
      <x:c r="C486" t="str">
        <x:v>1</x:v>
      </x:c>
      <x:c r="D486" t="str">
        <x:v>2010600024</x:v>
      </x:c>
      <x:c r="E486" t="str">
        <x:v>M P MDF STD PET TXT BCO 2110X80X30 42X10</x:v>
      </x:c>
      <x:c r="F486" t="str"/>
      <x:c r="G486" t="str"/>
      <x:c r="H486" t="str"/>
      <x:c r="I486" t="str">
        <x:v>ESMALTE</x:v>
      </x:c>
      <x:c r="J486" t="str">
        <x:v>BRANCO CARRARA</x:v>
      </x:c>
      <x:c r="K486" t="str">
        <x:v>0</x:v>
      </x:c>
      <x:c r="L486" t="str">
        <x:v>274</x:v>
      </x:c>
      <x:c r="M486" t="str">
        <x:v>1,388</x:v>
      </x:c>
      <x:c r="N486" t="str">
        <x:v>OC 4500910499</x:v>
      </x:c>
      <x:c r="O486" t="str"/>
      <x:c r="P486" t="str">
        <x:v>Liberada Para Producao</x:v>
      </x:c>
      <x:c r="Q486" t="str">
        <x:v>609417</x:v>
      </x:c>
      <x:c r="R486" t="str">
        <x:v>0</x:v>
      </x:c>
      <x:c r="S486" t="str">
        <x:v>1500</x:v>
      </x:c>
      <x:c r="T486" t="str">
        <x:v>PERNA DE BATENTE PREMIUM(SEMIA</x:v>
      </x:c>
      <x:c r="U486" t="str"/>
      <x:c r="V486" t="str"/>
      <x:c r="W486" t="str">
        <x:v>N/A</x:v>
      </x:c>
      <x:c r="X486" t="str">
        <x:v>N/A</x:v>
      </x:c>
      <x:c r="Y486" t="str">
        <x:v>N/A</x:v>
      </x:c>
      <x:c r="Z486" t="str">
        <x:v>0</x:v>
      </x:c>
      <x:c r="AA486" t="str">
        <x:v>0</x:v>
      </x:c>
      <x:c r="AB486" t="str">
        <x:v>N/A</x:v>
      </x:c>
      <x:c r="AC486" t="str">
        <x:v>N/A</x:v>
      </x:c>
      <x:c r="AD486" t="str">
        <x:v>N/A</x:v>
      </x:c>
      <x:c r="AE486" t="str">
        <x:v>N/A</x:v>
      </x:c>
    </x:row>
    <x:row r="487">
      <x:c r="A487" t="str">
        <x:v>51</x:v>
      </x:c>
      <x:c r="B487" t="str">
        <x:v>26792</x:v>
      </x:c>
      <x:c r="C487" t="str">
        <x:v>1</x:v>
      </x:c>
      <x:c r="D487" t="str">
        <x:v>2010600170</x:v>
      </x:c>
      <x:c r="E487" t="str">
        <x:v>M T MDF STD PET TXT BCO 647X80X30 42X10</x:v>
      </x:c>
      <x:c r="F487" t="str"/>
      <x:c r="G487" t="str"/>
      <x:c r="H487" t="str"/>
      <x:c r="I487" t="str">
        <x:v>ESMALTE</x:v>
      </x:c>
      <x:c r="J487" t="str">
        <x:v>BRANCO CARRARA</x:v>
      </x:c>
      <x:c r="K487" t="str">
        <x:v>0</x:v>
      </x:c>
      <x:c r="L487" t="str">
        <x:v>137</x:v>
      </x:c>
      <x:c r="M487" t="str">
        <x:v>0,213</x:v>
      </x:c>
      <x:c r="N487" t="str">
        <x:v>OC 4500910499</x:v>
      </x:c>
      <x:c r="O487" t="str"/>
      <x:c r="P487" t="str">
        <x:v>Liberada Para Producao</x:v>
      </x:c>
      <x:c r="Q487" t="str">
        <x:v>609418</x:v>
      </x:c>
      <x:c r="R487" t="str">
        <x:v>0</x:v>
      </x:c>
      <x:c r="S487" t="str">
        <x:v>1501</x:v>
      </x:c>
      <x:c r="T487" t="str">
        <x:v>TRAV. BAT. 680 PET/PVC(SEMI)</x:v>
      </x:c>
      <x:c r="U487" t="str"/>
      <x:c r="V487" t="str"/>
      <x:c r="W487" t="str">
        <x:v>N/A</x:v>
      </x:c>
      <x:c r="X487" t="str">
        <x:v>N/A</x:v>
      </x:c>
      <x:c r="Y487" t="str">
        <x:v>N/A</x:v>
      </x:c>
      <x:c r="Z487" t="str">
        <x:v>0</x:v>
      </x:c>
      <x:c r="AA487" t="str">
        <x:v>0</x:v>
      </x:c>
      <x:c r="AB487" t="str">
        <x:v>N/A</x:v>
      </x:c>
      <x:c r="AC487" t="str">
        <x:v>N/A</x:v>
      </x:c>
      <x:c r="AD487" t="str">
        <x:v>N/A</x:v>
      </x:c>
      <x:c r="AE487" t="str">
        <x:v>N/A</x:v>
      </x:c>
    </x:row>
    <x:row r="488">
      <x:c r="A488" t="str">
        <x:v>51</x:v>
      </x:c>
      <x:c r="B488" t="str">
        <x:v>26792</x:v>
      </x:c>
      <x:c r="C488" t="str">
        <x:v>1</x:v>
      </x:c>
      <x:c r="D488" t="str">
        <x:v>2020600232</x:v>
      </x:c>
      <x:c r="E488" t="str">
        <x:v>A STD PET TXT BCO 2200X60X9 RG(55) RTO</x:v>
      </x:c>
      <x:c r="F488" t="str"/>
      <x:c r="G488" t="str"/>
      <x:c r="H488" t="str"/>
      <x:c r="I488" t="str">
        <x:v>ESMALTE</x:v>
      </x:c>
      <x:c r="J488" t="str">
        <x:v>BRANCO CARRARA</x:v>
      </x:c>
      <x:c r="K488" t="str">
        <x:v>0</x:v>
      </x:c>
      <x:c r="L488" t="str">
        <x:v>274</x:v>
      </x:c>
      <x:c r="M488" t="str">
        <x:v>0</x:v>
      </x:c>
      <x:c r="N488" t="str">
        <x:v>OC 4500910499</x:v>
      </x:c>
      <x:c r="O488" t="str"/>
      <x:c r="P488" t="str">
        <x:v>Liberada Para Producao</x:v>
      </x:c>
      <x:c r="Q488" t="str">
        <x:v>609419</x:v>
      </x:c>
      <x:c r="R488" t="str">
        <x:v>0</x:v>
      </x:c>
      <x:c r="S488" t="str">
        <x:v>2001</x:v>
      </x:c>
      <x:c r="T488" t="str">
        <x:v>PERNA ALIZAR RG 55 (SEMI)</x:v>
      </x:c>
      <x:c r="U488" t="str"/>
      <x:c r="V488" t="str"/>
      <x:c r="W488" t="str">
        <x:v>N/A</x:v>
      </x:c>
      <x:c r="X488" t="str">
        <x:v>0</x:v>
      </x:c>
      <x:c r="Y488" t="str">
        <x:v>0</x:v>
      </x:c>
      <x:c r="Z488" t="str">
        <x:v>0</x:v>
      </x:c>
      <x:c r="AA488" t="str">
        <x:v>N/A</x:v>
      </x:c>
      <x:c r="AB488" t="str">
        <x:v>N/A</x:v>
      </x:c>
      <x:c r="AC488" t="str">
        <x:v>N/A</x:v>
      </x:c>
      <x:c r="AD488" t="str">
        <x:v>N/A</x:v>
      </x:c>
      <x:c r="AE488" t="str">
        <x:v>N/A</x:v>
      </x:c>
    </x:row>
    <x:row r="489">
      <x:c r="A489" t="str">
        <x:v>51</x:v>
      </x:c>
      <x:c r="B489" t="str">
        <x:v>26792</x:v>
      </x:c>
      <x:c r="C489" t="str">
        <x:v>1</x:v>
      </x:c>
      <x:c r="D489" t="str">
        <x:v>2020600233</x:v>
      </x:c>
      <x:c r="E489" t="str">
        <x:v>A STD PET TXT BCO 2200X60X9 RG(ME) RTO</x:v>
      </x:c>
      <x:c r="F489" t="str"/>
      <x:c r="G489" t="str"/>
      <x:c r="H489" t="str"/>
      <x:c r="I489" t="str">
        <x:v>ESMALTE</x:v>
      </x:c>
      <x:c r="J489" t="str">
        <x:v>BRANCO CARRARA</x:v>
      </x:c>
      <x:c r="K489" t="str">
        <x:v>0</x:v>
      </x:c>
      <x:c r="L489" t="str">
        <x:v>274</x:v>
      </x:c>
      <x:c r="M489" t="str">
        <x:v>0</x:v>
      </x:c>
      <x:c r="N489" t="str">
        <x:v>OC 4500910499</x:v>
      </x:c>
      <x:c r="O489" t="str"/>
      <x:c r="P489" t="str">
        <x:v>Liberada Para Producao</x:v>
      </x:c>
      <x:c r="Q489" t="str">
        <x:v>609420</x:v>
      </x:c>
      <x:c r="R489" t="str">
        <x:v>0</x:v>
      </x:c>
      <x:c r="S489" t="str">
        <x:v>2003</x:v>
      </x:c>
      <x:c r="T489" t="str">
        <x:v>PERNA ALIZAR L MENOR  (SEMI)</x:v>
      </x:c>
      <x:c r="U489" t="str"/>
      <x:c r="V489" t="str"/>
      <x:c r="W489" t="str">
        <x:v>N/A</x:v>
      </x:c>
      <x:c r="X489" t="str">
        <x:v>0</x:v>
      </x:c>
      <x:c r="Y489" t="str">
        <x:v>0</x:v>
      </x:c>
      <x:c r="Z489" t="str">
        <x:v>0</x:v>
      </x:c>
      <x:c r="AA489" t="str">
        <x:v>N/A</x:v>
      </x:c>
      <x:c r="AB489" t="str">
        <x:v>N/A</x:v>
      </x:c>
      <x:c r="AC489" t="str">
        <x:v>N/A</x:v>
      </x:c>
      <x:c r="AD489" t="str">
        <x:v>N/A</x:v>
      </x:c>
      <x:c r="AE489" t="str">
        <x:v>N/A</x:v>
      </x:c>
    </x:row>
    <x:row r="490">
      <x:c r="A490" t="str">
        <x:v>51</x:v>
      </x:c>
      <x:c r="B490" t="str">
        <x:v>26792</x:v>
      </x:c>
      <x:c r="C490" t="str">
        <x:v>1</x:v>
      </x:c>
      <x:c r="D490" t="str">
        <x:v>2020600234</x:v>
      </x:c>
      <x:c r="E490" t="str">
        <x:v>A STD PET TXT BCO 1100X60X9 RG(55) RTO</x:v>
      </x:c>
      <x:c r="F490" t="str"/>
      <x:c r="G490" t="str"/>
      <x:c r="H490" t="str"/>
      <x:c r="I490" t="str">
        <x:v>ESMALTE</x:v>
      </x:c>
      <x:c r="J490" t="str">
        <x:v>BRANCO CARRARA</x:v>
      </x:c>
      <x:c r="K490" t="str">
        <x:v>0</x:v>
      </x:c>
      <x:c r="L490" t="str">
        <x:v>137</x:v>
      </x:c>
      <x:c r="M490" t="str">
        <x:v>0</x:v>
      </x:c>
      <x:c r="N490" t="str">
        <x:v>OC 4500910499</x:v>
      </x:c>
      <x:c r="O490" t="str"/>
      <x:c r="P490" t="str">
        <x:v>Liberada Para Producao</x:v>
      </x:c>
      <x:c r="Q490" t="str">
        <x:v>609421</x:v>
      </x:c>
      <x:c r="R490" t="str">
        <x:v>0</x:v>
      </x:c>
      <x:c r="S490" t="str">
        <x:v>2005</x:v>
      </x:c>
      <x:c r="T490" t="str">
        <x:v>TRAVESSA ALIZAR RG 55 (SEMI)</x:v>
      </x:c>
      <x:c r="U490" t="str"/>
      <x:c r="V490" t="str"/>
      <x:c r="W490" t="str">
        <x:v>N/A</x:v>
      </x:c>
      <x:c r="X490" t="str">
        <x:v>0</x:v>
      </x:c>
      <x:c r="Y490" t="str">
        <x:v>N/A</x:v>
      </x:c>
      <x:c r="Z490" t="str">
        <x:v>0</x:v>
      </x:c>
      <x:c r="AA490" t="str">
        <x:v>0</x:v>
      </x:c>
      <x:c r="AB490" t="str">
        <x:v>N/A</x:v>
      </x:c>
      <x:c r="AC490" t="str">
        <x:v>N/A</x:v>
      </x:c>
      <x:c r="AD490" t="str">
        <x:v>N/A</x:v>
      </x:c>
      <x:c r="AE490" t="str">
        <x:v>N/A</x:v>
      </x:c>
    </x:row>
    <x:row r="491">
      <x:c r="A491" t="str">
        <x:v>51</x:v>
      </x:c>
      <x:c r="B491" t="str">
        <x:v>26792</x:v>
      </x:c>
      <x:c r="C491" t="str">
        <x:v>1</x:v>
      </x:c>
      <x:c r="D491" t="str">
        <x:v>2020600235</x:v>
      </x:c>
      <x:c r="E491" t="str">
        <x:v>A STD PET TXT BCO 1100X60X9 RG(ME) RTO</x:v>
      </x:c>
      <x:c r="F491" t="str"/>
      <x:c r="G491" t="str"/>
      <x:c r="H491" t="str"/>
      <x:c r="I491" t="str">
        <x:v>ESMALTE</x:v>
      </x:c>
      <x:c r="J491" t="str">
        <x:v>BRANCO CARRARA</x:v>
      </x:c>
      <x:c r="K491" t="str">
        <x:v>0</x:v>
      </x:c>
      <x:c r="L491" t="str">
        <x:v>137</x:v>
      </x:c>
      <x:c r="M491" t="str">
        <x:v>0</x:v>
      </x:c>
      <x:c r="N491" t="str">
        <x:v>OC 4500910499</x:v>
      </x:c>
      <x:c r="O491" t="str"/>
      <x:c r="P491" t="str">
        <x:v>Liberada Para Producao</x:v>
      </x:c>
      <x:c r="Q491" t="str">
        <x:v>609422</x:v>
      </x:c>
      <x:c r="R491" t="str">
        <x:v>0</x:v>
      </x:c>
      <x:c r="S491" t="str">
        <x:v>2007</x:v>
      </x:c>
      <x:c r="T491" t="str">
        <x:v>TRAVESS ALIZAR L MENOR  (SEMI)</x:v>
      </x:c>
      <x:c r="U491" t="str"/>
      <x:c r="V491" t="str"/>
      <x:c r="W491" t="str">
        <x:v>N/A</x:v>
      </x:c>
      <x:c r="X491" t="str">
        <x:v>0</x:v>
      </x:c>
      <x:c r="Y491" t="str">
        <x:v>N/A</x:v>
      </x:c>
      <x:c r="Z491" t="str">
        <x:v>0</x:v>
      </x:c>
      <x:c r="AA491" t="str">
        <x:v>0</x:v>
      </x:c>
      <x:c r="AB491" t="str">
        <x:v>N/A</x:v>
      </x:c>
      <x:c r="AC491" t="str">
        <x:v>N/A</x:v>
      </x:c>
      <x:c r="AD491" t="str">
        <x:v>N/A</x:v>
      </x:c>
      <x:c r="AE491" t="str">
        <x:v>N/A</x:v>
      </x:c>
    </x:row>
    <x:row r="492">
      <x:c r="A492" t="str">
        <x:v>51</x:v>
      </x:c>
      <x:c r="B492" t="str">
        <x:v>26792</x:v>
      </x:c>
      <x:c r="C492" t="str">
        <x:v>1</x:v>
      </x:c>
      <x:c r="D492" t="str">
        <x:v>3040300440</x:v>
      </x:c>
      <x:c r="E492" t="str">
        <x:v>FO POR SMT HDF 3 COL RU 2100X600X35 ESM</x:v>
      </x:c>
      <x:c r="F492" t="str"/>
      <x:c r="G492" t="str"/>
      <x:c r="H492" t="str"/>
      <x:c r="I492" t="str">
        <x:v>ESMALTE</x:v>
      </x:c>
      <x:c r="J492" t="str">
        <x:v>BRANCO CARRARA</x:v>
      </x:c>
      <x:c r="K492" t="str">
        <x:v>0</x:v>
      </x:c>
      <x:c r="L492" t="str">
        <x:v>137</x:v>
      </x:c>
      <x:c r="M492" t="str">
        <x:v>6,042</x:v>
      </x:c>
      <x:c r="N492" t="str">
        <x:v>OC 4500910499</x:v>
      </x:c>
      <x:c r="O492" t="str"/>
      <x:c r="P492" t="str">
        <x:v>Liberada Para Producao</x:v>
      </x:c>
      <x:c r="Q492" t="str">
        <x:v>609423</x:v>
      </x:c>
      <x:c r="R492" t="str">
        <x:v>58,39</x:v>
      </x:c>
      <x:c r="S492" t="str">
        <x:v>11</x:v>
      </x:c>
      <x:c r="T492" t="str">
        <x:v>PORTA LINHA SMART</x:v>
      </x:c>
      <x:c r="U492" t="str"/>
      <x:c r="V492" t="str"/>
      <x:c r="W492" t="str">
        <x:v>N/A</x:v>
      </x:c>
      <x:c r="X492" t="str">
        <x:v>100</x:v>
      </x:c>
      <x:c r="Y492" t="str">
        <x:v>N/A</x:v>
      </x:c>
      <x:c r="Z492" t="str">
        <x:v>N/A</x:v>
      </x:c>
      <x:c r="AA492" t="str">
        <x:v>N/A</x:v>
      </x:c>
      <x:c r="AB492" t="str">
        <x:v>75,18</x:v>
      </x:c>
      <x:c r="AC492" t="str">
        <x:v>N/A</x:v>
      </x:c>
      <x:c r="AD492" t="str">
        <x:v>0</x:v>
      </x:c>
      <x:c r="AE492" t="str">
        <x:v>N/A</x:v>
      </x:c>
    </x:row>
    <x:row r="493">
      <x:c r="A493" t="str">
        <x:v>51</x:v>
      </x:c>
      <x:c r="B493" t="str">
        <x:v>26792</x:v>
      </x:c>
      <x:c r="C493" t="str">
        <x:v>2</x:v>
      </x:c>
      <x:c r="D493" t="str">
        <x:v>2010600197</x:v>
      </x:c>
      <x:c r="E493" t="str">
        <x:v>M P MDF STD PET TXT BCO 2110X90X30 42X10</x:v>
      </x:c>
      <x:c r="F493" t="str"/>
      <x:c r="G493" t="str"/>
      <x:c r="H493" t="str"/>
      <x:c r="I493" t="str">
        <x:v>ESMALTE</x:v>
      </x:c>
      <x:c r="J493" t="str">
        <x:v>BRANCO CARRARA</x:v>
      </x:c>
      <x:c r="K493" t="str">
        <x:v>0</x:v>
      </x:c>
      <x:c r="L493" t="str">
        <x:v>34</x:v>
      </x:c>
      <x:c r="M493" t="str">
        <x:v>0,194</x:v>
      </x:c>
      <x:c r="N493" t="str">
        <x:v>OC 4500910499</x:v>
      </x:c>
      <x:c r="O493" t="str"/>
      <x:c r="P493" t="str">
        <x:v>Liberada Para Producao</x:v>
      </x:c>
      <x:c r="Q493" t="str">
        <x:v>609425</x:v>
      </x:c>
      <x:c r="R493" t="str">
        <x:v>0</x:v>
      </x:c>
      <x:c r="S493" t="str">
        <x:v>1500</x:v>
      </x:c>
      <x:c r="T493" t="str">
        <x:v>PERNA DE BATENTE PREMIUM(SEMIA</x:v>
      </x:c>
      <x:c r="U493" t="str"/>
      <x:c r="V493" t="str"/>
      <x:c r="W493" t="str">
        <x:v>N/A</x:v>
      </x:c>
      <x:c r="X493" t="str">
        <x:v>N/A</x:v>
      </x:c>
      <x:c r="Y493" t="str">
        <x:v>N/A</x:v>
      </x:c>
      <x:c r="Z493" t="str">
        <x:v>0</x:v>
      </x:c>
      <x:c r="AA493" t="str">
        <x:v>0</x:v>
      </x:c>
      <x:c r="AB493" t="str">
        <x:v>N/A</x:v>
      </x:c>
      <x:c r="AC493" t="str">
        <x:v>N/A</x:v>
      </x:c>
      <x:c r="AD493" t="str">
        <x:v>N/A</x:v>
      </x:c>
      <x:c r="AE493" t="str">
        <x:v>N/A</x:v>
      </x:c>
    </x:row>
    <x:row r="494">
      <x:c r="A494" t="str">
        <x:v>51</x:v>
      </x:c>
      <x:c r="B494" t="str">
        <x:v>26792</x:v>
      </x:c>
      <x:c r="C494" t="str">
        <x:v>2</x:v>
      </x:c>
      <x:c r="D494" t="str">
        <x:v>2010600198</x:v>
      </x:c>
      <x:c r="E494" t="str">
        <x:v>M T MDF STD PET TXT BCO 647X90X30 42X10</x:v>
      </x:c>
      <x:c r="F494" t="str"/>
      <x:c r="G494" t="str"/>
      <x:c r="H494" t="str"/>
      <x:c r="I494" t="str">
        <x:v>ESMALTE</x:v>
      </x:c>
      <x:c r="J494" t="str">
        <x:v>BRANCO CARRARA</x:v>
      </x:c>
      <x:c r="K494" t="str">
        <x:v>0</x:v>
      </x:c>
      <x:c r="L494" t="str">
        <x:v>17</x:v>
      </x:c>
      <x:c r="M494" t="str">
        <x:v>0,03</x:v>
      </x:c>
      <x:c r="N494" t="str">
        <x:v>OC 4500910499</x:v>
      </x:c>
      <x:c r="O494" t="str"/>
      <x:c r="P494" t="str">
        <x:v>Liberada Para Producao</x:v>
      </x:c>
      <x:c r="Q494" t="str">
        <x:v>609426</x:v>
      </x:c>
      <x:c r="R494" t="str">
        <x:v>0</x:v>
      </x:c>
      <x:c r="S494" t="str">
        <x:v>1501</x:v>
      </x:c>
      <x:c r="T494" t="str">
        <x:v>TRAV. BAT. 680 PET/PVC(SEMI)</x:v>
      </x:c>
      <x:c r="U494" t="str"/>
      <x:c r="V494" t="str"/>
      <x:c r="W494" t="str">
        <x:v>N/A</x:v>
      </x:c>
      <x:c r="X494" t="str">
        <x:v>N/A</x:v>
      </x:c>
      <x:c r="Y494" t="str">
        <x:v>N/A</x:v>
      </x:c>
      <x:c r="Z494" t="str">
        <x:v>0</x:v>
      </x:c>
      <x:c r="AA494" t="str">
        <x:v>0</x:v>
      </x:c>
      <x:c r="AB494" t="str">
        <x:v>N/A</x:v>
      </x:c>
      <x:c r="AC494" t="str">
        <x:v>N/A</x:v>
      </x:c>
      <x:c r="AD494" t="str">
        <x:v>N/A</x:v>
      </x:c>
      <x:c r="AE494" t="str">
        <x:v>N/A</x:v>
      </x:c>
    </x:row>
    <x:row r="495">
      <x:c r="A495" t="str">
        <x:v>51</x:v>
      </x:c>
      <x:c r="B495" t="str">
        <x:v>26792</x:v>
      </x:c>
      <x:c r="C495" t="str">
        <x:v>2</x:v>
      </x:c>
      <x:c r="D495" t="str">
        <x:v>2020600232</x:v>
      </x:c>
      <x:c r="E495" t="str">
        <x:v>A STD PET TXT BCO 2200X60X9 RG(55) RTO</x:v>
      </x:c>
      <x:c r="F495" t="str"/>
      <x:c r="G495" t="str"/>
      <x:c r="H495" t="str"/>
      <x:c r="I495" t="str">
        <x:v>ESMALTE</x:v>
      </x:c>
      <x:c r="J495" t="str">
        <x:v>BRANCO CARRARA</x:v>
      </x:c>
      <x:c r="K495" t="str">
        <x:v>0</x:v>
      </x:c>
      <x:c r="L495" t="str">
        <x:v>34</x:v>
      </x:c>
      <x:c r="M495" t="str">
        <x:v>0</x:v>
      </x:c>
      <x:c r="N495" t="str">
        <x:v>OC 4500910499</x:v>
      </x:c>
      <x:c r="O495" t="str"/>
      <x:c r="P495" t="str">
        <x:v>Liberada Para Producao</x:v>
      </x:c>
      <x:c r="Q495" t="str">
        <x:v>609427</x:v>
      </x:c>
      <x:c r="R495" t="str">
        <x:v>0</x:v>
      </x:c>
      <x:c r="S495" t="str">
        <x:v>2001</x:v>
      </x:c>
      <x:c r="T495" t="str">
        <x:v>PERNA ALIZAR RG 55 (SEMI)</x:v>
      </x:c>
      <x:c r="U495" t="str"/>
      <x:c r="V495" t="str"/>
      <x:c r="W495" t="str">
        <x:v>N/A</x:v>
      </x:c>
      <x:c r="X495" t="str">
        <x:v>0</x:v>
      </x:c>
      <x:c r="Y495" t="str">
        <x:v>0</x:v>
      </x:c>
      <x:c r="Z495" t="str">
        <x:v>0</x:v>
      </x:c>
      <x:c r="AA495" t="str">
        <x:v>N/A</x:v>
      </x:c>
      <x:c r="AB495" t="str">
        <x:v>N/A</x:v>
      </x:c>
      <x:c r="AC495" t="str">
        <x:v>N/A</x:v>
      </x:c>
      <x:c r="AD495" t="str">
        <x:v>N/A</x:v>
      </x:c>
      <x:c r="AE495" t="str">
        <x:v>N/A</x:v>
      </x:c>
    </x:row>
    <x:row r="496">
      <x:c r="A496" t="str">
        <x:v>51</x:v>
      </x:c>
      <x:c r="B496" t="str">
        <x:v>26792</x:v>
      </x:c>
      <x:c r="C496" t="str">
        <x:v>2</x:v>
      </x:c>
      <x:c r="D496" t="str">
        <x:v>2020600233</x:v>
      </x:c>
      <x:c r="E496" t="str">
        <x:v>A STD PET TXT BCO 2200X60X9 RG(ME) RTO</x:v>
      </x:c>
      <x:c r="F496" t="str"/>
      <x:c r="G496" t="str"/>
      <x:c r="H496" t="str"/>
      <x:c r="I496" t="str">
        <x:v>ESMALTE</x:v>
      </x:c>
      <x:c r="J496" t="str">
        <x:v>BRANCO CARRARA</x:v>
      </x:c>
      <x:c r="K496" t="str">
        <x:v>0</x:v>
      </x:c>
      <x:c r="L496" t="str">
        <x:v>34</x:v>
      </x:c>
      <x:c r="M496" t="str">
        <x:v>0</x:v>
      </x:c>
      <x:c r="N496" t="str">
        <x:v>OC 4500910499</x:v>
      </x:c>
      <x:c r="O496" t="str"/>
      <x:c r="P496" t="str">
        <x:v>Liberada Para Producao</x:v>
      </x:c>
      <x:c r="Q496" t="str">
        <x:v>609428</x:v>
      </x:c>
      <x:c r="R496" t="str">
        <x:v>0</x:v>
      </x:c>
      <x:c r="S496" t="str">
        <x:v>2003</x:v>
      </x:c>
      <x:c r="T496" t="str">
        <x:v>PERNA ALIZAR L MENOR  (SEMI)</x:v>
      </x:c>
      <x:c r="U496" t="str"/>
      <x:c r="V496" t="str"/>
      <x:c r="W496" t="str">
        <x:v>N/A</x:v>
      </x:c>
      <x:c r="X496" t="str">
        <x:v>0</x:v>
      </x:c>
      <x:c r="Y496" t="str">
        <x:v>0</x:v>
      </x:c>
      <x:c r="Z496" t="str">
        <x:v>0</x:v>
      </x:c>
      <x:c r="AA496" t="str">
        <x:v>N/A</x:v>
      </x:c>
      <x:c r="AB496" t="str">
        <x:v>N/A</x:v>
      </x:c>
      <x:c r="AC496" t="str">
        <x:v>N/A</x:v>
      </x:c>
      <x:c r="AD496" t="str">
        <x:v>N/A</x:v>
      </x:c>
      <x:c r="AE496" t="str">
        <x:v>N/A</x:v>
      </x:c>
    </x:row>
    <x:row r="497">
      <x:c r="A497" t="str">
        <x:v>51</x:v>
      </x:c>
      <x:c r="B497" t="str">
        <x:v>26792</x:v>
      </x:c>
      <x:c r="C497" t="str">
        <x:v>2</x:v>
      </x:c>
      <x:c r="D497" t="str">
        <x:v>2020600234</x:v>
      </x:c>
      <x:c r="E497" t="str">
        <x:v>A STD PET TXT BCO 1100X60X9 RG(55) RTO</x:v>
      </x:c>
      <x:c r="F497" t="str"/>
      <x:c r="G497" t="str"/>
      <x:c r="H497" t="str"/>
      <x:c r="I497" t="str">
        <x:v>ESMALTE</x:v>
      </x:c>
      <x:c r="J497" t="str">
        <x:v>BRANCO CARRARA</x:v>
      </x:c>
      <x:c r="K497" t="str">
        <x:v>0</x:v>
      </x:c>
      <x:c r="L497" t="str">
        <x:v>17</x:v>
      </x:c>
      <x:c r="M497" t="str">
        <x:v>0</x:v>
      </x:c>
      <x:c r="N497" t="str">
        <x:v>OC 4500910499</x:v>
      </x:c>
      <x:c r="O497" t="str"/>
      <x:c r="P497" t="str">
        <x:v>Liberada Para Producao</x:v>
      </x:c>
      <x:c r="Q497" t="str">
        <x:v>609429</x:v>
      </x:c>
      <x:c r="R497" t="str">
        <x:v>0</x:v>
      </x:c>
      <x:c r="S497" t="str">
        <x:v>2005</x:v>
      </x:c>
      <x:c r="T497" t="str">
        <x:v>TRAVESSA ALIZAR RG 55 (SEMI)</x:v>
      </x:c>
      <x:c r="U497" t="str"/>
      <x:c r="V497" t="str"/>
      <x:c r="W497" t="str">
        <x:v>N/A</x:v>
      </x:c>
      <x:c r="X497" t="str">
        <x:v>0</x:v>
      </x:c>
      <x:c r="Y497" t="str">
        <x:v>N/A</x:v>
      </x:c>
      <x:c r="Z497" t="str">
        <x:v>0</x:v>
      </x:c>
      <x:c r="AA497" t="str">
        <x:v>0</x:v>
      </x:c>
      <x:c r="AB497" t="str">
        <x:v>N/A</x:v>
      </x:c>
      <x:c r="AC497" t="str">
        <x:v>N/A</x:v>
      </x:c>
      <x:c r="AD497" t="str">
        <x:v>N/A</x:v>
      </x:c>
      <x:c r="AE497" t="str">
        <x:v>N/A</x:v>
      </x:c>
    </x:row>
    <x:row r="498">
      <x:c r="A498" t="str">
        <x:v>51</x:v>
      </x:c>
      <x:c r="B498" t="str">
        <x:v>26792</x:v>
      </x:c>
      <x:c r="C498" t="str">
        <x:v>2</x:v>
      </x:c>
      <x:c r="D498" t="str">
        <x:v>2020600235</x:v>
      </x:c>
      <x:c r="E498" t="str">
        <x:v>A STD PET TXT BCO 1100X60X9 RG(ME) RTO</x:v>
      </x:c>
      <x:c r="F498" t="str"/>
      <x:c r="G498" t="str"/>
      <x:c r="H498" t="str"/>
      <x:c r="I498" t="str">
        <x:v>ESMALTE</x:v>
      </x:c>
      <x:c r="J498" t="str">
        <x:v>BRANCO CARRARA</x:v>
      </x:c>
      <x:c r="K498" t="str">
        <x:v>0</x:v>
      </x:c>
      <x:c r="L498" t="str">
        <x:v>17</x:v>
      </x:c>
      <x:c r="M498" t="str">
        <x:v>0</x:v>
      </x:c>
      <x:c r="N498" t="str">
        <x:v>OC 4500910499</x:v>
      </x:c>
      <x:c r="O498" t="str"/>
      <x:c r="P498" t="str">
        <x:v>Liberada Para Producao</x:v>
      </x:c>
      <x:c r="Q498" t="str">
        <x:v>609430</x:v>
      </x:c>
      <x:c r="R498" t="str">
        <x:v>0</x:v>
      </x:c>
      <x:c r="S498" t="str">
        <x:v>2007</x:v>
      </x:c>
      <x:c r="T498" t="str">
        <x:v>TRAVESS ALIZAR L MENOR  (SEMI)</x:v>
      </x:c>
      <x:c r="U498" t="str"/>
      <x:c r="V498" t="str"/>
      <x:c r="W498" t="str">
        <x:v>N/A</x:v>
      </x:c>
      <x:c r="X498" t="str">
        <x:v>0</x:v>
      </x:c>
      <x:c r="Y498" t="str">
        <x:v>N/A</x:v>
      </x:c>
      <x:c r="Z498" t="str">
        <x:v>0</x:v>
      </x:c>
      <x:c r="AA498" t="str">
        <x:v>0</x:v>
      </x:c>
      <x:c r="AB498" t="str">
        <x:v>N/A</x:v>
      </x:c>
      <x:c r="AC498" t="str">
        <x:v>N/A</x:v>
      </x:c>
      <x:c r="AD498" t="str">
        <x:v>N/A</x:v>
      </x:c>
      <x:c r="AE498" t="str">
        <x:v>N/A</x:v>
      </x:c>
    </x:row>
    <x:row r="499">
      <x:c r="A499" t="str">
        <x:v>51</x:v>
      </x:c>
      <x:c r="B499" t="str">
        <x:v>26792</x:v>
      </x:c>
      <x:c r="C499" t="str">
        <x:v>2</x:v>
      </x:c>
      <x:c r="D499" t="str">
        <x:v>3040300440</x:v>
      </x:c>
      <x:c r="E499" t="str">
        <x:v>FO POR SMT HDF 3 COL RU 2100X600X35 ESM</x:v>
      </x:c>
      <x:c r="F499" t="str"/>
      <x:c r="G499" t="str"/>
      <x:c r="H499" t="str"/>
      <x:c r="I499" t="str">
        <x:v>ESMALTE</x:v>
      </x:c>
      <x:c r="J499" t="str">
        <x:v>BRANCO CARRARA</x:v>
      </x:c>
      <x:c r="K499" t="str">
        <x:v>0</x:v>
      </x:c>
      <x:c r="L499" t="str">
        <x:v>17</x:v>
      </x:c>
      <x:c r="M499" t="str">
        <x:v>0,75</x:v>
      </x:c>
      <x:c r="N499" t="str">
        <x:v>OC 4500910499</x:v>
      </x:c>
      <x:c r="O499" t="str"/>
      <x:c r="P499" t="str">
        <x:v>Liberada Para Producao</x:v>
      </x:c>
      <x:c r="Q499" t="str">
        <x:v>609431</x:v>
      </x:c>
      <x:c r="R499" t="str">
        <x:v>66,67</x:v>
      </x:c>
      <x:c r="S499" t="str">
        <x:v>11</x:v>
      </x:c>
      <x:c r="T499" t="str">
        <x:v>PORTA LINHA SMART</x:v>
      </x:c>
      <x:c r="U499" t="str"/>
      <x:c r="V499" t="str"/>
      <x:c r="W499" t="str">
        <x:v>N/A</x:v>
      </x:c>
      <x:c r="X499" t="str">
        <x:v>100</x:v>
      </x:c>
      <x:c r="Y499" t="str">
        <x:v>N/A</x:v>
      </x:c>
      <x:c r="Z499" t="str">
        <x:v>N/A</x:v>
      </x:c>
      <x:c r="AA499" t="str">
        <x:v>N/A</x:v>
      </x:c>
      <x:c r="AB499" t="str">
        <x:v>100</x:v>
      </x:c>
      <x:c r="AC499" t="str">
        <x:v>N/A</x:v>
      </x:c>
      <x:c r="AD499" t="str">
        <x:v>0</x:v>
      </x:c>
      <x:c r="AE499" t="str">
        <x:v>N/A</x:v>
      </x:c>
    </x:row>
    <x:row r="500">
      <x:c r="A500" t="str">
        <x:v>51</x:v>
      </x:c>
      <x:c r="B500" t="str">
        <x:v>26792</x:v>
      </x:c>
      <x:c r="C500" t="str">
        <x:v>3</x:v>
      </x:c>
      <x:c r="D500" t="str">
        <x:v>2010600197</x:v>
      </x:c>
      <x:c r="E500" t="str">
        <x:v>M P MDF STD PET TXT BCO 2110X90X30 42X10</x:v>
      </x:c>
      <x:c r="F500" t="str"/>
      <x:c r="G500" t="str"/>
      <x:c r="H500" t="str"/>
      <x:c r="I500" t="str">
        <x:v>ESMALTE</x:v>
      </x:c>
      <x:c r="J500" t="str">
        <x:v>BRANCO CARRARA</x:v>
      </x:c>
      <x:c r="K500" t="str">
        <x:v>0</x:v>
      </x:c>
      <x:c r="L500" t="str">
        <x:v>2</x:v>
      </x:c>
      <x:c r="M500" t="str">
        <x:v>0,011</x:v>
      </x:c>
      <x:c r="N500" t="str">
        <x:v>OC 4500910499</x:v>
      </x:c>
      <x:c r="O500" t="str"/>
      <x:c r="P500" t="str">
        <x:v>Liberada Para Producao</x:v>
      </x:c>
      <x:c r="Q500" t="str">
        <x:v>609433</x:v>
      </x:c>
      <x:c r="R500" t="str">
        <x:v>0</x:v>
      </x:c>
      <x:c r="S500" t="str">
        <x:v>1500</x:v>
      </x:c>
      <x:c r="T500" t="str">
        <x:v>PERNA DE BATENTE PREMIUM(SEMIA</x:v>
      </x:c>
      <x:c r="U500" t="str"/>
      <x:c r="V500" t="str"/>
      <x:c r="W500" t="str">
        <x:v>N/A</x:v>
      </x:c>
      <x:c r="X500" t="str">
        <x:v>N/A</x:v>
      </x:c>
      <x:c r="Y500" t="str">
        <x:v>N/A</x:v>
      </x:c>
      <x:c r="Z500" t="str">
        <x:v>0</x:v>
      </x:c>
      <x:c r="AA500" t="str">
        <x:v>0</x:v>
      </x:c>
      <x:c r="AB500" t="str">
        <x:v>N/A</x:v>
      </x:c>
      <x:c r="AC500" t="str">
        <x:v>N/A</x:v>
      </x:c>
      <x:c r="AD500" t="str">
        <x:v>N/A</x:v>
      </x:c>
      <x:c r="AE500" t="str">
        <x:v>N/A</x:v>
      </x:c>
    </x:row>
    <x:row r="501">
      <x:c r="A501" t="str">
        <x:v>51</x:v>
      </x:c>
      <x:c r="B501" t="str">
        <x:v>26792</x:v>
      </x:c>
      <x:c r="C501" t="str">
        <x:v>3</x:v>
      </x:c>
      <x:c r="D501" t="str">
        <x:v>2010600198</x:v>
      </x:c>
      <x:c r="E501" t="str">
        <x:v>M T MDF STD PET TXT BCO 647X90X30 42X10</x:v>
      </x:c>
      <x:c r="F501" t="str"/>
      <x:c r="G501" t="str"/>
      <x:c r="H501" t="str"/>
      <x:c r="I501" t="str">
        <x:v>ESMALTE</x:v>
      </x:c>
      <x:c r="J501" t="str">
        <x:v>BRANCO CARRARA</x:v>
      </x:c>
      <x:c r="K501" t="str">
        <x:v>0</x:v>
      </x:c>
      <x:c r="L501" t="str">
        <x:v>1</x:v>
      </x:c>
      <x:c r="M501" t="str">
        <x:v>0,002</x:v>
      </x:c>
      <x:c r="N501" t="str">
        <x:v>OC 4500910499</x:v>
      </x:c>
      <x:c r="O501" t="str"/>
      <x:c r="P501" t="str">
        <x:v>Liberada Para Producao</x:v>
      </x:c>
      <x:c r="Q501" t="str">
        <x:v>609434</x:v>
      </x:c>
      <x:c r="R501" t="str">
        <x:v>0</x:v>
      </x:c>
      <x:c r="S501" t="str">
        <x:v>1501</x:v>
      </x:c>
      <x:c r="T501" t="str">
        <x:v>TRAV. BAT. 680 PET/PVC(SEMI)</x:v>
      </x:c>
      <x:c r="U501" t="str"/>
      <x:c r="V501" t="str"/>
      <x:c r="W501" t="str">
        <x:v>N/A</x:v>
      </x:c>
      <x:c r="X501" t="str">
        <x:v>N/A</x:v>
      </x:c>
      <x:c r="Y501" t="str">
        <x:v>N/A</x:v>
      </x:c>
      <x:c r="Z501" t="str">
        <x:v>0</x:v>
      </x:c>
      <x:c r="AA501" t="str">
        <x:v>0</x:v>
      </x:c>
      <x:c r="AB501" t="str">
        <x:v>N/A</x:v>
      </x:c>
      <x:c r="AC501" t="str">
        <x:v>N/A</x:v>
      </x:c>
      <x:c r="AD501" t="str">
        <x:v>N/A</x:v>
      </x:c>
      <x:c r="AE501" t="str">
        <x:v>N/A</x:v>
      </x:c>
    </x:row>
    <x:row r="502">
      <x:c r="A502" t="str">
        <x:v>51</x:v>
      </x:c>
      <x:c r="B502" t="str">
        <x:v>26792</x:v>
      </x:c>
      <x:c r="C502" t="str">
        <x:v>3</x:v>
      </x:c>
      <x:c r="D502" t="str">
        <x:v>2020600236</x:v>
      </x:c>
      <x:c r="E502" t="str">
        <x:v>A STD PET TXT BCO 2200X60X9 RG(ME) RTO</x:v>
      </x:c>
      <x:c r="F502" t="str"/>
      <x:c r="G502" t="str"/>
      <x:c r="H502" t="str"/>
      <x:c r="I502" t="str">
        <x:v>ESMALTE</x:v>
      </x:c>
      <x:c r="J502" t="str">
        <x:v>BRANCO CARRARA</x:v>
      </x:c>
      <x:c r="K502" t="str">
        <x:v>0</x:v>
      </x:c>
      <x:c r="L502" t="str">
        <x:v>2</x:v>
      </x:c>
      <x:c r="M502" t="str">
        <x:v>0</x:v>
      </x:c>
      <x:c r="N502" t="str">
        <x:v>OC 4500910499</x:v>
      </x:c>
      <x:c r="O502" t="str"/>
      <x:c r="P502" t="str">
        <x:v>Liberada Para Producao</x:v>
      </x:c>
      <x:c r="Q502" t="str">
        <x:v>609435</x:v>
      </x:c>
      <x:c r="R502" t="str">
        <x:v>0</x:v>
      </x:c>
      <x:c r="S502" t="str">
        <x:v>2003</x:v>
      </x:c>
      <x:c r="T502" t="str">
        <x:v>PERNA ALIZAR L MENOR  (SEMI)</x:v>
      </x:c>
      <x:c r="U502" t="str"/>
      <x:c r="V502" t="str"/>
      <x:c r="W502" t="str">
        <x:v>N/A</x:v>
      </x:c>
      <x:c r="X502" t="str">
        <x:v>0</x:v>
      </x:c>
      <x:c r="Y502" t="str">
        <x:v>0</x:v>
      </x:c>
      <x:c r="Z502" t="str">
        <x:v>0</x:v>
      </x:c>
      <x:c r="AA502" t="str">
        <x:v>N/A</x:v>
      </x:c>
      <x:c r="AB502" t="str">
        <x:v>N/A</x:v>
      </x:c>
      <x:c r="AC502" t="str">
        <x:v>N/A</x:v>
      </x:c>
      <x:c r="AD502" t="str">
        <x:v>N/A</x:v>
      </x:c>
      <x:c r="AE502" t="str">
        <x:v>N/A</x:v>
      </x:c>
    </x:row>
    <x:row r="503">
      <x:c r="A503" t="str">
        <x:v>51</x:v>
      </x:c>
      <x:c r="B503" t="str">
        <x:v>26792</x:v>
      </x:c>
      <x:c r="C503" t="str">
        <x:v>3</x:v>
      </x:c>
      <x:c r="D503" t="str">
        <x:v>2020600237</x:v>
      </x:c>
      <x:c r="E503" t="str">
        <x:v>A STD PET TXT BCO 2200X60X9 RG(80) RTO</x:v>
      </x:c>
      <x:c r="F503" t="str"/>
      <x:c r="G503" t="str"/>
      <x:c r="H503" t="str"/>
      <x:c r="I503" t="str">
        <x:v>ESMALTE</x:v>
      </x:c>
      <x:c r="J503" t="str">
        <x:v>BRANCO CARRARA</x:v>
      </x:c>
      <x:c r="K503" t="str">
        <x:v>0</x:v>
      </x:c>
      <x:c r="L503" t="str">
        <x:v>2</x:v>
      </x:c>
      <x:c r="M503" t="str">
        <x:v>0</x:v>
      </x:c>
      <x:c r="N503" t="str">
        <x:v>OC 4500910499</x:v>
      </x:c>
      <x:c r="O503" t="str"/>
      <x:c r="P503" t="str">
        <x:v>Liberada Para Producao</x:v>
      </x:c>
      <x:c r="Q503" t="str">
        <x:v>609436</x:v>
      </x:c>
      <x:c r="R503" t="str">
        <x:v>0</x:v>
      </x:c>
      <x:c r="S503" t="str">
        <x:v>2021</x:v>
      </x:c>
      <x:c r="T503" t="str">
        <x:v>PERNA ALIZAR RG 80 (SEMI)</x:v>
      </x:c>
      <x:c r="U503" t="str"/>
      <x:c r="V503" t="str"/>
      <x:c r="W503" t="str">
        <x:v>N/A</x:v>
      </x:c>
      <x:c r="X503" t="str">
        <x:v>0</x:v>
      </x:c>
      <x:c r="Y503" t="str">
        <x:v>0</x:v>
      </x:c>
      <x:c r="Z503" t="str">
        <x:v>0</x:v>
      </x:c>
      <x:c r="AA503" t="str">
        <x:v>N/A</x:v>
      </x:c>
      <x:c r="AB503" t="str">
        <x:v>N/A</x:v>
      </x:c>
      <x:c r="AC503" t="str">
        <x:v>N/A</x:v>
      </x:c>
      <x:c r="AD503" t="str">
        <x:v>N/A</x:v>
      </x:c>
      <x:c r="AE503" t="str">
        <x:v>N/A</x:v>
      </x:c>
    </x:row>
    <x:row r="504">
      <x:c r="A504" t="str">
        <x:v>51</x:v>
      </x:c>
      <x:c r="B504" t="str">
        <x:v>26792</x:v>
      </x:c>
      <x:c r="C504" t="str">
        <x:v>3</x:v>
      </x:c>
      <x:c r="D504" t="str">
        <x:v>2020600238</x:v>
      </x:c>
      <x:c r="E504" t="str">
        <x:v>A STD PET TXT BCO 1100X60X9 RG(ME) RTO</x:v>
      </x:c>
      <x:c r="F504" t="str"/>
      <x:c r="G504" t="str"/>
      <x:c r="H504" t="str"/>
      <x:c r="I504" t="str">
        <x:v>ESMALTE</x:v>
      </x:c>
      <x:c r="J504" t="str">
        <x:v>BRANCO CARRARA</x:v>
      </x:c>
      <x:c r="K504" t="str">
        <x:v>0</x:v>
      </x:c>
      <x:c r="L504" t="str">
        <x:v>1</x:v>
      </x:c>
      <x:c r="M504" t="str">
        <x:v>0</x:v>
      </x:c>
      <x:c r="N504" t="str">
        <x:v>OC 4500910499</x:v>
      </x:c>
      <x:c r="O504" t="str"/>
      <x:c r="P504" t="str">
        <x:v>Liberada Para Producao</x:v>
      </x:c>
      <x:c r="Q504" t="str">
        <x:v>609437</x:v>
      </x:c>
      <x:c r="R504" t="str">
        <x:v>0</x:v>
      </x:c>
      <x:c r="S504" t="str">
        <x:v>2007</x:v>
      </x:c>
      <x:c r="T504" t="str">
        <x:v>TRAVESS ALIZAR L MENOR  (SEMI)</x:v>
      </x:c>
      <x:c r="U504" t="str"/>
      <x:c r="V504" t="str"/>
      <x:c r="W504" t="str">
        <x:v>N/A</x:v>
      </x:c>
      <x:c r="X504" t="str">
        <x:v>0</x:v>
      </x:c>
      <x:c r="Y504" t="str">
        <x:v>N/A</x:v>
      </x:c>
      <x:c r="Z504" t="str">
        <x:v>0</x:v>
      </x:c>
      <x:c r="AA504" t="str">
        <x:v>0</x:v>
      </x:c>
      <x:c r="AB504" t="str">
        <x:v>N/A</x:v>
      </x:c>
      <x:c r="AC504" t="str">
        <x:v>N/A</x:v>
      </x:c>
      <x:c r="AD504" t="str">
        <x:v>N/A</x:v>
      </x:c>
      <x:c r="AE504" t="str">
        <x:v>N/A</x:v>
      </x:c>
    </x:row>
    <x:row r="505">
      <x:c r="A505" t="str">
        <x:v>51</x:v>
      </x:c>
      <x:c r="B505" t="str">
        <x:v>26792</x:v>
      </x:c>
      <x:c r="C505" t="str">
        <x:v>3</x:v>
      </x:c>
      <x:c r="D505" t="str">
        <x:v>2020600239</x:v>
      </x:c>
      <x:c r="E505" t="str">
        <x:v>A STD PET TXT BCO 1100X60X9 RG(80) RTO</x:v>
      </x:c>
      <x:c r="F505" t="str"/>
      <x:c r="G505" t="str"/>
      <x:c r="H505" t="str"/>
      <x:c r="I505" t="str">
        <x:v>ESMALTE</x:v>
      </x:c>
      <x:c r="J505" t="str">
        <x:v>BRANCO CARRARA</x:v>
      </x:c>
      <x:c r="K505" t="str">
        <x:v>0</x:v>
      </x:c>
      <x:c r="L505" t="str">
        <x:v>1</x:v>
      </x:c>
      <x:c r="M505" t="str">
        <x:v>0</x:v>
      </x:c>
      <x:c r="N505" t="str">
        <x:v>OC 4500910499</x:v>
      </x:c>
      <x:c r="O505" t="str"/>
      <x:c r="P505" t="str">
        <x:v>Liberada Para Producao</x:v>
      </x:c>
      <x:c r="Q505" t="str">
        <x:v>609438</x:v>
      </x:c>
      <x:c r="R505" t="str">
        <x:v>0</x:v>
      </x:c>
      <x:c r="S505" t="str">
        <x:v>2010</x:v>
      </x:c>
      <x:c r="T505" t="str">
        <x:v>TRAVESSA ALIZAR RG 80 (SEMI)</x:v>
      </x:c>
      <x:c r="U505" t="str"/>
      <x:c r="V505" t="str"/>
      <x:c r="W505" t="str">
        <x:v>N/A</x:v>
      </x:c>
      <x:c r="X505" t="str">
        <x:v>0</x:v>
      </x:c>
      <x:c r="Y505" t="str">
        <x:v>0</x:v>
      </x:c>
      <x:c r="Z505" t="str">
        <x:v>N/A</x:v>
      </x:c>
      <x:c r="AA505" t="str">
        <x:v>0</x:v>
      </x:c>
      <x:c r="AB505" t="str">
        <x:v>N/A</x:v>
      </x:c>
      <x:c r="AC505" t="str">
        <x:v>N/A</x:v>
      </x:c>
      <x:c r="AD505" t="str">
        <x:v>N/A</x:v>
      </x:c>
      <x:c r="AE505" t="str">
        <x:v>N/A</x:v>
      </x:c>
    </x:row>
    <x:row r="506">
      <x:c r="A506" t="str">
        <x:v>51</x:v>
      </x:c>
      <x:c r="B506" t="str">
        <x:v>26792</x:v>
      </x:c>
      <x:c r="C506" t="str">
        <x:v>3</x:v>
      </x:c>
      <x:c r="D506" t="str">
        <x:v>3040300440</x:v>
      </x:c>
      <x:c r="E506" t="str">
        <x:v>FO POR SMT HDF 3 COL RU 2100X600X35 ESM</x:v>
      </x:c>
      <x:c r="F506" t="str"/>
      <x:c r="G506" t="str"/>
      <x:c r="H506" t="str"/>
      <x:c r="I506" t="str">
        <x:v>ESMALTE</x:v>
      </x:c>
      <x:c r="J506" t="str">
        <x:v>BRANCO CARRARA</x:v>
      </x:c>
      <x:c r="K506" t="str">
        <x:v>0</x:v>
      </x:c>
      <x:c r="L506" t="str">
        <x:v>1</x:v>
      </x:c>
      <x:c r="M506" t="str">
        <x:v>0,044</x:v>
      </x:c>
      <x:c r="N506" t="str">
        <x:v>OC 4500910499</x:v>
      </x:c>
      <x:c r="O506" t="str"/>
      <x:c r="P506" t="str">
        <x:v>Liberada Para Producao</x:v>
      </x:c>
      <x:c r="Q506" t="str">
        <x:v>609439</x:v>
      </x:c>
      <x:c r="R506" t="str">
        <x:v>66,67</x:v>
      </x:c>
      <x:c r="S506" t="str">
        <x:v>11</x:v>
      </x:c>
      <x:c r="T506" t="str">
        <x:v>PORTA LINHA SMART</x:v>
      </x:c>
      <x:c r="U506" t="str"/>
      <x:c r="V506" t="str"/>
      <x:c r="W506" t="str">
        <x:v>N/A</x:v>
      </x:c>
      <x:c r="X506" t="str">
        <x:v>100</x:v>
      </x:c>
      <x:c r="Y506" t="str">
        <x:v>N/A</x:v>
      </x:c>
      <x:c r="Z506" t="str">
        <x:v>N/A</x:v>
      </x:c>
      <x:c r="AA506" t="str">
        <x:v>N/A</x:v>
      </x:c>
      <x:c r="AB506" t="str">
        <x:v>100</x:v>
      </x:c>
      <x:c r="AC506" t="str">
        <x:v>N/A</x:v>
      </x:c>
      <x:c r="AD506" t="str">
        <x:v>0</x:v>
      </x:c>
      <x:c r="AE506" t="str">
        <x:v>N/A</x:v>
      </x:c>
    </x:row>
    <x:row r="507">
      <x:c r="A507" t="str">
        <x:v>51</x:v>
      </x:c>
      <x:c r="B507" t="str">
        <x:v>26792</x:v>
      </x:c>
      <x:c r="C507" t="str">
        <x:v>4</x:v>
      </x:c>
      <x:c r="D507" t="str">
        <x:v>2010600024</x:v>
      </x:c>
      <x:c r="E507" t="str">
        <x:v>M P MDF STD PET TXT BCO 2110X80X30 42X10</x:v>
      </x:c>
      <x:c r="F507" t="str"/>
      <x:c r="G507" t="str"/>
      <x:c r="H507" t="str"/>
      <x:c r="I507" t="str">
        <x:v>ESMALTE</x:v>
      </x:c>
      <x:c r="J507" t="str">
        <x:v>BRANCO</x:v>
      </x:c>
      <x:c r="K507" t="str">
        <x:v>0</x:v>
      </x:c>
      <x:c r="L507" t="str">
        <x:v>288</x:v>
      </x:c>
      <x:c r="M507" t="str">
        <x:v>1,458</x:v>
      </x:c>
      <x:c r="N507" t="str">
        <x:v>OC 4500910499</x:v>
      </x:c>
      <x:c r="O507" t="str"/>
      <x:c r="P507" t="str">
        <x:v>Liberada Para Producao</x:v>
      </x:c>
      <x:c r="Q507" t="str">
        <x:v>609441</x:v>
      </x:c>
      <x:c r="R507" t="str">
        <x:v>0</x:v>
      </x:c>
      <x:c r="S507" t="str">
        <x:v>1500</x:v>
      </x:c>
      <x:c r="T507" t="str">
        <x:v>PERNA DE BATENTE PREMIUM(SEMIA</x:v>
      </x:c>
      <x:c r="U507" t="str"/>
      <x:c r="V507" t="str"/>
      <x:c r="W507" t="str">
        <x:v>N/A</x:v>
      </x:c>
      <x:c r="X507" t="str">
        <x:v>N/A</x:v>
      </x:c>
      <x:c r="Y507" t="str">
        <x:v>N/A</x:v>
      </x:c>
      <x:c r="Z507" t="str">
        <x:v>0</x:v>
      </x:c>
      <x:c r="AA507" t="str">
        <x:v>0</x:v>
      </x:c>
      <x:c r="AB507" t="str">
        <x:v>N/A</x:v>
      </x:c>
      <x:c r="AC507" t="str">
        <x:v>N/A</x:v>
      </x:c>
      <x:c r="AD507" t="str">
        <x:v>N/A</x:v>
      </x:c>
      <x:c r="AE507" t="str">
        <x:v>N/A</x:v>
      </x:c>
    </x:row>
    <x:row r="508">
      <x:c r="A508" t="str">
        <x:v>51</x:v>
      </x:c>
      <x:c r="B508" t="str">
        <x:v>26792</x:v>
      </x:c>
      <x:c r="C508" t="str">
        <x:v>4</x:v>
      </x:c>
      <x:c r="D508" t="str">
        <x:v>2010600025</x:v>
      </x:c>
      <x:c r="E508" t="str">
        <x:v>M T MDF STD PET TXT BCO 747X80X30 42X10</x:v>
      </x:c>
      <x:c r="F508" t="str"/>
      <x:c r="G508" t="str"/>
      <x:c r="H508" t="str"/>
      <x:c r="I508" t="str">
        <x:v>ESMALTE</x:v>
      </x:c>
      <x:c r="J508" t="str">
        <x:v>BRANCO</x:v>
      </x:c>
      <x:c r="K508" t="str">
        <x:v>0</x:v>
      </x:c>
      <x:c r="L508" t="str">
        <x:v>144</x:v>
      </x:c>
      <x:c r="M508" t="str">
        <x:v>0</x:v>
      </x:c>
      <x:c r="N508" t="str">
        <x:v>OC 4500910499</x:v>
      </x:c>
      <x:c r="O508" t="str"/>
      <x:c r="P508" t="str">
        <x:v>Liberada Para Producao</x:v>
      </x:c>
      <x:c r="Q508" t="str">
        <x:v>609442</x:v>
      </x:c>
      <x:c r="R508" t="str">
        <x:v>0</x:v>
      </x:c>
      <x:c r="S508" t="str">
        <x:v>1502</x:v>
      </x:c>
      <x:c r="T508" t="str">
        <x:v>TV.BAT. 680-1100 PET/PVC(SEMI)</x:v>
      </x:c>
      <x:c r="U508" t="str"/>
      <x:c r="V508" t="str"/>
      <x:c r="W508" t="str">
        <x:v>N/A</x:v>
      </x:c>
      <x:c r="X508" t="str">
        <x:v>N/A</x:v>
      </x:c>
      <x:c r="Y508" t="str">
        <x:v>N/A</x:v>
      </x:c>
      <x:c r="Z508" t="str">
        <x:v>0</x:v>
      </x:c>
      <x:c r="AA508" t="str">
        <x:v>0</x:v>
      </x:c>
      <x:c r="AB508" t="str">
        <x:v>N/A</x:v>
      </x:c>
      <x:c r="AC508" t="str">
        <x:v>N/A</x:v>
      </x:c>
      <x:c r="AD508" t="str">
        <x:v>N/A</x:v>
      </x:c>
      <x:c r="AE508" t="str">
        <x:v>N/A</x:v>
      </x:c>
    </x:row>
    <x:row r="509">
      <x:c r="A509" t="str">
        <x:v>51</x:v>
      </x:c>
      <x:c r="B509" t="str">
        <x:v>26792</x:v>
      </x:c>
      <x:c r="C509" t="str">
        <x:v>4</x:v>
      </x:c>
      <x:c r="D509" t="str">
        <x:v>2020600203</x:v>
      </x:c>
      <x:c r="E509" t="str">
        <x:v>A STD PET TXT BCO 2200X60X9 RG(35) RTO</x:v>
      </x:c>
      <x:c r="F509" t="str"/>
      <x:c r="G509" t="str"/>
      <x:c r="H509" t="str"/>
      <x:c r="I509" t="str">
        <x:v>ESMALTE</x:v>
      </x:c>
      <x:c r="J509" t="str">
        <x:v>BRANCO</x:v>
      </x:c>
      <x:c r="K509" t="str">
        <x:v>0</x:v>
      </x:c>
      <x:c r="L509" t="str">
        <x:v>288</x:v>
      </x:c>
      <x:c r="M509" t="str">
        <x:v>0</x:v>
      </x:c>
      <x:c r="N509" t="str">
        <x:v>OC 4500910499</x:v>
      </x:c>
      <x:c r="O509" t="str"/>
      <x:c r="P509" t="str">
        <x:v>Liberada Para Producao</x:v>
      </x:c>
      <x:c r="Q509" t="str">
        <x:v>609443</x:v>
      </x:c>
      <x:c r="R509" t="str">
        <x:v>0</x:v>
      </x:c>
      <x:c r="S509" t="str">
        <x:v>2000</x:v>
      </x:c>
      <x:c r="T509" t="str">
        <x:v>PERNA ALIZAR RG 35 (SEMI)</x:v>
      </x:c>
      <x:c r="U509" t="str"/>
      <x:c r="V509" t="str"/>
      <x:c r="W509" t="str">
        <x:v>N/A</x:v>
      </x:c>
      <x:c r="X509" t="str">
        <x:v>0</x:v>
      </x:c>
      <x:c r="Y509" t="str">
        <x:v>0</x:v>
      </x:c>
      <x:c r="Z509" t="str">
        <x:v>N/A</x:v>
      </x:c>
      <x:c r="AA509" t="str">
        <x:v>N/A</x:v>
      </x:c>
      <x:c r="AB509" t="str">
        <x:v>N/A</x:v>
      </x:c>
      <x:c r="AC509" t="str">
        <x:v>N/A</x:v>
      </x:c>
      <x:c r="AD509" t="str">
        <x:v>N/A</x:v>
      </x:c>
      <x:c r="AE509" t="str">
        <x:v>N/A</x:v>
      </x:c>
    </x:row>
    <x:row r="510">
      <x:c r="A510" t="str">
        <x:v>51</x:v>
      </x:c>
      <x:c r="B510" t="str">
        <x:v>26792</x:v>
      </x:c>
      <x:c r="C510" t="str">
        <x:v>4</x:v>
      </x:c>
      <x:c r="D510" t="str">
        <x:v>2020600204</x:v>
      </x:c>
      <x:c r="E510" t="str">
        <x:v>A STD PET TXT BCO 2200X60X9 RG(ME) RTO</x:v>
      </x:c>
      <x:c r="F510" t="str"/>
      <x:c r="G510" t="str"/>
      <x:c r="H510" t="str"/>
      <x:c r="I510" t="str">
        <x:v>ESMALTE</x:v>
      </x:c>
      <x:c r="J510" t="str">
        <x:v>BRANCO</x:v>
      </x:c>
      <x:c r="K510" t="str">
        <x:v>0</x:v>
      </x:c>
      <x:c r="L510" t="str">
        <x:v>288</x:v>
      </x:c>
      <x:c r="M510" t="str">
        <x:v>0</x:v>
      </x:c>
      <x:c r="N510" t="str">
        <x:v>OC 4500910499</x:v>
      </x:c>
      <x:c r="O510" t="str"/>
      <x:c r="P510" t="str">
        <x:v>Liberada Para Producao</x:v>
      </x:c>
      <x:c r="Q510" t="str">
        <x:v>609444</x:v>
      </x:c>
      <x:c r="R510" t="str">
        <x:v>0</x:v>
      </x:c>
      <x:c r="S510" t="str">
        <x:v>2003</x:v>
      </x:c>
      <x:c r="T510" t="str">
        <x:v>PERNA ALIZAR L MENOR  (SEMI)</x:v>
      </x:c>
      <x:c r="U510" t="str"/>
      <x:c r="V510" t="str"/>
      <x:c r="W510" t="str">
        <x:v>N/A</x:v>
      </x:c>
      <x:c r="X510" t="str">
        <x:v>0</x:v>
      </x:c>
      <x:c r="Y510" t="str">
        <x:v>0</x:v>
      </x:c>
      <x:c r="Z510" t="str">
        <x:v>0</x:v>
      </x:c>
      <x:c r="AA510" t="str">
        <x:v>N/A</x:v>
      </x:c>
      <x:c r="AB510" t="str">
        <x:v>N/A</x:v>
      </x:c>
      <x:c r="AC510" t="str">
        <x:v>N/A</x:v>
      </x:c>
      <x:c r="AD510" t="str">
        <x:v>N/A</x:v>
      </x:c>
      <x:c r="AE510" t="str">
        <x:v>N/A</x:v>
      </x:c>
    </x:row>
    <x:row r="511">
      <x:c r="A511" t="str">
        <x:v>51</x:v>
      </x:c>
      <x:c r="B511" t="str">
        <x:v>26792</x:v>
      </x:c>
      <x:c r="C511" t="str">
        <x:v>4</x:v>
      </x:c>
      <x:c r="D511" t="str">
        <x:v>2020600205</x:v>
      </x:c>
      <x:c r="E511" t="str">
        <x:v>A STD PET TXT BCO 1100X60X9 RG(35) RTO</x:v>
      </x:c>
      <x:c r="F511" t="str"/>
      <x:c r="G511" t="str"/>
      <x:c r="H511" t="str"/>
      <x:c r="I511" t="str">
        <x:v>ESMALTE</x:v>
      </x:c>
      <x:c r="J511" t="str">
        <x:v>BRANCO</x:v>
      </x:c>
      <x:c r="K511" t="str">
        <x:v>0</x:v>
      </x:c>
      <x:c r="L511" t="str">
        <x:v>144</x:v>
      </x:c>
      <x:c r="M511" t="str">
        <x:v>0,086</x:v>
      </x:c>
      <x:c r="N511" t="str">
        <x:v>OC 4500910499</x:v>
      </x:c>
      <x:c r="O511" t="str"/>
      <x:c r="P511" t="str">
        <x:v>Liberada Para Producao</x:v>
      </x:c>
      <x:c r="Q511" t="str">
        <x:v>609445</x:v>
      </x:c>
      <x:c r="R511" t="str">
        <x:v>0</x:v>
      </x:c>
      <x:c r="S511" t="str">
        <x:v>2004</x:v>
      </x:c>
      <x:c r="T511" t="str">
        <x:v>TRAVESSA ALIZAR RG 35 (SEMI)</x:v>
      </x:c>
      <x:c r="U511" t="str"/>
      <x:c r="V511" t="str"/>
      <x:c r="W511" t="str">
        <x:v>N/A</x:v>
      </x:c>
      <x:c r="X511" t="str">
        <x:v>0</x:v>
      </x:c>
      <x:c r="Y511" t="str">
        <x:v>N/A</x:v>
      </x:c>
      <x:c r="Z511" t="str">
        <x:v>N/A</x:v>
      </x:c>
      <x:c r="AA511" t="str">
        <x:v>N/A</x:v>
      </x:c>
      <x:c r="AB511" t="str">
        <x:v>N/A</x:v>
      </x:c>
      <x:c r="AC511" t="str">
        <x:v>N/A</x:v>
      </x:c>
      <x:c r="AD511" t="str">
        <x:v>N/A</x:v>
      </x:c>
      <x:c r="AE511" t="str">
        <x:v>N/A</x:v>
      </x:c>
    </x:row>
    <x:row r="512">
      <x:c r="A512" t="str">
        <x:v>51</x:v>
      </x:c>
      <x:c r="B512" t="str">
        <x:v>26792</x:v>
      </x:c>
      <x:c r="C512" t="str">
        <x:v>4</x:v>
      </x:c>
      <x:c r="D512" t="str">
        <x:v>2020600206</x:v>
      </x:c>
      <x:c r="E512" t="str">
        <x:v>A STD PET TXT BCO 1100X60X9 RG(ME) RTO</x:v>
      </x:c>
      <x:c r="F512" t="str"/>
      <x:c r="G512" t="str"/>
      <x:c r="H512" t="str"/>
      <x:c r="I512" t="str">
        <x:v>ESMALTE</x:v>
      </x:c>
      <x:c r="J512" t="str">
        <x:v>BRANCO</x:v>
      </x:c>
      <x:c r="K512" t="str">
        <x:v>0</x:v>
      </x:c>
      <x:c r="L512" t="str">
        <x:v>144</x:v>
      </x:c>
      <x:c r="M512" t="str">
        <x:v>0</x:v>
      </x:c>
      <x:c r="N512" t="str">
        <x:v>OC 4500910499</x:v>
      </x:c>
      <x:c r="O512" t="str"/>
      <x:c r="P512" t="str">
        <x:v>Liberada Para Producao</x:v>
      </x:c>
      <x:c r="Q512" t="str">
        <x:v>609446</x:v>
      </x:c>
      <x:c r="R512" t="str">
        <x:v>0</x:v>
      </x:c>
      <x:c r="S512" t="str">
        <x:v>2007</x:v>
      </x:c>
      <x:c r="T512" t="str">
        <x:v>TRAVESS ALIZAR L MENOR  (SEMI)</x:v>
      </x:c>
      <x:c r="U512" t="str"/>
      <x:c r="V512" t="str"/>
      <x:c r="W512" t="str">
        <x:v>N/A</x:v>
      </x:c>
      <x:c r="X512" t="str">
        <x:v>0</x:v>
      </x:c>
      <x:c r="Y512" t="str">
        <x:v>N/A</x:v>
      </x:c>
      <x:c r="Z512" t="str">
        <x:v>0</x:v>
      </x:c>
      <x:c r="AA512" t="str">
        <x:v>0</x:v>
      </x:c>
      <x:c r="AB512" t="str">
        <x:v>N/A</x:v>
      </x:c>
      <x:c r="AC512" t="str">
        <x:v>N/A</x:v>
      </x:c>
      <x:c r="AD512" t="str">
        <x:v>N/A</x:v>
      </x:c>
      <x:c r="AE512" t="str">
        <x:v>N/A</x:v>
      </x:c>
    </x:row>
    <x:row r="513">
      <x:c r="A513" t="str">
        <x:v>51</x:v>
      </x:c>
      <x:c r="B513" t="str">
        <x:v>26792</x:v>
      </x:c>
      <x:c r="C513" t="str">
        <x:v>4</x:v>
      </x:c>
      <x:c r="D513" t="str">
        <x:v>3040300041</x:v>
      </x:c>
      <x:c r="E513" t="str">
        <x:v>FO POR SMT HDF 3 COL ESM BCO RU 2100X700</x:v>
      </x:c>
      <x:c r="F513" t="str"/>
      <x:c r="G513" t="str"/>
      <x:c r="H513" t="str"/>
      <x:c r="I513" t="str">
        <x:v>ESMALTE</x:v>
      </x:c>
      <x:c r="J513" t="str">
        <x:v>BRANCO</x:v>
      </x:c>
      <x:c r="K513" t="str">
        <x:v>0</x:v>
      </x:c>
      <x:c r="L513" t="str">
        <x:v>144</x:v>
      </x:c>
      <x:c r="M513" t="str">
        <x:v>7,409</x:v>
      </x:c>
      <x:c r="N513" t="str">
        <x:v>OC 4500910499</x:v>
      </x:c>
      <x:c r="O513" t="str"/>
      <x:c r="P513" t="str">
        <x:v>Liberada Para Producao</x:v>
      </x:c>
      <x:c r="Q513" t="str">
        <x:v>609447/612151</x:v>
      </x:c>
      <x:c r="R513" t="str">
        <x:v>66,67</x:v>
      </x:c>
      <x:c r="S513" t="str">
        <x:v>11</x:v>
      </x:c>
      <x:c r="T513" t="str">
        <x:v>PORTA LINHA SMART</x:v>
      </x:c>
      <x:c r="U513" t="str"/>
      <x:c r="V513" t="str"/>
      <x:c r="W513" t="str">
        <x:v>N/A</x:v>
      </x:c>
      <x:c r="X513" t="str">
        <x:v>100</x:v>
      </x:c>
      <x:c r="Y513" t="str">
        <x:v>N/A</x:v>
      </x:c>
      <x:c r="Z513" t="str">
        <x:v>N/A</x:v>
      </x:c>
      <x:c r="AA513" t="str">
        <x:v>N/A</x:v>
      </x:c>
      <x:c r="AB513" t="str">
        <x:v>100</x:v>
      </x:c>
      <x:c r="AC513" t="str">
        <x:v>N/A</x:v>
      </x:c>
      <x:c r="AD513" t="str">
        <x:v>0</x:v>
      </x:c>
      <x:c r="AE513" t="str">
        <x:v>N/A</x:v>
      </x:c>
    </x:row>
    <x:row r="514">
      <x:c r="A514" t="str">
        <x:v>51</x:v>
      </x:c>
      <x:c r="B514" t="str">
        <x:v>26792</x:v>
      </x:c>
      <x:c r="C514" t="str">
        <x:v>5</x:v>
      </x:c>
      <x:c r="D514" t="str">
        <x:v>2010600115</x:v>
      </x:c>
      <x:c r="E514" t="str">
        <x:v>M P MDF STD PET TXT BCO 2110X150X30 42X1</x:v>
      </x:c>
      <x:c r="F514" t="str"/>
      <x:c r="G514" t="str"/>
      <x:c r="H514" t="str"/>
      <x:c r="I514" t="str">
        <x:v>ESMALTE</x:v>
      </x:c>
      <x:c r="J514" t="str">
        <x:v>BRANCO CARRARA</x:v>
      </x:c>
      <x:c r="K514" t="str">
        <x:v>0</x:v>
      </x:c>
      <x:c r="L514" t="str">
        <x:v>108</x:v>
      </x:c>
      <x:c r="M514" t="str">
        <x:v>1,025</x:v>
      </x:c>
      <x:c r="N514" t="str">
        <x:v>OC 4500910499</x:v>
      </x:c>
      <x:c r="O514" t="str"/>
      <x:c r="P514" t="str">
        <x:v>Liberada Para Producao</x:v>
      </x:c>
      <x:c r="Q514" t="str">
        <x:v>609455</x:v>
      </x:c>
      <x:c r="R514" t="str">
        <x:v>0</x:v>
      </x:c>
      <x:c r="S514" t="str">
        <x:v>1500</x:v>
      </x:c>
      <x:c r="T514" t="str">
        <x:v>PERNA DE BATENTE PREMIUM(SEMIA</x:v>
      </x:c>
      <x:c r="U514" t="str"/>
      <x:c r="V514" t="str"/>
      <x:c r="W514" t="str">
        <x:v>N/A</x:v>
      </x:c>
      <x:c r="X514" t="str">
        <x:v>N/A</x:v>
      </x:c>
      <x:c r="Y514" t="str">
        <x:v>N/A</x:v>
      </x:c>
      <x:c r="Z514" t="str">
        <x:v>0</x:v>
      </x:c>
      <x:c r="AA514" t="str">
        <x:v>0</x:v>
      </x:c>
      <x:c r="AB514" t="str">
        <x:v>N/A</x:v>
      </x:c>
      <x:c r="AC514" t="str">
        <x:v>N/A</x:v>
      </x:c>
      <x:c r="AD514" t="str">
        <x:v>N/A</x:v>
      </x:c>
      <x:c r="AE514" t="str">
        <x:v>N/A</x:v>
      </x:c>
    </x:row>
    <x:row r="515">
      <x:c r="A515" t="str">
        <x:v>51</x:v>
      </x:c>
      <x:c r="B515" t="str">
        <x:v>26792</x:v>
      </x:c>
      <x:c r="C515" t="str">
        <x:v>5</x:v>
      </x:c>
      <x:c r="D515" t="str">
        <x:v>2010600117</x:v>
      </x:c>
      <x:c r="E515" t="str">
        <x:v>M T MDF STD PET TXT BCO 947X150X30 42X10</x:v>
      </x:c>
      <x:c r="F515" t="str"/>
      <x:c r="G515" t="str"/>
      <x:c r="H515" t="str"/>
      <x:c r="I515" t="str">
        <x:v>ESMALTE</x:v>
      </x:c>
      <x:c r="J515" t="str">
        <x:v>BRANCO CARRARA</x:v>
      </x:c>
      <x:c r="K515" t="str">
        <x:v>0</x:v>
      </x:c>
      <x:c r="L515" t="str">
        <x:v>54</x:v>
      </x:c>
      <x:c r="M515" t="str">
        <x:v>0,23</x:v>
      </x:c>
      <x:c r="N515" t="str">
        <x:v>OC 4500910499</x:v>
      </x:c>
      <x:c r="O515" t="str"/>
      <x:c r="P515" t="str">
        <x:v>Liberada Para Producao</x:v>
      </x:c>
      <x:c r="Q515" t="str">
        <x:v>609456</x:v>
      </x:c>
      <x:c r="R515" t="str">
        <x:v>0</x:v>
      </x:c>
      <x:c r="S515" t="str">
        <x:v>1502</x:v>
      </x:c>
      <x:c r="T515" t="str">
        <x:v>TV.BAT. 680-1100 PET/PVC(SEMI)</x:v>
      </x:c>
      <x:c r="U515" t="str"/>
      <x:c r="V515" t="str"/>
      <x:c r="W515" t="str">
        <x:v>N/A</x:v>
      </x:c>
      <x:c r="X515" t="str">
        <x:v>N/A</x:v>
      </x:c>
      <x:c r="Y515" t="str">
        <x:v>N/A</x:v>
      </x:c>
      <x:c r="Z515" t="str">
        <x:v>0</x:v>
      </x:c>
      <x:c r="AA515" t="str">
        <x:v>0</x:v>
      </x:c>
      <x:c r="AB515" t="str">
        <x:v>N/A</x:v>
      </x:c>
      <x:c r="AC515" t="str">
        <x:v>N/A</x:v>
      </x:c>
      <x:c r="AD515" t="str">
        <x:v>N/A</x:v>
      </x:c>
      <x:c r="AE515" t="str">
        <x:v>N/A</x:v>
      </x:c>
    </x:row>
    <x:row r="516">
      <x:c r="A516" t="str">
        <x:v>51</x:v>
      </x:c>
      <x:c r="B516" t="str">
        <x:v>26792</x:v>
      </x:c>
      <x:c r="C516" t="str">
        <x:v>5</x:v>
      </x:c>
      <x:c r="D516" t="str">
        <x:v>2020600240</x:v>
      </x:c>
      <x:c r="E516" t="str">
        <x:v>A STD PET TXT BCO 2200X60X12 RG(ME) RTO</x:v>
      </x:c>
      <x:c r="F516" t="str"/>
      <x:c r="G516" t="str"/>
      <x:c r="H516" t="str"/>
      <x:c r="I516" t="str">
        <x:v>ESMALTE</x:v>
      </x:c>
      <x:c r="J516" t="str">
        <x:v>BRANCO CARRARA</x:v>
      </x:c>
      <x:c r="K516" t="str">
        <x:v>0</x:v>
      </x:c>
      <x:c r="L516" t="str">
        <x:v>108</x:v>
      </x:c>
      <x:c r="M516" t="str">
        <x:v>0</x:v>
      </x:c>
      <x:c r="N516" t="str">
        <x:v>OC 4500910499</x:v>
      </x:c>
      <x:c r="O516" t="str"/>
      <x:c r="P516" t="str">
        <x:v>Liberada Para Producao</x:v>
      </x:c>
      <x:c r="Q516" t="str">
        <x:v>609457</x:v>
      </x:c>
      <x:c r="R516" t="str">
        <x:v>0</x:v>
      </x:c>
      <x:c r="S516" t="str">
        <x:v>2003</x:v>
      </x:c>
      <x:c r="T516" t="str">
        <x:v>PERNA ALIZAR L MENOR  (SEMI)</x:v>
      </x:c>
      <x:c r="U516" t="str"/>
      <x:c r="V516" t="str"/>
      <x:c r="W516" t="str">
        <x:v>N/A</x:v>
      </x:c>
      <x:c r="X516" t="str">
        <x:v>0</x:v>
      </x:c>
      <x:c r="Y516" t="str">
        <x:v>0</x:v>
      </x:c>
      <x:c r="Z516" t="str">
        <x:v>0</x:v>
      </x:c>
      <x:c r="AA516" t="str">
        <x:v>N/A</x:v>
      </x:c>
      <x:c r="AB516" t="str">
        <x:v>N/A</x:v>
      </x:c>
      <x:c r="AC516" t="str">
        <x:v>N/A</x:v>
      </x:c>
      <x:c r="AD516" t="str">
        <x:v>N/A</x:v>
      </x:c>
      <x:c r="AE516" t="str">
        <x:v>N/A</x:v>
      </x:c>
    </x:row>
    <x:row r="517">
      <x:c r="A517" t="str">
        <x:v>51</x:v>
      </x:c>
      <x:c r="B517" t="str">
        <x:v>26792</x:v>
      </x:c>
      <x:c r="C517" t="str">
        <x:v>5</x:v>
      </x:c>
      <x:c r="D517" t="str">
        <x:v>2020600241</x:v>
      </x:c>
      <x:c r="E517" t="str">
        <x:v>A STD PET TXT BCO 1100X60X12 RG(ME) RTO</x:v>
      </x:c>
      <x:c r="F517" t="str"/>
      <x:c r="G517" t="str"/>
      <x:c r="H517" t="str"/>
      <x:c r="I517" t="str">
        <x:v>ESMALTE</x:v>
      </x:c>
      <x:c r="J517" t="str">
        <x:v>BRANCO CARRARA</x:v>
      </x:c>
      <x:c r="K517" t="str">
        <x:v>0</x:v>
      </x:c>
      <x:c r="L517" t="str">
        <x:v>54</x:v>
      </x:c>
      <x:c r="M517" t="str">
        <x:v>0</x:v>
      </x:c>
      <x:c r="N517" t="str">
        <x:v>OC 4500910499</x:v>
      </x:c>
      <x:c r="O517" t="str"/>
      <x:c r="P517" t="str">
        <x:v>Liberada Para Producao</x:v>
      </x:c>
      <x:c r="Q517" t="str">
        <x:v>609458</x:v>
      </x:c>
      <x:c r="R517" t="str">
        <x:v>0</x:v>
      </x:c>
      <x:c r="S517" t="str">
        <x:v>2007</x:v>
      </x:c>
      <x:c r="T517" t="str">
        <x:v>TRAVESS ALIZAR L MENOR  (SEMI)</x:v>
      </x:c>
      <x:c r="U517" t="str"/>
      <x:c r="V517" t="str"/>
      <x:c r="W517" t="str">
        <x:v>N/A</x:v>
      </x:c>
      <x:c r="X517" t="str">
        <x:v>0</x:v>
      </x:c>
      <x:c r="Y517" t="str">
        <x:v>N/A</x:v>
      </x:c>
      <x:c r="Z517" t="str">
        <x:v>0</x:v>
      </x:c>
      <x:c r="AA517" t="str">
        <x:v>0</x:v>
      </x:c>
      <x:c r="AB517" t="str">
        <x:v>N/A</x:v>
      </x:c>
      <x:c r="AC517" t="str">
        <x:v>N/A</x:v>
      </x:c>
      <x:c r="AD517" t="str">
        <x:v>N/A</x:v>
      </x:c>
      <x:c r="AE517" t="str">
        <x:v>N/A</x:v>
      </x:c>
    </x:row>
    <x:row r="518">
      <x:c r="A518" t="str">
        <x:v>51</x:v>
      </x:c>
      <x:c r="B518" t="str">
        <x:v>26792</x:v>
      </x:c>
      <x:c r="C518" t="str">
        <x:v>5</x:v>
      </x:c>
      <x:c r="D518" t="str">
        <x:v>2020600242</x:v>
      </x:c>
      <x:c r="E518" t="str">
        <x:v>A STD PET TXT BCO 2690X60X12 RG(55) RTO</x:v>
      </x:c>
      <x:c r="F518" t="str"/>
      <x:c r="G518" t="str"/>
      <x:c r="H518" t="str"/>
      <x:c r="I518" t="str">
        <x:v>ESMALTE</x:v>
      </x:c>
      <x:c r="J518" t="str">
        <x:v>BRANCO CARRARA</x:v>
      </x:c>
      <x:c r="K518" t="str">
        <x:v>0</x:v>
      </x:c>
      <x:c r="L518" t="str">
        <x:v>108</x:v>
      </x:c>
      <x:c r="M518" t="str">
        <x:v>0</x:v>
      </x:c>
      <x:c r="N518" t="str">
        <x:v>OC 4500910499</x:v>
      </x:c>
      <x:c r="O518" t="str"/>
      <x:c r="P518" t="str">
        <x:v>Liberada Para Producao</x:v>
      </x:c>
      <x:c r="Q518" t="str">
        <x:v>609459</x:v>
      </x:c>
      <x:c r="R518" t="str">
        <x:v>0</x:v>
      </x:c>
      <x:c r="S518" t="str">
        <x:v>2001</x:v>
      </x:c>
      <x:c r="T518" t="str">
        <x:v>PERNA ALIZAR RG 55 (SEMI)</x:v>
      </x:c>
      <x:c r="U518" t="str"/>
      <x:c r="V518" t="str"/>
      <x:c r="W518" t="str">
        <x:v>N/A</x:v>
      </x:c>
      <x:c r="X518" t="str">
        <x:v>0</x:v>
      </x:c>
      <x:c r="Y518" t="str">
        <x:v>0</x:v>
      </x:c>
      <x:c r="Z518" t="str">
        <x:v>0</x:v>
      </x:c>
      <x:c r="AA518" t="str">
        <x:v>N/A</x:v>
      </x:c>
      <x:c r="AB518" t="str">
        <x:v>N/A</x:v>
      </x:c>
      <x:c r="AC518" t="str">
        <x:v>N/A</x:v>
      </x:c>
      <x:c r="AD518" t="str">
        <x:v>N/A</x:v>
      </x:c>
      <x:c r="AE518" t="str">
        <x:v>N/A</x:v>
      </x:c>
    </x:row>
    <x:row r="519">
      <x:c r="A519" t="str">
        <x:v>51</x:v>
      </x:c>
      <x:c r="B519" t="str">
        <x:v>26792</x:v>
      </x:c>
      <x:c r="C519" t="str">
        <x:v>5</x:v>
      </x:c>
      <x:c r="D519" t="str">
        <x:v>3041400419</x:v>
      </x:c>
      <x:c r="E519" t="str">
        <x:v>FO POR SMT HDF 3 S GD RU 2100X900X35 ESM</x:v>
      </x:c>
      <x:c r="F519" t="str"/>
      <x:c r="G519" t="str"/>
      <x:c r="H519" t="str"/>
      <x:c r="I519" t="str">
        <x:v>ESMALTE</x:v>
      </x:c>
      <x:c r="J519" t="str">
        <x:v>BRANCO CARRARA</x:v>
      </x:c>
      <x:c r="K519" t="str">
        <x:v>0</x:v>
      </x:c>
      <x:c r="L519" t="str">
        <x:v>54</x:v>
      </x:c>
      <x:c r="M519" t="str">
        <x:v>3,572</x:v>
      </x:c>
      <x:c r="N519" t="str">
        <x:v>OC 4500910499</x:v>
      </x:c>
      <x:c r="O519" t="str"/>
      <x:c r="P519" t="str">
        <x:v>Liberada Para Producao</x:v>
      </x:c>
      <x:c r="Q519" t="str">
        <x:v>609460</x:v>
      </x:c>
      <x:c r="R519" t="str">
        <x:v>32,72</x:v>
      </x:c>
      <x:c r="S519" t="str">
        <x:v>11</x:v>
      </x:c>
      <x:c r="T519" t="str">
        <x:v>PORTA LINHA SMART</x:v>
      </x:c>
      <x:c r="U519" t="str"/>
      <x:c r="V519" t="str"/>
      <x:c r="W519" t="str">
        <x:v>N/A</x:v>
      </x:c>
      <x:c r="X519" t="str">
        <x:v>66,67</x:v>
      </x:c>
      <x:c r="Y519" t="str">
        <x:v>N/A</x:v>
      </x:c>
      <x:c r="Z519" t="str">
        <x:v>N/A</x:v>
      </x:c>
      <x:c r="AA519" t="str">
        <x:v>N/A</x:v>
      </x:c>
      <x:c r="AB519" t="str">
        <x:v>31,48</x:v>
      </x:c>
      <x:c r="AC519" t="str">
        <x:v>N/A</x:v>
      </x:c>
      <x:c r="AD519" t="str">
        <x:v>0</x:v>
      </x:c>
      <x:c r="AE519" t="str">
        <x:v>N/A</x:v>
      </x:c>
    </x:row>
    <x:row r="520">
      <x:c r="A520" t="str">
        <x:v>51</x:v>
      </x:c>
      <x:c r="B520" t="str">
        <x:v>26792</x:v>
      </x:c>
      <x:c r="C520" t="str">
        <x:v>5</x:v>
      </x:c>
      <x:c r="D520" t="str">
        <x:v>3190500045</x:v>
      </x:c>
      <x:c r="E520" t="str">
        <x:v>BAG P/VEN PINUS 2200X25X7 RTO PET TXT BC</x:v>
      </x:c>
      <x:c r="F520" t="str"/>
      <x:c r="G520" t="str"/>
      <x:c r="H520" t="str"/>
      <x:c r="I520" t="str">
        <x:v>ESMALTE</x:v>
      </x:c>
      <x:c r="J520" t="str">
        <x:v>BRANCO CARRARA</x:v>
      </x:c>
      <x:c r="K520" t="str">
        <x:v>0</x:v>
      </x:c>
      <x:c r="L520" t="str">
        <x:v>216</x:v>
      </x:c>
      <x:c r="M520" t="str">
        <x:v>0,083</x:v>
      </x:c>
      <x:c r="N520" t="str">
        <x:v>OC 4500910499</x:v>
      </x:c>
      <x:c r="O520" t="str"/>
      <x:c r="P520" t="str">
        <x:v>Liberada Para Producao</x:v>
      </x:c>
      <x:c r="Q520" t="str">
        <x:v>609463</x:v>
      </x:c>
      <x:c r="R520" t="str">
        <x:v>0</x:v>
      </x:c>
      <x:c r="S520" t="str">
        <x:v>500</x:v>
      </x:c>
      <x:c r="T520" t="str">
        <x:v>BAGUETES PET/PVC</x:v>
      </x:c>
      <x:c r="U520" t="str"/>
      <x:c r="V520" t="str"/>
      <x:c r="W520" t="str">
        <x:v>N/A</x:v>
      </x:c>
      <x:c r="X520" t="str">
        <x:v>N/A</x:v>
      </x:c>
      <x:c r="Y520" t="str">
        <x:v>N/A</x:v>
      </x:c>
      <x:c r="Z520" t="str">
        <x:v>N/A</x:v>
      </x:c>
      <x:c r="AA520" t="str">
        <x:v>N/A</x:v>
      </x:c>
      <x:c r="AB520" t="str">
        <x:v>N/A</x:v>
      </x:c>
      <x:c r="AC520" t="str">
        <x:v>N/A</x:v>
      </x:c>
      <x:c r="AD520" t="str">
        <x:v>0</x:v>
      </x:c>
      <x:c r="AE520" t="str">
        <x:v>N/A</x:v>
      </x:c>
    </x:row>
    <x:row r="521">
      <x:c r="A521" t="str">
        <x:v>51</x:v>
      </x:c>
      <x:c r="B521" t="str">
        <x:v>26792</x:v>
      </x:c>
      <x:c r="C521" t="str">
        <x:v>5</x:v>
      </x:c>
      <x:c r="D521" t="str">
        <x:v>3230600004</x:v>
      </x:c>
      <x:c r="E521" t="str">
        <x:v>BAND DOB STD 400X906X12 PET TXT BCO RTO</x:v>
      </x:c>
      <x:c r="F521" t="str"/>
      <x:c r="G521" t="str"/>
      <x:c r="H521" t="str"/>
      <x:c r="I521" t="str">
        <x:v>ESMALTE</x:v>
      </x:c>
      <x:c r="J521" t="str">
        <x:v>BRANCO CARRARA</x:v>
      </x:c>
      <x:c r="K521" t="str">
        <x:v>0</x:v>
      </x:c>
      <x:c r="L521" t="str">
        <x:v>54</x:v>
      </x:c>
      <x:c r="M521" t="str">
        <x:v>0,235</x:v>
      </x:c>
      <x:c r="N521" t="str">
        <x:v>OC 4500910499</x:v>
      </x:c>
      <x:c r="O521" t="str"/>
      <x:c r="P521" t="str">
        <x:v>Liberada Para Producao</x:v>
      </x:c>
      <x:c r="Q521" t="str">
        <x:v>609464</x:v>
      </x:c>
      <x:c r="R521" t="str">
        <x:v>0</x:v>
      </x:c>
      <x:c r="S521" t="str">
        <x:v>607</x:v>
      </x:c>
      <x:c r="T521" t="str">
        <x:v>BANDEIRA DOBRAVEL</x:v>
      </x:c>
      <x:c r="U521" t="str"/>
      <x:c r="V521" t="str"/>
      <x:c r="W521" t="str">
        <x:v>N/A</x:v>
      </x:c>
      <x:c r="X521" t="str">
        <x:v>N/A</x:v>
      </x:c>
      <x:c r="Y521" t="str">
        <x:v>N/A</x:v>
      </x:c>
      <x:c r="Z521" t="str">
        <x:v>N/A</x:v>
      </x:c>
      <x:c r="AA521" t="str">
        <x:v>N/A</x:v>
      </x:c>
      <x:c r="AB521" t="str">
        <x:v>N/A</x:v>
      </x:c>
      <x:c r="AC521" t="str">
        <x:v>N/A</x:v>
      </x:c>
      <x:c r="AD521" t="str">
        <x:v>0</x:v>
      </x:c>
      <x:c r="AE521" t="str">
        <x:v>N/A</x:v>
      </x:c>
    </x:row>
    <x:row r="522">
      <x:c r="A522" t="str">
        <x:v>51</x:v>
      </x:c>
      <x:c r="B522" t="str">
        <x:v>26792</x:v>
      </x:c>
      <x:c r="C522" t="str">
        <x:v>6</x:v>
      </x:c>
      <x:c r="D522" t="str">
        <x:v>2010600115</x:v>
      </x:c>
      <x:c r="E522" t="str">
        <x:v>M P MDF STD PET TXT BCO 2110X150X30 42X1</x:v>
      </x:c>
      <x:c r="F522" t="str"/>
      <x:c r="G522" t="str"/>
      <x:c r="H522" t="str"/>
      <x:c r="I522" t="str">
        <x:v>ESMALTE</x:v>
      </x:c>
      <x:c r="J522" t="str">
        <x:v>BRANCO CARRARA</x:v>
      </x:c>
      <x:c r="K522" t="str">
        <x:v>0</x:v>
      </x:c>
      <x:c r="L522" t="str">
        <x:v>20</x:v>
      </x:c>
      <x:c r="M522" t="str">
        <x:v>0,19</x:v>
      </x:c>
      <x:c r="N522" t="str">
        <x:v>OC 4500910499</x:v>
      </x:c>
      <x:c r="O522" t="str"/>
      <x:c r="P522" t="str">
        <x:v>Liberada Para Producao</x:v>
      </x:c>
      <x:c r="Q522" t="str">
        <x:v>609472</x:v>
      </x:c>
      <x:c r="R522" t="str">
        <x:v>0</x:v>
      </x:c>
      <x:c r="S522" t="str">
        <x:v>1500</x:v>
      </x:c>
      <x:c r="T522" t="str">
        <x:v>PERNA DE BATENTE PREMIUM(SEMIA</x:v>
      </x:c>
      <x:c r="U522" t="str"/>
      <x:c r="V522" t="str"/>
      <x:c r="W522" t="str">
        <x:v>N/A</x:v>
      </x:c>
      <x:c r="X522" t="str">
        <x:v>N/A</x:v>
      </x:c>
      <x:c r="Y522" t="str">
        <x:v>N/A</x:v>
      </x:c>
      <x:c r="Z522" t="str">
        <x:v>0</x:v>
      </x:c>
      <x:c r="AA522" t="str">
        <x:v>0</x:v>
      </x:c>
      <x:c r="AB522" t="str">
        <x:v>N/A</x:v>
      </x:c>
      <x:c r="AC522" t="str">
        <x:v>N/A</x:v>
      </x:c>
      <x:c r="AD522" t="str">
        <x:v>N/A</x:v>
      </x:c>
      <x:c r="AE522" t="str">
        <x:v>N/A</x:v>
      </x:c>
    </x:row>
    <x:row r="523">
      <x:c r="A523" t="str">
        <x:v>51</x:v>
      </x:c>
      <x:c r="B523" t="str">
        <x:v>26792</x:v>
      </x:c>
      <x:c r="C523" t="str">
        <x:v>6</x:v>
      </x:c>
      <x:c r="D523" t="str">
        <x:v>2010600117</x:v>
      </x:c>
      <x:c r="E523" t="str">
        <x:v>M T MDF STD PET TXT BCO 947X150X30 42X10</x:v>
      </x:c>
      <x:c r="F523" t="str"/>
      <x:c r="G523" t="str"/>
      <x:c r="H523" t="str"/>
      <x:c r="I523" t="str">
        <x:v>ESMALTE</x:v>
      </x:c>
      <x:c r="J523" t="str">
        <x:v>BRANCO CARRARA</x:v>
      </x:c>
      <x:c r="K523" t="str">
        <x:v>0</x:v>
      </x:c>
      <x:c r="L523" t="str">
        <x:v>10</x:v>
      </x:c>
      <x:c r="M523" t="str">
        <x:v>0,043</x:v>
      </x:c>
      <x:c r="N523" t="str">
        <x:v>OC 4500910499</x:v>
      </x:c>
      <x:c r="O523" t="str"/>
      <x:c r="P523" t="str">
        <x:v>Liberada Para Producao</x:v>
      </x:c>
      <x:c r="Q523" t="str">
        <x:v>609473</x:v>
      </x:c>
      <x:c r="R523" t="str">
        <x:v>0</x:v>
      </x:c>
      <x:c r="S523" t="str">
        <x:v>1502</x:v>
      </x:c>
      <x:c r="T523" t="str">
        <x:v>TV.BAT. 680-1100 PET/PVC(SEMI)</x:v>
      </x:c>
      <x:c r="U523" t="str"/>
      <x:c r="V523" t="str"/>
      <x:c r="W523" t="str">
        <x:v>N/A</x:v>
      </x:c>
      <x:c r="X523" t="str">
        <x:v>N/A</x:v>
      </x:c>
      <x:c r="Y523" t="str">
        <x:v>N/A</x:v>
      </x:c>
      <x:c r="Z523" t="str">
        <x:v>0</x:v>
      </x:c>
      <x:c r="AA523" t="str">
        <x:v>0</x:v>
      </x:c>
      <x:c r="AB523" t="str">
        <x:v>N/A</x:v>
      </x:c>
      <x:c r="AC523" t="str">
        <x:v>N/A</x:v>
      </x:c>
      <x:c r="AD523" t="str">
        <x:v>N/A</x:v>
      </x:c>
      <x:c r="AE523" t="str">
        <x:v>N/A</x:v>
      </x:c>
    </x:row>
    <x:row r="524">
      <x:c r="A524" t="str">
        <x:v>51</x:v>
      </x:c>
      <x:c r="B524" t="str">
        <x:v>26792</x:v>
      </x:c>
      <x:c r="C524" t="str">
        <x:v>6</x:v>
      </x:c>
      <x:c r="D524" t="str">
        <x:v>2020600240</x:v>
      </x:c>
      <x:c r="E524" t="str">
        <x:v>A STD PET TXT BCO 2200X60X12 RG(ME) RTO</x:v>
      </x:c>
      <x:c r="F524" t="str"/>
      <x:c r="G524" t="str"/>
      <x:c r="H524" t="str"/>
      <x:c r="I524" t="str">
        <x:v>ESMALTE</x:v>
      </x:c>
      <x:c r="J524" t="str">
        <x:v>BRANCO CARRARA</x:v>
      </x:c>
      <x:c r="K524" t="str">
        <x:v>0</x:v>
      </x:c>
      <x:c r="L524" t="str">
        <x:v>20</x:v>
      </x:c>
      <x:c r="M524" t="str">
        <x:v>0</x:v>
      </x:c>
      <x:c r="N524" t="str">
        <x:v>OC 4500910499</x:v>
      </x:c>
      <x:c r="O524" t="str"/>
      <x:c r="P524" t="str">
        <x:v>Liberada Para Producao</x:v>
      </x:c>
      <x:c r="Q524" t="str">
        <x:v>609474</x:v>
      </x:c>
      <x:c r="R524" t="str">
        <x:v>0</x:v>
      </x:c>
      <x:c r="S524" t="str">
        <x:v>2003</x:v>
      </x:c>
      <x:c r="T524" t="str">
        <x:v>PERNA ALIZAR L MENOR  (SEMI)</x:v>
      </x:c>
      <x:c r="U524" t="str"/>
      <x:c r="V524" t="str"/>
      <x:c r="W524" t="str">
        <x:v>N/A</x:v>
      </x:c>
      <x:c r="X524" t="str">
        <x:v>0</x:v>
      </x:c>
      <x:c r="Y524" t="str">
        <x:v>0</x:v>
      </x:c>
      <x:c r="Z524" t="str">
        <x:v>0</x:v>
      </x:c>
      <x:c r="AA524" t="str">
        <x:v>N/A</x:v>
      </x:c>
      <x:c r="AB524" t="str">
        <x:v>N/A</x:v>
      </x:c>
      <x:c r="AC524" t="str">
        <x:v>N/A</x:v>
      </x:c>
      <x:c r="AD524" t="str">
        <x:v>N/A</x:v>
      </x:c>
      <x:c r="AE524" t="str">
        <x:v>N/A</x:v>
      </x:c>
    </x:row>
    <x:row r="525">
      <x:c r="A525" t="str">
        <x:v>51</x:v>
      </x:c>
      <x:c r="B525" t="str">
        <x:v>26792</x:v>
      </x:c>
      <x:c r="C525" t="str">
        <x:v>6</x:v>
      </x:c>
      <x:c r="D525" t="str">
        <x:v>2020600241</x:v>
      </x:c>
      <x:c r="E525" t="str">
        <x:v>A STD PET TXT BCO 1100X60X12 RG(ME) RTO</x:v>
      </x:c>
      <x:c r="F525" t="str"/>
      <x:c r="G525" t="str"/>
      <x:c r="H525" t="str"/>
      <x:c r="I525" t="str">
        <x:v>ESMALTE</x:v>
      </x:c>
      <x:c r="J525" t="str">
        <x:v>BRANCO CARRARA</x:v>
      </x:c>
      <x:c r="K525" t="str">
        <x:v>0</x:v>
      </x:c>
      <x:c r="L525" t="str">
        <x:v>10</x:v>
      </x:c>
      <x:c r="M525" t="str">
        <x:v>0</x:v>
      </x:c>
      <x:c r="N525" t="str">
        <x:v>OC 4500910499</x:v>
      </x:c>
      <x:c r="O525" t="str"/>
      <x:c r="P525" t="str">
        <x:v>Liberada Para Producao</x:v>
      </x:c>
      <x:c r="Q525" t="str">
        <x:v>609475</x:v>
      </x:c>
      <x:c r="R525" t="str">
        <x:v>0</x:v>
      </x:c>
      <x:c r="S525" t="str">
        <x:v>2007</x:v>
      </x:c>
      <x:c r="T525" t="str">
        <x:v>TRAVESS ALIZAR L MENOR  (SEMI)</x:v>
      </x:c>
      <x:c r="U525" t="str"/>
      <x:c r="V525" t="str"/>
      <x:c r="W525" t="str">
        <x:v>N/A</x:v>
      </x:c>
      <x:c r="X525" t="str">
        <x:v>0</x:v>
      </x:c>
      <x:c r="Y525" t="str">
        <x:v>N/A</x:v>
      </x:c>
      <x:c r="Z525" t="str">
        <x:v>0</x:v>
      </x:c>
      <x:c r="AA525" t="str">
        <x:v>0</x:v>
      </x:c>
      <x:c r="AB525" t="str">
        <x:v>N/A</x:v>
      </x:c>
      <x:c r="AC525" t="str">
        <x:v>N/A</x:v>
      </x:c>
      <x:c r="AD525" t="str">
        <x:v>N/A</x:v>
      </x:c>
      <x:c r="AE525" t="str">
        <x:v>N/A</x:v>
      </x:c>
    </x:row>
    <x:row r="526">
      <x:c r="A526" t="str">
        <x:v>51</x:v>
      </x:c>
      <x:c r="B526" t="str">
        <x:v>26792</x:v>
      </x:c>
      <x:c r="C526" t="str">
        <x:v>6</x:v>
      </x:c>
      <x:c r="D526" t="str">
        <x:v>2020600243</x:v>
      </x:c>
      <x:c r="E526" t="str">
        <x:v>A STD PET TXT BCO 2690X60X12 RG(80) RTO</x:v>
      </x:c>
      <x:c r="F526" t="str"/>
      <x:c r="G526" t="str"/>
      <x:c r="H526" t="str"/>
      <x:c r="I526" t="str">
        <x:v>ESMALTE</x:v>
      </x:c>
      <x:c r="J526" t="str">
        <x:v>BRANCO CARRARA</x:v>
      </x:c>
      <x:c r="K526" t="str">
        <x:v>0</x:v>
      </x:c>
      <x:c r="L526" t="str">
        <x:v>20</x:v>
      </x:c>
      <x:c r="M526" t="str">
        <x:v>0</x:v>
      </x:c>
      <x:c r="N526" t="str">
        <x:v>OC 4500910499</x:v>
      </x:c>
      <x:c r="O526" t="str"/>
      <x:c r="P526" t="str">
        <x:v>Liberada Para Producao</x:v>
      </x:c>
      <x:c r="Q526" t="str">
        <x:v>609476</x:v>
      </x:c>
      <x:c r="R526" t="str">
        <x:v>0</x:v>
      </x:c>
      <x:c r="S526" t="str">
        <x:v>2021</x:v>
      </x:c>
      <x:c r="T526" t="str">
        <x:v>PERNA ALIZAR RG 80 (SEMI)</x:v>
      </x:c>
      <x:c r="U526" t="str"/>
      <x:c r="V526" t="str"/>
      <x:c r="W526" t="str">
        <x:v>N/A</x:v>
      </x:c>
      <x:c r="X526" t="str">
        <x:v>0</x:v>
      </x:c>
      <x:c r="Y526" t="str">
        <x:v>0</x:v>
      </x:c>
      <x:c r="Z526" t="str">
        <x:v>0</x:v>
      </x:c>
      <x:c r="AA526" t="str">
        <x:v>N/A</x:v>
      </x:c>
      <x:c r="AB526" t="str">
        <x:v>N/A</x:v>
      </x:c>
      <x:c r="AC526" t="str">
        <x:v>N/A</x:v>
      </x:c>
      <x:c r="AD526" t="str">
        <x:v>N/A</x:v>
      </x:c>
      <x:c r="AE526" t="str">
        <x:v>N/A</x:v>
      </x:c>
    </x:row>
    <x:row r="527">
      <x:c r="A527" t="str">
        <x:v>51</x:v>
      </x:c>
      <x:c r="B527" t="str">
        <x:v>26792</x:v>
      </x:c>
      <x:c r="C527" t="str">
        <x:v>6</x:v>
      </x:c>
      <x:c r="D527" t="str">
        <x:v>3041400419</x:v>
      </x:c>
      <x:c r="E527" t="str">
        <x:v>FO POR SMT HDF 3 S GD RU 2100X900X35 ESM</x:v>
      </x:c>
      <x:c r="F527" t="str"/>
      <x:c r="G527" t="str"/>
      <x:c r="H527" t="str"/>
      <x:c r="I527" t="str">
        <x:v>ESMALTE</x:v>
      </x:c>
      <x:c r="J527" t="str">
        <x:v>BRANCO CARRARA</x:v>
      </x:c>
      <x:c r="K527" t="str">
        <x:v>0</x:v>
      </x:c>
      <x:c r="L527" t="str">
        <x:v>10</x:v>
      </x:c>
      <x:c r="M527" t="str">
        <x:v>0,662</x:v>
      </x:c>
      <x:c r="N527" t="str">
        <x:v>OC 4500910499</x:v>
      </x:c>
      <x:c r="O527" t="str"/>
      <x:c r="P527" t="str">
        <x:v>Liberada Para Producao</x:v>
      </x:c>
      <x:c r="Q527" t="str">
        <x:v>609477</x:v>
      </x:c>
      <x:c r="R527" t="str">
        <x:v>22,22</x:v>
      </x:c>
      <x:c r="S527" t="str">
        <x:v>11</x:v>
      </x:c>
      <x:c r="T527" t="str">
        <x:v>PORTA LINHA SMART</x:v>
      </x:c>
      <x:c r="U527" t="str"/>
      <x:c r="V527" t="str"/>
      <x:c r="W527" t="str">
        <x:v>N/A</x:v>
      </x:c>
      <x:c r="X527" t="str">
        <x:v>66,67</x:v>
      </x:c>
      <x:c r="Y527" t="str">
        <x:v>N/A</x:v>
      </x:c>
      <x:c r="Z527" t="str">
        <x:v>N/A</x:v>
      </x:c>
      <x:c r="AA527" t="str">
        <x:v>N/A</x:v>
      </x:c>
      <x:c r="AB527" t="str">
        <x:v>0</x:v>
      </x:c>
      <x:c r="AC527" t="str">
        <x:v>N/A</x:v>
      </x:c>
      <x:c r="AD527" t="str">
        <x:v>0</x:v>
      </x:c>
      <x:c r="AE527" t="str">
        <x:v>N/A</x:v>
      </x:c>
    </x:row>
    <x:row r="528">
      <x:c r="A528" t="str">
        <x:v>51</x:v>
      </x:c>
      <x:c r="B528" t="str">
        <x:v>26792</x:v>
      </x:c>
      <x:c r="C528" t="str">
        <x:v>6</x:v>
      </x:c>
      <x:c r="D528" t="str">
        <x:v>3190500045</x:v>
      </x:c>
      <x:c r="E528" t="str">
        <x:v>BAG P/VEN PINUS 2200X25X7 RTO PET TXT BC</x:v>
      </x:c>
      <x:c r="F528" t="str"/>
      <x:c r="G528" t="str"/>
      <x:c r="H528" t="str"/>
      <x:c r="I528" t="str">
        <x:v>ESMALTE</x:v>
      </x:c>
      <x:c r="J528" t="str">
        <x:v>BRANCO CARRARA</x:v>
      </x:c>
      <x:c r="K528" t="str">
        <x:v>0</x:v>
      </x:c>
      <x:c r="L528" t="str">
        <x:v>40</x:v>
      </x:c>
      <x:c r="M528" t="str">
        <x:v>0,015</x:v>
      </x:c>
      <x:c r="N528" t="str">
        <x:v>OC 4500910499</x:v>
      </x:c>
      <x:c r="O528" t="str"/>
      <x:c r="P528" t="str">
        <x:v>Liberada Para Producao</x:v>
      </x:c>
      <x:c r="Q528" t="str">
        <x:v>609480</x:v>
      </x:c>
      <x:c r="R528" t="str">
        <x:v>0</x:v>
      </x:c>
      <x:c r="S528" t="str">
        <x:v>500</x:v>
      </x:c>
      <x:c r="T528" t="str">
        <x:v>BAGUETES PET/PVC</x:v>
      </x:c>
      <x:c r="U528" t="str"/>
      <x:c r="V528" t="str"/>
      <x:c r="W528" t="str">
        <x:v>N/A</x:v>
      </x:c>
      <x:c r="X528" t="str">
        <x:v>N/A</x:v>
      </x:c>
      <x:c r="Y528" t="str">
        <x:v>N/A</x:v>
      </x:c>
      <x:c r="Z528" t="str">
        <x:v>N/A</x:v>
      </x:c>
      <x:c r="AA528" t="str">
        <x:v>N/A</x:v>
      </x:c>
      <x:c r="AB528" t="str">
        <x:v>N/A</x:v>
      </x:c>
      <x:c r="AC528" t="str">
        <x:v>N/A</x:v>
      </x:c>
      <x:c r="AD528" t="str">
        <x:v>0</x:v>
      </x:c>
      <x:c r="AE528" t="str">
        <x:v>N/A</x:v>
      </x:c>
    </x:row>
    <x:row r="529">
      <x:c r="A529" t="str">
        <x:v>51</x:v>
      </x:c>
      <x:c r="B529" t="str">
        <x:v>26792</x:v>
      </x:c>
      <x:c r="C529" t="str">
        <x:v>6</x:v>
      </x:c>
      <x:c r="D529" t="str">
        <x:v>3230600005</x:v>
      </x:c>
      <x:c r="E529" t="str">
        <x:v>BAND DOB STD 400X906X12 PET TXT BCO RTO</x:v>
      </x:c>
      <x:c r="F529" t="str"/>
      <x:c r="G529" t="str"/>
      <x:c r="H529" t="str"/>
      <x:c r="I529" t="str">
        <x:v>ESMALTE</x:v>
      </x:c>
      <x:c r="J529" t="str">
        <x:v>BRANCO CARRARA</x:v>
      </x:c>
      <x:c r="K529" t="str">
        <x:v>0</x:v>
      </x:c>
      <x:c r="L529" t="str">
        <x:v>10</x:v>
      </x:c>
      <x:c r="M529" t="str">
        <x:v>0,043</x:v>
      </x:c>
      <x:c r="N529" t="str">
        <x:v>OC 4500910499</x:v>
      </x:c>
      <x:c r="O529" t="str"/>
      <x:c r="P529" t="str">
        <x:v>Liberada Para Producao</x:v>
      </x:c>
      <x:c r="Q529" t="str">
        <x:v>609481</x:v>
      </x:c>
      <x:c r="R529" t="str">
        <x:v>0</x:v>
      </x:c>
      <x:c r="S529" t="str">
        <x:v>607</x:v>
      </x:c>
      <x:c r="T529" t="str">
        <x:v>BANDEIRA DOBRAVEL</x:v>
      </x:c>
      <x:c r="U529" t="str"/>
      <x:c r="V529" t="str"/>
      <x:c r="W529" t="str">
        <x:v>N/A</x:v>
      </x:c>
      <x:c r="X529" t="str">
        <x:v>N/A</x:v>
      </x:c>
      <x:c r="Y529" t="str">
        <x:v>N/A</x:v>
      </x:c>
      <x:c r="Z529" t="str">
        <x:v>N/A</x:v>
      </x:c>
      <x:c r="AA529" t="str">
        <x:v>N/A</x:v>
      </x:c>
      <x:c r="AB529" t="str">
        <x:v>N/A</x:v>
      </x:c>
      <x:c r="AC529" t="str">
        <x:v>N/A</x:v>
      </x:c>
      <x:c r="AD529" t="str">
        <x:v>0</x:v>
      </x:c>
      <x:c r="AE529" t="str">
        <x:v>N/A</x:v>
      </x:c>
    </x:row>
    <x:row r="530">
      <x:c r="A530" t="str">
        <x:v>51</x:v>
      </x:c>
      <x:c r="B530" t="str">
        <x:v>26796</x:v>
      </x:c>
      <x:c r="C530" t="str">
        <x:v>1</x:v>
      </x:c>
      <x:c r="D530" t="str">
        <x:v>956374</x:v>
      </x:c>
      <x:c r="E530" t="str">
        <x:v>2250X50X9 RTO LME PET BCO TXT MPMV(STD)</x:v>
      </x:c>
      <x:c r="F530" t="str"/>
      <x:c r="G530" t="str"/>
      <x:c r="H530" t="str"/>
      <x:c r="I530" t="str">
        <x:v>ESMALTE</x:v>
      </x:c>
      <x:c r="J530" t="str">
        <x:v>BRANCO CARRARA</x:v>
      </x:c>
      <x:c r="K530" t="str">
        <x:v>0</x:v>
      </x:c>
      <x:c r="L530" t="str">
        <x:v>432</x:v>
      </x:c>
      <x:c r="M530" t="str">
        <x:v>0</x:v>
      </x:c>
      <x:c r="N530" t="str">
        <x:v>OC 4500910521</x:v>
      </x:c>
      <x:c r="O530" t="str"/>
      <x:c r="P530" t="str">
        <x:v>Liberada Para Producao</x:v>
      </x:c>
      <x:c r="Q530" t="str">
        <x:v>609284</x:v>
      </x:c>
      <x:c r="R530" t="str">
        <x:v>0</x:v>
      </x:c>
      <x:c r="S530" t="str"/>
      <x:c r="T530" t="str"/>
      <x:c r="U530" t="str"/>
      <x:c r="V530" t="str"/>
      <x:c r="W530" t="str">
        <x:v>N/A</x:v>
      </x:c>
      <x:c r="X530" t="str">
        <x:v>0</x:v>
      </x:c>
      <x:c r="Y530" t="str">
        <x:v>0</x:v>
      </x:c>
      <x:c r="Z530" t="str">
        <x:v>0</x:v>
      </x:c>
      <x:c r="AA530" t="str">
        <x:v>N/A</x:v>
      </x:c>
      <x:c r="AB530" t="str">
        <x:v>N/A</x:v>
      </x:c>
      <x:c r="AC530" t="str">
        <x:v>N/A</x:v>
      </x:c>
      <x:c r="AD530" t="str">
        <x:v>N/A</x:v>
      </x:c>
      <x:c r="AE530" t="str">
        <x:v>N/A</x:v>
      </x:c>
    </x:row>
    <x:row r="531">
      <x:c r="A531" t="str">
        <x:v>51</x:v>
      </x:c>
      <x:c r="B531" t="str">
        <x:v>26796</x:v>
      </x:c>
      <x:c r="C531" t="str">
        <x:v>1</x:v>
      </x:c>
      <x:c r="D531" t="str">
        <x:v>985577</x:v>
      </x:c>
      <x:c r="E531" t="str">
        <x:v>T A 1100X50X9 RTO LME PET BCO TXT (STD)</x:v>
      </x:c>
      <x:c r="F531" t="str"/>
      <x:c r="G531" t="str"/>
      <x:c r="H531" t="str"/>
      <x:c r="I531" t="str">
        <x:v>ESMALTE</x:v>
      </x:c>
      <x:c r="J531" t="str">
        <x:v>BRANCO CARRARA</x:v>
      </x:c>
      <x:c r="K531" t="str">
        <x:v>0</x:v>
      </x:c>
      <x:c r="L531" t="str">
        <x:v>216</x:v>
      </x:c>
      <x:c r="M531" t="str">
        <x:v>0</x:v>
      </x:c>
      <x:c r="N531" t="str">
        <x:v>OC 4500910521</x:v>
      </x:c>
      <x:c r="O531" t="str"/>
      <x:c r="P531" t="str">
        <x:v>Liberada Para Producao</x:v>
      </x:c>
      <x:c r="Q531" t="str">
        <x:v>609285</x:v>
      </x:c>
      <x:c r="R531" t="str">
        <x:v>0</x:v>
      </x:c>
      <x:c r="S531" t="str"/>
      <x:c r="T531" t="str"/>
      <x:c r="U531" t="str"/>
      <x:c r="V531" t="str"/>
      <x:c r="W531" t="str">
        <x:v>N/A</x:v>
      </x:c>
      <x:c r="X531" t="str">
        <x:v>0</x:v>
      </x:c>
      <x:c r="Y531" t="str">
        <x:v>0</x:v>
      </x:c>
      <x:c r="Z531" t="str">
        <x:v>0</x:v>
      </x:c>
      <x:c r="AA531" t="str">
        <x:v>0</x:v>
      </x:c>
      <x:c r="AB531" t="str">
        <x:v>N/A</x:v>
      </x:c>
      <x:c r="AC531" t="str">
        <x:v>N/A</x:v>
      </x:c>
      <x:c r="AD531" t="str">
        <x:v>N/A</x:v>
      </x:c>
      <x:c r="AE531" t="str">
        <x:v>N/A</x:v>
      </x:c>
    </x:row>
    <x:row r="532">
      <x:c r="A532" t="str">
        <x:v>51</x:v>
      </x:c>
      <x:c r="B532" t="str">
        <x:v>26796</x:v>
      </x:c>
      <x:c r="C532" t="str">
        <x:v>1</x:v>
      </x:c>
      <x:c r="D532" t="str">
        <x:v>986855</x:v>
      </x:c>
      <x:c r="E532" t="str">
        <x:v>P.A. 2200X50X9 RT RL35 PET TXT BCO STD</x:v>
      </x:c>
      <x:c r="F532" t="str"/>
      <x:c r="G532" t="str"/>
      <x:c r="H532" t="str"/>
      <x:c r="I532" t="str">
        <x:v>ESMALTE</x:v>
      </x:c>
      <x:c r="J532" t="str">
        <x:v>BRANCO CARRARA</x:v>
      </x:c>
      <x:c r="K532" t="str">
        <x:v>0</x:v>
      </x:c>
      <x:c r="L532" t="str">
        <x:v>432</x:v>
      </x:c>
      <x:c r="M532" t="str">
        <x:v>0,428</x:v>
      </x:c>
      <x:c r="N532" t="str">
        <x:v>OC 4500910521</x:v>
      </x:c>
      <x:c r="O532" t="str"/>
      <x:c r="P532" t="str">
        <x:v>Liberada Para Producao</x:v>
      </x:c>
      <x:c r="Q532" t="str">
        <x:v>609286</x:v>
      </x:c>
      <x:c r="R532" t="str">
        <x:v>0</x:v>
      </x:c>
      <x:c r="S532" t="str"/>
      <x:c r="T532" t="str"/>
      <x:c r="U532" t="str"/>
      <x:c r="V532" t="str"/>
      <x:c r="W532" t="str">
        <x:v>N/A</x:v>
      </x:c>
      <x:c r="X532" t="str">
        <x:v>0</x:v>
      </x:c>
      <x:c r="Y532" t="str">
        <x:v>0</x:v>
      </x:c>
      <x:c r="Z532" t="str">
        <x:v>0</x:v>
      </x:c>
      <x:c r="AA532" t="str">
        <x:v>N/A</x:v>
      </x:c>
      <x:c r="AB532" t="str">
        <x:v>N/A</x:v>
      </x:c>
      <x:c r="AC532" t="str">
        <x:v>N/A</x:v>
      </x:c>
      <x:c r="AD532" t="str">
        <x:v>N/A</x:v>
      </x:c>
      <x:c r="AE532" t="str">
        <x:v>N/A</x:v>
      </x:c>
    </x:row>
    <x:row r="533">
      <x:c r="A533" t="str">
        <x:v>51</x:v>
      </x:c>
      <x:c r="B533" t="str">
        <x:v>26796</x:v>
      </x:c>
      <x:c r="C533" t="str">
        <x:v>1</x:v>
      </x:c>
      <x:c r="D533" t="str">
        <x:v>986856</x:v>
      </x:c>
      <x:c r="E533" t="str">
        <x:v>T.A 1000X50X9 RT RL35 PET TXT BCO STD</x:v>
      </x:c>
      <x:c r="F533" t="str"/>
      <x:c r="G533" t="str"/>
      <x:c r="H533" t="str"/>
      <x:c r="I533" t="str">
        <x:v>ESMALTE</x:v>
      </x:c>
      <x:c r="J533" t="str">
        <x:v>BRANCO CARRARA</x:v>
      </x:c>
      <x:c r="K533" t="str">
        <x:v>0</x:v>
      </x:c>
      <x:c r="L533" t="str">
        <x:v>216</x:v>
      </x:c>
      <x:c r="M533" t="str">
        <x:v>0,097</x:v>
      </x:c>
      <x:c r="N533" t="str">
        <x:v>OC 4500910521</x:v>
      </x:c>
      <x:c r="O533" t="str"/>
      <x:c r="P533" t="str">
        <x:v>Liberada Para Producao</x:v>
      </x:c>
      <x:c r="Q533" t="str">
        <x:v>609287</x:v>
      </x:c>
      <x:c r="R533" t="str">
        <x:v>0</x:v>
      </x:c>
      <x:c r="S533" t="str"/>
      <x:c r="T533" t="str"/>
      <x:c r="U533" t="str"/>
      <x:c r="V533" t="str"/>
      <x:c r="W533" t="str">
        <x:v>N/A</x:v>
      </x:c>
      <x:c r="X533" t="str">
        <x:v>0</x:v>
      </x:c>
      <x:c r="Y533" t="str">
        <x:v>0</x:v>
      </x:c>
      <x:c r="Z533" t="str">
        <x:v>0</x:v>
      </x:c>
      <x:c r="AA533" t="str">
        <x:v>0</x:v>
      </x:c>
      <x:c r="AB533" t="str">
        <x:v>N/A</x:v>
      </x:c>
      <x:c r="AC533" t="str">
        <x:v>N/A</x:v>
      </x:c>
      <x:c r="AD533" t="str">
        <x:v>N/A</x:v>
      </x:c>
      <x:c r="AE533" t="str">
        <x:v>N/A</x:v>
      </x:c>
    </x:row>
    <x:row r="534">
      <x:c r="A534" t="str">
        <x:v>51</x:v>
      </x:c>
      <x:c r="B534" t="str">
        <x:v>26796</x:v>
      </x:c>
      <x:c r="C534" t="str">
        <x:v>1</x:v>
      </x:c>
      <x:c r="D534" t="str">
        <x:v>2010600024</x:v>
      </x:c>
      <x:c r="E534" t="str">
        <x:v>M P MDF STD PET TXT BCO 2110X80X30 42X10</x:v>
      </x:c>
      <x:c r="F534" t="str"/>
      <x:c r="G534" t="str"/>
      <x:c r="H534" t="str"/>
      <x:c r="I534" t="str">
        <x:v>ESMALTE</x:v>
      </x:c>
      <x:c r="J534" t="str">
        <x:v>BRANCO CARRARA</x:v>
      </x:c>
      <x:c r="K534" t="str">
        <x:v>0</x:v>
      </x:c>
      <x:c r="L534" t="str">
        <x:v>432</x:v>
      </x:c>
      <x:c r="M534" t="str">
        <x:v>2,188</x:v>
      </x:c>
      <x:c r="N534" t="str">
        <x:v>OC 4500910521</x:v>
      </x:c>
      <x:c r="O534" t="str"/>
      <x:c r="P534" t="str">
        <x:v>Liberada Para Producao</x:v>
      </x:c>
      <x:c r="Q534" t="str">
        <x:v>609288</x:v>
      </x:c>
      <x:c r="R534" t="str">
        <x:v>0</x:v>
      </x:c>
      <x:c r="S534" t="str">
        <x:v>1500</x:v>
      </x:c>
      <x:c r="T534" t="str">
        <x:v>PERNA DE BATENTE PREMIUM(SEMIA</x:v>
      </x:c>
      <x:c r="U534" t="str"/>
      <x:c r="V534" t="str"/>
      <x:c r="W534" t="str">
        <x:v>N/A</x:v>
      </x:c>
      <x:c r="X534" t="str">
        <x:v>N/A</x:v>
      </x:c>
      <x:c r="Y534" t="str">
        <x:v>N/A</x:v>
      </x:c>
      <x:c r="Z534" t="str">
        <x:v>0</x:v>
      </x:c>
      <x:c r="AA534" t="str">
        <x:v>0</x:v>
      </x:c>
      <x:c r="AB534" t="str">
        <x:v>N/A</x:v>
      </x:c>
      <x:c r="AC534" t="str">
        <x:v>N/A</x:v>
      </x:c>
      <x:c r="AD534" t="str">
        <x:v>N/A</x:v>
      </x:c>
      <x:c r="AE534" t="str">
        <x:v>N/A</x:v>
      </x:c>
    </x:row>
    <x:row r="535">
      <x:c r="A535" t="str">
        <x:v>51</x:v>
      </x:c>
      <x:c r="B535" t="str">
        <x:v>26796</x:v>
      </x:c>
      <x:c r="C535" t="str">
        <x:v>1</x:v>
      </x:c>
      <x:c r="D535" t="str">
        <x:v>2010600170</x:v>
      </x:c>
      <x:c r="E535" t="str">
        <x:v>M T MDF STD PET TXT BCO 647X80X30 42X10</x:v>
      </x:c>
      <x:c r="F535" t="str"/>
      <x:c r="G535" t="str"/>
      <x:c r="H535" t="str"/>
      <x:c r="I535" t="str">
        <x:v>ESMALTE</x:v>
      </x:c>
      <x:c r="J535" t="str">
        <x:v>BRANCO CARRARA</x:v>
      </x:c>
      <x:c r="K535" t="str">
        <x:v>0</x:v>
      </x:c>
      <x:c r="L535" t="str">
        <x:v>216</x:v>
      </x:c>
      <x:c r="M535" t="str">
        <x:v>0,335</x:v>
      </x:c>
      <x:c r="N535" t="str">
        <x:v>OC 4500910521</x:v>
      </x:c>
      <x:c r="O535" t="str"/>
      <x:c r="P535" t="str">
        <x:v>Liberada Para Producao</x:v>
      </x:c>
      <x:c r="Q535" t="str">
        <x:v>609289</x:v>
      </x:c>
      <x:c r="R535" t="str">
        <x:v>0</x:v>
      </x:c>
      <x:c r="S535" t="str">
        <x:v>1501</x:v>
      </x:c>
      <x:c r="T535" t="str">
        <x:v>TRAV. BAT. 680 PET/PVC(SEMI)</x:v>
      </x:c>
      <x:c r="U535" t="str"/>
      <x:c r="V535" t="str"/>
      <x:c r="W535" t="str">
        <x:v>N/A</x:v>
      </x:c>
      <x:c r="X535" t="str">
        <x:v>N/A</x:v>
      </x:c>
      <x:c r="Y535" t="str">
        <x:v>N/A</x:v>
      </x:c>
      <x:c r="Z535" t="str">
        <x:v>0</x:v>
      </x:c>
      <x:c r="AA535" t="str">
        <x:v>0</x:v>
      </x:c>
      <x:c r="AB535" t="str">
        <x:v>N/A</x:v>
      </x:c>
      <x:c r="AC535" t="str">
        <x:v>N/A</x:v>
      </x:c>
      <x:c r="AD535" t="str">
        <x:v>N/A</x:v>
      </x:c>
      <x:c r="AE535" t="str">
        <x:v>N/A</x:v>
      </x:c>
    </x:row>
    <x:row r="536">
      <x:c r="A536" t="str">
        <x:v>51</x:v>
      </x:c>
      <x:c r="B536" t="str">
        <x:v>26796</x:v>
      </x:c>
      <x:c r="C536" t="str">
        <x:v>1</x:v>
      </x:c>
      <x:c r="D536" t="str">
        <x:v>3040300046</x:v>
      </x:c>
      <x:c r="E536" t="str">
        <x:v>FO POR SMT HDF 3 COL RU 2100X600X35 ESM</x:v>
      </x:c>
      <x:c r="F536" t="str"/>
      <x:c r="G536" t="str"/>
      <x:c r="H536" t="str"/>
      <x:c r="I536" t="str">
        <x:v>ESMALTE</x:v>
      </x:c>
      <x:c r="J536" t="str">
        <x:v>BRANCO CARRARA</x:v>
      </x:c>
      <x:c r="K536" t="str">
        <x:v>0</x:v>
      </x:c>
      <x:c r="L536" t="str">
        <x:v>216</x:v>
      </x:c>
      <x:c r="M536" t="str">
        <x:v>9,526</x:v>
      </x:c>
      <x:c r="N536" t="str">
        <x:v>OC 4500910521</x:v>
      </x:c>
      <x:c r="O536" t="str"/>
      <x:c r="P536" t="str">
        <x:v>Liberada Para Producao</x:v>
      </x:c>
      <x:c r="Q536" t="str">
        <x:v>609290/612150</x:v>
      </x:c>
      <x:c r="R536" t="str">
        <x:v>51,69</x:v>
      </x:c>
      <x:c r="S536" t="str">
        <x:v>11</x:v>
      </x:c>
      <x:c r="T536" t="str">
        <x:v>PORTA LINHA SMART</x:v>
      </x:c>
      <x:c r="U536" t="str"/>
      <x:c r="V536" t="str"/>
      <x:c r="W536" t="str">
        <x:v>N/A</x:v>
      </x:c>
      <x:c r="X536" t="str">
        <x:v>100</x:v>
      </x:c>
      <x:c r="Y536" t="str">
        <x:v>N/A</x:v>
      </x:c>
      <x:c r="Z536" t="str">
        <x:v>N/A</x:v>
      </x:c>
      <x:c r="AA536" t="str">
        <x:v>N/A</x:v>
      </x:c>
      <x:c r="AB536" t="str">
        <x:v>55,07</x:v>
      </x:c>
      <x:c r="AC536" t="str">
        <x:v>N/A</x:v>
      </x:c>
      <x:c r="AD536" t="str">
        <x:v>0</x:v>
      </x:c>
      <x:c r="AE536" t="str">
        <x:v>N/A</x:v>
      </x:c>
    </x:row>
    <x:row r="537">
      <x:c r="A537" t="str">
        <x:v>51</x:v>
      </x:c>
      <x:c r="B537" t="str">
        <x:v>26796</x:v>
      </x:c>
      <x:c r="C537" t="str">
        <x:v>2</x:v>
      </x:c>
      <x:c r="D537" t="str">
        <x:v>956374</x:v>
      </x:c>
      <x:c r="E537" t="str">
        <x:v>2250X50X9 RTO LME PET BCO TXT MPMV(STD)</x:v>
      </x:c>
      <x:c r="F537" t="str"/>
      <x:c r="G537" t="str"/>
      <x:c r="H537" t="str"/>
      <x:c r="I537" t="str">
        <x:v>ESMALTE</x:v>
      </x:c>
      <x:c r="J537" t="str">
        <x:v>BRANCO</x:v>
      </x:c>
      <x:c r="K537" t="str">
        <x:v>0</x:v>
      </x:c>
      <x:c r="L537" t="str">
        <x:v>96</x:v>
      </x:c>
      <x:c r="M537" t="str">
        <x:v>0</x:v>
      </x:c>
      <x:c r="N537" t="str">
        <x:v>OC 4500910521</x:v>
      </x:c>
      <x:c r="O537" t="str"/>
      <x:c r="P537" t="str">
        <x:v>Liberada Para Producao</x:v>
      </x:c>
      <x:c r="Q537" t="str">
        <x:v>609292</x:v>
      </x:c>
      <x:c r="R537" t="str">
        <x:v>0</x:v>
      </x:c>
      <x:c r="S537" t="str"/>
      <x:c r="T537" t="str"/>
      <x:c r="U537" t="str"/>
      <x:c r="V537" t="str"/>
      <x:c r="W537" t="str">
        <x:v>N/A</x:v>
      </x:c>
      <x:c r="X537" t="str">
        <x:v>0</x:v>
      </x:c>
      <x:c r="Y537" t="str">
        <x:v>0</x:v>
      </x:c>
      <x:c r="Z537" t="str">
        <x:v>0</x:v>
      </x:c>
      <x:c r="AA537" t="str">
        <x:v>N/A</x:v>
      </x:c>
      <x:c r="AB537" t="str">
        <x:v>N/A</x:v>
      </x:c>
      <x:c r="AC537" t="str">
        <x:v>N/A</x:v>
      </x:c>
      <x:c r="AD537" t="str">
        <x:v>N/A</x:v>
      </x:c>
      <x:c r="AE537" t="str">
        <x:v>N/A</x:v>
      </x:c>
    </x:row>
    <x:row r="538">
      <x:c r="A538" t="str">
        <x:v>51</x:v>
      </x:c>
      <x:c r="B538" t="str">
        <x:v>26796</x:v>
      </x:c>
      <x:c r="C538" t="str">
        <x:v>2</x:v>
      </x:c>
      <x:c r="D538" t="str">
        <x:v>985577</x:v>
      </x:c>
      <x:c r="E538" t="str">
        <x:v>T A 1100X50X9 RTO LME PET BCO TXT (STD)</x:v>
      </x:c>
      <x:c r="F538" t="str"/>
      <x:c r="G538" t="str"/>
      <x:c r="H538" t="str"/>
      <x:c r="I538" t="str">
        <x:v>ESMALTE</x:v>
      </x:c>
      <x:c r="J538" t="str">
        <x:v>BRANCO</x:v>
      </x:c>
      <x:c r="K538" t="str">
        <x:v>0</x:v>
      </x:c>
      <x:c r="L538" t="str">
        <x:v>48</x:v>
      </x:c>
      <x:c r="M538" t="str">
        <x:v>0</x:v>
      </x:c>
      <x:c r="N538" t="str">
        <x:v>OC 4500910521</x:v>
      </x:c>
      <x:c r="O538" t="str"/>
      <x:c r="P538" t="str">
        <x:v>Liberada Para Producao</x:v>
      </x:c>
      <x:c r="Q538" t="str">
        <x:v>609293</x:v>
      </x:c>
      <x:c r="R538" t="str">
        <x:v>0</x:v>
      </x:c>
      <x:c r="S538" t="str"/>
      <x:c r="T538" t="str"/>
      <x:c r="U538" t="str"/>
      <x:c r="V538" t="str"/>
      <x:c r="W538" t="str">
        <x:v>N/A</x:v>
      </x:c>
      <x:c r="X538" t="str">
        <x:v>0</x:v>
      </x:c>
      <x:c r="Y538" t="str">
        <x:v>0</x:v>
      </x:c>
      <x:c r="Z538" t="str">
        <x:v>0</x:v>
      </x:c>
      <x:c r="AA538" t="str">
        <x:v>0</x:v>
      </x:c>
      <x:c r="AB538" t="str">
        <x:v>N/A</x:v>
      </x:c>
      <x:c r="AC538" t="str">
        <x:v>N/A</x:v>
      </x:c>
      <x:c r="AD538" t="str">
        <x:v>N/A</x:v>
      </x:c>
      <x:c r="AE538" t="str">
        <x:v>N/A</x:v>
      </x:c>
    </x:row>
    <x:row r="539">
      <x:c r="A539" t="str">
        <x:v>51</x:v>
      </x:c>
      <x:c r="B539" t="str">
        <x:v>26796</x:v>
      </x:c>
      <x:c r="C539" t="str">
        <x:v>2</x:v>
      </x:c>
      <x:c r="D539" t="str">
        <x:v>986855</x:v>
      </x:c>
      <x:c r="E539" t="str">
        <x:v>P.A. 2200X50X9 RT RL35 PET TXT BCO STD</x:v>
      </x:c>
      <x:c r="F539" t="str"/>
      <x:c r="G539" t="str"/>
      <x:c r="H539" t="str"/>
      <x:c r="I539" t="str">
        <x:v>ESMALTE</x:v>
      </x:c>
      <x:c r="J539" t="str">
        <x:v>BRANCO</x:v>
      </x:c>
      <x:c r="K539" t="str">
        <x:v>0</x:v>
      </x:c>
      <x:c r="L539" t="str">
        <x:v>96</x:v>
      </x:c>
      <x:c r="M539" t="str">
        <x:v>0,095</x:v>
      </x:c>
      <x:c r="N539" t="str">
        <x:v>OC 4500910521</x:v>
      </x:c>
      <x:c r="O539" t="str"/>
      <x:c r="P539" t="str">
        <x:v>Liberada Para Producao</x:v>
      </x:c>
      <x:c r="Q539" t="str">
        <x:v>609294</x:v>
      </x:c>
      <x:c r="R539" t="str">
        <x:v>0</x:v>
      </x:c>
      <x:c r="S539" t="str"/>
      <x:c r="T539" t="str"/>
      <x:c r="U539" t="str"/>
      <x:c r="V539" t="str"/>
      <x:c r="W539" t="str">
        <x:v>N/A</x:v>
      </x:c>
      <x:c r="X539" t="str">
        <x:v>0</x:v>
      </x:c>
      <x:c r="Y539" t="str">
        <x:v>0</x:v>
      </x:c>
      <x:c r="Z539" t="str">
        <x:v>0</x:v>
      </x:c>
      <x:c r="AA539" t="str">
        <x:v>N/A</x:v>
      </x:c>
      <x:c r="AB539" t="str">
        <x:v>N/A</x:v>
      </x:c>
      <x:c r="AC539" t="str">
        <x:v>N/A</x:v>
      </x:c>
      <x:c r="AD539" t="str">
        <x:v>N/A</x:v>
      </x:c>
      <x:c r="AE539" t="str">
        <x:v>N/A</x:v>
      </x:c>
    </x:row>
    <x:row r="540">
      <x:c r="A540" t="str">
        <x:v>51</x:v>
      </x:c>
      <x:c r="B540" t="str">
        <x:v>26796</x:v>
      </x:c>
      <x:c r="C540" t="str">
        <x:v>2</x:v>
      </x:c>
      <x:c r="D540" t="str">
        <x:v>986856</x:v>
      </x:c>
      <x:c r="E540" t="str">
        <x:v>T.A 1000X50X9 RT RL35 PET TXT BCO STD</x:v>
      </x:c>
      <x:c r="F540" t="str"/>
      <x:c r="G540" t="str"/>
      <x:c r="H540" t="str"/>
      <x:c r="I540" t="str">
        <x:v>ESMALTE</x:v>
      </x:c>
      <x:c r="J540" t="str">
        <x:v>BRANCO</x:v>
      </x:c>
      <x:c r="K540" t="str">
        <x:v>0</x:v>
      </x:c>
      <x:c r="L540" t="str">
        <x:v>48</x:v>
      </x:c>
      <x:c r="M540" t="str">
        <x:v>0,022</x:v>
      </x:c>
      <x:c r="N540" t="str">
        <x:v>OC 4500910521</x:v>
      </x:c>
      <x:c r="O540" t="str"/>
      <x:c r="P540" t="str">
        <x:v>Liberada Para Producao</x:v>
      </x:c>
      <x:c r="Q540" t="str">
        <x:v>609295</x:v>
      </x:c>
      <x:c r="R540" t="str">
        <x:v>0</x:v>
      </x:c>
      <x:c r="S540" t="str"/>
      <x:c r="T540" t="str"/>
      <x:c r="U540" t="str"/>
      <x:c r="V540" t="str"/>
      <x:c r="W540" t="str">
        <x:v>N/A</x:v>
      </x:c>
      <x:c r="X540" t="str">
        <x:v>0</x:v>
      </x:c>
      <x:c r="Y540" t="str">
        <x:v>0</x:v>
      </x:c>
      <x:c r="Z540" t="str">
        <x:v>0</x:v>
      </x:c>
      <x:c r="AA540" t="str">
        <x:v>0</x:v>
      </x:c>
      <x:c r="AB540" t="str">
        <x:v>N/A</x:v>
      </x:c>
      <x:c r="AC540" t="str">
        <x:v>N/A</x:v>
      </x:c>
      <x:c r="AD540" t="str">
        <x:v>N/A</x:v>
      </x:c>
      <x:c r="AE540" t="str">
        <x:v>N/A</x:v>
      </x:c>
    </x:row>
    <x:row r="541">
      <x:c r="A541" t="str">
        <x:v>51</x:v>
      </x:c>
      <x:c r="B541" t="str">
        <x:v>26796</x:v>
      </x:c>
      <x:c r="C541" t="str">
        <x:v>2</x:v>
      </x:c>
      <x:c r="D541" t="str">
        <x:v>2010600024</x:v>
      </x:c>
      <x:c r="E541" t="str">
        <x:v>M P MDF STD PET TXT BCO 2110X80X30 42X10</x:v>
      </x:c>
      <x:c r="F541" t="str"/>
      <x:c r="G541" t="str"/>
      <x:c r="H541" t="str"/>
      <x:c r="I541" t="str">
        <x:v>ESMALTE</x:v>
      </x:c>
      <x:c r="J541" t="str">
        <x:v>BRANCO</x:v>
      </x:c>
      <x:c r="K541" t="str">
        <x:v>0</x:v>
      </x:c>
      <x:c r="L541" t="str">
        <x:v>96</x:v>
      </x:c>
      <x:c r="M541" t="str">
        <x:v>0,486</x:v>
      </x:c>
      <x:c r="N541" t="str">
        <x:v>OC 4500910521</x:v>
      </x:c>
      <x:c r="O541" t="str"/>
      <x:c r="P541" t="str">
        <x:v>Liberada Para Producao</x:v>
      </x:c>
      <x:c r="Q541" t="str">
        <x:v>609296</x:v>
      </x:c>
      <x:c r="R541" t="str">
        <x:v>0</x:v>
      </x:c>
      <x:c r="S541" t="str">
        <x:v>1500</x:v>
      </x:c>
      <x:c r="T541" t="str">
        <x:v>PERNA DE BATENTE PREMIUM(SEMIA</x:v>
      </x:c>
      <x:c r="U541" t="str"/>
      <x:c r="V541" t="str"/>
      <x:c r="W541" t="str">
        <x:v>N/A</x:v>
      </x:c>
      <x:c r="X541" t="str">
        <x:v>N/A</x:v>
      </x:c>
      <x:c r="Y541" t="str">
        <x:v>N/A</x:v>
      </x:c>
      <x:c r="Z541" t="str">
        <x:v>0</x:v>
      </x:c>
      <x:c r="AA541" t="str">
        <x:v>0</x:v>
      </x:c>
      <x:c r="AB541" t="str">
        <x:v>N/A</x:v>
      </x:c>
      <x:c r="AC541" t="str">
        <x:v>N/A</x:v>
      </x:c>
      <x:c r="AD541" t="str">
        <x:v>N/A</x:v>
      </x:c>
      <x:c r="AE541" t="str">
        <x:v>N/A</x:v>
      </x:c>
    </x:row>
    <x:row r="542">
      <x:c r="A542" t="str">
        <x:v>51</x:v>
      </x:c>
      <x:c r="B542" t="str">
        <x:v>26796</x:v>
      </x:c>
      <x:c r="C542" t="str">
        <x:v>2</x:v>
      </x:c>
      <x:c r="D542" t="str">
        <x:v>2010600025</x:v>
      </x:c>
      <x:c r="E542" t="str">
        <x:v>M T MDF STD PET TXT BCO 747X80X30 42X10</x:v>
      </x:c>
      <x:c r="F542" t="str"/>
      <x:c r="G542" t="str"/>
      <x:c r="H542" t="str"/>
      <x:c r="I542" t="str">
        <x:v>ESMALTE</x:v>
      </x:c>
      <x:c r="J542" t="str">
        <x:v>BRANCO</x:v>
      </x:c>
      <x:c r="K542" t="str">
        <x:v>0</x:v>
      </x:c>
      <x:c r="L542" t="str">
        <x:v>48</x:v>
      </x:c>
      <x:c r="M542" t="str">
        <x:v>0</x:v>
      </x:c>
      <x:c r="N542" t="str">
        <x:v>OC 4500910521</x:v>
      </x:c>
      <x:c r="O542" t="str"/>
      <x:c r="P542" t="str">
        <x:v>Liberada Para Producao</x:v>
      </x:c>
      <x:c r="Q542" t="str">
        <x:v>609297</x:v>
      </x:c>
      <x:c r="R542" t="str">
        <x:v>0</x:v>
      </x:c>
      <x:c r="S542" t="str">
        <x:v>1502</x:v>
      </x:c>
      <x:c r="T542" t="str">
        <x:v>TV.BAT. 680-1100 PET/PVC(SEMI)</x:v>
      </x:c>
      <x:c r="U542" t="str"/>
      <x:c r="V542" t="str"/>
      <x:c r="W542" t="str">
        <x:v>N/A</x:v>
      </x:c>
      <x:c r="X542" t="str">
        <x:v>N/A</x:v>
      </x:c>
      <x:c r="Y542" t="str">
        <x:v>N/A</x:v>
      </x:c>
      <x:c r="Z542" t="str">
        <x:v>0</x:v>
      </x:c>
      <x:c r="AA542" t="str">
        <x:v>0</x:v>
      </x:c>
      <x:c r="AB542" t="str">
        <x:v>N/A</x:v>
      </x:c>
      <x:c r="AC542" t="str">
        <x:v>N/A</x:v>
      </x:c>
      <x:c r="AD542" t="str">
        <x:v>N/A</x:v>
      </x:c>
      <x:c r="AE542" t="str">
        <x:v>N/A</x:v>
      </x:c>
    </x:row>
    <x:row r="543">
      <x:c r="A543" t="str">
        <x:v>51</x:v>
      </x:c>
      <x:c r="B543" t="str">
        <x:v>26796</x:v>
      </x:c>
      <x:c r="C543" t="str">
        <x:v>2</x:v>
      </x:c>
      <x:c r="D543" t="str">
        <x:v>3040300041</x:v>
      </x:c>
      <x:c r="E543" t="str">
        <x:v>FO POR SMT HDF 3 COL ESM BCO RU 2100X700</x:v>
      </x:c>
      <x:c r="F543" t="str"/>
      <x:c r="G543" t="str"/>
      <x:c r="H543" t="str"/>
      <x:c r="I543" t="str">
        <x:v>ESMALTE</x:v>
      </x:c>
      <x:c r="J543" t="str">
        <x:v>BRANCO</x:v>
      </x:c>
      <x:c r="K543" t="str">
        <x:v>0</x:v>
      </x:c>
      <x:c r="L543" t="str">
        <x:v>48</x:v>
      </x:c>
      <x:c r="M543" t="str">
        <x:v>2,47</x:v>
      </x:c>
      <x:c r="N543" t="str">
        <x:v>OC 4500910521</x:v>
      </x:c>
      <x:c r="O543" t="str"/>
      <x:c r="P543" t="str">
        <x:v>Liberada Para Producao</x:v>
      </x:c>
      <x:c r="Q543" t="str">
        <x:v>609298</x:v>
      </x:c>
      <x:c r="R543" t="str">
        <x:v>44,19</x:v>
      </x:c>
      <x:c r="S543" t="str">
        <x:v>11</x:v>
      </x:c>
      <x:c r="T543" t="str">
        <x:v>PORTA LINHA SMART</x:v>
      </x:c>
      <x:c r="U543" t="str"/>
      <x:c r="V543" t="str"/>
      <x:c r="W543" t="str">
        <x:v>N/A</x:v>
      </x:c>
      <x:c r="X543" t="str">
        <x:v>100</x:v>
      </x:c>
      <x:c r="Y543" t="str">
        <x:v>N/A</x:v>
      </x:c>
      <x:c r="Z543" t="str">
        <x:v>N/A</x:v>
      </x:c>
      <x:c r="AA543" t="str">
        <x:v>N/A</x:v>
      </x:c>
      <x:c r="AB543" t="str">
        <x:v>32,56</x:v>
      </x:c>
      <x:c r="AC543" t="str">
        <x:v>N/A</x:v>
      </x:c>
      <x:c r="AD543" t="str">
        <x:v>0</x:v>
      </x:c>
      <x:c r="AE543" t="str">
        <x:v>N/A</x:v>
      </x:c>
    </x:row>
    <x:row r="544">
      <x:c r="A544" t="str">
        <x:v>51</x:v>
      </x:c>
      <x:c r="B544" t="str">
        <x:v>26796</x:v>
      </x:c>
      <x:c r="C544" t="str">
        <x:v>3</x:v>
      </x:c>
      <x:c r="D544" t="str">
        <x:v>956374</x:v>
      </x:c>
      <x:c r="E544" t="str">
        <x:v>2250X50X9 RTO LME PET BCO TXT MPMV(STD)</x:v>
      </x:c>
      <x:c r="F544" t="str"/>
      <x:c r="G544" t="str"/>
      <x:c r="H544" t="str"/>
      <x:c r="I544" t="str">
        <x:v>ESMALTE</x:v>
      </x:c>
      <x:c r="J544" t="str">
        <x:v>BRANCO CARRARA</x:v>
      </x:c>
      <x:c r="K544" t="str">
        <x:v>0</x:v>
      </x:c>
      <x:c r="L544" t="str">
        <x:v>384</x:v>
      </x:c>
      <x:c r="M544" t="str">
        <x:v>0</x:v>
      </x:c>
      <x:c r="N544" t="str">
        <x:v>OC 4500910521</x:v>
      </x:c>
      <x:c r="O544" t="str"/>
      <x:c r="P544" t="str">
        <x:v>Liberada Para Producao</x:v>
      </x:c>
      <x:c r="Q544" t="str">
        <x:v>609300</x:v>
      </x:c>
      <x:c r="R544" t="str">
        <x:v>0</x:v>
      </x:c>
      <x:c r="S544" t="str"/>
      <x:c r="T544" t="str"/>
      <x:c r="U544" t="str"/>
      <x:c r="V544" t="str"/>
      <x:c r="W544" t="str">
        <x:v>N/A</x:v>
      </x:c>
      <x:c r="X544" t="str">
        <x:v>0</x:v>
      </x:c>
      <x:c r="Y544" t="str">
        <x:v>0</x:v>
      </x:c>
      <x:c r="Z544" t="str">
        <x:v>0</x:v>
      </x:c>
      <x:c r="AA544" t="str">
        <x:v>N/A</x:v>
      </x:c>
      <x:c r="AB544" t="str">
        <x:v>N/A</x:v>
      </x:c>
      <x:c r="AC544" t="str">
        <x:v>N/A</x:v>
      </x:c>
      <x:c r="AD544" t="str">
        <x:v>N/A</x:v>
      </x:c>
      <x:c r="AE544" t="str">
        <x:v>N/A</x:v>
      </x:c>
    </x:row>
    <x:row r="545">
      <x:c r="A545" t="str">
        <x:v>51</x:v>
      </x:c>
      <x:c r="B545" t="str">
        <x:v>26796</x:v>
      </x:c>
      <x:c r="C545" t="str">
        <x:v>3</x:v>
      </x:c>
      <x:c r="D545" t="str">
        <x:v>985577</x:v>
      </x:c>
      <x:c r="E545" t="str">
        <x:v>T A 1100X50X9 RTO LME PET BCO TXT (STD)</x:v>
      </x:c>
      <x:c r="F545" t="str"/>
      <x:c r="G545" t="str"/>
      <x:c r="H545" t="str"/>
      <x:c r="I545" t="str">
        <x:v>ESMALTE</x:v>
      </x:c>
      <x:c r="J545" t="str">
        <x:v>BRANCO CARRARA</x:v>
      </x:c>
      <x:c r="K545" t="str">
        <x:v>0</x:v>
      </x:c>
      <x:c r="L545" t="str">
        <x:v>192</x:v>
      </x:c>
      <x:c r="M545" t="str">
        <x:v>0</x:v>
      </x:c>
      <x:c r="N545" t="str">
        <x:v>OC 4500910521</x:v>
      </x:c>
      <x:c r="O545" t="str"/>
      <x:c r="P545" t="str">
        <x:v>Liberada Para Producao</x:v>
      </x:c>
      <x:c r="Q545" t="str">
        <x:v>609301</x:v>
      </x:c>
      <x:c r="R545" t="str">
        <x:v>0</x:v>
      </x:c>
      <x:c r="S545" t="str"/>
      <x:c r="T545" t="str"/>
      <x:c r="U545" t="str"/>
      <x:c r="V545" t="str"/>
      <x:c r="W545" t="str">
        <x:v>N/A</x:v>
      </x:c>
      <x:c r="X545" t="str">
        <x:v>0</x:v>
      </x:c>
      <x:c r="Y545" t="str">
        <x:v>0</x:v>
      </x:c>
      <x:c r="Z545" t="str">
        <x:v>0</x:v>
      </x:c>
      <x:c r="AA545" t="str">
        <x:v>0</x:v>
      </x:c>
      <x:c r="AB545" t="str">
        <x:v>N/A</x:v>
      </x:c>
      <x:c r="AC545" t="str">
        <x:v>N/A</x:v>
      </x:c>
      <x:c r="AD545" t="str">
        <x:v>N/A</x:v>
      </x:c>
      <x:c r="AE545" t="str">
        <x:v>N/A</x:v>
      </x:c>
    </x:row>
    <x:row r="546">
      <x:c r="A546" t="str">
        <x:v>51</x:v>
      </x:c>
      <x:c r="B546" t="str">
        <x:v>26796</x:v>
      </x:c>
      <x:c r="C546" t="str">
        <x:v>3</x:v>
      </x:c>
      <x:c r="D546" t="str">
        <x:v>988573</x:v>
      </x:c>
      <x:c r="E546" t="str">
        <x:v>P.A. 2200X50X9 RT RL45 PET TXT BCO STD</x:v>
      </x:c>
      <x:c r="F546" t="str"/>
      <x:c r="G546" t="str"/>
      <x:c r="H546" t="str"/>
      <x:c r="I546" t="str">
        <x:v>ESMALTE</x:v>
      </x:c>
      <x:c r="J546" t="str">
        <x:v>BRANCO CARRARA</x:v>
      </x:c>
      <x:c r="K546" t="str">
        <x:v>0</x:v>
      </x:c>
      <x:c r="L546" t="str">
        <x:v>384</x:v>
      </x:c>
      <x:c r="M546" t="str">
        <x:v>0,38</x:v>
      </x:c>
      <x:c r="N546" t="str">
        <x:v>OC 4500910521</x:v>
      </x:c>
      <x:c r="O546" t="str"/>
      <x:c r="P546" t="str">
        <x:v>Liberada Para Producao</x:v>
      </x:c>
      <x:c r="Q546" t="str">
        <x:v>609302</x:v>
      </x:c>
      <x:c r="R546" t="str">
        <x:v>0</x:v>
      </x:c>
      <x:c r="S546" t="str"/>
      <x:c r="T546" t="str"/>
      <x:c r="U546" t="str"/>
      <x:c r="V546" t="str"/>
      <x:c r="W546" t="str">
        <x:v>N/A</x:v>
      </x:c>
      <x:c r="X546" t="str">
        <x:v>0</x:v>
      </x:c>
      <x:c r="Y546" t="str">
        <x:v>0</x:v>
      </x:c>
      <x:c r="Z546" t="str">
        <x:v>0</x:v>
      </x:c>
      <x:c r="AA546" t="str">
        <x:v>N/A</x:v>
      </x:c>
      <x:c r="AB546" t="str">
        <x:v>N/A</x:v>
      </x:c>
      <x:c r="AC546" t="str">
        <x:v>N/A</x:v>
      </x:c>
      <x:c r="AD546" t="str">
        <x:v>N/A</x:v>
      </x:c>
      <x:c r="AE546" t="str">
        <x:v>N/A</x:v>
      </x:c>
    </x:row>
    <x:row r="547">
      <x:c r="A547" t="str">
        <x:v>51</x:v>
      </x:c>
      <x:c r="B547" t="str">
        <x:v>26796</x:v>
      </x:c>
      <x:c r="C547" t="str">
        <x:v>3</x:v>
      </x:c>
      <x:c r="D547" t="str">
        <x:v>988577</x:v>
      </x:c>
      <x:c r="E547" t="str">
        <x:v>T.A 1100X50X9 RT RL45 PET TXT BCO STD</x:v>
      </x:c>
      <x:c r="F547" t="str"/>
      <x:c r="G547" t="str"/>
      <x:c r="H547" t="str"/>
      <x:c r="I547" t="str">
        <x:v>ESMALTE</x:v>
      </x:c>
      <x:c r="J547" t="str">
        <x:v>BRANCO CARRARA</x:v>
      </x:c>
      <x:c r="K547" t="str">
        <x:v>0</x:v>
      </x:c>
      <x:c r="L547" t="str">
        <x:v>192</x:v>
      </x:c>
      <x:c r="M547" t="str">
        <x:v>0,095</x:v>
      </x:c>
      <x:c r="N547" t="str">
        <x:v>OC 4500910521</x:v>
      </x:c>
      <x:c r="O547" t="str"/>
      <x:c r="P547" t="str">
        <x:v>Liberada Para Producao</x:v>
      </x:c>
      <x:c r="Q547" t="str">
        <x:v>609303</x:v>
      </x:c>
      <x:c r="R547" t="str">
        <x:v>0</x:v>
      </x:c>
      <x:c r="S547" t="str"/>
      <x:c r="T547" t="str"/>
      <x:c r="U547" t="str"/>
      <x:c r="V547" t="str"/>
      <x:c r="W547" t="str">
        <x:v>N/A</x:v>
      </x:c>
      <x:c r="X547" t="str">
        <x:v>0</x:v>
      </x:c>
      <x:c r="Y547" t="str">
        <x:v>0</x:v>
      </x:c>
      <x:c r="Z547" t="str">
        <x:v>0</x:v>
      </x:c>
      <x:c r="AA547" t="str">
        <x:v>0</x:v>
      </x:c>
      <x:c r="AB547" t="str">
        <x:v>N/A</x:v>
      </x:c>
      <x:c r="AC547" t="str">
        <x:v>N/A</x:v>
      </x:c>
      <x:c r="AD547" t="str">
        <x:v>N/A</x:v>
      </x:c>
      <x:c r="AE547" t="str">
        <x:v>N/A</x:v>
      </x:c>
    </x:row>
    <x:row r="548">
      <x:c r="A548" t="str">
        <x:v>51</x:v>
      </x:c>
      <x:c r="B548" t="str">
        <x:v>26796</x:v>
      </x:c>
      <x:c r="C548" t="str">
        <x:v>3</x:v>
      </x:c>
      <x:c r="D548" t="str">
        <x:v>2010600056</x:v>
      </x:c>
      <x:c r="E548" t="str">
        <x:v>M CJ MDF STD PET TXT BCO 2110X80X30 42X1</x:v>
      </x:c>
      <x:c r="F548" t="str"/>
      <x:c r="G548" t="str"/>
      <x:c r="H548" t="str"/>
      <x:c r="I548" t="str">
        <x:v>ESMALTE</x:v>
      </x:c>
      <x:c r="J548" t="str">
        <x:v>BRANCO CARRARA</x:v>
      </x:c>
      <x:c r="K548" t="str">
        <x:v>0</x:v>
      </x:c>
      <x:c r="L548" t="str">
        <x:v>384</x:v>
      </x:c>
      <x:c r="M548" t="str">
        <x:v>1,945</x:v>
      </x:c>
      <x:c r="N548" t="str">
        <x:v>OC 4500910521</x:v>
      </x:c>
      <x:c r="O548" t="str"/>
      <x:c r="P548" t="str">
        <x:v>Liberada Para Producao</x:v>
      </x:c>
      <x:c r="Q548" t="str">
        <x:v>609304</x:v>
      </x:c>
      <x:c r="R548" t="str">
        <x:v>0</x:v>
      </x:c>
      <x:c r="S548" t="str">
        <x:v>1500</x:v>
      </x:c>
      <x:c r="T548" t="str">
        <x:v>PERNA DE BATENTE PREMIUM(SEMIA</x:v>
      </x:c>
      <x:c r="U548" t="str"/>
      <x:c r="V548" t="str"/>
      <x:c r="W548" t="str">
        <x:v>N/A</x:v>
      </x:c>
      <x:c r="X548" t="str">
        <x:v>N/A</x:v>
      </x:c>
      <x:c r="Y548" t="str">
        <x:v>N/A</x:v>
      </x:c>
      <x:c r="Z548" t="str">
        <x:v>0</x:v>
      </x:c>
      <x:c r="AA548" t="str">
        <x:v>0</x:v>
      </x:c>
      <x:c r="AB548" t="str">
        <x:v>N/A</x:v>
      </x:c>
      <x:c r="AC548" t="str">
        <x:v>N/A</x:v>
      </x:c>
      <x:c r="AD548" t="str">
        <x:v>N/A</x:v>
      </x:c>
      <x:c r="AE548" t="str">
        <x:v>N/A</x:v>
      </x:c>
    </x:row>
    <x:row r="549">
      <x:c r="A549" t="str">
        <x:v>51</x:v>
      </x:c>
      <x:c r="B549" t="str">
        <x:v>26796</x:v>
      </x:c>
      <x:c r="C549" t="str">
        <x:v>3</x:v>
      </x:c>
      <x:c r="D549" t="str">
        <x:v>2010600379</x:v>
      </x:c>
      <x:c r="E549" t="str">
        <x:v>M STD PET TXT BCO 847X80X30 42X10 R2L ME</x:v>
      </x:c>
      <x:c r="F549" t="str"/>
      <x:c r="G549" t="str"/>
      <x:c r="H549" t="str"/>
      <x:c r="I549" t="str">
        <x:v>ESMALTE</x:v>
      </x:c>
      <x:c r="J549" t="str">
        <x:v>BRANCO CARRARA</x:v>
      </x:c>
      <x:c r="K549" t="str">
        <x:v>0</x:v>
      </x:c>
      <x:c r="L549" t="str">
        <x:v>192</x:v>
      </x:c>
      <x:c r="M549" t="str">
        <x:v>0,39</x:v>
      </x:c>
      <x:c r="N549" t="str">
        <x:v>OC 4500910521</x:v>
      </x:c>
      <x:c r="O549" t="str"/>
      <x:c r="P549" t="str">
        <x:v>Liberada Para Producao</x:v>
      </x:c>
      <x:c r="Q549" t="str">
        <x:v>609305</x:v>
      </x:c>
      <x:c r="R549" t="str">
        <x:v>0</x:v>
      </x:c>
      <x:c r="S549" t="str">
        <x:v>1502</x:v>
      </x:c>
      <x:c r="T549" t="str">
        <x:v>TV.BAT. 680-1100 PET/PVC(SEMI)</x:v>
      </x:c>
      <x:c r="U549" t="str"/>
      <x:c r="V549" t="str"/>
      <x:c r="W549" t="str">
        <x:v>N/A</x:v>
      </x:c>
      <x:c r="X549" t="str">
        <x:v>N/A</x:v>
      </x:c>
      <x:c r="Y549" t="str">
        <x:v>N/A</x:v>
      </x:c>
      <x:c r="Z549" t="str">
        <x:v>0</x:v>
      </x:c>
      <x:c r="AA549" t="str">
        <x:v>0</x:v>
      </x:c>
      <x:c r="AB549" t="str">
        <x:v>N/A</x:v>
      </x:c>
      <x:c r="AC549" t="str">
        <x:v>N/A</x:v>
      </x:c>
      <x:c r="AD549" t="str">
        <x:v>N/A</x:v>
      </x:c>
      <x:c r="AE549" t="str">
        <x:v>N/A</x:v>
      </x:c>
    </x:row>
    <x:row r="550">
      <x:c r="A550" t="str">
        <x:v>51</x:v>
      </x:c>
      <x:c r="B550" t="str">
        <x:v>26796</x:v>
      </x:c>
      <x:c r="C550" t="str">
        <x:v>3</x:v>
      </x:c>
      <x:c r="D550" t="str">
        <x:v>3041400218</x:v>
      </x:c>
      <x:c r="E550" t="str">
        <x:v>FO POR SMT HDF 3 S GD RU 2100X800X35 ESM</x:v>
      </x:c>
      <x:c r="F550" t="str"/>
      <x:c r="G550" t="str"/>
      <x:c r="H550" t="str"/>
      <x:c r="I550" t="str">
        <x:v>ESMALTE</x:v>
      </x:c>
      <x:c r="J550" t="str">
        <x:v>BRANCO CARRARA</x:v>
      </x:c>
      <x:c r="K550" t="str">
        <x:v>0</x:v>
      </x:c>
      <x:c r="L550" t="str">
        <x:v>192</x:v>
      </x:c>
      <x:c r="M550" t="str">
        <x:v>11,29</x:v>
      </x:c>
      <x:c r="N550" t="str">
        <x:v>OC 4500910521</x:v>
      </x:c>
      <x:c r="O550" t="str"/>
      <x:c r="P550" t="str">
        <x:v>Liberada Para Producao</x:v>
      </x:c>
      <x:c r="Q550" t="str">
        <x:v>609306</x:v>
      </x:c>
      <x:c r="R550" t="str">
        <x:v>50,09</x:v>
      </x:c>
      <x:c r="S550" t="str">
        <x:v>11</x:v>
      </x:c>
      <x:c r="T550" t="str">
        <x:v>PORTA LINHA SMART</x:v>
      </x:c>
      <x:c r="U550" t="str"/>
      <x:c r="V550" t="str"/>
      <x:c r="W550" t="str">
        <x:v>N/A</x:v>
      </x:c>
      <x:c r="X550" t="str">
        <x:v>100</x:v>
      </x:c>
      <x:c r="Y550" t="str">
        <x:v>N/A</x:v>
      </x:c>
      <x:c r="Z550" t="str">
        <x:v>N/A</x:v>
      </x:c>
      <x:c r="AA550" t="str">
        <x:v>N/A</x:v>
      </x:c>
      <x:c r="AB550" t="str">
        <x:v>50,26</x:v>
      </x:c>
      <x:c r="AC550" t="str">
        <x:v>N/A</x:v>
      </x:c>
      <x:c r="AD550" t="str">
        <x:v>0</x:v>
      </x:c>
      <x:c r="AE550" t="str">
        <x:v>N/A</x:v>
      </x:c>
    </x:row>
    <x:row r="551">
      <x:c r="A551" t="str">
        <x:v>51</x:v>
      </x:c>
      <x:c r="B551" t="str">
        <x:v>26799</x:v>
      </x:c>
      <x:c r="C551" t="str">
        <x:v>1</x:v>
      </x:c>
      <x:c r="D551" t="str">
        <x:v>956374</x:v>
      </x:c>
      <x:c r="E551" t="str">
        <x:v>2250X50X9 RTO LME PET BCO TXT MPMV(STD)</x:v>
      </x:c>
      <x:c r="F551" t="str"/>
      <x:c r="G551" t="str"/>
      <x:c r="H551" t="str"/>
      <x:c r="I551" t="str">
        <x:v>ESMALTE</x:v>
      </x:c>
      <x:c r="J551" t="str">
        <x:v>BRANCO CARRARA</x:v>
      </x:c>
      <x:c r="K551" t="str">
        <x:v>0</x:v>
      </x:c>
      <x:c r="L551" t="str">
        <x:v>144</x:v>
      </x:c>
      <x:c r="M551" t="str">
        <x:v>0</x:v>
      </x:c>
      <x:c r="N551" t="str">
        <x:v>OC 4500910521</x:v>
      </x:c>
      <x:c r="O551" t="str"/>
      <x:c r="P551" t="str">
        <x:v>Liberada Para Producao</x:v>
      </x:c>
      <x:c r="Q551" t="str">
        <x:v>609389</x:v>
      </x:c>
      <x:c r="R551" t="str">
        <x:v>0</x:v>
      </x:c>
      <x:c r="S551" t="str"/>
      <x:c r="T551" t="str"/>
      <x:c r="U551" t="str"/>
      <x:c r="V551" t="str"/>
      <x:c r="W551" t="str">
        <x:v>N/A</x:v>
      </x:c>
      <x:c r="X551" t="str">
        <x:v>0</x:v>
      </x:c>
      <x:c r="Y551" t="str">
        <x:v>0</x:v>
      </x:c>
      <x:c r="Z551" t="str">
        <x:v>0</x:v>
      </x:c>
      <x:c r="AA551" t="str">
        <x:v>N/A</x:v>
      </x:c>
      <x:c r="AB551" t="str">
        <x:v>N/A</x:v>
      </x:c>
      <x:c r="AC551" t="str">
        <x:v>N/A</x:v>
      </x:c>
      <x:c r="AD551" t="str">
        <x:v>N/A</x:v>
      </x:c>
      <x:c r="AE551" t="str">
        <x:v>N/A</x:v>
      </x:c>
    </x:row>
    <x:row r="552">
      <x:c r="A552" t="str">
        <x:v>51</x:v>
      </x:c>
      <x:c r="B552" t="str">
        <x:v>26799</x:v>
      </x:c>
      <x:c r="C552" t="str">
        <x:v>1</x:v>
      </x:c>
      <x:c r="D552" t="str">
        <x:v>985577</x:v>
      </x:c>
      <x:c r="E552" t="str">
        <x:v>T A 1100X50X9 RTO LME PET BCO TXT (STD)</x:v>
      </x:c>
      <x:c r="F552" t="str"/>
      <x:c r="G552" t="str"/>
      <x:c r="H552" t="str"/>
      <x:c r="I552" t="str">
        <x:v>ESMALTE</x:v>
      </x:c>
      <x:c r="J552" t="str">
        <x:v>BRANCO CARRARA</x:v>
      </x:c>
      <x:c r="K552" t="str">
        <x:v>0</x:v>
      </x:c>
      <x:c r="L552" t="str">
        <x:v>72</x:v>
      </x:c>
      <x:c r="M552" t="str">
        <x:v>0</x:v>
      </x:c>
      <x:c r="N552" t="str">
        <x:v>OC 4500910521</x:v>
      </x:c>
      <x:c r="O552" t="str"/>
      <x:c r="P552" t="str">
        <x:v>Liberada Para Producao</x:v>
      </x:c>
      <x:c r="Q552" t="str">
        <x:v>609390</x:v>
      </x:c>
      <x:c r="R552" t="str">
        <x:v>0</x:v>
      </x:c>
      <x:c r="S552" t="str"/>
      <x:c r="T552" t="str"/>
      <x:c r="U552" t="str"/>
      <x:c r="V552" t="str"/>
      <x:c r="W552" t="str">
        <x:v>N/A</x:v>
      </x:c>
      <x:c r="X552" t="str">
        <x:v>0</x:v>
      </x:c>
      <x:c r="Y552" t="str">
        <x:v>0</x:v>
      </x:c>
      <x:c r="Z552" t="str">
        <x:v>0</x:v>
      </x:c>
      <x:c r="AA552" t="str">
        <x:v>0</x:v>
      </x:c>
      <x:c r="AB552" t="str">
        <x:v>N/A</x:v>
      </x:c>
      <x:c r="AC552" t="str">
        <x:v>N/A</x:v>
      </x:c>
      <x:c r="AD552" t="str">
        <x:v>N/A</x:v>
      </x:c>
      <x:c r="AE552" t="str">
        <x:v>N/A</x:v>
      </x:c>
    </x:row>
    <x:row r="553">
      <x:c r="A553" t="str">
        <x:v>51</x:v>
      </x:c>
      <x:c r="B553" t="str">
        <x:v>26799</x:v>
      </x:c>
      <x:c r="C553" t="str">
        <x:v>1</x:v>
      </x:c>
      <x:c r="D553" t="str">
        <x:v>986855</x:v>
      </x:c>
      <x:c r="E553" t="str">
        <x:v>P.A. 2200X50X9 RT RL35 PET TXT BCO STD</x:v>
      </x:c>
      <x:c r="F553" t="str"/>
      <x:c r="G553" t="str"/>
      <x:c r="H553" t="str"/>
      <x:c r="I553" t="str">
        <x:v>ESMALTE</x:v>
      </x:c>
      <x:c r="J553" t="str">
        <x:v>BRANCO CARRARA</x:v>
      </x:c>
      <x:c r="K553" t="str">
        <x:v>0</x:v>
      </x:c>
      <x:c r="L553" t="str">
        <x:v>144</x:v>
      </x:c>
      <x:c r="M553" t="str">
        <x:v>0,143</x:v>
      </x:c>
      <x:c r="N553" t="str">
        <x:v>OC 4500910521</x:v>
      </x:c>
      <x:c r="O553" t="str"/>
      <x:c r="P553" t="str">
        <x:v>Liberada Para Producao</x:v>
      </x:c>
      <x:c r="Q553" t="str">
        <x:v>609391</x:v>
      </x:c>
      <x:c r="R553" t="str">
        <x:v>0</x:v>
      </x:c>
      <x:c r="S553" t="str"/>
      <x:c r="T553" t="str"/>
      <x:c r="U553" t="str"/>
      <x:c r="V553" t="str"/>
      <x:c r="W553" t="str">
        <x:v>N/A</x:v>
      </x:c>
      <x:c r="X553" t="str">
        <x:v>0</x:v>
      </x:c>
      <x:c r="Y553" t="str">
        <x:v>0</x:v>
      </x:c>
      <x:c r="Z553" t="str">
        <x:v>0</x:v>
      </x:c>
      <x:c r="AA553" t="str">
        <x:v>N/A</x:v>
      </x:c>
      <x:c r="AB553" t="str">
        <x:v>N/A</x:v>
      </x:c>
      <x:c r="AC553" t="str">
        <x:v>N/A</x:v>
      </x:c>
      <x:c r="AD553" t="str">
        <x:v>N/A</x:v>
      </x:c>
      <x:c r="AE553" t="str">
        <x:v>N/A</x:v>
      </x:c>
    </x:row>
    <x:row r="554">
      <x:c r="A554" t="str">
        <x:v>51</x:v>
      </x:c>
      <x:c r="B554" t="str">
        <x:v>26799</x:v>
      </x:c>
      <x:c r="C554" t="str">
        <x:v>1</x:v>
      </x:c>
      <x:c r="D554" t="str">
        <x:v>986856</x:v>
      </x:c>
      <x:c r="E554" t="str">
        <x:v>T.A 1000X50X9 RT RL35 PET TXT BCO STD</x:v>
      </x:c>
      <x:c r="F554" t="str"/>
      <x:c r="G554" t="str"/>
      <x:c r="H554" t="str"/>
      <x:c r="I554" t="str">
        <x:v>ESMALTE</x:v>
      </x:c>
      <x:c r="J554" t="str">
        <x:v>BRANCO CARRARA</x:v>
      </x:c>
      <x:c r="K554" t="str">
        <x:v>0</x:v>
      </x:c>
      <x:c r="L554" t="str">
        <x:v>72</x:v>
      </x:c>
      <x:c r="M554" t="str">
        <x:v>0,032</x:v>
      </x:c>
      <x:c r="N554" t="str">
        <x:v>OC 4500910521</x:v>
      </x:c>
      <x:c r="O554" t="str"/>
      <x:c r="P554" t="str">
        <x:v>Liberada Para Producao</x:v>
      </x:c>
      <x:c r="Q554" t="str">
        <x:v>609392</x:v>
      </x:c>
      <x:c r="R554" t="str">
        <x:v>0</x:v>
      </x:c>
      <x:c r="S554" t="str"/>
      <x:c r="T554" t="str"/>
      <x:c r="U554" t="str"/>
      <x:c r="V554" t="str"/>
      <x:c r="W554" t="str">
        <x:v>N/A</x:v>
      </x:c>
      <x:c r="X554" t="str">
        <x:v>0</x:v>
      </x:c>
      <x:c r="Y554" t="str">
        <x:v>0</x:v>
      </x:c>
      <x:c r="Z554" t="str">
        <x:v>0</x:v>
      </x:c>
      <x:c r="AA554" t="str">
        <x:v>0</x:v>
      </x:c>
      <x:c r="AB554" t="str">
        <x:v>N/A</x:v>
      </x:c>
      <x:c r="AC554" t="str">
        <x:v>N/A</x:v>
      </x:c>
      <x:c r="AD554" t="str">
        <x:v>N/A</x:v>
      </x:c>
      <x:c r="AE554" t="str">
        <x:v>N/A</x:v>
      </x:c>
    </x:row>
    <x:row r="555">
      <x:c r="A555" t="str">
        <x:v>51</x:v>
      </x:c>
      <x:c r="B555" t="str">
        <x:v>26799</x:v>
      </x:c>
      <x:c r="C555" t="str">
        <x:v>1</x:v>
      </x:c>
      <x:c r="D555" t="str">
        <x:v>2010600024</x:v>
      </x:c>
      <x:c r="E555" t="str">
        <x:v>M P MDF STD PET TXT BCO 2110X80X30 42X10</x:v>
      </x:c>
      <x:c r="F555" t="str"/>
      <x:c r="G555" t="str"/>
      <x:c r="H555" t="str"/>
      <x:c r="I555" t="str">
        <x:v>ESMALTE</x:v>
      </x:c>
      <x:c r="J555" t="str">
        <x:v>BRANCO CARRARA</x:v>
      </x:c>
      <x:c r="K555" t="str">
        <x:v>0</x:v>
      </x:c>
      <x:c r="L555" t="str">
        <x:v>144</x:v>
      </x:c>
      <x:c r="M555" t="str">
        <x:v>0,729</x:v>
      </x:c>
      <x:c r="N555" t="str">
        <x:v>OC 4500910521</x:v>
      </x:c>
      <x:c r="O555" t="str"/>
      <x:c r="P555" t="str">
        <x:v>Liberada Para Producao</x:v>
      </x:c>
      <x:c r="Q555" t="str">
        <x:v>609393</x:v>
      </x:c>
      <x:c r="R555" t="str">
        <x:v>0</x:v>
      </x:c>
      <x:c r="S555" t="str">
        <x:v>1500</x:v>
      </x:c>
      <x:c r="T555" t="str">
        <x:v>PERNA DE BATENTE PREMIUM(SEMIA</x:v>
      </x:c>
      <x:c r="U555" t="str"/>
      <x:c r="V555" t="str"/>
      <x:c r="W555" t="str">
        <x:v>N/A</x:v>
      </x:c>
      <x:c r="X555" t="str">
        <x:v>N/A</x:v>
      </x:c>
      <x:c r="Y555" t="str">
        <x:v>N/A</x:v>
      </x:c>
      <x:c r="Z555" t="str">
        <x:v>0</x:v>
      </x:c>
      <x:c r="AA555" t="str">
        <x:v>0</x:v>
      </x:c>
      <x:c r="AB555" t="str">
        <x:v>N/A</x:v>
      </x:c>
      <x:c r="AC555" t="str">
        <x:v>N/A</x:v>
      </x:c>
      <x:c r="AD555" t="str">
        <x:v>N/A</x:v>
      </x:c>
      <x:c r="AE555" t="str">
        <x:v>N/A</x:v>
      </x:c>
    </x:row>
    <x:row r="556">
      <x:c r="A556" t="str">
        <x:v>51</x:v>
      </x:c>
      <x:c r="B556" t="str">
        <x:v>26799</x:v>
      </x:c>
      <x:c r="C556" t="str">
        <x:v>1</x:v>
      </x:c>
      <x:c r="D556" t="str">
        <x:v>2010600170</x:v>
      </x:c>
      <x:c r="E556" t="str">
        <x:v>M T MDF STD PET TXT BCO 647X80X30 42X10</x:v>
      </x:c>
      <x:c r="F556" t="str"/>
      <x:c r="G556" t="str"/>
      <x:c r="H556" t="str"/>
      <x:c r="I556" t="str">
        <x:v>ESMALTE</x:v>
      </x:c>
      <x:c r="J556" t="str">
        <x:v>BRANCO CARRARA</x:v>
      </x:c>
      <x:c r="K556" t="str">
        <x:v>0</x:v>
      </x:c>
      <x:c r="L556" t="str">
        <x:v>72</x:v>
      </x:c>
      <x:c r="M556" t="str">
        <x:v>0,112</x:v>
      </x:c>
      <x:c r="N556" t="str">
        <x:v>OC 4500910521</x:v>
      </x:c>
      <x:c r="O556" t="str"/>
      <x:c r="P556" t="str">
        <x:v>Liberada Para Producao</x:v>
      </x:c>
      <x:c r="Q556" t="str">
        <x:v>609394</x:v>
      </x:c>
      <x:c r="R556" t="str">
        <x:v>0</x:v>
      </x:c>
      <x:c r="S556" t="str">
        <x:v>1501</x:v>
      </x:c>
      <x:c r="T556" t="str">
        <x:v>TRAV. BAT. 680 PET/PVC(SEMI)</x:v>
      </x:c>
      <x:c r="U556" t="str"/>
      <x:c r="V556" t="str"/>
      <x:c r="W556" t="str">
        <x:v>N/A</x:v>
      </x:c>
      <x:c r="X556" t="str">
        <x:v>N/A</x:v>
      </x:c>
      <x:c r="Y556" t="str">
        <x:v>N/A</x:v>
      </x:c>
      <x:c r="Z556" t="str">
        <x:v>0</x:v>
      </x:c>
      <x:c r="AA556" t="str">
        <x:v>0</x:v>
      </x:c>
      <x:c r="AB556" t="str">
        <x:v>N/A</x:v>
      </x:c>
      <x:c r="AC556" t="str">
        <x:v>N/A</x:v>
      </x:c>
      <x:c r="AD556" t="str">
        <x:v>N/A</x:v>
      </x:c>
      <x:c r="AE556" t="str">
        <x:v>N/A</x:v>
      </x:c>
    </x:row>
    <x:row r="557">
      <x:c r="A557" t="str">
        <x:v>51</x:v>
      </x:c>
      <x:c r="B557" t="str">
        <x:v>26799</x:v>
      </x:c>
      <x:c r="C557" t="str">
        <x:v>1</x:v>
      </x:c>
      <x:c r="D557" t="str">
        <x:v>3040300046</x:v>
      </x:c>
      <x:c r="E557" t="str">
        <x:v>FO POR SMT HDF 3 COL RU 2100X600X35 ESM</x:v>
      </x:c>
      <x:c r="F557" t="str"/>
      <x:c r="G557" t="str"/>
      <x:c r="H557" t="str"/>
      <x:c r="I557" t="str">
        <x:v>ESMALTE</x:v>
      </x:c>
      <x:c r="J557" t="str">
        <x:v>BRANCO CARRARA</x:v>
      </x:c>
      <x:c r="K557" t="str">
        <x:v>0</x:v>
      </x:c>
      <x:c r="L557" t="str">
        <x:v>72</x:v>
      </x:c>
      <x:c r="M557" t="str">
        <x:v>3,175</x:v>
      </x:c>
      <x:c r="N557" t="str">
        <x:v>OC 4500910521</x:v>
      </x:c>
      <x:c r="O557" t="str"/>
      <x:c r="P557" t="str">
        <x:v>Liberada Para Producao</x:v>
      </x:c>
      <x:c r="Q557" t="str">
        <x:v>609395</x:v>
      </x:c>
      <x:c r="R557" t="str">
        <x:v>66,67</x:v>
      </x:c>
      <x:c r="S557" t="str">
        <x:v>11</x:v>
      </x:c>
      <x:c r="T557" t="str">
        <x:v>PORTA LINHA SMART</x:v>
      </x:c>
      <x:c r="U557" t="str"/>
      <x:c r="V557" t="str"/>
      <x:c r="W557" t="str">
        <x:v>N/A</x:v>
      </x:c>
      <x:c r="X557" t="str">
        <x:v>100</x:v>
      </x:c>
      <x:c r="Y557" t="str">
        <x:v>N/A</x:v>
      </x:c>
      <x:c r="Z557" t="str">
        <x:v>N/A</x:v>
      </x:c>
      <x:c r="AA557" t="str">
        <x:v>N/A</x:v>
      </x:c>
      <x:c r="AB557" t="str">
        <x:v>100</x:v>
      </x:c>
      <x:c r="AC557" t="str">
        <x:v>N/A</x:v>
      </x:c>
      <x:c r="AD557" t="str">
        <x:v>0</x:v>
      </x:c>
      <x:c r="AE557" t="str">
        <x:v>N/A</x:v>
      </x:c>
    </x:row>
    <x:row r="558">
      <x:c r="A558" t="str">
        <x:v>51</x:v>
      </x:c>
      <x:c r="B558" t="str">
        <x:v>26799</x:v>
      </x:c>
      <x:c r="C558" t="str">
        <x:v>2</x:v>
      </x:c>
      <x:c r="D558" t="str">
        <x:v>956374</x:v>
      </x:c>
      <x:c r="E558" t="str">
        <x:v>2250X50X9 RTO LME PET BCO TXT MPMV(STD)</x:v>
      </x:c>
      <x:c r="F558" t="str"/>
      <x:c r="G558" t="str"/>
      <x:c r="H558" t="str"/>
      <x:c r="I558" t="str">
        <x:v>ESMALTE</x:v>
      </x:c>
      <x:c r="J558" t="str">
        <x:v>BRANCO</x:v>
      </x:c>
      <x:c r="K558" t="str">
        <x:v>0</x:v>
      </x:c>
      <x:c r="L558" t="str">
        <x:v>32</x:v>
      </x:c>
      <x:c r="M558" t="str">
        <x:v>0</x:v>
      </x:c>
      <x:c r="N558" t="str">
        <x:v>OC 4500910521</x:v>
      </x:c>
      <x:c r="O558" t="str"/>
      <x:c r="P558" t="str">
        <x:v>Liberada Para Producao</x:v>
      </x:c>
      <x:c r="Q558" t="str">
        <x:v>609397</x:v>
      </x:c>
      <x:c r="R558" t="str">
        <x:v>0</x:v>
      </x:c>
      <x:c r="S558" t="str"/>
      <x:c r="T558" t="str"/>
      <x:c r="U558" t="str"/>
      <x:c r="V558" t="str"/>
      <x:c r="W558" t="str">
        <x:v>N/A</x:v>
      </x:c>
      <x:c r="X558" t="str">
        <x:v>0</x:v>
      </x:c>
      <x:c r="Y558" t="str">
        <x:v>0</x:v>
      </x:c>
      <x:c r="Z558" t="str">
        <x:v>0</x:v>
      </x:c>
      <x:c r="AA558" t="str">
        <x:v>N/A</x:v>
      </x:c>
      <x:c r="AB558" t="str">
        <x:v>N/A</x:v>
      </x:c>
      <x:c r="AC558" t="str">
        <x:v>N/A</x:v>
      </x:c>
      <x:c r="AD558" t="str">
        <x:v>N/A</x:v>
      </x:c>
      <x:c r="AE558" t="str">
        <x:v>N/A</x:v>
      </x:c>
    </x:row>
    <x:row r="559">
      <x:c r="A559" t="str">
        <x:v>51</x:v>
      </x:c>
      <x:c r="B559" t="str">
        <x:v>26799</x:v>
      </x:c>
      <x:c r="C559" t="str">
        <x:v>2</x:v>
      </x:c>
      <x:c r="D559" t="str">
        <x:v>985577</x:v>
      </x:c>
      <x:c r="E559" t="str">
        <x:v>T A 1100X50X9 RTO LME PET BCO TXT (STD)</x:v>
      </x:c>
      <x:c r="F559" t="str"/>
      <x:c r="G559" t="str"/>
      <x:c r="H559" t="str"/>
      <x:c r="I559" t="str">
        <x:v>ESMALTE</x:v>
      </x:c>
      <x:c r="J559" t="str">
        <x:v>BRANCO</x:v>
      </x:c>
      <x:c r="K559" t="str">
        <x:v>0</x:v>
      </x:c>
      <x:c r="L559" t="str">
        <x:v>16</x:v>
      </x:c>
      <x:c r="M559" t="str">
        <x:v>0</x:v>
      </x:c>
      <x:c r="N559" t="str">
        <x:v>OC 4500910521</x:v>
      </x:c>
      <x:c r="O559" t="str"/>
      <x:c r="P559" t="str">
        <x:v>Liberada Para Producao</x:v>
      </x:c>
      <x:c r="Q559" t="str">
        <x:v>609398</x:v>
      </x:c>
      <x:c r="R559" t="str">
        <x:v>0</x:v>
      </x:c>
      <x:c r="S559" t="str"/>
      <x:c r="T559" t="str"/>
      <x:c r="U559" t="str"/>
      <x:c r="V559" t="str"/>
      <x:c r="W559" t="str">
        <x:v>N/A</x:v>
      </x:c>
      <x:c r="X559" t="str">
        <x:v>0</x:v>
      </x:c>
      <x:c r="Y559" t="str">
        <x:v>0</x:v>
      </x:c>
      <x:c r="Z559" t="str">
        <x:v>0</x:v>
      </x:c>
      <x:c r="AA559" t="str">
        <x:v>0</x:v>
      </x:c>
      <x:c r="AB559" t="str">
        <x:v>N/A</x:v>
      </x:c>
      <x:c r="AC559" t="str">
        <x:v>N/A</x:v>
      </x:c>
      <x:c r="AD559" t="str">
        <x:v>N/A</x:v>
      </x:c>
      <x:c r="AE559" t="str">
        <x:v>N/A</x:v>
      </x:c>
    </x:row>
    <x:row r="560">
      <x:c r="A560" t="str">
        <x:v>51</x:v>
      </x:c>
      <x:c r="B560" t="str">
        <x:v>26799</x:v>
      </x:c>
      <x:c r="C560" t="str">
        <x:v>2</x:v>
      </x:c>
      <x:c r="D560" t="str">
        <x:v>986855</x:v>
      </x:c>
      <x:c r="E560" t="str">
        <x:v>P.A. 2200X50X9 RT RL35 PET TXT BCO STD</x:v>
      </x:c>
      <x:c r="F560" t="str"/>
      <x:c r="G560" t="str"/>
      <x:c r="H560" t="str"/>
      <x:c r="I560" t="str">
        <x:v>ESMALTE</x:v>
      </x:c>
      <x:c r="J560" t="str">
        <x:v>BRANCO</x:v>
      </x:c>
      <x:c r="K560" t="str">
        <x:v>0</x:v>
      </x:c>
      <x:c r="L560" t="str">
        <x:v>32</x:v>
      </x:c>
      <x:c r="M560" t="str">
        <x:v>0,032</x:v>
      </x:c>
      <x:c r="N560" t="str">
        <x:v>OC 4500910521</x:v>
      </x:c>
      <x:c r="O560" t="str"/>
      <x:c r="P560" t="str">
        <x:v>Liberada Para Producao</x:v>
      </x:c>
      <x:c r="Q560" t="str">
        <x:v>609399</x:v>
      </x:c>
      <x:c r="R560" t="str">
        <x:v>0</x:v>
      </x:c>
      <x:c r="S560" t="str"/>
      <x:c r="T560" t="str"/>
      <x:c r="U560" t="str"/>
      <x:c r="V560" t="str"/>
      <x:c r="W560" t="str">
        <x:v>N/A</x:v>
      </x:c>
      <x:c r="X560" t="str">
        <x:v>0</x:v>
      </x:c>
      <x:c r="Y560" t="str">
        <x:v>0</x:v>
      </x:c>
      <x:c r="Z560" t="str">
        <x:v>0</x:v>
      </x:c>
      <x:c r="AA560" t="str">
        <x:v>N/A</x:v>
      </x:c>
      <x:c r="AB560" t="str">
        <x:v>N/A</x:v>
      </x:c>
      <x:c r="AC560" t="str">
        <x:v>N/A</x:v>
      </x:c>
      <x:c r="AD560" t="str">
        <x:v>N/A</x:v>
      </x:c>
      <x:c r="AE560" t="str">
        <x:v>N/A</x:v>
      </x:c>
    </x:row>
    <x:row r="561">
      <x:c r="A561" t="str">
        <x:v>51</x:v>
      </x:c>
      <x:c r="B561" t="str">
        <x:v>26799</x:v>
      </x:c>
      <x:c r="C561" t="str">
        <x:v>2</x:v>
      </x:c>
      <x:c r="D561" t="str">
        <x:v>986856</x:v>
      </x:c>
      <x:c r="E561" t="str">
        <x:v>T.A 1000X50X9 RT RL35 PET TXT BCO STD</x:v>
      </x:c>
      <x:c r="F561" t="str"/>
      <x:c r="G561" t="str"/>
      <x:c r="H561" t="str"/>
      <x:c r="I561" t="str">
        <x:v>ESMALTE</x:v>
      </x:c>
      <x:c r="J561" t="str">
        <x:v>BRANCO</x:v>
      </x:c>
      <x:c r="K561" t="str">
        <x:v>0</x:v>
      </x:c>
      <x:c r="L561" t="str">
        <x:v>16</x:v>
      </x:c>
      <x:c r="M561" t="str">
        <x:v>0,007</x:v>
      </x:c>
      <x:c r="N561" t="str">
        <x:v>OC 4500910521</x:v>
      </x:c>
      <x:c r="O561" t="str"/>
      <x:c r="P561" t="str">
        <x:v>Liberada Para Producao</x:v>
      </x:c>
      <x:c r="Q561" t="str">
        <x:v>609400</x:v>
      </x:c>
      <x:c r="R561" t="str">
        <x:v>0</x:v>
      </x:c>
      <x:c r="S561" t="str"/>
      <x:c r="T561" t="str"/>
      <x:c r="U561" t="str"/>
      <x:c r="V561" t="str"/>
      <x:c r="W561" t="str">
        <x:v>N/A</x:v>
      </x:c>
      <x:c r="X561" t="str">
        <x:v>0</x:v>
      </x:c>
      <x:c r="Y561" t="str">
        <x:v>0</x:v>
      </x:c>
      <x:c r="Z561" t="str">
        <x:v>0</x:v>
      </x:c>
      <x:c r="AA561" t="str">
        <x:v>0</x:v>
      </x:c>
      <x:c r="AB561" t="str">
        <x:v>N/A</x:v>
      </x:c>
      <x:c r="AC561" t="str">
        <x:v>N/A</x:v>
      </x:c>
      <x:c r="AD561" t="str">
        <x:v>N/A</x:v>
      </x:c>
      <x:c r="AE561" t="str">
        <x:v>N/A</x:v>
      </x:c>
    </x:row>
    <x:row r="562">
      <x:c r="A562" t="str">
        <x:v>51</x:v>
      </x:c>
      <x:c r="B562" t="str">
        <x:v>26799</x:v>
      </x:c>
      <x:c r="C562" t="str">
        <x:v>2</x:v>
      </x:c>
      <x:c r="D562" t="str">
        <x:v>2010600024</x:v>
      </x:c>
      <x:c r="E562" t="str">
        <x:v>M P MDF STD PET TXT BCO 2110X80X30 42X10</x:v>
      </x:c>
      <x:c r="F562" t="str"/>
      <x:c r="G562" t="str"/>
      <x:c r="H562" t="str"/>
      <x:c r="I562" t="str">
        <x:v>ESMALTE</x:v>
      </x:c>
      <x:c r="J562" t="str">
        <x:v>BRANCO</x:v>
      </x:c>
      <x:c r="K562" t="str">
        <x:v>0</x:v>
      </x:c>
      <x:c r="L562" t="str">
        <x:v>32</x:v>
      </x:c>
      <x:c r="M562" t="str">
        <x:v>0,162</x:v>
      </x:c>
      <x:c r="N562" t="str">
        <x:v>OC 4500910521</x:v>
      </x:c>
      <x:c r="O562" t="str"/>
      <x:c r="P562" t="str">
        <x:v>Liberada Para Producao</x:v>
      </x:c>
      <x:c r="Q562" t="str">
        <x:v>609401</x:v>
      </x:c>
      <x:c r="R562" t="str">
        <x:v>0</x:v>
      </x:c>
      <x:c r="S562" t="str">
        <x:v>1500</x:v>
      </x:c>
      <x:c r="T562" t="str">
        <x:v>PERNA DE BATENTE PREMIUM(SEMIA</x:v>
      </x:c>
      <x:c r="U562" t="str"/>
      <x:c r="V562" t="str"/>
      <x:c r="W562" t="str">
        <x:v>N/A</x:v>
      </x:c>
      <x:c r="X562" t="str">
        <x:v>N/A</x:v>
      </x:c>
      <x:c r="Y562" t="str">
        <x:v>N/A</x:v>
      </x:c>
      <x:c r="Z562" t="str">
        <x:v>0</x:v>
      </x:c>
      <x:c r="AA562" t="str">
        <x:v>0</x:v>
      </x:c>
      <x:c r="AB562" t="str">
        <x:v>N/A</x:v>
      </x:c>
      <x:c r="AC562" t="str">
        <x:v>N/A</x:v>
      </x:c>
      <x:c r="AD562" t="str">
        <x:v>N/A</x:v>
      </x:c>
      <x:c r="AE562" t="str">
        <x:v>N/A</x:v>
      </x:c>
    </x:row>
    <x:row r="563">
      <x:c r="A563" t="str">
        <x:v>51</x:v>
      </x:c>
      <x:c r="B563" t="str">
        <x:v>26799</x:v>
      </x:c>
      <x:c r="C563" t="str">
        <x:v>2</x:v>
      </x:c>
      <x:c r="D563" t="str">
        <x:v>2010600025</x:v>
      </x:c>
      <x:c r="E563" t="str">
        <x:v>M T MDF STD PET TXT BCO 747X80X30 42X10</x:v>
      </x:c>
      <x:c r="F563" t="str"/>
      <x:c r="G563" t="str"/>
      <x:c r="H563" t="str"/>
      <x:c r="I563" t="str">
        <x:v>ESMALTE</x:v>
      </x:c>
      <x:c r="J563" t="str">
        <x:v>BRANCO</x:v>
      </x:c>
      <x:c r="K563" t="str">
        <x:v>0</x:v>
      </x:c>
      <x:c r="L563" t="str">
        <x:v>16</x:v>
      </x:c>
      <x:c r="M563" t="str">
        <x:v>0</x:v>
      </x:c>
      <x:c r="N563" t="str">
        <x:v>OC 4500910521</x:v>
      </x:c>
      <x:c r="O563" t="str"/>
      <x:c r="P563" t="str">
        <x:v>Liberada Para Producao</x:v>
      </x:c>
      <x:c r="Q563" t="str">
        <x:v>609402</x:v>
      </x:c>
      <x:c r="R563" t="str">
        <x:v>0</x:v>
      </x:c>
      <x:c r="S563" t="str">
        <x:v>1502</x:v>
      </x:c>
      <x:c r="T563" t="str">
        <x:v>TV.BAT. 680-1100 PET/PVC(SEMI)</x:v>
      </x:c>
      <x:c r="U563" t="str"/>
      <x:c r="V563" t="str"/>
      <x:c r="W563" t="str">
        <x:v>N/A</x:v>
      </x:c>
      <x:c r="X563" t="str">
        <x:v>N/A</x:v>
      </x:c>
      <x:c r="Y563" t="str">
        <x:v>N/A</x:v>
      </x:c>
      <x:c r="Z563" t="str">
        <x:v>0</x:v>
      </x:c>
      <x:c r="AA563" t="str">
        <x:v>0</x:v>
      </x:c>
      <x:c r="AB563" t="str">
        <x:v>N/A</x:v>
      </x:c>
      <x:c r="AC563" t="str">
        <x:v>N/A</x:v>
      </x:c>
      <x:c r="AD563" t="str">
        <x:v>N/A</x:v>
      </x:c>
      <x:c r="AE563" t="str">
        <x:v>N/A</x:v>
      </x:c>
    </x:row>
    <x:row r="564">
      <x:c r="A564" t="str">
        <x:v>51</x:v>
      </x:c>
      <x:c r="B564" t="str">
        <x:v>26799</x:v>
      </x:c>
      <x:c r="C564" t="str">
        <x:v>2</x:v>
      </x:c>
      <x:c r="D564" t="str">
        <x:v>3040300041</x:v>
      </x:c>
      <x:c r="E564" t="str">
        <x:v>FO POR SMT HDF 3 COL ESM BCO RU 2100X700</x:v>
      </x:c>
      <x:c r="F564" t="str"/>
      <x:c r="G564" t="str"/>
      <x:c r="H564" t="str"/>
      <x:c r="I564" t="str">
        <x:v>ESMALTE</x:v>
      </x:c>
      <x:c r="J564" t="str">
        <x:v>BRANCO</x:v>
      </x:c>
      <x:c r="K564" t="str">
        <x:v>0</x:v>
      </x:c>
      <x:c r="L564" t="str">
        <x:v>16</x:v>
      </x:c>
      <x:c r="M564" t="str">
        <x:v>0,823</x:v>
      </x:c>
      <x:c r="N564" t="str">
        <x:v>OC 4500910521</x:v>
      </x:c>
      <x:c r="O564" t="str"/>
      <x:c r="P564" t="str">
        <x:v>Liberada Para Producao</x:v>
      </x:c>
      <x:c r="Q564" t="str">
        <x:v>609403</x:v>
      </x:c>
      <x:c r="R564" t="str">
        <x:v>66,67</x:v>
      </x:c>
      <x:c r="S564" t="str">
        <x:v>11</x:v>
      </x:c>
      <x:c r="T564" t="str">
        <x:v>PORTA LINHA SMART</x:v>
      </x:c>
      <x:c r="U564" t="str"/>
      <x:c r="V564" t="str"/>
      <x:c r="W564" t="str">
        <x:v>N/A</x:v>
      </x:c>
      <x:c r="X564" t="str">
        <x:v>100</x:v>
      </x:c>
      <x:c r="Y564" t="str">
        <x:v>N/A</x:v>
      </x:c>
      <x:c r="Z564" t="str">
        <x:v>N/A</x:v>
      </x:c>
      <x:c r="AA564" t="str">
        <x:v>N/A</x:v>
      </x:c>
      <x:c r="AB564" t="str">
        <x:v>100</x:v>
      </x:c>
      <x:c r="AC564" t="str">
        <x:v>N/A</x:v>
      </x:c>
      <x:c r="AD564" t="str">
        <x:v>0</x:v>
      </x:c>
      <x:c r="AE564" t="str">
        <x:v>N/A</x:v>
      </x:c>
    </x:row>
    <x:row r="565">
      <x:c r="A565" t="str">
        <x:v>51</x:v>
      </x:c>
      <x:c r="B565" t="str">
        <x:v>26799</x:v>
      </x:c>
      <x:c r="C565" t="str">
        <x:v>3</x:v>
      </x:c>
      <x:c r="D565" t="str">
        <x:v>956374</x:v>
      </x:c>
      <x:c r="E565" t="str">
        <x:v>2250X50X9 RTO LME PET BCO TXT MPMV(STD)</x:v>
      </x:c>
      <x:c r="F565" t="str"/>
      <x:c r="G565" t="str"/>
      <x:c r="H565" t="str"/>
      <x:c r="I565" t="str">
        <x:v>ESMALTE</x:v>
      </x:c>
      <x:c r="J565" t="str">
        <x:v>BRANCO CARRARA</x:v>
      </x:c>
      <x:c r="K565" t="str">
        <x:v>0</x:v>
      </x:c>
      <x:c r="L565" t="str">
        <x:v>128</x:v>
      </x:c>
      <x:c r="M565" t="str">
        <x:v>0</x:v>
      </x:c>
      <x:c r="N565" t="str">
        <x:v>OC 4500910521</x:v>
      </x:c>
      <x:c r="O565" t="str"/>
      <x:c r="P565" t="str">
        <x:v>Liberada Para Producao</x:v>
      </x:c>
      <x:c r="Q565" t="str">
        <x:v>609405</x:v>
      </x:c>
      <x:c r="R565" t="str">
        <x:v>0</x:v>
      </x:c>
      <x:c r="S565" t="str"/>
      <x:c r="T565" t="str"/>
      <x:c r="U565" t="str"/>
      <x:c r="V565" t="str"/>
      <x:c r="W565" t="str">
        <x:v>N/A</x:v>
      </x:c>
      <x:c r="X565" t="str">
        <x:v>0</x:v>
      </x:c>
      <x:c r="Y565" t="str">
        <x:v>0</x:v>
      </x:c>
      <x:c r="Z565" t="str">
        <x:v>0</x:v>
      </x:c>
      <x:c r="AA565" t="str">
        <x:v>N/A</x:v>
      </x:c>
      <x:c r="AB565" t="str">
        <x:v>N/A</x:v>
      </x:c>
      <x:c r="AC565" t="str">
        <x:v>N/A</x:v>
      </x:c>
      <x:c r="AD565" t="str">
        <x:v>N/A</x:v>
      </x:c>
      <x:c r="AE565" t="str">
        <x:v>N/A</x:v>
      </x:c>
    </x:row>
    <x:row r="566">
      <x:c r="A566" t="str">
        <x:v>51</x:v>
      </x:c>
      <x:c r="B566" t="str">
        <x:v>26799</x:v>
      </x:c>
      <x:c r="C566" t="str">
        <x:v>3</x:v>
      </x:c>
      <x:c r="D566" t="str">
        <x:v>985577</x:v>
      </x:c>
      <x:c r="E566" t="str">
        <x:v>T A 1100X50X9 RTO LME PET BCO TXT (STD)</x:v>
      </x:c>
      <x:c r="F566" t="str"/>
      <x:c r="G566" t="str"/>
      <x:c r="H566" t="str"/>
      <x:c r="I566" t="str">
        <x:v>ESMALTE</x:v>
      </x:c>
      <x:c r="J566" t="str">
        <x:v>BRANCO CARRARA</x:v>
      </x:c>
      <x:c r="K566" t="str">
        <x:v>0</x:v>
      </x:c>
      <x:c r="L566" t="str">
        <x:v>64</x:v>
      </x:c>
      <x:c r="M566" t="str">
        <x:v>0</x:v>
      </x:c>
      <x:c r="N566" t="str">
        <x:v>OC 4500910521</x:v>
      </x:c>
      <x:c r="O566" t="str"/>
      <x:c r="P566" t="str">
        <x:v>Liberada Para Producao</x:v>
      </x:c>
      <x:c r="Q566" t="str">
        <x:v>609406</x:v>
      </x:c>
      <x:c r="R566" t="str">
        <x:v>0</x:v>
      </x:c>
      <x:c r="S566" t="str"/>
      <x:c r="T566" t="str"/>
      <x:c r="U566" t="str"/>
      <x:c r="V566" t="str"/>
      <x:c r="W566" t="str">
        <x:v>N/A</x:v>
      </x:c>
      <x:c r="X566" t="str">
        <x:v>0</x:v>
      </x:c>
      <x:c r="Y566" t="str">
        <x:v>0</x:v>
      </x:c>
      <x:c r="Z566" t="str">
        <x:v>0</x:v>
      </x:c>
      <x:c r="AA566" t="str">
        <x:v>0</x:v>
      </x:c>
      <x:c r="AB566" t="str">
        <x:v>N/A</x:v>
      </x:c>
      <x:c r="AC566" t="str">
        <x:v>N/A</x:v>
      </x:c>
      <x:c r="AD566" t="str">
        <x:v>N/A</x:v>
      </x:c>
      <x:c r="AE566" t="str">
        <x:v>N/A</x:v>
      </x:c>
    </x:row>
    <x:row r="567">
      <x:c r="A567" t="str">
        <x:v>51</x:v>
      </x:c>
      <x:c r="B567" t="str">
        <x:v>26799</x:v>
      </x:c>
      <x:c r="C567" t="str">
        <x:v>3</x:v>
      </x:c>
      <x:c r="D567" t="str">
        <x:v>988573</x:v>
      </x:c>
      <x:c r="E567" t="str">
        <x:v>P.A. 2200X50X9 RT RL45 PET TXT BCO STD</x:v>
      </x:c>
      <x:c r="F567" t="str"/>
      <x:c r="G567" t="str"/>
      <x:c r="H567" t="str"/>
      <x:c r="I567" t="str">
        <x:v>ESMALTE</x:v>
      </x:c>
      <x:c r="J567" t="str">
        <x:v>BRANCO CARRARA</x:v>
      </x:c>
      <x:c r="K567" t="str">
        <x:v>0</x:v>
      </x:c>
      <x:c r="L567" t="str">
        <x:v>128</x:v>
      </x:c>
      <x:c r="M567" t="str">
        <x:v>0,127</x:v>
      </x:c>
      <x:c r="N567" t="str">
        <x:v>OC 4500910521</x:v>
      </x:c>
      <x:c r="O567" t="str"/>
      <x:c r="P567" t="str">
        <x:v>Liberada Para Producao</x:v>
      </x:c>
      <x:c r="Q567" t="str">
        <x:v>609407</x:v>
      </x:c>
      <x:c r="R567" t="str">
        <x:v>0</x:v>
      </x:c>
      <x:c r="S567" t="str"/>
      <x:c r="T567" t="str"/>
      <x:c r="U567" t="str"/>
      <x:c r="V567" t="str"/>
      <x:c r="W567" t="str">
        <x:v>N/A</x:v>
      </x:c>
      <x:c r="X567" t="str">
        <x:v>0</x:v>
      </x:c>
      <x:c r="Y567" t="str">
        <x:v>0</x:v>
      </x:c>
      <x:c r="Z567" t="str">
        <x:v>0</x:v>
      </x:c>
      <x:c r="AA567" t="str">
        <x:v>N/A</x:v>
      </x:c>
      <x:c r="AB567" t="str">
        <x:v>N/A</x:v>
      </x:c>
      <x:c r="AC567" t="str">
        <x:v>N/A</x:v>
      </x:c>
      <x:c r="AD567" t="str">
        <x:v>N/A</x:v>
      </x:c>
      <x:c r="AE567" t="str">
        <x:v>N/A</x:v>
      </x:c>
    </x:row>
    <x:row r="568">
      <x:c r="A568" t="str">
        <x:v>51</x:v>
      </x:c>
      <x:c r="B568" t="str">
        <x:v>26799</x:v>
      </x:c>
      <x:c r="C568" t="str">
        <x:v>3</x:v>
      </x:c>
      <x:c r="D568" t="str">
        <x:v>988577</x:v>
      </x:c>
      <x:c r="E568" t="str">
        <x:v>T.A 1100X50X9 RT RL45 PET TXT BCO STD</x:v>
      </x:c>
      <x:c r="F568" t="str"/>
      <x:c r="G568" t="str"/>
      <x:c r="H568" t="str"/>
      <x:c r="I568" t="str">
        <x:v>ESMALTE</x:v>
      </x:c>
      <x:c r="J568" t="str">
        <x:v>BRANCO CARRARA</x:v>
      </x:c>
      <x:c r="K568" t="str">
        <x:v>0</x:v>
      </x:c>
      <x:c r="L568" t="str">
        <x:v>64</x:v>
      </x:c>
      <x:c r="M568" t="str">
        <x:v>0,032</x:v>
      </x:c>
      <x:c r="N568" t="str">
        <x:v>OC 4500910521</x:v>
      </x:c>
      <x:c r="O568" t="str"/>
      <x:c r="P568" t="str">
        <x:v>Liberada Para Producao</x:v>
      </x:c>
      <x:c r="Q568" t="str">
        <x:v>609408</x:v>
      </x:c>
      <x:c r="R568" t="str">
        <x:v>0</x:v>
      </x:c>
      <x:c r="S568" t="str"/>
      <x:c r="T568" t="str"/>
      <x:c r="U568" t="str"/>
      <x:c r="V568" t="str"/>
      <x:c r="W568" t="str">
        <x:v>N/A</x:v>
      </x:c>
      <x:c r="X568" t="str">
        <x:v>0</x:v>
      </x:c>
      <x:c r="Y568" t="str">
        <x:v>0</x:v>
      </x:c>
      <x:c r="Z568" t="str">
        <x:v>0</x:v>
      </x:c>
      <x:c r="AA568" t="str">
        <x:v>0</x:v>
      </x:c>
      <x:c r="AB568" t="str">
        <x:v>N/A</x:v>
      </x:c>
      <x:c r="AC568" t="str">
        <x:v>N/A</x:v>
      </x:c>
      <x:c r="AD568" t="str">
        <x:v>N/A</x:v>
      </x:c>
      <x:c r="AE568" t="str">
        <x:v>N/A</x:v>
      </x:c>
    </x:row>
    <x:row r="569">
      <x:c r="A569" t="str">
        <x:v>51</x:v>
      </x:c>
      <x:c r="B569" t="str">
        <x:v>26799</x:v>
      </x:c>
      <x:c r="C569" t="str">
        <x:v>3</x:v>
      </x:c>
      <x:c r="D569" t="str">
        <x:v>2010600056</x:v>
      </x:c>
      <x:c r="E569" t="str">
        <x:v>M CJ MDF STD PET TXT BCO 2110X80X30 42X1</x:v>
      </x:c>
      <x:c r="F569" t="str"/>
      <x:c r="G569" t="str"/>
      <x:c r="H569" t="str"/>
      <x:c r="I569" t="str">
        <x:v>ESMALTE</x:v>
      </x:c>
      <x:c r="J569" t="str">
        <x:v>BRANCO CARRARA</x:v>
      </x:c>
      <x:c r="K569" t="str">
        <x:v>0</x:v>
      </x:c>
      <x:c r="L569" t="str">
        <x:v>128</x:v>
      </x:c>
      <x:c r="M569" t="str">
        <x:v>0,648</x:v>
      </x:c>
      <x:c r="N569" t="str">
        <x:v>OC 4500910521</x:v>
      </x:c>
      <x:c r="O569" t="str"/>
      <x:c r="P569" t="str">
        <x:v>Liberada Para Producao</x:v>
      </x:c>
      <x:c r="Q569" t="str">
        <x:v>609409</x:v>
      </x:c>
      <x:c r="R569" t="str">
        <x:v>0</x:v>
      </x:c>
      <x:c r="S569" t="str">
        <x:v>1500</x:v>
      </x:c>
      <x:c r="T569" t="str">
        <x:v>PERNA DE BATENTE PREMIUM(SEMIA</x:v>
      </x:c>
      <x:c r="U569" t="str"/>
      <x:c r="V569" t="str"/>
      <x:c r="W569" t="str">
        <x:v>N/A</x:v>
      </x:c>
      <x:c r="X569" t="str">
        <x:v>N/A</x:v>
      </x:c>
      <x:c r="Y569" t="str">
        <x:v>N/A</x:v>
      </x:c>
      <x:c r="Z569" t="str">
        <x:v>0</x:v>
      </x:c>
      <x:c r="AA569" t="str">
        <x:v>0</x:v>
      </x:c>
      <x:c r="AB569" t="str">
        <x:v>N/A</x:v>
      </x:c>
      <x:c r="AC569" t="str">
        <x:v>N/A</x:v>
      </x:c>
      <x:c r="AD569" t="str">
        <x:v>N/A</x:v>
      </x:c>
      <x:c r="AE569" t="str">
        <x:v>N/A</x:v>
      </x:c>
    </x:row>
    <x:row r="570">
      <x:c r="A570" t="str">
        <x:v>51</x:v>
      </x:c>
      <x:c r="B570" t="str">
        <x:v>26799</x:v>
      </x:c>
      <x:c r="C570" t="str">
        <x:v>3</x:v>
      </x:c>
      <x:c r="D570" t="str">
        <x:v>2010600379</x:v>
      </x:c>
      <x:c r="E570" t="str">
        <x:v>M STD PET TXT BCO 847X80X30 42X10 R2L ME</x:v>
      </x:c>
      <x:c r="F570" t="str"/>
      <x:c r="G570" t="str"/>
      <x:c r="H570" t="str"/>
      <x:c r="I570" t="str">
        <x:v>ESMALTE</x:v>
      </x:c>
      <x:c r="J570" t="str">
        <x:v>BRANCO CARRARA</x:v>
      </x:c>
      <x:c r="K570" t="str">
        <x:v>0</x:v>
      </x:c>
      <x:c r="L570" t="str">
        <x:v>64</x:v>
      </x:c>
      <x:c r="M570" t="str">
        <x:v>0,13</x:v>
      </x:c>
      <x:c r="N570" t="str">
        <x:v>OC 4500910521</x:v>
      </x:c>
      <x:c r="O570" t="str"/>
      <x:c r="P570" t="str">
        <x:v>Liberada Para Producao</x:v>
      </x:c>
      <x:c r="Q570" t="str">
        <x:v>609410</x:v>
      </x:c>
      <x:c r="R570" t="str">
        <x:v>0</x:v>
      </x:c>
      <x:c r="S570" t="str">
        <x:v>1502</x:v>
      </x:c>
      <x:c r="T570" t="str">
        <x:v>TV.BAT. 680-1100 PET/PVC(SEMI)</x:v>
      </x:c>
      <x:c r="U570" t="str"/>
      <x:c r="V570" t="str"/>
      <x:c r="W570" t="str">
        <x:v>N/A</x:v>
      </x:c>
      <x:c r="X570" t="str">
        <x:v>N/A</x:v>
      </x:c>
      <x:c r="Y570" t="str">
        <x:v>N/A</x:v>
      </x:c>
      <x:c r="Z570" t="str">
        <x:v>0</x:v>
      </x:c>
      <x:c r="AA570" t="str">
        <x:v>0</x:v>
      </x:c>
      <x:c r="AB570" t="str">
        <x:v>N/A</x:v>
      </x:c>
      <x:c r="AC570" t="str">
        <x:v>N/A</x:v>
      </x:c>
      <x:c r="AD570" t="str">
        <x:v>N/A</x:v>
      </x:c>
      <x:c r="AE570" t="str">
        <x:v>N/A</x:v>
      </x:c>
    </x:row>
    <x:row r="571">
      <x:c r="A571" t="str">
        <x:v>51</x:v>
      </x:c>
      <x:c r="B571" t="str">
        <x:v>26799</x:v>
      </x:c>
      <x:c r="C571" t="str">
        <x:v>3</x:v>
      </x:c>
      <x:c r="D571" t="str">
        <x:v>3041400218</x:v>
      </x:c>
      <x:c r="E571" t="str">
        <x:v>FO POR SMT HDF 3 S GD RU 2100X800X35 ESM</x:v>
      </x:c>
      <x:c r="F571" t="str"/>
      <x:c r="G571" t="str"/>
      <x:c r="H571" t="str"/>
      <x:c r="I571" t="str">
        <x:v>ESMALTE</x:v>
      </x:c>
      <x:c r="J571" t="str">
        <x:v>BRANCO CARRARA</x:v>
      </x:c>
      <x:c r="K571" t="str">
        <x:v>0</x:v>
      </x:c>
      <x:c r="L571" t="str">
        <x:v>64</x:v>
      </x:c>
      <x:c r="M571" t="str">
        <x:v>3,763</x:v>
      </x:c>
      <x:c r="N571" t="str">
        <x:v>OC 4500910521</x:v>
      </x:c>
      <x:c r="O571" t="str"/>
      <x:c r="P571" t="str">
        <x:v>Liberada Para Producao</x:v>
      </x:c>
      <x:c r="Q571" t="str">
        <x:v>609411</x:v>
      </x:c>
      <x:c r="R571" t="str">
        <x:v>42,19</x:v>
      </x:c>
      <x:c r="S571" t="str">
        <x:v>11</x:v>
      </x:c>
      <x:c r="T571" t="str">
        <x:v>PORTA LINHA SMART</x:v>
      </x:c>
      <x:c r="U571" t="str"/>
      <x:c r="V571" t="str"/>
      <x:c r="W571" t="str">
        <x:v>N/A</x:v>
      </x:c>
      <x:c r="X571" t="str">
        <x:v>100</x:v>
      </x:c>
      <x:c r="Y571" t="str">
        <x:v>N/A</x:v>
      </x:c>
      <x:c r="Z571" t="str">
        <x:v>N/A</x:v>
      </x:c>
      <x:c r="AA571" t="str">
        <x:v>N/A</x:v>
      </x:c>
      <x:c r="AB571" t="str">
        <x:v>26,56</x:v>
      </x:c>
      <x:c r="AC571" t="str">
        <x:v>N/A</x:v>
      </x:c>
      <x:c r="AD571" t="str">
        <x:v>0</x:v>
      </x:c>
      <x:c r="AE571" t="str">
        <x:v>N/A</x:v>
      </x:c>
    </x:row>
    <x:row r="572">
      <x:c r="A572" t="str">
        <x:v>51</x:v>
      </x:c>
      <x:c r="B572" t="str">
        <x:v>26800</x:v>
      </x:c>
      <x:c r="C572" t="str">
        <x:v>1</x:v>
      </x:c>
      <x:c r="D572" t="str">
        <x:v>3040900435</x:v>
      </x:c>
      <x:c r="E572" t="str">
        <x:v>FO POR HI C HDF 6 RU 2100X600X35 PET CA</x:v>
      </x:c>
      <x:c r="F572" t="str">
        <x:v>LISA</x:v>
      </x:c>
      <x:c r="G572" t="str"/>
      <x:c r="H572" t="str"/>
      <x:c r="I572" t="str">
        <x:v>RECOBERTO PET</x:v>
      </x:c>
      <x:c r="J572" t="str">
        <x:v>CARVALHO MALVA</x:v>
      </x:c>
      <x:c r="K572" t="str">
        <x:v>0</x:v>
      </x:c>
      <x:c r="L572" t="str">
        <x:v>1</x:v>
      </x:c>
      <x:c r="M572" t="str">
        <x:v>0,044</x:v>
      </x:c>
      <x:c r="N572" t="str"/>
      <x:c r="O572" t="str"/>
      <x:c r="P572" t="str">
        <x:v>Liberada Para Producao</x:v>
      </x:c>
      <x:c r="Q572" t="str">
        <x:v>612112</x:v>
      </x:c>
      <x:c r="R572" t="str">
        <x:v>0</x:v>
      </x:c>
      <x:c r="S572" t="str">
        <x:v>2</x:v>
      </x:c>
      <x:c r="T572" t="str">
        <x:v>PORTA LINHA VANGUARD</x:v>
      </x:c>
      <x:c r="U572" t="str">
        <x:v>RU</x:v>
      </x:c>
      <x:c r="V572" t="str"/>
      <x:c r="W572" t="str">
        <x:v>N/A</x:v>
      </x:c>
      <x:c r="X572" t="str">
        <x:v>N/A</x:v>
      </x:c>
      <x:c r="Y572" t="str">
        <x:v>N/A</x:v>
      </x:c>
      <x:c r="Z572" t="str">
        <x:v>N/A</x:v>
      </x:c>
      <x:c r="AA572" t="str">
        <x:v>N/A</x:v>
      </x:c>
      <x:c r="AB572" t="str">
        <x:v>N/A</x:v>
      </x:c>
      <x:c r="AC572" t="str">
        <x:v>N/A</x:v>
      </x:c>
      <x:c r="AD572" t="str">
        <x:v>0</x:v>
      </x:c>
      <x:c r="AE572" t="str">
        <x:v>N/A</x:v>
      </x:c>
    </x:row>
    <x:row r="573">
      <x:c r="A573" t="str">
        <x:v>51</x:v>
      </x:c>
      <x:c r="B573" t="str">
        <x:v>26800</x:v>
      </x:c>
      <x:c r="C573" t="str">
        <x:v>2</x:v>
      </x:c>
      <x:c r="D573" t="str">
        <x:v>2010700966</x:v>
      </x:c>
      <x:c r="E573" t="str">
        <x:v>M ULTRA PET CA MA 647X110X30 42X10 R2L M</x:v>
      </x:c>
      <x:c r="F573" t="str">
        <x:v>MDF ULTRA</x:v>
      </x:c>
      <x:c r="G573" t="str">
        <x:v>C/BORRACHA I APLICADA</x:v>
      </x:c>
      <x:c r="H573" t="str">
        <x:v>C/REB 42X10</x:v>
      </x:c>
      <x:c r="I573" t="str">
        <x:v>RECOBERTO PET</x:v>
      </x:c>
      <x:c r="J573" t="str">
        <x:v>CARVALHO MALVA</x:v>
      </x:c>
      <x:c r="K573" t="str">
        <x:v>0</x:v>
      </x:c>
      <x:c r="L573" t="str">
        <x:v>1</x:v>
      </x:c>
      <x:c r="M573" t="str">
        <x:v>0,002</x:v>
      </x:c>
      <x:c r="N573" t="str"/>
      <x:c r="O573" t="str"/>
      <x:c r="P573" t="str">
        <x:v>Liberada Para Producao</x:v>
      </x:c>
      <x:c r="Q573" t="str">
        <x:v>612114</x:v>
      </x:c>
      <x:c r="R573" t="str">
        <x:v>0</x:v>
      </x:c>
      <x:c r="S573" t="str">
        <x:v>1501</x:v>
      </x:c>
      <x:c r="T573" t="str">
        <x:v>TRAV. BAT. 680 PET/PVC(SEMI)</x:v>
      </x:c>
      <x:c r="U573" t="str"/>
      <x:c r="V573" t="str"/>
      <x:c r="W573" t="str">
        <x:v>N/A</x:v>
      </x:c>
      <x:c r="X573" t="str">
        <x:v>N/A</x:v>
      </x:c>
      <x:c r="Y573" t="str">
        <x:v>N/A</x:v>
      </x:c>
      <x:c r="Z573" t="str">
        <x:v>0</x:v>
      </x:c>
      <x:c r="AA573" t="str">
        <x:v>0</x:v>
      </x:c>
      <x:c r="AB573" t="str">
        <x:v>N/A</x:v>
      </x:c>
      <x:c r="AC573" t="str">
        <x:v>N/A</x:v>
      </x:c>
      <x:c r="AD573" t="str">
        <x:v>N/A</x:v>
      </x:c>
      <x:c r="AE573" t="str">
        <x:v>N/A</x:v>
      </x:c>
    </x:row>
    <x:row r="574">
      <x:c r="A574" t="str">
        <x:v>51</x:v>
      </x:c>
      <x:c r="B574" t="str">
        <x:v>26800</x:v>
      </x:c>
      <x:c r="C574" t="str">
        <x:v>2</x:v>
      </x:c>
      <x:c r="D574" t="str">
        <x:v>2010701286</x:v>
      </x:c>
      <x:c r="E574" t="str">
        <x:v>M ULTRA PET CA MA 2110X110X30 42X10 R2L</x:v>
      </x:c>
      <x:c r="F574" t="str">
        <x:v>MDF ULTRA</x:v>
      </x:c>
      <x:c r="G574" t="str">
        <x:v>C/BORRACHA I APLICADA</x:v>
      </x:c>
      <x:c r="H574" t="str">
        <x:v>C/REB 42X10</x:v>
      </x:c>
      <x:c r="I574" t="str">
        <x:v>RECOBERTO PET</x:v>
      </x:c>
      <x:c r="J574" t="str">
        <x:v>CARVALHO MALVA</x:v>
      </x:c>
      <x:c r="K574" t="str">
        <x:v>0</x:v>
      </x:c>
      <x:c r="L574" t="str">
        <x:v>2</x:v>
      </x:c>
      <x:c r="M574" t="str">
        <x:v>0,014</x:v>
      </x:c>
      <x:c r="N574" t="str"/>
      <x:c r="O574" t="str"/>
      <x:c r="P574" t="str">
        <x:v>Liberada Para Producao</x:v>
      </x:c>
      <x:c r="Q574" t="str">
        <x:v>612115</x:v>
      </x:c>
      <x:c r="R574" t="str">
        <x:v>0</x:v>
      </x:c>
      <x:c r="S574" t="str">
        <x:v>1500</x:v>
      </x:c>
      <x:c r="T574" t="str">
        <x:v>PERNA DE BATENTE PREMIUM(SEMIA</x:v>
      </x:c>
      <x:c r="U574" t="str"/>
      <x:c r="V574" t="str"/>
      <x:c r="W574" t="str">
        <x:v>N/A</x:v>
      </x:c>
      <x:c r="X574" t="str">
        <x:v>N/A</x:v>
      </x:c>
      <x:c r="Y574" t="str">
        <x:v>N/A</x:v>
      </x:c>
      <x:c r="Z574" t="str">
        <x:v>0</x:v>
      </x:c>
      <x:c r="AA574" t="str">
        <x:v>0</x:v>
      </x:c>
      <x:c r="AB574" t="str">
        <x:v>N/A</x:v>
      </x:c>
      <x:c r="AC574" t="str">
        <x:v>N/A</x:v>
      </x:c>
      <x:c r="AD574" t="str">
        <x:v>N/A</x:v>
      </x:c>
      <x:c r="AE574" t="str">
        <x:v>N/A</x:v>
      </x:c>
    </x:row>
    <x:row r="575">
      <x:c r="A575" t="str">
        <x:v>51</x:v>
      </x:c>
      <x:c r="B575" t="str">
        <x:v>26800</x:v>
      </x:c>
      <x:c r="C575" t="str">
        <x:v>3</x:v>
      </x:c>
      <x:c r="D575" t="str">
        <x:v>3040900436</x:v>
      </x:c>
      <x:c r="E575" t="str">
        <x:v>FO POR HI C HDF 6 RU 2100X700X35 PET CA</x:v>
      </x:c>
      <x:c r="F575" t="str">
        <x:v>LISA</x:v>
      </x:c>
      <x:c r="G575" t="str"/>
      <x:c r="H575" t="str"/>
      <x:c r="I575" t="str">
        <x:v>RECOBERTO PET</x:v>
      </x:c>
      <x:c r="J575" t="str">
        <x:v>CARVALHO MALVA</x:v>
      </x:c>
      <x:c r="K575" t="str">
        <x:v>0</x:v>
      </x:c>
      <x:c r="L575" t="str">
        <x:v>5</x:v>
      </x:c>
      <x:c r="M575" t="str">
        <x:v>0,257</x:v>
      </x:c>
      <x:c r="N575" t="str"/>
      <x:c r="O575" t="str"/>
      <x:c r="P575" t="str">
        <x:v>Liberada Para Producao</x:v>
      </x:c>
      <x:c r="Q575" t="str">
        <x:v>612116</x:v>
      </x:c>
      <x:c r="R575" t="str">
        <x:v>0</x:v>
      </x:c>
      <x:c r="S575" t="str">
        <x:v>2</x:v>
      </x:c>
      <x:c r="T575" t="str">
        <x:v>PORTA LINHA VANGUARD</x:v>
      </x:c>
      <x:c r="U575" t="str">
        <x:v>RU</x:v>
      </x:c>
      <x:c r="V575" t="str"/>
      <x:c r="W575" t="str">
        <x:v>N/A</x:v>
      </x:c>
      <x:c r="X575" t="str">
        <x:v>N/A</x:v>
      </x:c>
      <x:c r="Y575" t="str">
        <x:v>N/A</x:v>
      </x:c>
      <x:c r="Z575" t="str">
        <x:v>N/A</x:v>
      </x:c>
      <x:c r="AA575" t="str">
        <x:v>N/A</x:v>
      </x:c>
      <x:c r="AB575" t="str">
        <x:v>N/A</x:v>
      </x:c>
      <x:c r="AC575" t="str">
        <x:v>N/A</x:v>
      </x:c>
      <x:c r="AD575" t="str">
        <x:v>0</x:v>
      </x:c>
      <x:c r="AE575" t="str">
        <x:v>N/A</x:v>
      </x:c>
    </x:row>
    <x:row r="576">
      <x:c r="A576" t="str">
        <x:v>51</x:v>
      </x:c>
      <x:c r="B576" t="str">
        <x:v>26800</x:v>
      </x:c>
      <x:c r="C576" t="str">
        <x:v>4</x:v>
      </x:c>
      <x:c r="D576" t="str">
        <x:v>2010700203</x:v>
      </x:c>
      <x:c r="E576" t="str">
        <x:v>M T ULTRA PET CA MA 747X170X30 42X10 R2L</x:v>
      </x:c>
      <x:c r="F576" t="str">
        <x:v>MDF ULTRA</x:v>
      </x:c>
      <x:c r="G576" t="str">
        <x:v>C/BORRACHA I APLICADA</x:v>
      </x:c>
      <x:c r="H576" t="str">
        <x:v>C/REB 42X10</x:v>
      </x:c>
      <x:c r="I576" t="str">
        <x:v>RECOBERTO PET</x:v>
      </x:c>
      <x:c r="J576" t="str">
        <x:v>CARVALHO MALVA</x:v>
      </x:c>
      <x:c r="K576" t="str">
        <x:v>0</x:v>
      </x:c>
      <x:c r="L576" t="str">
        <x:v>5</x:v>
      </x:c>
      <x:c r="M576" t="str">
        <x:v>0,019</x:v>
      </x:c>
      <x:c r="N576" t="str"/>
      <x:c r="O576" t="str"/>
      <x:c r="P576" t="str">
        <x:v>Liberada Para Producao</x:v>
      </x:c>
      <x:c r="Q576" t="str">
        <x:v>612118</x:v>
      </x:c>
      <x:c r="R576" t="str">
        <x:v>0</x:v>
      </x:c>
      <x:c r="S576" t="str">
        <x:v>1502</x:v>
      </x:c>
      <x:c r="T576" t="str">
        <x:v>TV.BAT. 680-1100 PET/PVC(SEMI)</x:v>
      </x:c>
      <x:c r="U576" t="str"/>
      <x:c r="V576" t="str"/>
      <x:c r="W576" t="str">
        <x:v>N/A</x:v>
      </x:c>
      <x:c r="X576" t="str">
        <x:v>N/A</x:v>
      </x:c>
      <x:c r="Y576" t="str">
        <x:v>N/A</x:v>
      </x:c>
      <x:c r="Z576" t="str">
        <x:v>0</x:v>
      </x:c>
      <x:c r="AA576" t="str">
        <x:v>0</x:v>
      </x:c>
      <x:c r="AB576" t="str">
        <x:v>N/A</x:v>
      </x:c>
      <x:c r="AC576" t="str">
        <x:v>N/A</x:v>
      </x:c>
      <x:c r="AD576" t="str">
        <x:v>N/A</x:v>
      </x:c>
      <x:c r="AE576" t="str">
        <x:v>N/A</x:v>
      </x:c>
    </x:row>
    <x:row r="577">
      <x:c r="A577" t="str">
        <x:v>51</x:v>
      </x:c>
      <x:c r="B577" t="str">
        <x:v>26800</x:v>
      </x:c>
      <x:c r="C577" t="str">
        <x:v>4</x:v>
      </x:c>
      <x:c r="D577" t="str">
        <x:v>2010700548</x:v>
      </x:c>
      <x:c r="E577" t="str">
        <x:v>M P ULTRA PET CA MA 2110X170X30 42X10 R2</x:v>
      </x:c>
      <x:c r="F577" t="str">
        <x:v>MDF ULTRA</x:v>
      </x:c>
      <x:c r="G577" t="str">
        <x:v>C/BORRACHA I APLICADA</x:v>
      </x:c>
      <x:c r="H577" t="str">
        <x:v>C/REB 42X10</x:v>
      </x:c>
      <x:c r="I577" t="str">
        <x:v>RECOBERTO PET</x:v>
      </x:c>
      <x:c r="J577" t="str">
        <x:v>CARVALHO MALVA</x:v>
      </x:c>
      <x:c r="K577" t="str">
        <x:v>0</x:v>
      </x:c>
      <x:c r="L577" t="str">
        <x:v>10</x:v>
      </x:c>
      <x:c r="M577" t="str">
        <x:v>0,108</x:v>
      </x:c>
      <x:c r="N577" t="str"/>
      <x:c r="O577" t="str"/>
      <x:c r="P577" t="str">
        <x:v>Liberada Para Producao</x:v>
      </x:c>
      <x:c r="Q577" t="str">
        <x:v>612119</x:v>
      </x:c>
      <x:c r="R577" t="str">
        <x:v>0</x:v>
      </x:c>
      <x:c r="S577" t="str">
        <x:v>1500</x:v>
      </x:c>
      <x:c r="T577" t="str">
        <x:v>PERNA DE BATENTE PREMIUM(SEMIA</x:v>
      </x:c>
      <x:c r="U577" t="str"/>
      <x:c r="V577" t="str"/>
      <x:c r="W577" t="str">
        <x:v>N/A</x:v>
      </x:c>
      <x:c r="X577" t="str">
        <x:v>N/A</x:v>
      </x:c>
      <x:c r="Y577" t="str">
        <x:v>N/A</x:v>
      </x:c>
      <x:c r="Z577" t="str">
        <x:v>0</x:v>
      </x:c>
      <x:c r="AA577" t="str">
        <x:v>0</x:v>
      </x:c>
      <x:c r="AB577" t="str">
        <x:v>N/A</x:v>
      </x:c>
      <x:c r="AC577" t="str">
        <x:v>N/A</x:v>
      </x:c>
      <x:c r="AD577" t="str">
        <x:v>N/A</x:v>
      </x:c>
      <x:c r="AE577" t="str">
        <x:v>N/A</x:v>
      </x:c>
    </x:row>
    <x:row r="578">
      <x:c r="A578" t="str">
        <x:v>51</x:v>
      </x:c>
      <x:c r="B578" t="str">
        <x:v>26800</x:v>
      </x:c>
      <x:c r="C578" t="str">
        <x:v>5</x:v>
      </x:c>
      <x:c r="D578" t="str">
        <x:v>979737</x:v>
      </x:c>
      <x:c r="E578" t="str">
        <x:v>P A 2250X70X9 RTO RL55 PET MALVA(ULTRA)</x:v>
      </x:c>
      <x:c r="F578" t="str">
        <x:v>REG 2L(MAIOR 55MM)</x:v>
      </x:c>
      <x:c r="G578" t="str"/>
      <x:c r="H578" t="str"/>
      <x:c r="I578" t="str">
        <x:v>RECOBERTO PET</x:v>
      </x:c>
      <x:c r="J578" t="str">
        <x:v>CARVALHO MALVA</x:v>
      </x:c>
      <x:c r="K578" t="str">
        <x:v>0</x:v>
      </x:c>
      <x:c r="L578" t="str">
        <x:v>12</x:v>
      </x:c>
      <x:c r="M578" t="str">
        <x:v>0</x:v>
      </x:c>
      <x:c r="N578" t="str"/>
      <x:c r="O578" t="str"/>
      <x:c r="P578" t="str">
        <x:v>Liberada Para Producao</x:v>
      </x:c>
      <x:c r="Q578" t="str">
        <x:v>609979</x:v>
      </x:c>
      <x:c r="R578" t="str">
        <x:v>0</x:v>
      </x:c>
      <x:c r="S578" t="str"/>
      <x:c r="T578" t="str"/>
      <x:c r="U578" t="str"/>
      <x:c r="V578" t="str"/>
      <x:c r="W578" t="str">
        <x:v>N/A</x:v>
      </x:c>
      <x:c r="X578" t="str">
        <x:v>0</x:v>
      </x:c>
      <x:c r="Y578" t="str">
        <x:v>0</x:v>
      </x:c>
      <x:c r="Z578" t="str">
        <x:v>0</x:v>
      </x:c>
      <x:c r="AA578" t="str">
        <x:v>N/A</x:v>
      </x:c>
      <x:c r="AB578" t="str">
        <x:v>N/A</x:v>
      </x:c>
      <x:c r="AC578" t="str">
        <x:v>N/A</x:v>
      </x:c>
      <x:c r="AD578" t="str">
        <x:v>N/A</x:v>
      </x:c>
      <x:c r="AE578" t="str">
        <x:v>N/A</x:v>
      </x:c>
    </x:row>
    <x:row r="579">
      <x:c r="A579" t="str">
        <x:v>51</x:v>
      </x:c>
      <x:c r="B579" t="str">
        <x:v>26800</x:v>
      </x:c>
      <x:c r="C579" t="str">
        <x:v>5</x:v>
      </x:c>
      <x:c r="D579" t="str">
        <x:v>979739</x:v>
      </x:c>
      <x:c r="E579" t="str">
        <x:v>TR ALI 1100X70X9 RTO RL55 PET MALVA (UL</x:v>
      </x:c>
      <x:c r="F579" t="str">
        <x:v>REG 2L(MAIOR 55MM)</x:v>
      </x:c>
      <x:c r="G579" t="str"/>
      <x:c r="H579" t="str"/>
      <x:c r="I579" t="str">
        <x:v>RECOBERTO PET</x:v>
      </x:c>
      <x:c r="J579" t="str">
        <x:v>CARVALHO MALVA</x:v>
      </x:c>
      <x:c r="K579" t="str">
        <x:v>0</x:v>
      </x:c>
      <x:c r="L579" t="str">
        <x:v>6</x:v>
      </x:c>
      <x:c r="M579" t="str">
        <x:v>0</x:v>
      </x:c>
      <x:c r="N579" t="str"/>
      <x:c r="O579" t="str"/>
      <x:c r="P579" t="str">
        <x:v>Liberada Para Producao</x:v>
      </x:c>
      <x:c r="Q579" t="str">
        <x:v>609980</x:v>
      </x:c>
      <x:c r="R579" t="str">
        <x:v>0</x:v>
      </x:c>
      <x:c r="S579" t="str"/>
      <x:c r="T579" t="str"/>
      <x:c r="U579" t="str"/>
      <x:c r="V579" t="str"/>
      <x:c r="W579" t="str">
        <x:v>N/A</x:v>
      </x:c>
      <x:c r="X579" t="str">
        <x:v>0</x:v>
      </x:c>
      <x:c r="Y579" t="str">
        <x:v>N/A</x:v>
      </x:c>
      <x:c r="Z579" t="str">
        <x:v>0</x:v>
      </x:c>
      <x:c r="AA579" t="str">
        <x:v>0</x:v>
      </x:c>
      <x:c r="AB579" t="str">
        <x:v>N/A</x:v>
      </x:c>
      <x:c r="AC579" t="str">
        <x:v>N/A</x:v>
      </x:c>
      <x:c r="AD579" t="str">
        <x:v>N/A</x:v>
      </x:c>
      <x:c r="AE579" t="str">
        <x:v>N/A</x:v>
      </x:c>
    </x:row>
    <x:row r="580">
      <x:c r="A580" t="str">
        <x:v>51</x:v>
      </x:c>
      <x:c r="B580" t="str">
        <x:v>26800</x:v>
      </x:c>
      <x:c r="C580" t="str">
        <x:v>5</x:v>
      </x:c>
      <x:c r="D580" t="str">
        <x:v>979740</x:v>
      </x:c>
      <x:c r="E580" t="str">
        <x:v>PER ALI 2250X70X9 RTO LME PET MALVA(ULT</x:v>
      </x:c>
      <x:c r="F580" t="str">
        <x:v>REG 2L(MAIOR 55MM)</x:v>
      </x:c>
      <x:c r="G580" t="str"/>
      <x:c r="H580" t="str"/>
      <x:c r="I580" t="str">
        <x:v>RECOBERTO PET</x:v>
      </x:c>
      <x:c r="J580" t="str">
        <x:v>CARVALHO MALVA</x:v>
      </x:c>
      <x:c r="K580" t="str">
        <x:v>0</x:v>
      </x:c>
      <x:c r="L580" t="str">
        <x:v>12</x:v>
      </x:c>
      <x:c r="M580" t="str">
        <x:v>0</x:v>
      </x:c>
      <x:c r="N580" t="str"/>
      <x:c r="O580" t="str"/>
      <x:c r="P580" t="str">
        <x:v>Liberada Para Producao</x:v>
      </x:c>
      <x:c r="Q580" t="str">
        <x:v>609981</x:v>
      </x:c>
      <x:c r="R580" t="str">
        <x:v>0</x:v>
      </x:c>
      <x:c r="S580" t="str"/>
      <x:c r="T580" t="str"/>
      <x:c r="U580" t="str"/>
      <x:c r="V580" t="str"/>
      <x:c r="W580" t="str">
        <x:v>N/A</x:v>
      </x:c>
      <x:c r="X580" t="str">
        <x:v>0</x:v>
      </x:c>
      <x:c r="Y580" t="str">
        <x:v>0</x:v>
      </x:c>
      <x:c r="Z580" t="str">
        <x:v>0</x:v>
      </x:c>
      <x:c r="AA580" t="str">
        <x:v>N/A</x:v>
      </x:c>
      <x:c r="AB580" t="str">
        <x:v>N/A</x:v>
      </x:c>
      <x:c r="AC580" t="str">
        <x:v>N/A</x:v>
      </x:c>
      <x:c r="AD580" t="str">
        <x:v>N/A</x:v>
      </x:c>
      <x:c r="AE580" t="str">
        <x:v>N/A</x:v>
      </x:c>
    </x:row>
    <x:row r="581">
      <x:c r="A581" t="str">
        <x:v>51</x:v>
      </x:c>
      <x:c r="B581" t="str">
        <x:v>26800</x:v>
      </x:c>
      <x:c r="C581" t="str">
        <x:v>5</x:v>
      </x:c>
      <x:c r="D581" t="str">
        <x:v>979741</x:v>
      </x:c>
      <x:c r="E581" t="str">
        <x:v>TR ALI 1100X70X9 RTO LME PET MALVA (ULT</x:v>
      </x:c>
      <x:c r="F581" t="str">
        <x:v>REG 2L(MAIOR 55MM)</x:v>
      </x:c>
      <x:c r="G581" t="str"/>
      <x:c r="H581" t="str"/>
      <x:c r="I581" t="str">
        <x:v>RECOBERTO PET</x:v>
      </x:c>
      <x:c r="J581" t="str">
        <x:v>CARVALHO MALVA</x:v>
      </x:c>
      <x:c r="K581" t="str">
        <x:v>0</x:v>
      </x:c>
      <x:c r="L581" t="str">
        <x:v>6</x:v>
      </x:c>
      <x:c r="M581" t="str">
        <x:v>0</x:v>
      </x:c>
      <x:c r="N581" t="str"/>
      <x:c r="O581" t="str"/>
      <x:c r="P581" t="str">
        <x:v>Liberada Para Producao</x:v>
      </x:c>
      <x:c r="Q581" t="str">
        <x:v>609982</x:v>
      </x:c>
      <x:c r="R581" t="str">
        <x:v>0</x:v>
      </x:c>
      <x:c r="S581" t="str"/>
      <x:c r="T581" t="str"/>
      <x:c r="U581" t="str"/>
      <x:c r="V581" t="str"/>
      <x:c r="W581" t="str">
        <x:v>N/A</x:v>
      </x:c>
      <x:c r="X581" t="str">
        <x:v>0</x:v>
      </x:c>
      <x:c r="Y581" t="str">
        <x:v>0</x:v>
      </x:c>
      <x:c r="Z581" t="str">
        <x:v>0</x:v>
      </x:c>
      <x:c r="AA581" t="str">
        <x:v>0</x:v>
      </x:c>
      <x:c r="AB581" t="str">
        <x:v>N/A</x:v>
      </x:c>
      <x:c r="AC581" t="str">
        <x:v>N/A</x:v>
      </x:c>
      <x:c r="AD581" t="str">
        <x:v>N/A</x:v>
      </x:c>
      <x:c r="AE581" t="str">
        <x:v>N/A</x:v>
      </x:c>
    </x:row>
    <x:row r="582">
      <x:c r="A582" t="str">
        <x:v>51</x:v>
      </x:c>
      <x:c r="B582" t="str">
        <x:v>26800</x:v>
      </x:c>
      <x:c r="C582" t="str">
        <x:v>6</x:v>
      </x:c>
      <x:c r="D582" t="str">
        <x:v>975988</x:v>
      </x:c>
      <x:c r="E582" t="str">
        <x:v>DOBR SOBREPOR 4x3 INOX ESC C/ROL SOPRANO</x:v>
      </x:c>
      <x:c r="F582" t="str"/>
      <x:c r="G582" t="str"/>
      <x:c r="H582" t="str"/>
      <x:c r="I582" t="str">
        <x:v>FERRAGENS</x:v>
      </x:c>
      <x:c r="J582" t="str">
        <x:v>DOBRADICAS</x:v>
      </x:c>
      <x:c r="K582" t="str">
        <x:v>0</x:v>
      </x:c>
      <x:c r="L582" t="str">
        <x:v>18</x:v>
      </x:c>
      <x:c r="M582" t="str">
        <x:v>0</x:v>
      </x:c>
      <x:c r="N582" t="str"/>
      <x:c r="O582" t="str"/>
      <x:c r="P582" t="str">
        <x:v>Liberada Para Producao</x:v>
      </x:c>
      <x:c r="Q582" t="str">
        <x:v>612120</x:v>
      </x:c>
      <x:c r="R582" t="str">
        <x:v>0</x:v>
      </x:c>
      <x:c r="S582" t="str"/>
      <x:c r="T582" t="str"/>
      <x:c r="U582" t="str"/>
      <x:c r="V582" t="str"/>
      <x:c r="W582" t="str">
        <x:v>N/A</x:v>
      </x:c>
      <x:c r="X582" t="str">
        <x:v>N/A</x:v>
      </x:c>
      <x:c r="Y582" t="str">
        <x:v>N/A</x:v>
      </x:c>
      <x:c r="Z582" t="str">
        <x:v>N/A</x:v>
      </x:c>
      <x:c r="AA582" t="str">
        <x:v>N/A</x:v>
      </x:c>
      <x:c r="AB582" t="str">
        <x:v>N/A</x:v>
      </x:c>
      <x:c r="AC582" t="str">
        <x:v>N/A</x:v>
      </x:c>
      <x:c r="AD582" t="str">
        <x:v>0</x:v>
      </x:c>
      <x:c r="AE582" t="str">
        <x:v>N/A</x:v>
      </x:c>
    </x:row>
    <x:row r="583">
      <x:c r="A583" t="str">
        <x:v>51</x:v>
      </x:c>
      <x:c r="B583" t="str">
        <x:v>26806</x:v>
      </x:c>
      <x:c r="C583" t="str">
        <x:v>1</x:v>
      </x:c>
      <x:c r="D583" t="str">
        <x:v>924644</x:v>
      </x:c>
      <x:c r="E583" t="str">
        <x:v>ROD.MDF S/F UL.2160x70x09 RT PET.BRCO</x:v>
      </x:c>
      <x:c r="F583" t="str">
        <x:v>S/ REGULAGEM</x:v>
      </x:c>
      <x:c r="G583" t="str">
        <x:v>PADRAO</x:v>
      </x:c>
      <x:c r="H583" t="str"/>
      <x:c r="I583" t="str">
        <x:v>RECOBERTO PET</x:v>
      </x:c>
      <x:c r="J583" t="str">
        <x:v>BRANCO CARRARA</x:v>
      </x:c>
      <x:c r="K583" t="str">
        <x:v>0</x:v>
      </x:c>
      <x:c r="L583" t="str">
        <x:v>1.220,00</x:v>
      </x:c>
      <x:c r="M583" t="str">
        <x:v>1,66</x:v>
      </x:c>
      <x:c r="N583" t="str"/>
      <x:c r="O583" t="str"/>
      <x:c r="P583" t="str">
        <x:v>Liberada Para Producao</x:v>
      </x:c>
      <x:c r="Q583" t="str">
        <x:v>610061</x:v>
      </x:c>
      <x:c r="R583" t="str">
        <x:v>50</x:v>
      </x:c>
      <x:c r="S583" t="str"/>
      <x:c r="T583" t="str"/>
      <x:c r="U583" t="str"/>
      <x:c r="V583" t="str"/>
      <x:c r="W583" t="str">
        <x:v>N/A</x:v>
      </x:c>
      <x:c r="X583" t="str">
        <x:v>100</x:v>
      </x:c>
      <x:c r="Y583" t="str">
        <x:v>N/A</x:v>
      </x:c>
      <x:c r="Z583" t="str">
        <x:v>0</x:v>
      </x:c>
      <x:c r="AA583" t="str">
        <x:v>N/A</x:v>
      </x:c>
      <x:c r="AB583" t="str">
        <x:v>N/A</x:v>
      </x:c>
      <x:c r="AC583" t="str">
        <x:v>N/A</x:v>
      </x:c>
      <x:c r="AD583" t="str">
        <x:v>N/A</x:v>
      </x:c>
      <x:c r="AE583" t="str">
        <x:v>N/A</x:v>
      </x:c>
    </x:row>
    <x:row r="584">
      <x:c r="A584" t="str">
        <x:v>51</x:v>
      </x:c>
      <x:c r="B584" t="str">
        <x:v>26807</x:v>
      </x:c>
      <x:c r="C584" t="str">
        <x:v>1</x:v>
      </x:c>
      <x:c r="D584" t="str">
        <x:v>2010701233</x:v>
      </x:c>
      <x:c r="E584" t="str">
        <x:v>M ULTRA PET CA PE 2110X90X30 42X10 R2L M</x:v>
      </x:c>
      <x:c r="F584" t="str">
        <x:v>MDF ULTRA</x:v>
      </x:c>
      <x:c r="G584" t="str">
        <x:v>C/BORRACHA I APLICADA</x:v>
      </x:c>
      <x:c r="H584" t="str">
        <x:v>C/REB 42X10</x:v>
      </x:c>
      <x:c r="I584" t="str">
        <x:v>RECOBERTO PET</x:v>
      </x:c>
      <x:c r="J584" t="str">
        <x:v>CARVALHO PESCARA</x:v>
      </x:c>
      <x:c r="K584" t="str">
        <x:v>0</x:v>
      </x:c>
      <x:c r="L584" t="str">
        <x:v>40</x:v>
      </x:c>
      <x:c r="M584" t="str">
        <x:v>0,228</x:v>
      </x:c>
      <x:c r="N584" t="str"/>
      <x:c r="O584" t="str"/>
      <x:c r="P584" t="str">
        <x:v>Liberada Para Producao</x:v>
      </x:c>
      <x:c r="Q584" t="str">
        <x:v>610043</x:v>
      </x:c>
      <x:c r="R584" t="str">
        <x:v>0</x:v>
      </x:c>
      <x:c r="S584" t="str">
        <x:v>1500</x:v>
      </x:c>
      <x:c r="T584" t="str">
        <x:v>PERNA DE BATENTE PREMIUM(SEMIA</x:v>
      </x:c>
      <x:c r="U584" t="str"/>
      <x:c r="V584" t="str"/>
      <x:c r="W584" t="str">
        <x:v>N/A</x:v>
      </x:c>
      <x:c r="X584" t="str">
        <x:v>N/A</x:v>
      </x:c>
      <x:c r="Y584" t="str">
        <x:v>N/A</x:v>
      </x:c>
      <x:c r="Z584" t="str">
        <x:v>0</x:v>
      </x:c>
      <x:c r="AA584" t="str">
        <x:v>0</x:v>
      </x:c>
      <x:c r="AB584" t="str">
        <x:v>N/A</x:v>
      </x:c>
      <x:c r="AC584" t="str">
        <x:v>N/A</x:v>
      </x:c>
      <x:c r="AD584" t="str">
        <x:v>N/A</x:v>
      </x:c>
      <x:c r="AE584" t="str">
        <x:v>N/A</x:v>
      </x:c>
    </x:row>
    <x:row r="585">
      <x:c r="A585" t="str">
        <x:v>51</x:v>
      </x:c>
      <x:c r="B585" t="str">
        <x:v>26807</x:v>
      </x:c>
      <x:c r="C585" t="str">
        <x:v>1</x:v>
      </x:c>
      <x:c r="D585" t="str">
        <x:v>2010701234</x:v>
      </x:c>
      <x:c r="E585" t="str">
        <x:v>M ULTRA PET CA PE 1100X90X30 42X10 R2L M</x:v>
      </x:c>
      <x:c r="F585" t="str">
        <x:v>MDF ULTRA</x:v>
      </x:c>
      <x:c r="G585" t="str">
        <x:v>C/BORRACHA I APLICADA</x:v>
      </x:c>
      <x:c r="H585" t="str">
        <x:v>C/REB 42X10</x:v>
      </x:c>
      <x:c r="I585" t="str">
        <x:v>RECOBERTO PET</x:v>
      </x:c>
      <x:c r="J585" t="str">
        <x:v>CARVALHO PESCARA</x:v>
      </x:c>
      <x:c r="K585" t="str">
        <x:v>0</x:v>
      </x:c>
      <x:c r="L585" t="str">
        <x:v>20</x:v>
      </x:c>
      <x:c r="M585" t="str">
        <x:v>0,059</x:v>
      </x:c>
      <x:c r="N585" t="str"/>
      <x:c r="O585" t="str"/>
      <x:c r="P585" t="str">
        <x:v>Liberada Para Producao</x:v>
      </x:c>
      <x:c r="Q585" t="str">
        <x:v>610044</x:v>
      </x:c>
      <x:c r="R585" t="str">
        <x:v>0</x:v>
      </x:c>
      <x:c r="S585" t="str">
        <x:v>1503</x:v>
      </x:c>
      <x:c r="T585" t="str">
        <x:v>TV.BAT. 1100-2200 PET/PVC(SEMI</x:v>
      </x:c>
      <x:c r="U585" t="str"/>
      <x:c r="V585" t="str"/>
      <x:c r="W585" t="str">
        <x:v>N/A</x:v>
      </x:c>
      <x:c r="X585" t="str">
        <x:v>N/A</x:v>
      </x:c>
      <x:c r="Y585" t="str">
        <x:v>N/A</x:v>
      </x:c>
      <x:c r="Z585" t="str">
        <x:v>0</x:v>
      </x:c>
      <x:c r="AA585" t="str">
        <x:v>0</x:v>
      </x:c>
      <x:c r="AB585" t="str">
        <x:v>N/A</x:v>
      </x:c>
      <x:c r="AC585" t="str">
        <x:v>N/A</x:v>
      </x:c>
      <x:c r="AD585" t="str">
        <x:v>N/A</x:v>
      </x:c>
      <x:c r="AE585" t="str">
        <x:v>N/A</x:v>
      </x:c>
    </x:row>
    <x:row r="586">
      <x:c r="A586" t="str">
        <x:v>51</x:v>
      </x:c>
      <x:c r="B586" t="str">
        <x:v>26807</x:v>
      </x:c>
      <x:c r="C586" t="str">
        <x:v>2</x:v>
      </x:c>
      <x:c r="D586" t="str">
        <x:v>2020700631</x:v>
      </x:c>
      <x:c r="E586" t="str">
        <x:v>A ULTRA PET CA PE 2200X50X9 RG(55) RTO</x:v>
      </x:c>
      <x:c r="F586" t="str">
        <x:v>REG 2L(MAIOR 55MM)</x:v>
      </x:c>
      <x:c r="G586" t="str"/>
      <x:c r="H586" t="str"/>
      <x:c r="I586" t="str">
        <x:v>RECOBERTO PET</x:v>
      </x:c>
      <x:c r="J586" t="str">
        <x:v>CARVALHO PESCARA</x:v>
      </x:c>
      <x:c r="K586" t="str">
        <x:v>0</x:v>
      </x:c>
      <x:c r="L586" t="str">
        <x:v>40</x:v>
      </x:c>
      <x:c r="M586" t="str">
        <x:v>0</x:v>
      </x:c>
      <x:c r="N586" t="str"/>
      <x:c r="O586" t="str"/>
      <x:c r="P586" t="str">
        <x:v>Liberada Para Producao</x:v>
      </x:c>
      <x:c r="Q586" t="str">
        <x:v>610046</x:v>
      </x:c>
      <x:c r="R586" t="str">
        <x:v>0</x:v>
      </x:c>
      <x:c r="S586" t="str">
        <x:v>2001</x:v>
      </x:c>
      <x:c r="T586" t="str">
        <x:v>PERNA ALIZAR RG 55 (SEMI)</x:v>
      </x:c>
      <x:c r="U586" t="str"/>
      <x:c r="V586" t="str"/>
      <x:c r="W586" t="str">
        <x:v>N/A</x:v>
      </x:c>
      <x:c r="X586" t="str">
        <x:v>0</x:v>
      </x:c>
      <x:c r="Y586" t="str">
        <x:v>0</x:v>
      </x:c>
      <x:c r="Z586" t="str">
        <x:v>0</x:v>
      </x:c>
      <x:c r="AA586" t="str">
        <x:v>N/A</x:v>
      </x:c>
      <x:c r="AB586" t="str">
        <x:v>N/A</x:v>
      </x:c>
      <x:c r="AC586" t="str">
        <x:v>N/A</x:v>
      </x:c>
      <x:c r="AD586" t="str">
        <x:v>N/A</x:v>
      </x:c>
      <x:c r="AE586" t="str">
        <x:v>N/A</x:v>
      </x:c>
    </x:row>
    <x:row r="587">
      <x:c r="A587" t="str">
        <x:v>51</x:v>
      </x:c>
      <x:c r="B587" t="str">
        <x:v>26807</x:v>
      </x:c>
      <x:c r="C587" t="str">
        <x:v>2</x:v>
      </x:c>
      <x:c r="D587" t="str">
        <x:v>2020700632</x:v>
      </x:c>
      <x:c r="E587" t="str">
        <x:v>A ULTRA PET CA PE 2200X50X9 RG(ME) RTO</x:v>
      </x:c>
      <x:c r="F587" t="str">
        <x:v>REG 2L(MAIOR 55MM)</x:v>
      </x:c>
      <x:c r="G587" t="str"/>
      <x:c r="H587" t="str"/>
      <x:c r="I587" t="str">
        <x:v>RECOBERTO PET</x:v>
      </x:c>
      <x:c r="J587" t="str">
        <x:v>CARVALHO PESCARA</x:v>
      </x:c>
      <x:c r="K587" t="str">
        <x:v>0</x:v>
      </x:c>
      <x:c r="L587" t="str">
        <x:v>40</x:v>
      </x:c>
      <x:c r="M587" t="str">
        <x:v>0</x:v>
      </x:c>
      <x:c r="N587" t="str"/>
      <x:c r="O587" t="str"/>
      <x:c r="P587" t="str">
        <x:v>Liberada Para Producao</x:v>
      </x:c>
      <x:c r="Q587" t="str">
        <x:v>610047</x:v>
      </x:c>
      <x:c r="R587" t="str">
        <x:v>0</x:v>
      </x:c>
      <x:c r="S587" t="str">
        <x:v>2003</x:v>
      </x:c>
      <x:c r="T587" t="str">
        <x:v>PERNA ALIZAR L MENOR  (SEMI)</x:v>
      </x:c>
      <x:c r="U587" t="str"/>
      <x:c r="V587" t="str"/>
      <x:c r="W587" t="str">
        <x:v>N/A</x:v>
      </x:c>
      <x:c r="X587" t="str">
        <x:v>0</x:v>
      </x:c>
      <x:c r="Y587" t="str">
        <x:v>0</x:v>
      </x:c>
      <x:c r="Z587" t="str">
        <x:v>0</x:v>
      </x:c>
      <x:c r="AA587" t="str">
        <x:v>N/A</x:v>
      </x:c>
      <x:c r="AB587" t="str">
        <x:v>N/A</x:v>
      </x:c>
      <x:c r="AC587" t="str">
        <x:v>N/A</x:v>
      </x:c>
      <x:c r="AD587" t="str">
        <x:v>N/A</x:v>
      </x:c>
      <x:c r="AE587" t="str">
        <x:v>N/A</x:v>
      </x:c>
    </x:row>
    <x:row r="588">
      <x:c r="A588" t="str">
        <x:v>51</x:v>
      </x:c>
      <x:c r="B588" t="str">
        <x:v>26807</x:v>
      </x:c>
      <x:c r="C588" t="str">
        <x:v>2</x:v>
      </x:c>
      <x:c r="D588" t="str">
        <x:v>2020700633</x:v>
      </x:c>
      <x:c r="E588" t="str">
        <x:v>A ULTRA PET CA PE 1100X50X9 RG(55) RTO</x:v>
      </x:c>
      <x:c r="F588" t="str">
        <x:v>REG 2L(MAIOR 55MM)</x:v>
      </x:c>
      <x:c r="G588" t="str"/>
      <x:c r="H588" t="str"/>
      <x:c r="I588" t="str">
        <x:v>RECOBERTO PET</x:v>
      </x:c>
      <x:c r="J588" t="str">
        <x:v>CARVALHO PESCARA</x:v>
      </x:c>
      <x:c r="K588" t="str">
        <x:v>0</x:v>
      </x:c>
      <x:c r="L588" t="str">
        <x:v>20</x:v>
      </x:c>
      <x:c r="M588" t="str">
        <x:v>0</x:v>
      </x:c>
      <x:c r="N588" t="str"/>
      <x:c r="O588" t="str"/>
      <x:c r="P588" t="str">
        <x:v>Liberada Para Producao</x:v>
      </x:c>
      <x:c r="Q588" t="str">
        <x:v>610048</x:v>
      </x:c>
      <x:c r="R588" t="str">
        <x:v>0</x:v>
      </x:c>
      <x:c r="S588" t="str">
        <x:v>2005</x:v>
      </x:c>
      <x:c r="T588" t="str">
        <x:v>TRAVESSA ALIZAR RG 55 (SEMI)</x:v>
      </x:c>
      <x:c r="U588" t="str"/>
      <x:c r="V588" t="str"/>
      <x:c r="W588" t="str">
        <x:v>N/A</x:v>
      </x:c>
      <x:c r="X588" t="str">
        <x:v>0</x:v>
      </x:c>
      <x:c r="Y588" t="str">
        <x:v>N/A</x:v>
      </x:c>
      <x:c r="Z588" t="str">
        <x:v>0</x:v>
      </x:c>
      <x:c r="AA588" t="str">
        <x:v>0</x:v>
      </x:c>
      <x:c r="AB588" t="str">
        <x:v>N/A</x:v>
      </x:c>
      <x:c r="AC588" t="str">
        <x:v>N/A</x:v>
      </x:c>
      <x:c r="AD588" t="str">
        <x:v>N/A</x:v>
      </x:c>
      <x:c r="AE588" t="str">
        <x:v>N/A</x:v>
      </x:c>
    </x:row>
    <x:row r="589">
      <x:c r="A589" t="str">
        <x:v>51</x:v>
      </x:c>
      <x:c r="B589" t="str">
        <x:v>26807</x:v>
      </x:c>
      <x:c r="C589" t="str">
        <x:v>2</x:v>
      </x:c>
      <x:c r="D589" t="str">
        <x:v>2020700634</x:v>
      </x:c>
      <x:c r="E589" t="str">
        <x:v>A ULTRA PET CA PE 1100X50X9 RG(ME) RTO</x:v>
      </x:c>
      <x:c r="F589" t="str">
        <x:v>REG 2L(MAIOR 55MM)</x:v>
      </x:c>
      <x:c r="G589" t="str"/>
      <x:c r="H589" t="str"/>
      <x:c r="I589" t="str">
        <x:v>RECOBERTO PET</x:v>
      </x:c>
      <x:c r="J589" t="str">
        <x:v>CARVALHO PESCARA</x:v>
      </x:c>
      <x:c r="K589" t="str">
        <x:v>0</x:v>
      </x:c>
      <x:c r="L589" t="str">
        <x:v>20</x:v>
      </x:c>
      <x:c r="M589" t="str">
        <x:v>0</x:v>
      </x:c>
      <x:c r="N589" t="str"/>
      <x:c r="O589" t="str"/>
      <x:c r="P589" t="str">
        <x:v>Liberada Para Producao</x:v>
      </x:c>
      <x:c r="Q589" t="str">
        <x:v>610049</x:v>
      </x:c>
      <x:c r="R589" t="str">
        <x:v>0</x:v>
      </x:c>
      <x:c r="S589" t="str">
        <x:v>2007</x:v>
      </x:c>
      <x:c r="T589" t="str">
        <x:v>TRAVESS ALIZAR L MENOR  (SEMI)</x:v>
      </x:c>
      <x:c r="U589" t="str"/>
      <x:c r="V589" t="str"/>
      <x:c r="W589" t="str">
        <x:v>N/A</x:v>
      </x:c>
      <x:c r="X589" t="str">
        <x:v>0</x:v>
      </x:c>
      <x:c r="Y589" t="str">
        <x:v>N/A</x:v>
      </x:c>
      <x:c r="Z589" t="str">
        <x:v>0</x:v>
      </x:c>
      <x:c r="AA589" t="str">
        <x:v>0</x:v>
      </x:c>
      <x:c r="AB589" t="str">
        <x:v>N/A</x:v>
      </x:c>
      <x:c r="AC589" t="str">
        <x:v>N/A</x:v>
      </x:c>
      <x:c r="AD589" t="str">
        <x:v>N/A</x:v>
      </x:c>
      <x:c r="AE589" t="str">
        <x:v>N/A</x:v>
      </x:c>
    </x:row>
    <x:row r="590">
      <x:c r="A590" t="str">
        <x:v>51</x:v>
      </x:c>
      <x:c r="B590" t="str">
        <x:v>26808</x:v>
      </x:c>
      <x:c r="C590" t="str">
        <x:v>1</x:v>
      </x:c>
      <x:c r="D590" t="str">
        <x:v>674786</x:v>
      </x:c>
      <x:c r="E590" t="str">
        <x:v>2110x110x30 42x10 R2L BIA R PET U PREMIU</x:v>
      </x:c>
      <x:c r="F590" t="str"/>
      <x:c r="G590" t="str"/>
      <x:c r="H590" t="str"/>
      <x:c r="I590" t="str">
        <x:v>ESMALTE</x:v>
      </x:c>
      <x:c r="J590" t="str">
        <x:v>BRANCO CARRARA</x:v>
      </x:c>
      <x:c r="K590" t="str">
        <x:v>0</x:v>
      </x:c>
      <x:c r="L590" t="str">
        <x:v>288</x:v>
      </x:c>
      <x:c r="M590" t="str">
        <x:v>2,005</x:v>
      </x:c>
      <x:c r="N590" t="str"/>
      <x:c r="O590" t="str"/>
      <x:c r="P590" t="str">
        <x:v>Liberada Para Producao</x:v>
      </x:c>
      <x:c r="Q590" t="str">
        <x:v>608896</x:v>
      </x:c>
      <x:c r="R590" t="str">
        <x:v>0</x:v>
      </x:c>
      <x:c r="S590" t="str"/>
      <x:c r="T590" t="str"/>
      <x:c r="U590" t="str"/>
      <x:c r="V590" t="str"/>
      <x:c r="W590" t="str">
        <x:v>N/A</x:v>
      </x:c>
      <x:c r="X590" t="str">
        <x:v>N/A</x:v>
      </x:c>
      <x:c r="Y590" t="str">
        <x:v>0</x:v>
      </x:c>
      <x:c r="Z590" t="str">
        <x:v>0</x:v>
      </x:c>
      <x:c r="AA590" t="str">
        <x:v>0</x:v>
      </x:c>
      <x:c r="AB590" t="str">
        <x:v>N/A</x:v>
      </x:c>
      <x:c r="AC590" t="str">
        <x:v>N/A</x:v>
      </x:c>
      <x:c r="AD590" t="str">
        <x:v>N/A</x:v>
      </x:c>
      <x:c r="AE590" t="str">
        <x:v>N/A</x:v>
      </x:c>
    </x:row>
    <x:row r="591">
      <x:c r="A591" t="str">
        <x:v>51</x:v>
      </x:c>
      <x:c r="B591" t="str">
        <x:v>26808</x:v>
      </x:c>
      <x:c r="C591" t="str">
        <x:v>1</x:v>
      </x:c>
      <x:c r="D591" t="str">
        <x:v>675802</x:v>
      </x:c>
      <x:c r="E591" t="str">
        <x:v>647x110x30 42X10 R2L BIA PET BCO (GOLD)</x:v>
      </x:c>
      <x:c r="F591" t="str"/>
      <x:c r="G591" t="str"/>
      <x:c r="H591" t="str"/>
      <x:c r="I591" t="str">
        <x:v>ESMALTE</x:v>
      </x:c>
      <x:c r="J591" t="str">
        <x:v>BRANCO CARRARA</x:v>
      </x:c>
      <x:c r="K591" t="str">
        <x:v>0</x:v>
      </x:c>
      <x:c r="L591" t="str">
        <x:v>144</x:v>
      </x:c>
      <x:c r="M591" t="str">
        <x:v>0,307</x:v>
      </x:c>
      <x:c r="N591" t="str"/>
      <x:c r="O591" t="str"/>
      <x:c r="P591" t="str">
        <x:v>Liberada Para Producao</x:v>
      </x:c>
      <x:c r="Q591" t="str">
        <x:v>608897</x:v>
      </x:c>
      <x:c r="R591" t="str">
        <x:v>0</x:v>
      </x:c>
      <x:c r="S591" t="str"/>
      <x:c r="T591" t="str"/>
      <x:c r="U591" t="str"/>
      <x:c r="V591" t="str"/>
      <x:c r="W591" t="str">
        <x:v>N/A</x:v>
      </x:c>
      <x:c r="X591" t="str">
        <x:v>N/A</x:v>
      </x:c>
      <x:c r="Y591" t="str">
        <x:v>0</x:v>
      </x:c>
      <x:c r="Z591" t="str">
        <x:v>0</x:v>
      </x:c>
      <x:c r="AA591" t="str">
        <x:v>0</x:v>
      </x:c>
      <x:c r="AB591" t="str">
        <x:v>N/A</x:v>
      </x:c>
      <x:c r="AC591" t="str">
        <x:v>N/A</x:v>
      </x:c>
      <x:c r="AD591" t="str">
        <x:v>N/A</x:v>
      </x:c>
      <x:c r="AE591" t="str">
        <x:v>N/A</x:v>
      </x:c>
    </x:row>
    <x:row r="592">
      <x:c r="A592" t="str">
        <x:v>51</x:v>
      </x:c>
      <x:c r="B592" t="str">
        <x:v>26808</x:v>
      </x:c>
      <x:c r="C592" t="str">
        <x:v>1</x:v>
      </x:c>
      <x:c r="D592" t="str">
        <x:v>962391</x:v>
      </x:c>
      <x:c r="E592" t="str">
        <x:v>TR ALI 1100X70X9 RTO LME REC PET BCO(ULT</x:v>
      </x:c>
      <x:c r="F592" t="str"/>
      <x:c r="G592" t="str"/>
      <x:c r="H592" t="str"/>
      <x:c r="I592" t="str">
        <x:v>ESMALTE</x:v>
      </x:c>
      <x:c r="J592" t="str">
        <x:v>BRANCO CARRARA</x:v>
      </x:c>
      <x:c r="K592" t="str">
        <x:v>0</x:v>
      </x:c>
      <x:c r="L592" t="str">
        <x:v>144</x:v>
      </x:c>
      <x:c r="M592" t="str">
        <x:v>0</x:v>
      </x:c>
      <x:c r="N592" t="str"/>
      <x:c r="O592" t="str"/>
      <x:c r="P592" t="str">
        <x:v>Liberada Para Producao</x:v>
      </x:c>
      <x:c r="Q592" t="str">
        <x:v>608898</x:v>
      </x:c>
      <x:c r="R592" t="str">
        <x:v>25</x:v>
      </x:c>
      <x:c r="S592" t="str"/>
      <x:c r="T592" t="str"/>
      <x:c r="U592" t="str"/>
      <x:c r="V592" t="str"/>
      <x:c r="W592" t="str">
        <x:v>N/A</x:v>
      </x:c>
      <x:c r="X592" t="str">
        <x:v>100</x:v>
      </x:c>
      <x:c r="Y592" t="str">
        <x:v>0</x:v>
      </x:c>
      <x:c r="Z592" t="str">
        <x:v>0</x:v>
      </x:c>
      <x:c r="AA592" t="str">
        <x:v>0</x:v>
      </x:c>
      <x:c r="AB592" t="str">
        <x:v>N/A</x:v>
      </x:c>
      <x:c r="AC592" t="str">
        <x:v>N/A</x:v>
      </x:c>
      <x:c r="AD592" t="str">
        <x:v>N/A</x:v>
      </x:c>
      <x:c r="AE592" t="str">
        <x:v>N/A</x:v>
      </x:c>
    </x:row>
    <x:row r="593">
      <x:c r="A593" t="str">
        <x:v>51</x:v>
      </x:c>
      <x:c r="B593" t="str">
        <x:v>26808</x:v>
      </x:c>
      <x:c r="C593" t="str">
        <x:v>1</x:v>
      </x:c>
      <x:c r="D593" t="str">
        <x:v>962766</x:v>
      </x:c>
      <x:c r="E593" t="str">
        <x:v>PE AL 2200X70X9 RTO RL35 REC PET BCO(ULT</x:v>
      </x:c>
      <x:c r="F593" t="str"/>
      <x:c r="G593" t="str"/>
      <x:c r="H593" t="str"/>
      <x:c r="I593" t="str">
        <x:v>ESMALTE</x:v>
      </x:c>
      <x:c r="J593" t="str">
        <x:v>BRANCO CARRARA</x:v>
      </x:c>
      <x:c r="K593" t="str">
        <x:v>0</x:v>
      </x:c>
      <x:c r="L593" t="str">
        <x:v>288</x:v>
      </x:c>
      <x:c r="M593" t="str">
        <x:v>0</x:v>
      </x:c>
      <x:c r="N593" t="str"/>
      <x:c r="O593" t="str"/>
      <x:c r="P593" t="str">
        <x:v>Liberada Para Producao</x:v>
      </x:c>
      <x:c r="Q593" t="str">
        <x:v>608899</x:v>
      </x:c>
      <x:c r="R593" t="str">
        <x:v>33,33</x:v>
      </x:c>
      <x:c r="S593" t="str"/>
      <x:c r="T593" t="str"/>
      <x:c r="U593" t="str"/>
      <x:c r="V593" t="str"/>
      <x:c r="W593" t="str">
        <x:v>N/A</x:v>
      </x:c>
      <x:c r="X593" t="str">
        <x:v>100</x:v>
      </x:c>
      <x:c r="Y593" t="str">
        <x:v>0</x:v>
      </x:c>
      <x:c r="Z593" t="str">
        <x:v>0</x:v>
      </x:c>
      <x:c r="AA593" t="str">
        <x:v>N/A</x:v>
      </x:c>
      <x:c r="AB593" t="str">
        <x:v>N/A</x:v>
      </x:c>
      <x:c r="AC593" t="str">
        <x:v>N/A</x:v>
      </x:c>
      <x:c r="AD593" t="str">
        <x:v>N/A</x:v>
      </x:c>
      <x:c r="AE593" t="str">
        <x:v>N/A</x:v>
      </x:c>
    </x:row>
    <x:row r="594">
      <x:c r="A594" t="str">
        <x:v>51</x:v>
      </x:c>
      <x:c r="B594" t="str">
        <x:v>26808</x:v>
      </x:c>
      <x:c r="C594" t="str">
        <x:v>1</x:v>
      </x:c>
      <x:c r="D594" t="str">
        <x:v>962969</x:v>
      </x:c>
      <x:c r="E594" t="str">
        <x:v>TR AL 1100X70X9 RTO RL35 REC PET BCO (UL</x:v>
      </x:c>
      <x:c r="F594" t="str"/>
      <x:c r="G594" t="str"/>
      <x:c r="H594" t="str"/>
      <x:c r="I594" t="str">
        <x:v>ESMALTE</x:v>
      </x:c>
      <x:c r="J594" t="str">
        <x:v>BRANCO CARRARA</x:v>
      </x:c>
      <x:c r="K594" t="str">
        <x:v>0</x:v>
      </x:c>
      <x:c r="L594" t="str">
        <x:v>144</x:v>
      </x:c>
      <x:c r="M594" t="str">
        <x:v>0</x:v>
      </x:c>
      <x:c r="N594" t="str"/>
      <x:c r="O594" t="str"/>
      <x:c r="P594" t="str">
        <x:v>Liberada Para Producao</x:v>
      </x:c>
      <x:c r="Q594" t="str">
        <x:v>608900</x:v>
      </x:c>
      <x:c r="R594" t="str">
        <x:v>25</x:v>
      </x:c>
      <x:c r="S594" t="str"/>
      <x:c r="T594" t="str"/>
      <x:c r="U594" t="str"/>
      <x:c r="V594" t="str"/>
      <x:c r="W594" t="str">
        <x:v>N/A</x:v>
      </x:c>
      <x:c r="X594" t="str">
        <x:v>100</x:v>
      </x:c>
      <x:c r="Y594" t="str">
        <x:v>0</x:v>
      </x:c>
      <x:c r="Z594" t="str">
        <x:v>0</x:v>
      </x:c>
      <x:c r="AA594" t="str">
        <x:v>0</x:v>
      </x:c>
      <x:c r="AB594" t="str">
        <x:v>N/A</x:v>
      </x:c>
      <x:c r="AC594" t="str">
        <x:v>N/A</x:v>
      </x:c>
      <x:c r="AD594" t="str">
        <x:v>N/A</x:v>
      </x:c>
      <x:c r="AE594" t="str">
        <x:v>N/A</x:v>
      </x:c>
    </x:row>
    <x:row r="595">
      <x:c r="A595" t="str">
        <x:v>51</x:v>
      </x:c>
      <x:c r="B595" t="str">
        <x:v>26808</x:v>
      </x:c>
      <x:c r="C595" t="str">
        <x:v>1</x:v>
      </x:c>
      <x:c r="D595" t="str">
        <x:v>962986</x:v>
      </x:c>
      <x:c r="E595" t="str">
        <x:v>PE AL 2250X70X9 RTO LME REC PET BCO(ULTR</x:v>
      </x:c>
      <x:c r="F595" t="str"/>
      <x:c r="G595" t="str"/>
      <x:c r="H595" t="str"/>
      <x:c r="I595" t="str">
        <x:v>ESMALTE</x:v>
      </x:c>
      <x:c r="J595" t="str">
        <x:v>BRANCO CARRARA</x:v>
      </x:c>
      <x:c r="K595" t="str">
        <x:v>0</x:v>
      </x:c>
      <x:c r="L595" t="str">
        <x:v>288</x:v>
      </x:c>
      <x:c r="M595" t="str">
        <x:v>0</x:v>
      </x:c>
      <x:c r="N595" t="str"/>
      <x:c r="O595" t="str"/>
      <x:c r="P595" t="str">
        <x:v>Liberada Para Producao</x:v>
      </x:c>
      <x:c r="Q595" t="str">
        <x:v>608901</x:v>
      </x:c>
      <x:c r="R595" t="str">
        <x:v>33,33</x:v>
      </x:c>
      <x:c r="S595" t="str"/>
      <x:c r="T595" t="str"/>
      <x:c r="U595" t="str"/>
      <x:c r="V595" t="str"/>
      <x:c r="W595" t="str">
        <x:v>N/A</x:v>
      </x:c>
      <x:c r="X595" t="str">
        <x:v>100</x:v>
      </x:c>
      <x:c r="Y595" t="str">
        <x:v>0</x:v>
      </x:c>
      <x:c r="Z595" t="str">
        <x:v>0</x:v>
      </x:c>
      <x:c r="AA595" t="str">
        <x:v>N/A</x:v>
      </x:c>
      <x:c r="AB595" t="str">
        <x:v>N/A</x:v>
      </x:c>
      <x:c r="AC595" t="str">
        <x:v>N/A</x:v>
      </x:c>
      <x:c r="AD595" t="str">
        <x:v>N/A</x:v>
      </x:c>
      <x:c r="AE595" t="str">
        <x:v>N/A</x:v>
      </x:c>
    </x:row>
    <x:row r="596">
      <x:c r="A596" t="str">
        <x:v>51</x:v>
      </x:c>
      <x:c r="B596" t="str">
        <x:v>26808</x:v>
      </x:c>
      <x:c r="C596" t="str">
        <x:v>1</x:v>
      </x:c>
      <x:c r="D596" t="str">
        <x:v>3041400176</x:v>
      </x:c>
      <x:c r="E596" t="str">
        <x:v>FO POR S GD RU HDF 3 ESM BCO CAR 2100X60</x:v>
      </x:c>
      <x:c r="F596" t="str"/>
      <x:c r="G596" t="str"/>
      <x:c r="H596" t="str"/>
      <x:c r="I596" t="str">
        <x:v>ESMALTE</x:v>
      </x:c>
      <x:c r="J596" t="str">
        <x:v>BRANCO CARRARA</x:v>
      </x:c>
      <x:c r="K596" t="str">
        <x:v>0</x:v>
      </x:c>
      <x:c r="L596" t="str">
        <x:v>144</x:v>
      </x:c>
      <x:c r="M596" t="str">
        <x:v>6,35</x:v>
      </x:c>
      <x:c r="N596" t="str"/>
      <x:c r="O596" t="str"/>
      <x:c r="P596" t="str">
        <x:v>Liberada Para Producao</x:v>
      </x:c>
      <x:c r="Q596" t="str">
        <x:v>608902/612149</x:v>
      </x:c>
      <x:c r="R596" t="str">
        <x:v>66,67</x:v>
      </x:c>
      <x:c r="S596" t="str">
        <x:v>1</x:v>
      </x:c>
      <x:c r="T596" t="str">
        <x:v>PORTA LINHA PREMIUM</x:v>
      </x:c>
      <x:c r="U596" t="str"/>
      <x:c r="V596" t="str"/>
      <x:c r="W596" t="str">
        <x:v>N/A</x:v>
      </x:c>
      <x:c r="X596" t="str">
        <x:v>100</x:v>
      </x:c>
      <x:c r="Y596" t="str">
        <x:v>N/A</x:v>
      </x:c>
      <x:c r="Z596" t="str">
        <x:v>N/A</x:v>
      </x:c>
      <x:c r="AA596" t="str">
        <x:v>N/A</x:v>
      </x:c>
      <x:c r="AB596" t="str">
        <x:v>100</x:v>
      </x:c>
      <x:c r="AC596" t="str">
        <x:v>N/A</x:v>
      </x:c>
      <x:c r="AD596" t="str">
        <x:v>0</x:v>
      </x:c>
      <x:c r="AE596" t="str">
        <x:v>N/A</x:v>
      </x:c>
    </x:row>
    <x:row r="597">
      <x:c r="A597" t="str">
        <x:v>51</x:v>
      </x:c>
      <x:c r="B597" t="str">
        <x:v>26815</x:v>
      </x:c>
      <x:c r="C597" t="str">
        <x:v>4</x:v>
      </x:c>
      <x:c r="D597" t="str">
        <x:v>2010600032</x:v>
      </x:c>
      <x:c r="E597" t="str">
        <x:v>M P MDF STD PET TXT BCO 2110X130X30 42X1</x:v>
      </x:c>
      <x:c r="F597" t="str"/>
      <x:c r="G597" t="str"/>
      <x:c r="H597" t="str"/>
      <x:c r="I597" t="str">
        <x:v>ESMALTE</x:v>
      </x:c>
      <x:c r="J597" t="str">
        <x:v>BRANCO CARRARA</x:v>
      </x:c>
      <x:c r="K597" t="str">
        <x:v>0</x:v>
      </x:c>
      <x:c r="L597" t="str">
        <x:v>134</x:v>
      </x:c>
      <x:c r="M597" t="str">
        <x:v>1,103</x:v>
      </x:c>
      <x:c r="N597" t="str">
        <x:v>OC 4500910499</x:v>
      </x:c>
      <x:c r="O597" t="str"/>
      <x:c r="P597" t="str">
        <x:v>Liberada Para Producao</x:v>
      </x:c>
      <x:c r="Q597" t="str">
        <x:v>609516</x:v>
      </x:c>
      <x:c r="R597" t="str">
        <x:v>0</x:v>
      </x:c>
      <x:c r="S597" t="str">
        <x:v>1500</x:v>
      </x:c>
      <x:c r="T597" t="str">
        <x:v>PERNA DE BATENTE PREMIUM(SEMIA</x:v>
      </x:c>
      <x:c r="U597" t="str"/>
      <x:c r="V597" t="str"/>
      <x:c r="W597" t="str">
        <x:v>N/A</x:v>
      </x:c>
      <x:c r="X597" t="str">
        <x:v>N/A</x:v>
      </x:c>
      <x:c r="Y597" t="str">
        <x:v>N/A</x:v>
      </x:c>
      <x:c r="Z597" t="str">
        <x:v>0</x:v>
      </x:c>
      <x:c r="AA597" t="str">
        <x:v>0</x:v>
      </x:c>
      <x:c r="AB597" t="str">
        <x:v>N/A</x:v>
      </x:c>
      <x:c r="AC597" t="str">
        <x:v>N/A</x:v>
      </x:c>
      <x:c r="AD597" t="str">
        <x:v>N/A</x:v>
      </x:c>
      <x:c r="AE597" t="str">
        <x:v>N/A</x:v>
      </x:c>
    </x:row>
    <x:row r="598">
      <x:c r="A598" t="str">
        <x:v>51</x:v>
      </x:c>
      <x:c r="B598" t="str">
        <x:v>26815</x:v>
      </x:c>
      <x:c r="C598" t="str">
        <x:v>5</x:v>
      </x:c>
      <x:c r="D598" t="str">
        <x:v>2010600032</x:v>
      </x:c>
      <x:c r="E598" t="str">
        <x:v>M P MDF STD PET TXT BCO 2110X130X30 42X1</x:v>
      </x:c>
      <x:c r="F598" t="str"/>
      <x:c r="G598" t="str"/>
      <x:c r="H598" t="str"/>
      <x:c r="I598" t="str">
        <x:v>ESMALTE</x:v>
      </x:c>
      <x:c r="J598" t="str">
        <x:v>BRANCO CARRARA</x:v>
      </x:c>
      <x:c r="K598" t="str">
        <x:v>0</x:v>
      </x:c>
      <x:c r="L598" t="str">
        <x:v>16</x:v>
      </x:c>
      <x:c r="M598" t="str">
        <x:v>0,132</x:v>
      </x:c>
      <x:c r="N598" t="str">
        <x:v>OC 4500910499</x:v>
      </x:c>
      <x:c r="O598" t="str"/>
      <x:c r="P598" t="str">
        <x:v>Liberada Para Producao</x:v>
      </x:c>
      <x:c r="Q598" t="str">
        <x:v>609533</x:v>
      </x:c>
      <x:c r="R598" t="str">
        <x:v>0</x:v>
      </x:c>
      <x:c r="S598" t="str">
        <x:v>1500</x:v>
      </x:c>
      <x:c r="T598" t="str">
        <x:v>PERNA DE BATENTE PREMIUM(SEMIA</x:v>
      </x:c>
      <x:c r="U598" t="str"/>
      <x:c r="V598" t="str"/>
      <x:c r="W598" t="str">
        <x:v>N/A</x:v>
      </x:c>
      <x:c r="X598" t="str">
        <x:v>N/A</x:v>
      </x:c>
      <x:c r="Y598" t="str">
        <x:v>N/A</x:v>
      </x:c>
      <x:c r="Z598" t="str">
        <x:v>0</x:v>
      </x:c>
      <x:c r="AA598" t="str">
        <x:v>0</x:v>
      </x:c>
      <x:c r="AB598" t="str">
        <x:v>N/A</x:v>
      </x:c>
      <x:c r="AC598" t="str">
        <x:v>N/A</x:v>
      </x:c>
      <x:c r="AD598" t="str">
        <x:v>N/A</x:v>
      </x:c>
      <x:c r="AE598" t="str">
        <x:v>N/A</x:v>
      </x:c>
    </x:row>
    <x:row r="599">
      <x:c r="A599" t="str">
        <x:v>51</x:v>
      </x:c>
      <x:c r="B599" t="str">
        <x:v>26808</x:v>
      </x:c>
      <x:c r="C599" t="str">
        <x:v>2</x:v>
      </x:c>
      <x:c r="D599" t="str">
        <x:v>962391</x:v>
      </x:c>
      <x:c r="E599" t="str">
        <x:v>TR ALI 1100X70X9 RTO LME REC PET BCO(ULT</x:v>
      </x:c>
      <x:c r="F599" t="str"/>
      <x:c r="G599" t="str"/>
      <x:c r="H599" t="str"/>
      <x:c r="I599" t="str">
        <x:v>ESMALTE</x:v>
      </x:c>
      <x:c r="J599" t="str">
        <x:v>BRANCO CARRARA</x:v>
      </x:c>
      <x:c r="K599" t="str">
        <x:v>0</x:v>
      </x:c>
      <x:c r="L599" t="str">
        <x:v>16</x:v>
      </x:c>
      <x:c r="M599" t="str">
        <x:v>0</x:v>
      </x:c>
      <x:c r="N599" t="str"/>
      <x:c r="O599" t="str"/>
      <x:c r="P599" t="str">
        <x:v>Liberada Para Producao</x:v>
      </x:c>
      <x:c r="Q599" t="str">
        <x:v>608906</x:v>
      </x:c>
      <x:c r="R599" t="str">
        <x:v>25</x:v>
      </x:c>
      <x:c r="S599" t="str"/>
      <x:c r="T599" t="str"/>
      <x:c r="U599" t="str"/>
      <x:c r="V599" t="str"/>
      <x:c r="W599" t="str">
        <x:v>N/A</x:v>
      </x:c>
      <x:c r="X599" t="str">
        <x:v>100</x:v>
      </x:c>
      <x:c r="Y599" t="str">
        <x:v>0</x:v>
      </x:c>
      <x:c r="Z599" t="str">
        <x:v>0</x:v>
      </x:c>
      <x:c r="AA599" t="str">
        <x:v>0</x:v>
      </x:c>
      <x:c r="AB599" t="str">
        <x:v>N/A</x:v>
      </x:c>
      <x:c r="AC599" t="str">
        <x:v>N/A</x:v>
      </x:c>
      <x:c r="AD599" t="str">
        <x:v>N/A</x:v>
      </x:c>
      <x:c r="AE599" t="str">
        <x:v>N/A</x:v>
      </x:c>
    </x:row>
    <x:row r="600">
      <x:c r="A600" t="str">
        <x:v>51</x:v>
      </x:c>
      <x:c r="B600" t="str">
        <x:v>26808</x:v>
      </x:c>
      <x:c r="C600" t="str">
        <x:v>2</x:v>
      </x:c>
      <x:c r="D600" t="str">
        <x:v>962766</x:v>
      </x:c>
      <x:c r="E600" t="str">
        <x:v>PE AL 2200X70X9 RTO RL35 REC PET BCO(ULT</x:v>
      </x:c>
      <x:c r="F600" t="str"/>
      <x:c r="G600" t="str"/>
      <x:c r="H600" t="str"/>
      <x:c r="I600" t="str">
        <x:v>ESMALTE</x:v>
      </x:c>
      <x:c r="J600" t="str">
        <x:v>BRANCO CARRARA</x:v>
      </x:c>
      <x:c r="K600" t="str">
        <x:v>0</x:v>
      </x:c>
      <x:c r="L600" t="str">
        <x:v>32</x:v>
      </x:c>
      <x:c r="M600" t="str">
        <x:v>0</x:v>
      </x:c>
      <x:c r="N600" t="str"/>
      <x:c r="O600" t="str"/>
      <x:c r="P600" t="str">
        <x:v>Liberada Para Producao</x:v>
      </x:c>
      <x:c r="Q600" t="str">
        <x:v>608907</x:v>
      </x:c>
      <x:c r="R600" t="str">
        <x:v>33,33</x:v>
      </x:c>
      <x:c r="S600" t="str"/>
      <x:c r="T600" t="str"/>
      <x:c r="U600" t="str"/>
      <x:c r="V600" t="str"/>
      <x:c r="W600" t="str">
        <x:v>N/A</x:v>
      </x:c>
      <x:c r="X600" t="str">
        <x:v>100</x:v>
      </x:c>
      <x:c r="Y600" t="str">
        <x:v>0</x:v>
      </x:c>
      <x:c r="Z600" t="str">
        <x:v>0</x:v>
      </x:c>
      <x:c r="AA600" t="str">
        <x:v>N/A</x:v>
      </x:c>
      <x:c r="AB600" t="str">
        <x:v>N/A</x:v>
      </x:c>
      <x:c r="AC600" t="str">
        <x:v>N/A</x:v>
      </x:c>
      <x:c r="AD600" t="str">
        <x:v>N/A</x:v>
      </x:c>
      <x:c r="AE600" t="str">
        <x:v>N/A</x:v>
      </x:c>
    </x:row>
    <x:row r="601">
      <x:c r="A601" t="str">
        <x:v>51</x:v>
      </x:c>
      <x:c r="B601" t="str">
        <x:v>26808</x:v>
      </x:c>
      <x:c r="C601" t="str">
        <x:v>2</x:v>
      </x:c>
      <x:c r="D601" t="str">
        <x:v>962969</x:v>
      </x:c>
      <x:c r="E601" t="str">
        <x:v>TR AL 1100X70X9 RTO RL35 REC PET BCO (UL</x:v>
      </x:c>
      <x:c r="F601" t="str"/>
      <x:c r="G601" t="str"/>
      <x:c r="H601" t="str"/>
      <x:c r="I601" t="str">
        <x:v>ESMALTE</x:v>
      </x:c>
      <x:c r="J601" t="str">
        <x:v>BRANCO CARRARA</x:v>
      </x:c>
      <x:c r="K601" t="str">
        <x:v>0</x:v>
      </x:c>
      <x:c r="L601" t="str">
        <x:v>16</x:v>
      </x:c>
      <x:c r="M601" t="str">
        <x:v>0</x:v>
      </x:c>
      <x:c r="N601" t="str"/>
      <x:c r="O601" t="str"/>
      <x:c r="P601" t="str">
        <x:v>Liberada Para Producao</x:v>
      </x:c>
      <x:c r="Q601" t="str">
        <x:v>608908</x:v>
      </x:c>
      <x:c r="R601" t="str">
        <x:v>25</x:v>
      </x:c>
      <x:c r="S601" t="str"/>
      <x:c r="T601" t="str"/>
      <x:c r="U601" t="str"/>
      <x:c r="V601" t="str"/>
      <x:c r="W601" t="str">
        <x:v>N/A</x:v>
      </x:c>
      <x:c r="X601" t="str">
        <x:v>100</x:v>
      </x:c>
      <x:c r="Y601" t="str">
        <x:v>0</x:v>
      </x:c>
      <x:c r="Z601" t="str">
        <x:v>0</x:v>
      </x:c>
      <x:c r="AA601" t="str">
        <x:v>0</x:v>
      </x:c>
      <x:c r="AB601" t="str">
        <x:v>N/A</x:v>
      </x:c>
      <x:c r="AC601" t="str">
        <x:v>N/A</x:v>
      </x:c>
      <x:c r="AD601" t="str">
        <x:v>N/A</x:v>
      </x:c>
      <x:c r="AE601" t="str">
        <x:v>N/A</x:v>
      </x:c>
    </x:row>
    <x:row r="602">
      <x:c r="A602" t="str">
        <x:v>51</x:v>
      </x:c>
      <x:c r="B602" t="str">
        <x:v>26808</x:v>
      </x:c>
      <x:c r="C602" t="str">
        <x:v>2</x:v>
      </x:c>
      <x:c r="D602" t="str">
        <x:v>962986</x:v>
      </x:c>
      <x:c r="E602" t="str">
        <x:v>PE AL 2250X70X9 RTO LME REC PET BCO(ULTR</x:v>
      </x:c>
      <x:c r="F602" t="str"/>
      <x:c r="G602" t="str"/>
      <x:c r="H602" t="str"/>
      <x:c r="I602" t="str">
        <x:v>ESMALTE</x:v>
      </x:c>
      <x:c r="J602" t="str">
        <x:v>BRANCO CARRARA</x:v>
      </x:c>
      <x:c r="K602" t="str">
        <x:v>0</x:v>
      </x:c>
      <x:c r="L602" t="str">
        <x:v>32</x:v>
      </x:c>
      <x:c r="M602" t="str">
        <x:v>0</x:v>
      </x:c>
      <x:c r="N602" t="str"/>
      <x:c r="O602" t="str"/>
      <x:c r="P602" t="str">
        <x:v>Liberada Para Producao</x:v>
      </x:c>
      <x:c r="Q602" t="str">
        <x:v>608909</x:v>
      </x:c>
      <x:c r="R602" t="str">
        <x:v>33,33</x:v>
      </x:c>
      <x:c r="S602" t="str"/>
      <x:c r="T602" t="str"/>
      <x:c r="U602" t="str"/>
      <x:c r="V602" t="str"/>
      <x:c r="W602" t="str">
        <x:v>N/A</x:v>
      </x:c>
      <x:c r="X602" t="str">
        <x:v>100</x:v>
      </x:c>
      <x:c r="Y602" t="str">
        <x:v>0</x:v>
      </x:c>
      <x:c r="Z602" t="str">
        <x:v>0</x:v>
      </x:c>
      <x:c r="AA602" t="str">
        <x:v>N/A</x:v>
      </x:c>
      <x:c r="AB602" t="str">
        <x:v>N/A</x:v>
      </x:c>
      <x:c r="AC602" t="str">
        <x:v>N/A</x:v>
      </x:c>
      <x:c r="AD602" t="str">
        <x:v>N/A</x:v>
      </x:c>
      <x:c r="AE602" t="str">
        <x:v>N/A</x:v>
      </x:c>
    </x:row>
    <x:row r="603">
      <x:c r="A603" t="str">
        <x:v>51</x:v>
      </x:c>
      <x:c r="B603" t="str">
        <x:v>26808</x:v>
      </x:c>
      <x:c r="C603" t="str">
        <x:v>2</x:v>
      </x:c>
      <x:c r="D603" t="str">
        <x:v>3041400176</x:v>
      </x:c>
      <x:c r="E603" t="str">
        <x:v>FO POR S GD RU HDF 3 ESM BCO CAR 2100X60</x:v>
      </x:c>
      <x:c r="F603" t="str"/>
      <x:c r="G603" t="str"/>
      <x:c r="H603" t="str"/>
      <x:c r="I603" t="str">
        <x:v>ESMALTE</x:v>
      </x:c>
      <x:c r="J603" t="str">
        <x:v>BRANCO CARRARA</x:v>
      </x:c>
      <x:c r="K603" t="str">
        <x:v>0</x:v>
      </x:c>
      <x:c r="L603" t="str">
        <x:v>16</x:v>
      </x:c>
      <x:c r="M603" t="str">
        <x:v>0,706</x:v>
      </x:c>
      <x:c r="N603" t="str"/>
      <x:c r="O603" t="str"/>
      <x:c r="P603" t="str">
        <x:v>Liberada Para Producao</x:v>
      </x:c>
      <x:c r="Q603" t="str">
        <x:v>608910</x:v>
      </x:c>
      <x:c r="R603" t="str">
        <x:v>66,67</x:v>
      </x:c>
      <x:c r="S603" t="str">
        <x:v>1</x:v>
      </x:c>
      <x:c r="T603" t="str">
        <x:v>PORTA LINHA PREMIUM</x:v>
      </x:c>
      <x:c r="U603" t="str"/>
      <x:c r="V603" t="str"/>
      <x:c r="W603" t="str">
        <x:v>N/A</x:v>
      </x:c>
      <x:c r="X603" t="str">
        <x:v>100</x:v>
      </x:c>
      <x:c r="Y603" t="str">
        <x:v>N/A</x:v>
      </x:c>
      <x:c r="Z603" t="str">
        <x:v>N/A</x:v>
      </x:c>
      <x:c r="AA603" t="str">
        <x:v>N/A</x:v>
      </x:c>
      <x:c r="AB603" t="str">
        <x:v>100</x:v>
      </x:c>
      <x:c r="AC603" t="str">
        <x:v>N/A</x:v>
      </x:c>
      <x:c r="AD603" t="str">
        <x:v>0</x:v>
      </x:c>
      <x:c r="AE603" t="str">
        <x:v>N/A</x:v>
      </x:c>
    </x:row>
    <x:row r="604">
      <x:c r="A604" t="str">
        <x:v>51</x:v>
      </x:c>
      <x:c r="B604" t="str">
        <x:v>26808</x:v>
      </x:c>
      <x:c r="C604" t="str">
        <x:v>3</x:v>
      </x:c>
      <x:c r="D604" t="str">
        <x:v>674638</x:v>
      </x:c>
      <x:c r="E604" t="str">
        <x:v>2110x90x30 42X10 R2 BIA PET BC U (MCMV)</x:v>
      </x:c>
      <x:c r="F604" t="str"/>
      <x:c r="G604" t="str"/>
      <x:c r="H604" t="str"/>
      <x:c r="I604" t="str">
        <x:v>ESMALTE</x:v>
      </x:c>
      <x:c r="J604" t="str">
        <x:v>BRANCO CARRARA</x:v>
      </x:c>
      <x:c r="K604" t="str">
        <x:v>0</x:v>
      </x:c>
      <x:c r="L604" t="str">
        <x:v>120</x:v>
      </x:c>
      <x:c r="M604" t="str">
        <x:v>0,684</x:v>
      </x:c>
      <x:c r="N604" t="str"/>
      <x:c r="O604" t="str"/>
      <x:c r="P604" t="str">
        <x:v>Liberada Para Producao</x:v>
      </x:c>
      <x:c r="Q604" t="str">
        <x:v>608912</x:v>
      </x:c>
      <x:c r="R604" t="str">
        <x:v>0</x:v>
      </x:c>
      <x:c r="S604" t="str"/>
      <x:c r="T604" t="str"/>
      <x:c r="U604" t="str"/>
      <x:c r="V604" t="str"/>
      <x:c r="W604" t="str">
        <x:v>N/A</x:v>
      </x:c>
      <x:c r="X604" t="str">
        <x:v>N/A</x:v>
      </x:c>
      <x:c r="Y604" t="str">
        <x:v>0</x:v>
      </x:c>
      <x:c r="Z604" t="str">
        <x:v>0</x:v>
      </x:c>
      <x:c r="AA604" t="str">
        <x:v>0</x:v>
      </x:c>
      <x:c r="AB604" t="str">
        <x:v>N/A</x:v>
      </x:c>
      <x:c r="AC604" t="str">
        <x:v>N/A</x:v>
      </x:c>
      <x:c r="AD604" t="str">
        <x:v>N/A</x:v>
      </x:c>
      <x:c r="AE604" t="str">
        <x:v>N/A</x:v>
      </x:c>
    </x:row>
    <x:row r="605">
      <x:c r="A605" t="str">
        <x:v>51</x:v>
      </x:c>
      <x:c r="B605" t="str">
        <x:v>26808</x:v>
      </x:c>
      <x:c r="C605" t="str">
        <x:v>3</x:v>
      </x:c>
      <x:c r="D605" t="str">
        <x:v>674639</x:v>
      </x:c>
      <x:c r="E605" t="str">
        <x:v>747x90x30 42x10 R2L BIA RC PET BCO (REC)</x:v>
      </x:c>
      <x:c r="F605" t="str"/>
      <x:c r="G605" t="str"/>
      <x:c r="H605" t="str"/>
      <x:c r="I605" t="str">
        <x:v>ESMALTE</x:v>
      </x:c>
      <x:c r="J605" t="str">
        <x:v>BRANCO CARRARA</x:v>
      </x:c>
      <x:c r="K605" t="str">
        <x:v>0</x:v>
      </x:c>
      <x:c r="L605" t="str">
        <x:v>60</x:v>
      </x:c>
      <x:c r="M605" t="str">
        <x:v>0</x:v>
      </x:c>
      <x:c r="N605" t="str"/>
      <x:c r="O605" t="str"/>
      <x:c r="P605" t="str">
        <x:v>Liberada Para Producao</x:v>
      </x:c>
      <x:c r="Q605" t="str">
        <x:v>608913</x:v>
      </x:c>
      <x:c r="R605" t="str">
        <x:v>0</x:v>
      </x:c>
      <x:c r="S605" t="str"/>
      <x:c r="T605" t="str"/>
      <x:c r="U605" t="str"/>
      <x:c r="V605" t="str"/>
      <x:c r="W605" t="str">
        <x:v>N/A</x:v>
      </x:c>
      <x:c r="X605" t="str">
        <x:v>N/A</x:v>
      </x:c>
      <x:c r="Y605" t="str">
        <x:v>0</x:v>
      </x:c>
      <x:c r="Z605" t="str">
        <x:v>0</x:v>
      </x:c>
      <x:c r="AA605" t="str">
        <x:v>0</x:v>
      </x:c>
      <x:c r="AB605" t="str">
        <x:v>N/A</x:v>
      </x:c>
      <x:c r="AC605" t="str">
        <x:v>N/A</x:v>
      </x:c>
      <x:c r="AD605" t="str">
        <x:v>N/A</x:v>
      </x:c>
      <x:c r="AE605" t="str">
        <x:v>N/A</x:v>
      </x:c>
    </x:row>
    <x:row r="606">
      <x:c r="A606" t="str">
        <x:v>51</x:v>
      </x:c>
      <x:c r="B606" t="str">
        <x:v>26808</x:v>
      </x:c>
      <x:c r="C606" t="str">
        <x:v>3</x:v>
      </x:c>
      <x:c r="D606" t="str">
        <x:v>962391</x:v>
      </x:c>
      <x:c r="E606" t="str">
        <x:v>TR ALI 1100X70X9 RTO LME REC PET BCO(ULT</x:v>
      </x:c>
      <x:c r="F606" t="str"/>
      <x:c r="G606" t="str"/>
      <x:c r="H606" t="str"/>
      <x:c r="I606" t="str">
        <x:v>ESMALTE</x:v>
      </x:c>
      <x:c r="J606" t="str">
        <x:v>BRANCO CARRARA</x:v>
      </x:c>
      <x:c r="K606" t="str">
        <x:v>0</x:v>
      </x:c>
      <x:c r="L606" t="str">
        <x:v>60</x:v>
      </x:c>
      <x:c r="M606" t="str">
        <x:v>0</x:v>
      </x:c>
      <x:c r="N606" t="str"/>
      <x:c r="O606" t="str"/>
      <x:c r="P606" t="str">
        <x:v>Liberada Para Producao</x:v>
      </x:c>
      <x:c r="Q606" t="str">
        <x:v>608914</x:v>
      </x:c>
      <x:c r="R606" t="str">
        <x:v>25</x:v>
      </x:c>
      <x:c r="S606" t="str"/>
      <x:c r="T606" t="str"/>
      <x:c r="U606" t="str"/>
      <x:c r="V606" t="str"/>
      <x:c r="W606" t="str">
        <x:v>N/A</x:v>
      </x:c>
      <x:c r="X606" t="str">
        <x:v>100</x:v>
      </x:c>
      <x:c r="Y606" t="str">
        <x:v>0</x:v>
      </x:c>
      <x:c r="Z606" t="str">
        <x:v>0</x:v>
      </x:c>
      <x:c r="AA606" t="str">
        <x:v>0</x:v>
      </x:c>
      <x:c r="AB606" t="str">
        <x:v>N/A</x:v>
      </x:c>
      <x:c r="AC606" t="str">
        <x:v>N/A</x:v>
      </x:c>
      <x:c r="AD606" t="str">
        <x:v>N/A</x:v>
      </x:c>
      <x:c r="AE606" t="str">
        <x:v>N/A</x:v>
      </x:c>
    </x:row>
    <x:row r="607">
      <x:c r="A607" t="str">
        <x:v>51</x:v>
      </x:c>
      <x:c r="B607" t="str">
        <x:v>26808</x:v>
      </x:c>
      <x:c r="C607" t="str">
        <x:v>3</x:v>
      </x:c>
      <x:c r="D607" t="str">
        <x:v>962766</x:v>
      </x:c>
      <x:c r="E607" t="str">
        <x:v>PE AL 2200X70X9 RTO RL35 REC PET BCO(ULT</x:v>
      </x:c>
      <x:c r="F607" t="str"/>
      <x:c r="G607" t="str"/>
      <x:c r="H607" t="str"/>
      <x:c r="I607" t="str">
        <x:v>ESMALTE</x:v>
      </x:c>
      <x:c r="J607" t="str">
        <x:v>BRANCO CARRARA</x:v>
      </x:c>
      <x:c r="K607" t="str">
        <x:v>0</x:v>
      </x:c>
      <x:c r="L607" t="str">
        <x:v>120</x:v>
      </x:c>
      <x:c r="M607" t="str">
        <x:v>0</x:v>
      </x:c>
      <x:c r="N607" t="str"/>
      <x:c r="O607" t="str"/>
      <x:c r="P607" t="str">
        <x:v>Liberada Para Producao</x:v>
      </x:c>
      <x:c r="Q607" t="str">
        <x:v>608915</x:v>
      </x:c>
      <x:c r="R607" t="str">
        <x:v>33,33</x:v>
      </x:c>
      <x:c r="S607" t="str"/>
      <x:c r="T607" t="str"/>
      <x:c r="U607" t="str"/>
      <x:c r="V607" t="str"/>
      <x:c r="W607" t="str">
        <x:v>N/A</x:v>
      </x:c>
      <x:c r="X607" t="str">
        <x:v>100</x:v>
      </x:c>
      <x:c r="Y607" t="str">
        <x:v>0</x:v>
      </x:c>
      <x:c r="Z607" t="str">
        <x:v>0</x:v>
      </x:c>
      <x:c r="AA607" t="str">
        <x:v>N/A</x:v>
      </x:c>
      <x:c r="AB607" t="str">
        <x:v>N/A</x:v>
      </x:c>
      <x:c r="AC607" t="str">
        <x:v>N/A</x:v>
      </x:c>
      <x:c r="AD607" t="str">
        <x:v>N/A</x:v>
      </x:c>
      <x:c r="AE607" t="str">
        <x:v>N/A</x:v>
      </x:c>
    </x:row>
    <x:row r="608">
      <x:c r="A608" t="str">
        <x:v>51</x:v>
      </x:c>
      <x:c r="B608" t="str">
        <x:v>26808</x:v>
      </x:c>
      <x:c r="C608" t="str">
        <x:v>3</x:v>
      </x:c>
      <x:c r="D608" t="str">
        <x:v>962969</x:v>
      </x:c>
      <x:c r="E608" t="str">
        <x:v>TR AL 1100X70X9 RTO RL35 REC PET BCO (UL</x:v>
      </x:c>
      <x:c r="F608" t="str"/>
      <x:c r="G608" t="str"/>
      <x:c r="H608" t="str"/>
      <x:c r="I608" t="str">
        <x:v>ESMALTE</x:v>
      </x:c>
      <x:c r="J608" t="str">
        <x:v>BRANCO CARRARA</x:v>
      </x:c>
      <x:c r="K608" t="str">
        <x:v>0</x:v>
      </x:c>
      <x:c r="L608" t="str">
        <x:v>60</x:v>
      </x:c>
      <x:c r="M608" t="str">
        <x:v>0</x:v>
      </x:c>
      <x:c r="N608" t="str"/>
      <x:c r="O608" t="str"/>
      <x:c r="P608" t="str">
        <x:v>Liberada Para Producao</x:v>
      </x:c>
      <x:c r="Q608" t="str">
        <x:v>608916</x:v>
      </x:c>
      <x:c r="R608" t="str">
        <x:v>25</x:v>
      </x:c>
      <x:c r="S608" t="str"/>
      <x:c r="T608" t="str"/>
      <x:c r="U608" t="str"/>
      <x:c r="V608" t="str"/>
      <x:c r="W608" t="str">
        <x:v>N/A</x:v>
      </x:c>
      <x:c r="X608" t="str">
        <x:v>100</x:v>
      </x:c>
      <x:c r="Y608" t="str">
        <x:v>0</x:v>
      </x:c>
      <x:c r="Z608" t="str">
        <x:v>0</x:v>
      </x:c>
      <x:c r="AA608" t="str">
        <x:v>0</x:v>
      </x:c>
      <x:c r="AB608" t="str">
        <x:v>N/A</x:v>
      </x:c>
      <x:c r="AC608" t="str">
        <x:v>N/A</x:v>
      </x:c>
      <x:c r="AD608" t="str">
        <x:v>N/A</x:v>
      </x:c>
      <x:c r="AE608" t="str">
        <x:v>N/A</x:v>
      </x:c>
    </x:row>
    <x:row r="609">
      <x:c r="A609" t="str">
        <x:v>51</x:v>
      </x:c>
      <x:c r="B609" t="str">
        <x:v>26808</x:v>
      </x:c>
      <x:c r="C609" t="str">
        <x:v>3</x:v>
      </x:c>
      <x:c r="D609" t="str">
        <x:v>962986</x:v>
      </x:c>
      <x:c r="E609" t="str">
        <x:v>PE AL 2250X70X9 RTO LME REC PET BCO(ULTR</x:v>
      </x:c>
      <x:c r="F609" t="str"/>
      <x:c r="G609" t="str"/>
      <x:c r="H609" t="str"/>
      <x:c r="I609" t="str">
        <x:v>ESMALTE</x:v>
      </x:c>
      <x:c r="J609" t="str">
        <x:v>BRANCO CARRARA</x:v>
      </x:c>
      <x:c r="K609" t="str">
        <x:v>0</x:v>
      </x:c>
      <x:c r="L609" t="str">
        <x:v>120</x:v>
      </x:c>
      <x:c r="M609" t="str">
        <x:v>0</x:v>
      </x:c>
      <x:c r="N609" t="str"/>
      <x:c r="O609" t="str"/>
      <x:c r="P609" t="str">
        <x:v>Liberada Para Producao</x:v>
      </x:c>
      <x:c r="Q609" t="str">
        <x:v>608917</x:v>
      </x:c>
      <x:c r="R609" t="str">
        <x:v>33,33</x:v>
      </x:c>
      <x:c r="S609" t="str"/>
      <x:c r="T609" t="str"/>
      <x:c r="U609" t="str"/>
      <x:c r="V609" t="str"/>
      <x:c r="W609" t="str">
        <x:v>N/A</x:v>
      </x:c>
      <x:c r="X609" t="str">
        <x:v>100</x:v>
      </x:c>
      <x:c r="Y609" t="str">
        <x:v>0</x:v>
      </x:c>
      <x:c r="Z609" t="str">
        <x:v>0</x:v>
      </x:c>
      <x:c r="AA609" t="str">
        <x:v>N/A</x:v>
      </x:c>
      <x:c r="AB609" t="str">
        <x:v>N/A</x:v>
      </x:c>
      <x:c r="AC609" t="str">
        <x:v>N/A</x:v>
      </x:c>
      <x:c r="AD609" t="str">
        <x:v>N/A</x:v>
      </x:c>
      <x:c r="AE609" t="str">
        <x:v>N/A</x:v>
      </x:c>
    </x:row>
    <x:row r="610">
      <x:c r="A610" t="str">
        <x:v>51</x:v>
      </x:c>
      <x:c r="B610" t="str">
        <x:v>26808</x:v>
      </x:c>
      <x:c r="C610" t="str">
        <x:v>3</x:v>
      </x:c>
      <x:c r="D610" t="str">
        <x:v>4110012028</x:v>
      </x:c>
      <x:c r="E610" t="str">
        <x:v>FO POR S GD HDF 3 2100X700X35 ESM BCO CA</x:v>
      </x:c>
      <x:c r="F610" t="str"/>
      <x:c r="G610" t="str"/>
      <x:c r="H610" t="str"/>
      <x:c r="I610" t="str">
        <x:v>ESMALTE</x:v>
      </x:c>
      <x:c r="J610" t="str">
        <x:v>BRANCO CARRARA</x:v>
      </x:c>
      <x:c r="K610" t="str">
        <x:v>0</x:v>
      </x:c>
      <x:c r="L610" t="str">
        <x:v>60</x:v>
      </x:c>
      <x:c r="M610" t="str">
        <x:v>3,087</x:v>
      </x:c>
      <x:c r="N610" t="str"/>
      <x:c r="O610" t="str"/>
      <x:c r="P610" t="str">
        <x:v>Liberada Para Producao</x:v>
      </x:c>
      <x:c r="Q610" t="str">
        <x:v>608918/611889/612148</x:v>
      </x:c>
      <x:c r="R610" t="str">
        <x:v>66,67</x:v>
      </x:c>
      <x:c r="S610" t="str">
        <x:v>1</x:v>
      </x:c>
      <x:c r="T610" t="str">
        <x:v>PORTA LINHA PREMIUM</x:v>
      </x:c>
      <x:c r="U610" t="str"/>
      <x:c r="V610" t="str"/>
      <x:c r="W610" t="str">
        <x:v>N/A</x:v>
      </x:c>
      <x:c r="X610" t="str">
        <x:v>100</x:v>
      </x:c>
      <x:c r="Y610" t="str">
        <x:v>N/A</x:v>
      </x:c>
      <x:c r="Z610" t="str">
        <x:v>N/A</x:v>
      </x:c>
      <x:c r="AA610" t="str">
        <x:v>N/A</x:v>
      </x:c>
      <x:c r="AB610" t="str">
        <x:v>100</x:v>
      </x:c>
      <x:c r="AC610" t="str">
        <x:v>N/A</x:v>
      </x:c>
      <x:c r="AD610" t="str">
        <x:v>0</x:v>
      </x:c>
      <x:c r="AE610" t="str">
        <x:v>N/A</x:v>
      </x:c>
    </x:row>
    <x:row r="611">
      <x:c r="A611" t="str">
        <x:v>51</x:v>
      </x:c>
      <x:c r="B611" t="str">
        <x:v>26808</x:v>
      </x:c>
      <x:c r="C611" t="str">
        <x:v>4</x:v>
      </x:c>
      <x:c r="D611" t="str">
        <x:v>674786</x:v>
      </x:c>
      <x:c r="E611" t="str">
        <x:v>2110x110x30 42x10 R2L BIA R PET U PREMIU</x:v>
      </x:c>
      <x:c r="F611" t="str"/>
      <x:c r="G611" t="str"/>
      <x:c r="H611" t="str"/>
      <x:c r="I611" t="str">
        <x:v>ESMALTE</x:v>
      </x:c>
      <x:c r="J611" t="str">
        <x:v>BRANCO CARRARA</x:v>
      </x:c>
      <x:c r="K611" t="str">
        <x:v>0</x:v>
      </x:c>
      <x:c r="L611" t="str">
        <x:v>126</x:v>
      </x:c>
      <x:c r="M611" t="str">
        <x:v>0,877</x:v>
      </x:c>
      <x:c r="N611" t="str"/>
      <x:c r="O611" t="str"/>
      <x:c r="P611" t="str">
        <x:v>Liberada Para Producao</x:v>
      </x:c>
      <x:c r="Q611" t="str">
        <x:v>608920</x:v>
      </x:c>
      <x:c r="R611" t="str">
        <x:v>0</x:v>
      </x:c>
      <x:c r="S611" t="str"/>
      <x:c r="T611" t="str"/>
      <x:c r="U611" t="str"/>
      <x:c r="V611" t="str"/>
      <x:c r="W611" t="str">
        <x:v>N/A</x:v>
      </x:c>
      <x:c r="X611" t="str">
        <x:v>N/A</x:v>
      </x:c>
      <x:c r="Y611" t="str">
        <x:v>0</x:v>
      </x:c>
      <x:c r="Z611" t="str">
        <x:v>0</x:v>
      </x:c>
      <x:c r="AA611" t="str">
        <x:v>0</x:v>
      </x:c>
      <x:c r="AB611" t="str">
        <x:v>N/A</x:v>
      </x:c>
      <x:c r="AC611" t="str">
        <x:v>N/A</x:v>
      </x:c>
      <x:c r="AD611" t="str">
        <x:v>N/A</x:v>
      </x:c>
      <x:c r="AE611" t="str">
        <x:v>N/A</x:v>
      </x:c>
    </x:row>
    <x:row r="612">
      <x:c r="A612" t="str">
        <x:v>51</x:v>
      </x:c>
      <x:c r="B612" t="str">
        <x:v>26808</x:v>
      </x:c>
      <x:c r="C612" t="str">
        <x:v>4</x:v>
      </x:c>
      <x:c r="D612" t="str">
        <x:v>675804</x:v>
      </x:c>
      <x:c r="E612" t="str">
        <x:v>747x110x30 42X10 R2L BIA PET BCO (GOLD)</x:v>
      </x:c>
      <x:c r="F612" t="str"/>
      <x:c r="G612" t="str"/>
      <x:c r="H612" t="str"/>
      <x:c r="I612" t="str">
        <x:v>ESMALTE</x:v>
      </x:c>
      <x:c r="J612" t="str">
        <x:v>BRANCO CARRARA</x:v>
      </x:c>
      <x:c r="K612" t="str">
        <x:v>0</x:v>
      </x:c>
      <x:c r="L612" t="str">
        <x:v>63</x:v>
      </x:c>
      <x:c r="M612" t="str">
        <x:v>0</x:v>
      </x:c>
      <x:c r="N612" t="str"/>
      <x:c r="O612" t="str"/>
      <x:c r="P612" t="str">
        <x:v>Liberada Para Producao</x:v>
      </x:c>
      <x:c r="Q612" t="str">
        <x:v>608921</x:v>
      </x:c>
      <x:c r="R612" t="str">
        <x:v>0</x:v>
      </x:c>
      <x:c r="S612" t="str"/>
      <x:c r="T612" t="str"/>
      <x:c r="U612" t="str"/>
      <x:c r="V612" t="str"/>
      <x:c r="W612" t="str">
        <x:v>N/A</x:v>
      </x:c>
      <x:c r="X612" t="str">
        <x:v>N/A</x:v>
      </x:c>
      <x:c r="Y612" t="str">
        <x:v>0</x:v>
      </x:c>
      <x:c r="Z612" t="str">
        <x:v>0</x:v>
      </x:c>
      <x:c r="AA612" t="str">
        <x:v>0</x:v>
      </x:c>
      <x:c r="AB612" t="str">
        <x:v>N/A</x:v>
      </x:c>
      <x:c r="AC612" t="str">
        <x:v>N/A</x:v>
      </x:c>
      <x:c r="AD612" t="str">
        <x:v>N/A</x:v>
      </x:c>
      <x:c r="AE612" t="str">
        <x:v>N/A</x:v>
      </x:c>
    </x:row>
    <x:row r="613">
      <x:c r="A613" t="str">
        <x:v>51</x:v>
      </x:c>
      <x:c r="B613" t="str">
        <x:v>26808</x:v>
      </x:c>
      <x:c r="C613" t="str">
        <x:v>4</x:v>
      </x:c>
      <x:c r="D613" t="str">
        <x:v>962391</x:v>
      </x:c>
      <x:c r="E613" t="str">
        <x:v>TR ALI 1100X70X9 RTO LME REC PET BCO(ULT</x:v>
      </x:c>
      <x:c r="F613" t="str"/>
      <x:c r="G613" t="str"/>
      <x:c r="H613" t="str"/>
      <x:c r="I613" t="str">
        <x:v>ESMALTE</x:v>
      </x:c>
      <x:c r="J613" t="str">
        <x:v>BRANCO CARRARA</x:v>
      </x:c>
      <x:c r="K613" t="str">
        <x:v>0</x:v>
      </x:c>
      <x:c r="L613" t="str">
        <x:v>63</x:v>
      </x:c>
      <x:c r="M613" t="str">
        <x:v>0</x:v>
      </x:c>
      <x:c r="N613" t="str"/>
      <x:c r="O613" t="str"/>
      <x:c r="P613" t="str">
        <x:v>Liberada Para Producao</x:v>
      </x:c>
      <x:c r="Q613" t="str">
        <x:v>608922</x:v>
      </x:c>
      <x:c r="R613" t="str">
        <x:v>25</x:v>
      </x:c>
      <x:c r="S613" t="str"/>
      <x:c r="T613" t="str"/>
      <x:c r="U613" t="str"/>
      <x:c r="V613" t="str"/>
      <x:c r="W613" t="str">
        <x:v>N/A</x:v>
      </x:c>
      <x:c r="X613" t="str">
        <x:v>100</x:v>
      </x:c>
      <x:c r="Y613" t="str">
        <x:v>0</x:v>
      </x:c>
      <x:c r="Z613" t="str">
        <x:v>0</x:v>
      </x:c>
      <x:c r="AA613" t="str">
        <x:v>0</x:v>
      </x:c>
      <x:c r="AB613" t="str">
        <x:v>N/A</x:v>
      </x:c>
      <x:c r="AC613" t="str">
        <x:v>N/A</x:v>
      </x:c>
      <x:c r="AD613" t="str">
        <x:v>N/A</x:v>
      </x:c>
      <x:c r="AE613" t="str">
        <x:v>N/A</x:v>
      </x:c>
    </x:row>
    <x:row r="614">
      <x:c r="A614" t="str">
        <x:v>51</x:v>
      </x:c>
      <x:c r="B614" t="str">
        <x:v>26808</x:v>
      </x:c>
      <x:c r="C614" t="str">
        <x:v>4</x:v>
      </x:c>
      <x:c r="D614" t="str">
        <x:v>962766</x:v>
      </x:c>
      <x:c r="E614" t="str">
        <x:v>PE AL 2200X70X9 RTO RL35 REC PET BCO(ULT</x:v>
      </x:c>
      <x:c r="F614" t="str"/>
      <x:c r="G614" t="str"/>
      <x:c r="H614" t="str"/>
      <x:c r="I614" t="str">
        <x:v>ESMALTE</x:v>
      </x:c>
      <x:c r="J614" t="str">
        <x:v>BRANCO CARRARA</x:v>
      </x:c>
      <x:c r="K614" t="str">
        <x:v>0</x:v>
      </x:c>
      <x:c r="L614" t="str">
        <x:v>126</x:v>
      </x:c>
      <x:c r="M614" t="str">
        <x:v>0</x:v>
      </x:c>
      <x:c r="N614" t="str"/>
      <x:c r="O614" t="str"/>
      <x:c r="P614" t="str">
        <x:v>Liberada Para Producao</x:v>
      </x:c>
      <x:c r="Q614" t="str">
        <x:v>608923</x:v>
      </x:c>
      <x:c r="R614" t="str">
        <x:v>33,33</x:v>
      </x:c>
      <x:c r="S614" t="str"/>
      <x:c r="T614" t="str"/>
      <x:c r="U614" t="str"/>
      <x:c r="V614" t="str"/>
      <x:c r="W614" t="str">
        <x:v>N/A</x:v>
      </x:c>
      <x:c r="X614" t="str">
        <x:v>100</x:v>
      </x:c>
      <x:c r="Y614" t="str">
        <x:v>0</x:v>
      </x:c>
      <x:c r="Z614" t="str">
        <x:v>0</x:v>
      </x:c>
      <x:c r="AA614" t="str">
        <x:v>N/A</x:v>
      </x:c>
      <x:c r="AB614" t="str">
        <x:v>N/A</x:v>
      </x:c>
      <x:c r="AC614" t="str">
        <x:v>N/A</x:v>
      </x:c>
      <x:c r="AD614" t="str">
        <x:v>N/A</x:v>
      </x:c>
      <x:c r="AE614" t="str">
        <x:v>N/A</x:v>
      </x:c>
    </x:row>
    <x:row r="615">
      <x:c r="A615" t="str">
        <x:v>51</x:v>
      </x:c>
      <x:c r="B615" t="str">
        <x:v>26808</x:v>
      </x:c>
      <x:c r="C615" t="str">
        <x:v>4</x:v>
      </x:c>
      <x:c r="D615" t="str">
        <x:v>962969</x:v>
      </x:c>
      <x:c r="E615" t="str">
        <x:v>TR AL 1100X70X9 RTO RL35 REC PET BCO (UL</x:v>
      </x:c>
      <x:c r="F615" t="str"/>
      <x:c r="G615" t="str"/>
      <x:c r="H615" t="str"/>
      <x:c r="I615" t="str">
        <x:v>ESMALTE</x:v>
      </x:c>
      <x:c r="J615" t="str">
        <x:v>BRANCO CARRARA</x:v>
      </x:c>
      <x:c r="K615" t="str">
        <x:v>0</x:v>
      </x:c>
      <x:c r="L615" t="str">
        <x:v>63</x:v>
      </x:c>
      <x:c r="M615" t="str">
        <x:v>0</x:v>
      </x:c>
      <x:c r="N615" t="str"/>
      <x:c r="O615" t="str"/>
      <x:c r="P615" t="str">
        <x:v>Liberada Para Producao</x:v>
      </x:c>
      <x:c r="Q615" t="str">
        <x:v>608924</x:v>
      </x:c>
      <x:c r="R615" t="str">
        <x:v>25</x:v>
      </x:c>
      <x:c r="S615" t="str"/>
      <x:c r="T615" t="str"/>
      <x:c r="U615" t="str"/>
      <x:c r="V615" t="str"/>
      <x:c r="W615" t="str">
        <x:v>N/A</x:v>
      </x:c>
      <x:c r="X615" t="str">
        <x:v>100</x:v>
      </x:c>
      <x:c r="Y615" t="str">
        <x:v>0</x:v>
      </x:c>
      <x:c r="Z615" t="str">
        <x:v>0</x:v>
      </x:c>
      <x:c r="AA615" t="str">
        <x:v>0</x:v>
      </x:c>
      <x:c r="AB615" t="str">
        <x:v>N/A</x:v>
      </x:c>
      <x:c r="AC615" t="str">
        <x:v>N/A</x:v>
      </x:c>
      <x:c r="AD615" t="str">
        <x:v>N/A</x:v>
      </x:c>
      <x:c r="AE615" t="str">
        <x:v>N/A</x:v>
      </x:c>
    </x:row>
    <x:row r="616">
      <x:c r="A616" t="str">
        <x:v>51</x:v>
      </x:c>
      <x:c r="B616" t="str">
        <x:v>26808</x:v>
      </x:c>
      <x:c r="C616" t="str">
        <x:v>4</x:v>
      </x:c>
      <x:c r="D616" t="str">
        <x:v>962986</x:v>
      </x:c>
      <x:c r="E616" t="str">
        <x:v>PE AL 2250X70X9 RTO LME REC PET BCO(ULTR</x:v>
      </x:c>
      <x:c r="F616" t="str"/>
      <x:c r="G616" t="str"/>
      <x:c r="H616" t="str"/>
      <x:c r="I616" t="str">
        <x:v>ESMALTE</x:v>
      </x:c>
      <x:c r="J616" t="str">
        <x:v>BRANCO CARRARA</x:v>
      </x:c>
      <x:c r="K616" t="str">
        <x:v>0</x:v>
      </x:c>
      <x:c r="L616" t="str">
        <x:v>126</x:v>
      </x:c>
      <x:c r="M616" t="str">
        <x:v>0</x:v>
      </x:c>
      <x:c r="N616" t="str"/>
      <x:c r="O616" t="str"/>
      <x:c r="P616" t="str">
        <x:v>Liberada Para Producao</x:v>
      </x:c>
      <x:c r="Q616" t="str">
        <x:v>608925</x:v>
      </x:c>
      <x:c r="R616" t="str">
        <x:v>33,33</x:v>
      </x:c>
      <x:c r="S616" t="str"/>
      <x:c r="T616" t="str"/>
      <x:c r="U616" t="str"/>
      <x:c r="V616" t="str"/>
      <x:c r="W616" t="str">
        <x:v>N/A</x:v>
      </x:c>
      <x:c r="X616" t="str">
        <x:v>100</x:v>
      </x:c>
      <x:c r="Y616" t="str">
        <x:v>0</x:v>
      </x:c>
      <x:c r="Z616" t="str">
        <x:v>0</x:v>
      </x:c>
      <x:c r="AA616" t="str">
        <x:v>N/A</x:v>
      </x:c>
      <x:c r="AB616" t="str">
        <x:v>N/A</x:v>
      </x:c>
      <x:c r="AC616" t="str">
        <x:v>N/A</x:v>
      </x:c>
      <x:c r="AD616" t="str">
        <x:v>N/A</x:v>
      </x:c>
      <x:c r="AE616" t="str">
        <x:v>N/A</x:v>
      </x:c>
    </x:row>
    <x:row r="617">
      <x:c r="A617" t="str">
        <x:v>51</x:v>
      </x:c>
      <x:c r="B617" t="str">
        <x:v>26808</x:v>
      </x:c>
      <x:c r="C617" t="str">
        <x:v>4</x:v>
      </x:c>
      <x:c r="D617" t="str">
        <x:v>4110012028</x:v>
      </x:c>
      <x:c r="E617" t="str">
        <x:v>FO POR S GD HDF 3 2100X700X35 ESM BCO CA</x:v>
      </x:c>
      <x:c r="F617" t="str"/>
      <x:c r="G617" t="str"/>
      <x:c r="H617" t="str"/>
      <x:c r="I617" t="str">
        <x:v>ESMALTE</x:v>
      </x:c>
      <x:c r="J617" t="str">
        <x:v>BRANCO CARRARA</x:v>
      </x:c>
      <x:c r="K617" t="str">
        <x:v>0</x:v>
      </x:c>
      <x:c r="L617" t="str">
        <x:v>63</x:v>
      </x:c>
      <x:c r="M617" t="str">
        <x:v>3,241</x:v>
      </x:c>
      <x:c r="N617" t="str"/>
      <x:c r="O617" t="str"/>
      <x:c r="P617" t="str">
        <x:v>Liberada Para Producao</x:v>
      </x:c>
      <x:c r="Q617" t="str">
        <x:v>608926</x:v>
      </x:c>
      <x:c r="R617" t="str">
        <x:v>66,67</x:v>
      </x:c>
      <x:c r="S617" t="str">
        <x:v>1</x:v>
      </x:c>
      <x:c r="T617" t="str">
        <x:v>PORTA LINHA PREMIUM</x:v>
      </x:c>
      <x:c r="U617" t="str"/>
      <x:c r="V617" t="str"/>
      <x:c r="W617" t="str">
        <x:v>N/A</x:v>
      </x:c>
      <x:c r="X617" t="str">
        <x:v>100</x:v>
      </x:c>
      <x:c r="Y617" t="str">
        <x:v>N/A</x:v>
      </x:c>
      <x:c r="Z617" t="str">
        <x:v>N/A</x:v>
      </x:c>
      <x:c r="AA617" t="str">
        <x:v>N/A</x:v>
      </x:c>
      <x:c r="AB617" t="str">
        <x:v>100</x:v>
      </x:c>
      <x:c r="AC617" t="str">
        <x:v>N/A</x:v>
      </x:c>
      <x:c r="AD617" t="str">
        <x:v>0</x:v>
      </x:c>
      <x:c r="AE617" t="str">
        <x:v>N/A</x:v>
      </x:c>
    </x:row>
    <x:row r="618">
      <x:c r="A618" t="str">
        <x:v>51</x:v>
      </x:c>
      <x:c r="B618" t="str">
        <x:v>26808</x:v>
      </x:c>
      <x:c r="C618" t="str">
        <x:v>5</x:v>
      </x:c>
      <x:c r="D618" t="str">
        <x:v>674638</x:v>
      </x:c>
      <x:c r="E618" t="str">
        <x:v>2110x90x30 42X10 R2 BIA PET BC U (MCMV)</x:v>
      </x:c>
      <x:c r="F618" t="str"/>
      <x:c r="G618" t="str"/>
      <x:c r="H618" t="str"/>
      <x:c r="I618" t="str">
        <x:v>ESMALTE</x:v>
      </x:c>
      <x:c r="J618" t="str">
        <x:v>BRANCO CARRARA</x:v>
      </x:c>
      <x:c r="K618" t="str">
        <x:v>0</x:v>
      </x:c>
      <x:c r="L618" t="str">
        <x:v>2</x:v>
      </x:c>
      <x:c r="M618" t="str">
        <x:v>0,011</x:v>
      </x:c>
      <x:c r="N618" t="str"/>
      <x:c r="O618" t="str"/>
      <x:c r="P618" t="str">
        <x:v>Liberada Para Producao</x:v>
      </x:c>
      <x:c r="Q618" t="str">
        <x:v>608928</x:v>
      </x:c>
      <x:c r="R618" t="str">
        <x:v>0</x:v>
      </x:c>
      <x:c r="S618" t="str"/>
      <x:c r="T618" t="str"/>
      <x:c r="U618" t="str"/>
      <x:c r="V618" t="str"/>
      <x:c r="W618" t="str">
        <x:v>N/A</x:v>
      </x:c>
      <x:c r="X618" t="str">
        <x:v>N/A</x:v>
      </x:c>
      <x:c r="Y618" t="str">
        <x:v>0</x:v>
      </x:c>
      <x:c r="Z618" t="str">
        <x:v>0</x:v>
      </x:c>
      <x:c r="AA618" t="str">
        <x:v>0</x:v>
      </x:c>
      <x:c r="AB618" t="str">
        <x:v>N/A</x:v>
      </x:c>
      <x:c r="AC618" t="str">
        <x:v>N/A</x:v>
      </x:c>
      <x:c r="AD618" t="str">
        <x:v>N/A</x:v>
      </x:c>
      <x:c r="AE618" t="str">
        <x:v>N/A</x:v>
      </x:c>
    </x:row>
    <x:row r="619">
      <x:c r="A619" t="str">
        <x:v>51</x:v>
      </x:c>
      <x:c r="B619" t="str">
        <x:v>26808</x:v>
      </x:c>
      <x:c r="C619" t="str">
        <x:v>5</x:v>
      </x:c>
      <x:c r="D619" t="str">
        <x:v>675810</x:v>
      </x:c>
      <x:c r="E619" t="str">
        <x:v>847x90x30 42x10 R2L BIA PET BCO(PREMIUM)</x:v>
      </x:c>
      <x:c r="F619" t="str"/>
      <x:c r="G619" t="str"/>
      <x:c r="H619" t="str"/>
      <x:c r="I619" t="str">
        <x:v>ESMALTE</x:v>
      </x:c>
      <x:c r="J619" t="str">
        <x:v>BRANCO CARRARA</x:v>
      </x:c>
      <x:c r="K619" t="str">
        <x:v>0</x:v>
      </x:c>
      <x:c r="L619" t="str">
        <x:v>1</x:v>
      </x:c>
      <x:c r="M619" t="str">
        <x:v>0</x:v>
      </x:c>
      <x:c r="N619" t="str"/>
      <x:c r="O619" t="str"/>
      <x:c r="P619" t="str">
        <x:v>Liberada Para Producao</x:v>
      </x:c>
      <x:c r="Q619" t="str">
        <x:v>608929</x:v>
      </x:c>
      <x:c r="R619" t="str">
        <x:v>0</x:v>
      </x:c>
      <x:c r="S619" t="str"/>
      <x:c r="T619" t="str"/>
      <x:c r="U619" t="str"/>
      <x:c r="V619" t="str"/>
      <x:c r="W619" t="str">
        <x:v>N/A</x:v>
      </x:c>
      <x:c r="X619" t="str">
        <x:v>N/A</x:v>
      </x:c>
      <x:c r="Y619" t="str">
        <x:v>0</x:v>
      </x:c>
      <x:c r="Z619" t="str">
        <x:v>0</x:v>
      </x:c>
      <x:c r="AA619" t="str">
        <x:v>0</x:v>
      </x:c>
      <x:c r="AB619" t="str">
        <x:v>N/A</x:v>
      </x:c>
      <x:c r="AC619" t="str">
        <x:v>N/A</x:v>
      </x:c>
      <x:c r="AD619" t="str">
        <x:v>N/A</x:v>
      </x:c>
      <x:c r="AE619" t="str">
        <x:v>N/A</x:v>
      </x:c>
    </x:row>
    <x:row r="620">
      <x:c r="A620" t="str">
        <x:v>51</x:v>
      </x:c>
      <x:c r="B620" t="str">
        <x:v>26808</x:v>
      </x:c>
      <x:c r="C620" t="str">
        <x:v>5</x:v>
      </x:c>
      <x:c r="D620" t="str">
        <x:v>962391</x:v>
      </x:c>
      <x:c r="E620" t="str">
        <x:v>TR ALI 1100X70X9 RTO LME REC PET BCO(ULT</x:v>
      </x:c>
      <x:c r="F620" t="str"/>
      <x:c r="G620" t="str"/>
      <x:c r="H620" t="str"/>
      <x:c r="I620" t="str">
        <x:v>ESMALTE</x:v>
      </x:c>
      <x:c r="J620" t="str">
        <x:v>BRANCO CARRARA</x:v>
      </x:c>
      <x:c r="K620" t="str">
        <x:v>0</x:v>
      </x:c>
      <x:c r="L620" t="str">
        <x:v>1</x:v>
      </x:c>
      <x:c r="M620" t="str">
        <x:v>0</x:v>
      </x:c>
      <x:c r="N620" t="str"/>
      <x:c r="O620" t="str"/>
      <x:c r="P620" t="str">
        <x:v>Liberada Para Producao</x:v>
      </x:c>
      <x:c r="Q620" t="str">
        <x:v>608930</x:v>
      </x:c>
      <x:c r="R620" t="str">
        <x:v>25</x:v>
      </x:c>
      <x:c r="S620" t="str"/>
      <x:c r="T620" t="str"/>
      <x:c r="U620" t="str"/>
      <x:c r="V620" t="str"/>
      <x:c r="W620" t="str">
        <x:v>N/A</x:v>
      </x:c>
      <x:c r="X620" t="str">
        <x:v>100</x:v>
      </x:c>
      <x:c r="Y620" t="str">
        <x:v>0</x:v>
      </x:c>
      <x:c r="Z620" t="str">
        <x:v>0</x:v>
      </x:c>
      <x:c r="AA620" t="str">
        <x:v>0</x:v>
      </x:c>
      <x:c r="AB620" t="str">
        <x:v>N/A</x:v>
      </x:c>
      <x:c r="AC620" t="str">
        <x:v>N/A</x:v>
      </x:c>
      <x:c r="AD620" t="str">
        <x:v>N/A</x:v>
      </x:c>
      <x:c r="AE620" t="str">
        <x:v>N/A</x:v>
      </x:c>
    </x:row>
    <x:row r="621">
      <x:c r="A621" t="str">
        <x:v>51</x:v>
      </x:c>
      <x:c r="B621" t="str">
        <x:v>26808</x:v>
      </x:c>
      <x:c r="C621" t="str">
        <x:v>5</x:v>
      </x:c>
      <x:c r="D621" t="str">
        <x:v>962766</x:v>
      </x:c>
      <x:c r="E621" t="str">
        <x:v>PE AL 2200X70X9 RTO RL35 REC PET BCO(ULT</x:v>
      </x:c>
      <x:c r="F621" t="str"/>
      <x:c r="G621" t="str"/>
      <x:c r="H621" t="str"/>
      <x:c r="I621" t="str">
        <x:v>ESMALTE</x:v>
      </x:c>
      <x:c r="J621" t="str">
        <x:v>BRANCO CARRARA</x:v>
      </x:c>
      <x:c r="K621" t="str">
        <x:v>0</x:v>
      </x:c>
      <x:c r="L621" t="str">
        <x:v>2</x:v>
      </x:c>
      <x:c r="M621" t="str">
        <x:v>0</x:v>
      </x:c>
      <x:c r="N621" t="str"/>
      <x:c r="O621" t="str"/>
      <x:c r="P621" t="str">
        <x:v>Liberada Para Producao</x:v>
      </x:c>
      <x:c r="Q621" t="str">
        <x:v>608931</x:v>
      </x:c>
      <x:c r="R621" t="str">
        <x:v>33,33</x:v>
      </x:c>
      <x:c r="S621" t="str"/>
      <x:c r="T621" t="str"/>
      <x:c r="U621" t="str"/>
      <x:c r="V621" t="str"/>
      <x:c r="W621" t="str">
        <x:v>N/A</x:v>
      </x:c>
      <x:c r="X621" t="str">
        <x:v>100</x:v>
      </x:c>
      <x:c r="Y621" t="str">
        <x:v>0</x:v>
      </x:c>
      <x:c r="Z621" t="str">
        <x:v>0</x:v>
      </x:c>
      <x:c r="AA621" t="str">
        <x:v>N/A</x:v>
      </x:c>
      <x:c r="AB621" t="str">
        <x:v>N/A</x:v>
      </x:c>
      <x:c r="AC621" t="str">
        <x:v>N/A</x:v>
      </x:c>
      <x:c r="AD621" t="str">
        <x:v>N/A</x:v>
      </x:c>
      <x:c r="AE621" t="str">
        <x:v>N/A</x:v>
      </x:c>
    </x:row>
    <x:row r="622">
      <x:c r="A622" t="str">
        <x:v>51</x:v>
      </x:c>
      <x:c r="B622" t="str">
        <x:v>26808</x:v>
      </x:c>
      <x:c r="C622" t="str">
        <x:v>5</x:v>
      </x:c>
      <x:c r="D622" t="str">
        <x:v>962969</x:v>
      </x:c>
      <x:c r="E622" t="str">
        <x:v>TR AL 1100X70X9 RTO RL35 REC PET BCO (UL</x:v>
      </x:c>
      <x:c r="F622" t="str"/>
      <x:c r="G622" t="str"/>
      <x:c r="H622" t="str"/>
      <x:c r="I622" t="str">
        <x:v>ESMALTE</x:v>
      </x:c>
      <x:c r="J622" t="str">
        <x:v>BRANCO CARRARA</x:v>
      </x:c>
      <x:c r="K622" t="str">
        <x:v>0</x:v>
      </x:c>
      <x:c r="L622" t="str">
        <x:v>1</x:v>
      </x:c>
      <x:c r="M622" t="str">
        <x:v>0</x:v>
      </x:c>
      <x:c r="N622" t="str"/>
      <x:c r="O622" t="str"/>
      <x:c r="P622" t="str">
        <x:v>Liberada Para Producao</x:v>
      </x:c>
      <x:c r="Q622" t="str">
        <x:v>608932</x:v>
      </x:c>
      <x:c r="R622" t="str">
        <x:v>25</x:v>
      </x:c>
      <x:c r="S622" t="str"/>
      <x:c r="T622" t="str"/>
      <x:c r="U622" t="str"/>
      <x:c r="V622" t="str"/>
      <x:c r="W622" t="str">
        <x:v>N/A</x:v>
      </x:c>
      <x:c r="X622" t="str">
        <x:v>100</x:v>
      </x:c>
      <x:c r="Y622" t="str">
        <x:v>0</x:v>
      </x:c>
      <x:c r="Z622" t="str">
        <x:v>0</x:v>
      </x:c>
      <x:c r="AA622" t="str">
        <x:v>0</x:v>
      </x:c>
      <x:c r="AB622" t="str">
        <x:v>N/A</x:v>
      </x:c>
      <x:c r="AC622" t="str">
        <x:v>N/A</x:v>
      </x:c>
      <x:c r="AD622" t="str">
        <x:v>N/A</x:v>
      </x:c>
      <x:c r="AE622" t="str">
        <x:v>N/A</x:v>
      </x:c>
    </x:row>
    <x:row r="623">
      <x:c r="A623" t="str">
        <x:v>51</x:v>
      </x:c>
      <x:c r="B623" t="str">
        <x:v>26808</x:v>
      </x:c>
      <x:c r="C623" t="str">
        <x:v>5</x:v>
      </x:c>
      <x:c r="D623" t="str">
        <x:v>962986</x:v>
      </x:c>
      <x:c r="E623" t="str">
        <x:v>PE AL 2250X70X9 RTO LME REC PET BCO(ULTR</x:v>
      </x:c>
      <x:c r="F623" t="str"/>
      <x:c r="G623" t="str"/>
      <x:c r="H623" t="str"/>
      <x:c r="I623" t="str">
        <x:v>ESMALTE</x:v>
      </x:c>
      <x:c r="J623" t="str">
        <x:v>BRANCO CARRARA</x:v>
      </x:c>
      <x:c r="K623" t="str">
        <x:v>0</x:v>
      </x:c>
      <x:c r="L623" t="str">
        <x:v>2</x:v>
      </x:c>
      <x:c r="M623" t="str">
        <x:v>0</x:v>
      </x:c>
      <x:c r="N623" t="str"/>
      <x:c r="O623" t="str"/>
      <x:c r="P623" t="str">
        <x:v>Liberada Para Producao</x:v>
      </x:c>
      <x:c r="Q623" t="str">
        <x:v>608933</x:v>
      </x:c>
      <x:c r="R623" t="str">
        <x:v>33,33</x:v>
      </x:c>
      <x:c r="S623" t="str"/>
      <x:c r="T623" t="str"/>
      <x:c r="U623" t="str"/>
      <x:c r="V623" t="str"/>
      <x:c r="W623" t="str">
        <x:v>N/A</x:v>
      </x:c>
      <x:c r="X623" t="str">
        <x:v>100</x:v>
      </x:c>
      <x:c r="Y623" t="str">
        <x:v>0</x:v>
      </x:c>
      <x:c r="Z623" t="str">
        <x:v>0</x:v>
      </x:c>
      <x:c r="AA623" t="str">
        <x:v>N/A</x:v>
      </x:c>
      <x:c r="AB623" t="str">
        <x:v>N/A</x:v>
      </x:c>
      <x:c r="AC623" t="str">
        <x:v>N/A</x:v>
      </x:c>
      <x:c r="AD623" t="str">
        <x:v>N/A</x:v>
      </x:c>
      <x:c r="AE623" t="str">
        <x:v>N/A</x:v>
      </x:c>
    </x:row>
    <x:row r="624">
      <x:c r="A624" t="str">
        <x:v>51</x:v>
      </x:c>
      <x:c r="B624" t="str">
        <x:v>26808</x:v>
      </x:c>
      <x:c r="C624" t="str">
        <x:v>5</x:v>
      </x:c>
      <x:c r="D624" t="str">
        <x:v>3041400201</x:v>
      </x:c>
      <x:c r="E624" t="str">
        <x:v>FO POR S GD RU HDF 3 ESM BCO CAR 2100X80</x:v>
      </x:c>
      <x:c r="F624" t="str"/>
      <x:c r="G624" t="str"/>
      <x:c r="H624" t="str"/>
      <x:c r="I624" t="str">
        <x:v>ESMALTE</x:v>
      </x:c>
      <x:c r="J624" t="str">
        <x:v>BRANCO CARRARA</x:v>
      </x:c>
      <x:c r="K624" t="str">
        <x:v>0</x:v>
      </x:c>
      <x:c r="L624" t="str">
        <x:v>1</x:v>
      </x:c>
      <x:c r="M624" t="str">
        <x:v>0,059</x:v>
      </x:c>
      <x:c r="N624" t="str"/>
      <x:c r="O624" t="str"/>
      <x:c r="P624" t="str">
        <x:v>Liberada Para Producao</x:v>
      </x:c>
      <x:c r="Q624" t="str">
        <x:v>608934</x:v>
      </x:c>
      <x:c r="R624" t="str">
        <x:v>66,67</x:v>
      </x:c>
      <x:c r="S624" t="str">
        <x:v>1</x:v>
      </x:c>
      <x:c r="T624" t="str">
        <x:v>PORTA LINHA PREMIUM</x:v>
      </x:c>
      <x:c r="U624" t="str"/>
      <x:c r="V624" t="str"/>
      <x:c r="W624" t="str">
        <x:v>N/A</x:v>
      </x:c>
      <x:c r="X624" t="str">
        <x:v>100</x:v>
      </x:c>
      <x:c r="Y624" t="str">
        <x:v>N/A</x:v>
      </x:c>
      <x:c r="Z624" t="str">
        <x:v>N/A</x:v>
      </x:c>
      <x:c r="AA624" t="str">
        <x:v>N/A</x:v>
      </x:c>
      <x:c r="AB624" t="str">
        <x:v>100</x:v>
      </x:c>
      <x:c r="AC624" t="str">
        <x:v>N/A</x:v>
      </x:c>
      <x:c r="AD624" t="str">
        <x:v>0</x:v>
      </x:c>
      <x:c r="AE624" t="str">
        <x:v>N/A</x:v>
      </x:c>
    </x:row>
    <x:row r="625">
      <x:c r="A625" t="str">
        <x:v>51</x:v>
      </x:c>
      <x:c r="B625" t="str">
        <x:v>26808</x:v>
      </x:c>
      <x:c r="C625" t="str">
        <x:v>6</x:v>
      </x:c>
      <x:c r="D625" t="str">
        <x:v>962391</x:v>
      </x:c>
      <x:c r="E625" t="str">
        <x:v>TR ALI 1100X70X9 RTO LME REC PET BCO(ULT</x:v>
      </x:c>
      <x:c r="F625" t="str"/>
      <x:c r="G625" t="str"/>
      <x:c r="H625" t="str"/>
      <x:c r="I625" t="str">
        <x:v>ESMALTE</x:v>
      </x:c>
      <x:c r="J625" t="str">
        <x:v>BRANCO CARRARA</x:v>
      </x:c>
      <x:c r="K625" t="str">
        <x:v>0</x:v>
      </x:c>
      <x:c r="L625" t="str">
        <x:v>6</x:v>
      </x:c>
      <x:c r="M625" t="str">
        <x:v>0</x:v>
      </x:c>
      <x:c r="N625" t="str"/>
      <x:c r="O625" t="str"/>
      <x:c r="P625" t="str">
        <x:v>Liberada Para Producao</x:v>
      </x:c>
      <x:c r="Q625" t="str">
        <x:v>608936</x:v>
      </x:c>
      <x:c r="R625" t="str">
        <x:v>25</x:v>
      </x:c>
      <x:c r="S625" t="str"/>
      <x:c r="T625" t="str"/>
      <x:c r="U625" t="str"/>
      <x:c r="V625" t="str"/>
      <x:c r="W625" t="str">
        <x:v>N/A</x:v>
      </x:c>
      <x:c r="X625" t="str">
        <x:v>100</x:v>
      </x:c>
      <x:c r="Y625" t="str">
        <x:v>0</x:v>
      </x:c>
      <x:c r="Z625" t="str">
        <x:v>0</x:v>
      </x:c>
      <x:c r="AA625" t="str">
        <x:v>0</x:v>
      </x:c>
      <x:c r="AB625" t="str">
        <x:v>N/A</x:v>
      </x:c>
      <x:c r="AC625" t="str">
        <x:v>N/A</x:v>
      </x:c>
      <x:c r="AD625" t="str">
        <x:v>N/A</x:v>
      </x:c>
      <x:c r="AE625" t="str">
        <x:v>N/A</x:v>
      </x:c>
    </x:row>
    <x:row r="626">
      <x:c r="A626" t="str">
        <x:v>51</x:v>
      </x:c>
      <x:c r="B626" t="str">
        <x:v>26808</x:v>
      </x:c>
      <x:c r="C626" t="str">
        <x:v>6</x:v>
      </x:c>
      <x:c r="D626" t="str">
        <x:v>962766</x:v>
      </x:c>
      <x:c r="E626" t="str">
        <x:v>PE AL 2200X70X9 RTO RL35 REC PET BCO(ULT</x:v>
      </x:c>
      <x:c r="F626" t="str"/>
      <x:c r="G626" t="str"/>
      <x:c r="H626" t="str"/>
      <x:c r="I626" t="str">
        <x:v>ESMALTE</x:v>
      </x:c>
      <x:c r="J626" t="str">
        <x:v>BRANCO CARRARA</x:v>
      </x:c>
      <x:c r="K626" t="str">
        <x:v>0</x:v>
      </x:c>
      <x:c r="L626" t="str">
        <x:v>12</x:v>
      </x:c>
      <x:c r="M626" t="str">
        <x:v>0</x:v>
      </x:c>
      <x:c r="N626" t="str"/>
      <x:c r="O626" t="str"/>
      <x:c r="P626" t="str">
        <x:v>Liberada Para Producao</x:v>
      </x:c>
      <x:c r="Q626" t="str">
        <x:v>608937</x:v>
      </x:c>
      <x:c r="R626" t="str">
        <x:v>33,33</x:v>
      </x:c>
      <x:c r="S626" t="str"/>
      <x:c r="T626" t="str"/>
      <x:c r="U626" t="str"/>
      <x:c r="V626" t="str"/>
      <x:c r="W626" t="str">
        <x:v>N/A</x:v>
      </x:c>
      <x:c r="X626" t="str">
        <x:v>100</x:v>
      </x:c>
      <x:c r="Y626" t="str">
        <x:v>0</x:v>
      </x:c>
      <x:c r="Z626" t="str">
        <x:v>0</x:v>
      </x:c>
      <x:c r="AA626" t="str">
        <x:v>N/A</x:v>
      </x:c>
      <x:c r="AB626" t="str">
        <x:v>N/A</x:v>
      </x:c>
      <x:c r="AC626" t="str">
        <x:v>N/A</x:v>
      </x:c>
      <x:c r="AD626" t="str">
        <x:v>N/A</x:v>
      </x:c>
      <x:c r="AE626" t="str">
        <x:v>N/A</x:v>
      </x:c>
    </x:row>
    <x:row r="627">
      <x:c r="A627" t="str">
        <x:v>51</x:v>
      </x:c>
      <x:c r="B627" t="str">
        <x:v>26808</x:v>
      </x:c>
      <x:c r="C627" t="str">
        <x:v>6</x:v>
      </x:c>
      <x:c r="D627" t="str">
        <x:v>962969</x:v>
      </x:c>
      <x:c r="E627" t="str">
        <x:v>TR AL 1100X70X9 RTO RL35 REC PET BCO (UL</x:v>
      </x:c>
      <x:c r="F627" t="str"/>
      <x:c r="G627" t="str"/>
      <x:c r="H627" t="str"/>
      <x:c r="I627" t="str">
        <x:v>ESMALTE</x:v>
      </x:c>
      <x:c r="J627" t="str">
        <x:v>BRANCO CARRARA</x:v>
      </x:c>
      <x:c r="K627" t="str">
        <x:v>0</x:v>
      </x:c>
      <x:c r="L627" t="str">
        <x:v>6</x:v>
      </x:c>
      <x:c r="M627" t="str">
        <x:v>0</x:v>
      </x:c>
      <x:c r="N627" t="str"/>
      <x:c r="O627" t="str"/>
      <x:c r="P627" t="str">
        <x:v>Liberada Para Producao</x:v>
      </x:c>
      <x:c r="Q627" t="str">
        <x:v>608938</x:v>
      </x:c>
      <x:c r="R627" t="str">
        <x:v>25</x:v>
      </x:c>
      <x:c r="S627" t="str"/>
      <x:c r="T627" t="str"/>
      <x:c r="U627" t="str"/>
      <x:c r="V627" t="str"/>
      <x:c r="W627" t="str">
        <x:v>N/A</x:v>
      </x:c>
      <x:c r="X627" t="str">
        <x:v>100</x:v>
      </x:c>
      <x:c r="Y627" t="str">
        <x:v>0</x:v>
      </x:c>
      <x:c r="Z627" t="str">
        <x:v>0</x:v>
      </x:c>
      <x:c r="AA627" t="str">
        <x:v>0</x:v>
      </x:c>
      <x:c r="AB627" t="str">
        <x:v>N/A</x:v>
      </x:c>
      <x:c r="AC627" t="str">
        <x:v>N/A</x:v>
      </x:c>
      <x:c r="AD627" t="str">
        <x:v>N/A</x:v>
      </x:c>
      <x:c r="AE627" t="str">
        <x:v>N/A</x:v>
      </x:c>
    </x:row>
    <x:row r="628">
      <x:c r="A628" t="str">
        <x:v>51</x:v>
      </x:c>
      <x:c r="B628" t="str">
        <x:v>26808</x:v>
      </x:c>
      <x:c r="C628" t="str">
        <x:v>6</x:v>
      </x:c>
      <x:c r="D628" t="str">
        <x:v>962986</x:v>
      </x:c>
      <x:c r="E628" t="str">
        <x:v>PE AL 2250X70X9 RTO LME REC PET BCO(ULTR</x:v>
      </x:c>
      <x:c r="F628" t="str"/>
      <x:c r="G628" t="str"/>
      <x:c r="H628" t="str"/>
      <x:c r="I628" t="str">
        <x:v>ESMALTE</x:v>
      </x:c>
      <x:c r="J628" t="str">
        <x:v>BRANCO CARRARA</x:v>
      </x:c>
      <x:c r="K628" t="str">
        <x:v>0</x:v>
      </x:c>
      <x:c r="L628" t="str">
        <x:v>12</x:v>
      </x:c>
      <x:c r="M628" t="str">
        <x:v>0</x:v>
      </x:c>
      <x:c r="N628" t="str"/>
      <x:c r="O628" t="str"/>
      <x:c r="P628" t="str">
        <x:v>Liberada Para Producao</x:v>
      </x:c>
      <x:c r="Q628" t="str">
        <x:v>608939</x:v>
      </x:c>
      <x:c r="R628" t="str">
        <x:v>33,33</x:v>
      </x:c>
      <x:c r="S628" t="str"/>
      <x:c r="T628" t="str"/>
      <x:c r="U628" t="str"/>
      <x:c r="V628" t="str"/>
      <x:c r="W628" t="str">
        <x:v>N/A</x:v>
      </x:c>
      <x:c r="X628" t="str">
        <x:v>100</x:v>
      </x:c>
      <x:c r="Y628" t="str">
        <x:v>0</x:v>
      </x:c>
      <x:c r="Z628" t="str">
        <x:v>0</x:v>
      </x:c>
      <x:c r="AA628" t="str">
        <x:v>N/A</x:v>
      </x:c>
      <x:c r="AB628" t="str">
        <x:v>N/A</x:v>
      </x:c>
      <x:c r="AC628" t="str">
        <x:v>N/A</x:v>
      </x:c>
      <x:c r="AD628" t="str">
        <x:v>N/A</x:v>
      </x:c>
      <x:c r="AE628" t="str">
        <x:v>N/A</x:v>
      </x:c>
    </x:row>
    <x:row r="629">
      <x:c r="A629" t="str">
        <x:v>51</x:v>
      </x:c>
      <x:c r="B629" t="str">
        <x:v>26808</x:v>
      </x:c>
      <x:c r="C629" t="str">
        <x:v>6</x:v>
      </x:c>
      <x:c r="D629" t="str">
        <x:v>973935</x:v>
      </x:c>
      <x:c r="E629" t="str">
        <x:v>2110x110x30 42x10 R2 BIA PET BCO U PREM</x:v>
      </x:c>
      <x:c r="F629" t="str"/>
      <x:c r="G629" t="str"/>
      <x:c r="H629" t="str"/>
      <x:c r="I629" t="str">
        <x:v>ESMALTE</x:v>
      </x:c>
      <x:c r="J629" t="str">
        <x:v>BRANCO CARRARA</x:v>
      </x:c>
      <x:c r="K629" t="str">
        <x:v>0</x:v>
      </x:c>
      <x:c r="L629" t="str">
        <x:v>12</x:v>
      </x:c>
      <x:c r="M629" t="str">
        <x:v>0</x:v>
      </x:c>
      <x:c r="N629" t="str"/>
      <x:c r="O629" t="str"/>
      <x:c r="P629" t="str">
        <x:v>Liberada Para Producao</x:v>
      </x:c>
      <x:c r="Q629" t="str">
        <x:v>608940</x:v>
      </x:c>
      <x:c r="R629" t="str">
        <x:v>0</x:v>
      </x:c>
      <x:c r="S629" t="str"/>
      <x:c r="T629" t="str"/>
      <x:c r="U629" t="str"/>
      <x:c r="V629" t="str"/>
      <x:c r="W629" t="str">
        <x:v>N/A</x:v>
      </x:c>
      <x:c r="X629" t="str">
        <x:v>N/A</x:v>
      </x:c>
      <x:c r="Y629" t="str">
        <x:v>0</x:v>
      </x:c>
      <x:c r="Z629" t="str">
        <x:v>0</x:v>
      </x:c>
      <x:c r="AA629" t="str">
        <x:v>0</x:v>
      </x:c>
      <x:c r="AB629" t="str">
        <x:v>N/A</x:v>
      </x:c>
      <x:c r="AC629" t="str">
        <x:v>N/A</x:v>
      </x:c>
      <x:c r="AD629" t="str">
        <x:v>N/A</x:v>
      </x:c>
      <x:c r="AE629" t="str">
        <x:v>N/A</x:v>
      </x:c>
    </x:row>
    <x:row r="630">
      <x:c r="A630" t="str">
        <x:v>51</x:v>
      </x:c>
      <x:c r="B630" t="str">
        <x:v>26808</x:v>
      </x:c>
      <x:c r="C630" t="str">
        <x:v>6</x:v>
      </x:c>
      <x:c r="D630" t="str">
        <x:v>973936</x:v>
      </x:c>
      <x:c r="E630" t="str">
        <x:v>847x110x30 42x10 R2L BIA PET BCO PRE</x:v>
      </x:c>
      <x:c r="F630" t="str"/>
      <x:c r="G630" t="str"/>
      <x:c r="H630" t="str"/>
      <x:c r="I630" t="str">
        <x:v>ESMALTE</x:v>
      </x:c>
      <x:c r="J630" t="str">
        <x:v>BRANCO CARRARA</x:v>
      </x:c>
      <x:c r="K630" t="str">
        <x:v>0</x:v>
      </x:c>
      <x:c r="L630" t="str">
        <x:v>6</x:v>
      </x:c>
      <x:c r="M630" t="str">
        <x:v>0</x:v>
      </x:c>
      <x:c r="N630" t="str"/>
      <x:c r="O630" t="str"/>
      <x:c r="P630" t="str">
        <x:v>Liberada Para Producao</x:v>
      </x:c>
      <x:c r="Q630" t="str">
        <x:v>608941</x:v>
      </x:c>
      <x:c r="R630" t="str">
        <x:v>0</x:v>
      </x:c>
      <x:c r="S630" t="str"/>
      <x:c r="T630" t="str"/>
      <x:c r="U630" t="str"/>
      <x:c r="V630" t="str"/>
      <x:c r="W630" t="str">
        <x:v>N/A</x:v>
      </x:c>
      <x:c r="X630" t="str">
        <x:v>N/A</x:v>
      </x:c>
      <x:c r="Y630" t="str">
        <x:v>0</x:v>
      </x:c>
      <x:c r="Z630" t="str">
        <x:v>0</x:v>
      </x:c>
      <x:c r="AA630" t="str">
        <x:v>0</x:v>
      </x:c>
      <x:c r="AB630" t="str">
        <x:v>N/A</x:v>
      </x:c>
      <x:c r="AC630" t="str">
        <x:v>N/A</x:v>
      </x:c>
      <x:c r="AD630" t="str">
        <x:v>N/A</x:v>
      </x:c>
      <x:c r="AE630" t="str">
        <x:v>N/A</x:v>
      </x:c>
    </x:row>
    <x:row r="631">
      <x:c r="A631" t="str">
        <x:v>51</x:v>
      </x:c>
      <x:c r="B631" t="str">
        <x:v>26808</x:v>
      </x:c>
      <x:c r="C631" t="str">
        <x:v>6</x:v>
      </x:c>
      <x:c r="D631" t="str">
        <x:v>3041400201</x:v>
      </x:c>
      <x:c r="E631" t="str">
        <x:v>FO POR S GD RU HDF 3 ESM BCO CAR 2100X80</x:v>
      </x:c>
      <x:c r="F631" t="str"/>
      <x:c r="G631" t="str"/>
      <x:c r="H631" t="str"/>
      <x:c r="I631" t="str">
        <x:v>ESMALTE</x:v>
      </x:c>
      <x:c r="J631" t="str">
        <x:v>BRANCO CARRARA</x:v>
      </x:c>
      <x:c r="K631" t="str">
        <x:v>0</x:v>
      </x:c>
      <x:c r="L631" t="str">
        <x:v>6</x:v>
      </x:c>
      <x:c r="M631" t="str">
        <x:v>0,353</x:v>
      </x:c>
      <x:c r="N631" t="str"/>
      <x:c r="O631" t="str"/>
      <x:c r="P631" t="str">
        <x:v>Liberada Para Producao</x:v>
      </x:c>
      <x:c r="Q631" t="str">
        <x:v>608942</x:v>
      </x:c>
      <x:c r="R631" t="str">
        <x:v>66,67</x:v>
      </x:c>
      <x:c r="S631" t="str">
        <x:v>1</x:v>
      </x:c>
      <x:c r="T631" t="str">
        <x:v>PORTA LINHA PREMIUM</x:v>
      </x:c>
      <x:c r="U631" t="str"/>
      <x:c r="V631" t="str"/>
      <x:c r="W631" t="str">
        <x:v>N/A</x:v>
      </x:c>
      <x:c r="X631" t="str">
        <x:v>100</x:v>
      </x:c>
      <x:c r="Y631" t="str">
        <x:v>N/A</x:v>
      </x:c>
      <x:c r="Z631" t="str">
        <x:v>N/A</x:v>
      </x:c>
      <x:c r="AA631" t="str">
        <x:v>N/A</x:v>
      </x:c>
      <x:c r="AB631" t="str">
        <x:v>100</x:v>
      </x:c>
      <x:c r="AC631" t="str">
        <x:v>N/A</x:v>
      </x:c>
      <x:c r="AD631" t="str">
        <x:v>0</x:v>
      </x:c>
      <x:c r="AE631" t="str">
        <x:v>N/A</x:v>
      </x:c>
    </x:row>
    <x:row r="632">
      <x:c r="A632" t="str">
        <x:v>51</x:v>
      </x:c>
      <x:c r="B632" t="str">
        <x:v>26826</x:v>
      </x:c>
      <x:c r="C632" t="str">
        <x:v>2</x:v>
      </x:c>
      <x:c r="D632" t="str">
        <x:v>2010600172</x:v>
      </x:c>
      <x:c r="E632" t="str">
        <x:v>M P MDF STD PET TXT BCO 2130X110X30 S/RE</x:v>
      </x:c>
      <x:c r="F632" t="str">
        <x:v>MDF STD</x:v>
      </x:c>
      <x:c r="G632" t="str">
        <x:v>S/CANAL</x:v>
      </x:c>
      <x:c r="H632" t="str">
        <x:v>S/REB</x:v>
      </x:c>
      <x:c r="I632" t="str">
        <x:v>RECOBERTO PET TXT</x:v>
      </x:c>
      <x:c r="J632" t="str">
        <x:v>BRANCO</x:v>
      </x:c>
      <x:c r="K632" t="str">
        <x:v>0</x:v>
      </x:c>
      <x:c r="L632" t="str">
        <x:v>124</x:v>
      </x:c>
      <x:c r="M632" t="str">
        <x:v>0,872</x:v>
      </x:c>
      <x:c r="N632" t="str"/>
      <x:c r="O632" t="str"/>
      <x:c r="P632" t="str">
        <x:v>Liberada Para Producao</x:v>
      </x:c>
      <x:c r="Q632" t="str">
        <x:v>609059</x:v>
      </x:c>
      <x:c r="R632" t="str">
        <x:v>0</x:v>
      </x:c>
      <x:c r="S632" t="str">
        <x:v>1550</x:v>
      </x:c>
      <x:c r="T632" t="str">
        <x:v>PERNA BAT PRM DE CORRER(SEMI</x:v>
      </x:c>
      <x:c r="U632" t="str"/>
      <x:c r="V632" t="str"/>
      <x:c r="W632" t="str">
        <x:v>N/A</x:v>
      </x:c>
      <x:c r="X632" t="str">
        <x:v>N/A</x:v>
      </x:c>
      <x:c r="Y632" t="str">
        <x:v>N/A</x:v>
      </x:c>
      <x:c r="Z632" t="str">
        <x:v>0</x:v>
      </x:c>
      <x:c r="AA632" t="str">
        <x:v>N/A</x:v>
      </x:c>
      <x:c r="AB632" t="str">
        <x:v>N/A</x:v>
      </x:c>
      <x:c r="AC632" t="str">
        <x:v>N/A</x:v>
      </x:c>
      <x:c r="AD632" t="str">
        <x:v>N/A</x:v>
      </x:c>
      <x:c r="AE632" t="str">
        <x:v>N/A</x:v>
      </x:c>
    </x:row>
    <x:row r="633">
      <x:c r="A633" t="str">
        <x:v>51</x:v>
      </x:c>
      <x:c r="B633" t="str">
        <x:v>26739</x:v>
      </x:c>
      <x:c r="C633" t="str">
        <x:v>14</x:v>
      </x:c>
      <x:c r="D633" t="str">
        <x:v>2010700372</x:v>
      </x:c>
      <x:c r="E633" t="str">
        <x:v>M P ULTRA PET BCO CAR 2130X90X30 S/REB R</x:v>
      </x:c>
      <x:c r="F633" t="str">
        <x:v>MDF ULTRA</x:v>
      </x:c>
      <x:c r="G633" t="str">
        <x:v>S/CANAL</x:v>
      </x:c>
      <x:c r="H633" t="str">
        <x:v>S/REB</x:v>
      </x:c>
      <x:c r="I633" t="str">
        <x:v>RECOBERTO PET</x:v>
      </x:c>
      <x:c r="J633" t="str">
        <x:v>BRANCO CARRARA</x:v>
      </x:c>
      <x:c r="K633" t="str">
        <x:v>0</x:v>
      </x:c>
      <x:c r="L633" t="str">
        <x:v>14</x:v>
      </x:c>
      <x:c r="M633" t="str">
        <x:v>0,081</x:v>
      </x:c>
      <x:c r="N633" t="str"/>
      <x:c r="O633" t="str"/>
      <x:c r="P633" t="str">
        <x:v>Liberada Para Producao</x:v>
      </x:c>
      <x:c r="Q633" t="str">
        <x:v>609681</x:v>
      </x:c>
      <x:c r="R633" t="str">
        <x:v>66,67</x:v>
      </x:c>
      <x:c r="S633" t="str">
        <x:v>1550</x:v>
      </x:c>
      <x:c r="T633" t="str">
        <x:v>PERNA BAT PRM DE CORRER(SEMI</x:v>
      </x:c>
      <x:c r="U633" t="str"/>
      <x:c r="V633" t="str"/>
      <x:c r="W633" t="str">
        <x:v>100</x:v>
      </x:c>
      <x:c r="X633" t="str">
        <x:v>100</x:v>
      </x:c>
      <x:c r="Y633" t="str">
        <x:v>N/A</x:v>
      </x:c>
      <x:c r="Z633" t="str">
        <x:v>0</x:v>
      </x:c>
      <x:c r="AA633" t="str">
        <x:v>N/A</x:v>
      </x:c>
      <x:c r="AB633" t="str">
        <x:v>N/A</x:v>
      </x:c>
      <x:c r="AC633" t="str">
        <x:v>N/A</x:v>
      </x:c>
      <x:c r="AD633" t="str">
        <x:v>N/A</x:v>
      </x:c>
      <x:c r="AE633" t="str">
        <x:v>N/A</x:v>
      </x:c>
    </x:row>
    <x:row r="634">
      <x:c r="A634" t="str">
        <x:v>51</x:v>
      </x:c>
      <x:c r="B634" t="str">
        <x:v>26808</x:v>
      </x:c>
      <x:c r="C634" t="str">
        <x:v>7</x:v>
      </x:c>
      <x:c r="D634" t="str">
        <x:v>962391</x:v>
      </x:c>
      <x:c r="E634" t="str">
        <x:v>TR ALI 1100X70X9 RTO LME REC PET BCO(ULT</x:v>
      </x:c>
      <x:c r="F634" t="str"/>
      <x:c r="G634" t="str"/>
      <x:c r="H634" t="str"/>
      <x:c r="I634" t="str">
        <x:v>ESMALTE</x:v>
      </x:c>
      <x:c r="J634" t="str">
        <x:v>BRANCO CARRARA</x:v>
      </x:c>
      <x:c r="K634" t="str">
        <x:v>0</x:v>
      </x:c>
      <x:c r="L634" t="str">
        <x:v>4</x:v>
      </x:c>
      <x:c r="M634" t="str">
        <x:v>0</x:v>
      </x:c>
      <x:c r="N634" t="str"/>
      <x:c r="O634" t="str"/>
      <x:c r="P634" t="str">
        <x:v>Liberada Para Producao</x:v>
      </x:c>
      <x:c r="Q634" t="str">
        <x:v>608946</x:v>
      </x:c>
      <x:c r="R634" t="str">
        <x:v>25</x:v>
      </x:c>
      <x:c r="S634" t="str"/>
      <x:c r="T634" t="str"/>
      <x:c r="U634" t="str"/>
      <x:c r="V634" t="str"/>
      <x:c r="W634" t="str">
        <x:v>N/A</x:v>
      </x:c>
      <x:c r="X634" t="str">
        <x:v>100</x:v>
      </x:c>
      <x:c r="Y634" t="str">
        <x:v>0</x:v>
      </x:c>
      <x:c r="Z634" t="str">
        <x:v>0</x:v>
      </x:c>
      <x:c r="AA634" t="str">
        <x:v>0</x:v>
      </x:c>
      <x:c r="AB634" t="str">
        <x:v>N/A</x:v>
      </x:c>
      <x:c r="AC634" t="str">
        <x:v>N/A</x:v>
      </x:c>
      <x:c r="AD634" t="str">
        <x:v>N/A</x:v>
      </x:c>
      <x:c r="AE634" t="str">
        <x:v>N/A</x:v>
      </x:c>
    </x:row>
    <x:row r="635">
      <x:c r="A635" t="str">
        <x:v>51</x:v>
      </x:c>
      <x:c r="B635" t="str">
        <x:v>26808</x:v>
      </x:c>
      <x:c r="C635" t="str">
        <x:v>7</x:v>
      </x:c>
      <x:c r="D635" t="str">
        <x:v>962766</x:v>
      </x:c>
      <x:c r="E635" t="str">
        <x:v>PE AL 2200X70X9 RTO RL35 REC PET BCO(ULT</x:v>
      </x:c>
      <x:c r="F635" t="str"/>
      <x:c r="G635" t="str"/>
      <x:c r="H635" t="str"/>
      <x:c r="I635" t="str">
        <x:v>ESMALTE</x:v>
      </x:c>
      <x:c r="J635" t="str">
        <x:v>BRANCO CARRARA</x:v>
      </x:c>
      <x:c r="K635" t="str">
        <x:v>0</x:v>
      </x:c>
      <x:c r="L635" t="str">
        <x:v>8</x:v>
      </x:c>
      <x:c r="M635" t="str">
        <x:v>0</x:v>
      </x:c>
      <x:c r="N635" t="str"/>
      <x:c r="O635" t="str"/>
      <x:c r="P635" t="str">
        <x:v>Liberada Para Producao</x:v>
      </x:c>
      <x:c r="Q635" t="str">
        <x:v>608947</x:v>
      </x:c>
      <x:c r="R635" t="str">
        <x:v>33,33</x:v>
      </x:c>
      <x:c r="S635" t="str"/>
      <x:c r="T635" t="str"/>
      <x:c r="U635" t="str"/>
      <x:c r="V635" t="str"/>
      <x:c r="W635" t="str">
        <x:v>N/A</x:v>
      </x:c>
      <x:c r="X635" t="str">
        <x:v>100</x:v>
      </x:c>
      <x:c r="Y635" t="str">
        <x:v>0</x:v>
      </x:c>
      <x:c r="Z635" t="str">
        <x:v>0</x:v>
      </x:c>
      <x:c r="AA635" t="str">
        <x:v>N/A</x:v>
      </x:c>
      <x:c r="AB635" t="str">
        <x:v>N/A</x:v>
      </x:c>
      <x:c r="AC635" t="str">
        <x:v>N/A</x:v>
      </x:c>
      <x:c r="AD635" t="str">
        <x:v>N/A</x:v>
      </x:c>
      <x:c r="AE635" t="str">
        <x:v>N/A</x:v>
      </x:c>
    </x:row>
    <x:row r="636">
      <x:c r="A636" t="str">
        <x:v>51</x:v>
      </x:c>
      <x:c r="B636" t="str">
        <x:v>26808</x:v>
      </x:c>
      <x:c r="C636" t="str">
        <x:v>7</x:v>
      </x:c>
      <x:c r="D636" t="str">
        <x:v>962969</x:v>
      </x:c>
      <x:c r="E636" t="str">
        <x:v>TR AL 1100X70X9 RTO RL35 REC PET BCO (UL</x:v>
      </x:c>
      <x:c r="F636" t="str"/>
      <x:c r="G636" t="str"/>
      <x:c r="H636" t="str"/>
      <x:c r="I636" t="str">
        <x:v>ESMALTE</x:v>
      </x:c>
      <x:c r="J636" t="str">
        <x:v>BRANCO CARRARA</x:v>
      </x:c>
      <x:c r="K636" t="str">
        <x:v>0</x:v>
      </x:c>
      <x:c r="L636" t="str">
        <x:v>4</x:v>
      </x:c>
      <x:c r="M636" t="str">
        <x:v>0</x:v>
      </x:c>
      <x:c r="N636" t="str"/>
      <x:c r="O636" t="str"/>
      <x:c r="P636" t="str">
        <x:v>Liberada Para Producao</x:v>
      </x:c>
      <x:c r="Q636" t="str">
        <x:v>608948</x:v>
      </x:c>
      <x:c r="R636" t="str">
        <x:v>25</x:v>
      </x:c>
      <x:c r="S636" t="str"/>
      <x:c r="T636" t="str"/>
      <x:c r="U636" t="str"/>
      <x:c r="V636" t="str"/>
      <x:c r="W636" t="str">
        <x:v>N/A</x:v>
      </x:c>
      <x:c r="X636" t="str">
        <x:v>100</x:v>
      </x:c>
      <x:c r="Y636" t="str">
        <x:v>0</x:v>
      </x:c>
      <x:c r="Z636" t="str">
        <x:v>0</x:v>
      </x:c>
      <x:c r="AA636" t="str">
        <x:v>0</x:v>
      </x:c>
      <x:c r="AB636" t="str">
        <x:v>N/A</x:v>
      </x:c>
      <x:c r="AC636" t="str">
        <x:v>N/A</x:v>
      </x:c>
      <x:c r="AD636" t="str">
        <x:v>N/A</x:v>
      </x:c>
      <x:c r="AE636" t="str">
        <x:v>N/A</x:v>
      </x:c>
    </x:row>
    <x:row r="637">
      <x:c r="A637" t="str">
        <x:v>51</x:v>
      </x:c>
      <x:c r="B637" t="str">
        <x:v>26808</x:v>
      </x:c>
      <x:c r="C637" t="str">
        <x:v>7</x:v>
      </x:c>
      <x:c r="D637" t="str">
        <x:v>962986</x:v>
      </x:c>
      <x:c r="E637" t="str">
        <x:v>PE AL 2250X70X9 RTO LME REC PET BCO(ULTR</x:v>
      </x:c>
      <x:c r="F637" t="str"/>
      <x:c r="G637" t="str"/>
      <x:c r="H637" t="str"/>
      <x:c r="I637" t="str">
        <x:v>ESMALTE</x:v>
      </x:c>
      <x:c r="J637" t="str">
        <x:v>BRANCO CARRARA</x:v>
      </x:c>
      <x:c r="K637" t="str">
        <x:v>0</x:v>
      </x:c>
      <x:c r="L637" t="str">
        <x:v>8</x:v>
      </x:c>
      <x:c r="M637" t="str">
        <x:v>0</x:v>
      </x:c>
      <x:c r="N637" t="str"/>
      <x:c r="O637" t="str"/>
      <x:c r="P637" t="str">
        <x:v>Liberada Para Producao</x:v>
      </x:c>
      <x:c r="Q637" t="str">
        <x:v>608949</x:v>
      </x:c>
      <x:c r="R637" t="str">
        <x:v>33,33</x:v>
      </x:c>
      <x:c r="S637" t="str"/>
      <x:c r="T637" t="str"/>
      <x:c r="U637" t="str"/>
      <x:c r="V637" t="str"/>
      <x:c r="W637" t="str">
        <x:v>N/A</x:v>
      </x:c>
      <x:c r="X637" t="str">
        <x:v>100</x:v>
      </x:c>
      <x:c r="Y637" t="str">
        <x:v>0</x:v>
      </x:c>
      <x:c r="Z637" t="str">
        <x:v>0</x:v>
      </x:c>
      <x:c r="AA637" t="str">
        <x:v>N/A</x:v>
      </x:c>
      <x:c r="AB637" t="str">
        <x:v>N/A</x:v>
      </x:c>
      <x:c r="AC637" t="str">
        <x:v>N/A</x:v>
      </x:c>
      <x:c r="AD637" t="str">
        <x:v>N/A</x:v>
      </x:c>
      <x:c r="AE637" t="str">
        <x:v>N/A</x:v>
      </x:c>
    </x:row>
    <x:row r="638">
      <x:c r="A638" t="str">
        <x:v>51</x:v>
      </x:c>
      <x:c r="B638" t="str">
        <x:v>26808</x:v>
      </x:c>
      <x:c r="C638" t="str">
        <x:v>7</x:v>
      </x:c>
      <x:c r="D638" t="str">
        <x:v>3041400201</x:v>
      </x:c>
      <x:c r="E638" t="str">
        <x:v>FO POR S GD RU HDF 3 ESM BCO CAR 2100X80</x:v>
      </x:c>
      <x:c r="F638" t="str"/>
      <x:c r="G638" t="str"/>
      <x:c r="H638" t="str"/>
      <x:c r="I638" t="str">
        <x:v>ESMALTE</x:v>
      </x:c>
      <x:c r="J638" t="str">
        <x:v>BRANCO CARRARA</x:v>
      </x:c>
      <x:c r="K638" t="str">
        <x:v>0</x:v>
      </x:c>
      <x:c r="L638" t="str">
        <x:v>4</x:v>
      </x:c>
      <x:c r="M638" t="str">
        <x:v>0,235</x:v>
      </x:c>
      <x:c r="N638" t="str"/>
      <x:c r="O638" t="str"/>
      <x:c r="P638" t="str">
        <x:v>Liberada Para Producao</x:v>
      </x:c>
      <x:c r="Q638" t="str">
        <x:v>608950</x:v>
      </x:c>
      <x:c r="R638" t="str">
        <x:v>66,67</x:v>
      </x:c>
      <x:c r="S638" t="str">
        <x:v>1</x:v>
      </x:c>
      <x:c r="T638" t="str">
        <x:v>PORTA LINHA PREMIUM</x:v>
      </x:c>
      <x:c r="U638" t="str"/>
      <x:c r="V638" t="str"/>
      <x:c r="W638" t="str">
        <x:v>N/A</x:v>
      </x:c>
      <x:c r="X638" t="str">
        <x:v>100</x:v>
      </x:c>
      <x:c r="Y638" t="str">
        <x:v>N/A</x:v>
      </x:c>
      <x:c r="Z638" t="str">
        <x:v>N/A</x:v>
      </x:c>
      <x:c r="AA638" t="str">
        <x:v>N/A</x:v>
      </x:c>
      <x:c r="AB638" t="str">
        <x:v>100</x:v>
      </x:c>
      <x:c r="AC638" t="str">
        <x:v>N/A</x:v>
      </x:c>
      <x:c r="AD638" t="str">
        <x:v>0</x:v>
      </x:c>
      <x:c r="AE638" t="str">
        <x:v>N/A</x:v>
      </x:c>
    </x:row>
    <x:row r="639">
      <x:c r="A639" t="str">
        <x:v>51</x:v>
      </x:c>
      <x:c r="B639" t="str">
        <x:v>26808</x:v>
      </x:c>
      <x:c r="C639" t="str">
        <x:v>8</x:v>
      </x:c>
      <x:c r="D639" t="str">
        <x:v>674638</x:v>
      </x:c>
      <x:c r="E639" t="str">
        <x:v>2110x90x30 42X10 R2 BIA PET BC U (MCMV)</x:v>
      </x:c>
      <x:c r="F639" t="str"/>
      <x:c r="G639" t="str"/>
      <x:c r="H639" t="str"/>
      <x:c r="I639" t="str">
        <x:v>ESMALTE</x:v>
      </x:c>
      <x:c r="J639" t="str">
        <x:v>BRANCO CARRARA</x:v>
      </x:c>
      <x:c r="K639" t="str">
        <x:v>0</x:v>
      </x:c>
      <x:c r="L639" t="str">
        <x:v>44</x:v>
      </x:c>
      <x:c r="M639" t="str">
        <x:v>0,251</x:v>
      </x:c>
      <x:c r="N639" t="str"/>
      <x:c r="O639" t="str"/>
      <x:c r="P639" t="str">
        <x:v>Liberada Para Producao</x:v>
      </x:c>
      <x:c r="Q639" t="str">
        <x:v>608952</x:v>
      </x:c>
      <x:c r="R639" t="str">
        <x:v>0</x:v>
      </x:c>
      <x:c r="S639" t="str"/>
      <x:c r="T639" t="str"/>
      <x:c r="U639" t="str"/>
      <x:c r="V639" t="str"/>
      <x:c r="W639" t="str">
        <x:v>N/A</x:v>
      </x:c>
      <x:c r="X639" t="str">
        <x:v>N/A</x:v>
      </x:c>
      <x:c r="Y639" t="str">
        <x:v>0</x:v>
      </x:c>
      <x:c r="Z639" t="str">
        <x:v>0</x:v>
      </x:c>
      <x:c r="AA639" t="str">
        <x:v>0</x:v>
      </x:c>
      <x:c r="AB639" t="str">
        <x:v>N/A</x:v>
      </x:c>
      <x:c r="AC639" t="str">
        <x:v>N/A</x:v>
      </x:c>
      <x:c r="AD639" t="str">
        <x:v>N/A</x:v>
      </x:c>
      <x:c r="AE639" t="str">
        <x:v>N/A</x:v>
      </x:c>
    </x:row>
    <x:row r="640">
      <x:c r="A640" t="str">
        <x:v>51</x:v>
      </x:c>
      <x:c r="B640" t="str">
        <x:v>26808</x:v>
      </x:c>
      <x:c r="C640" t="str">
        <x:v>8</x:v>
      </x:c>
      <x:c r="D640" t="str">
        <x:v>675810</x:v>
      </x:c>
      <x:c r="E640" t="str">
        <x:v>847x90x30 42x10 R2L BIA PET BCO(PREMIUM)</x:v>
      </x:c>
      <x:c r="F640" t="str"/>
      <x:c r="G640" t="str"/>
      <x:c r="H640" t="str"/>
      <x:c r="I640" t="str">
        <x:v>ESMALTE</x:v>
      </x:c>
      <x:c r="J640" t="str">
        <x:v>BRANCO CARRARA</x:v>
      </x:c>
      <x:c r="K640" t="str">
        <x:v>0</x:v>
      </x:c>
      <x:c r="L640" t="str">
        <x:v>22</x:v>
      </x:c>
      <x:c r="M640" t="str">
        <x:v>0</x:v>
      </x:c>
      <x:c r="N640" t="str"/>
      <x:c r="O640" t="str"/>
      <x:c r="P640" t="str">
        <x:v>Liberada Para Producao</x:v>
      </x:c>
      <x:c r="Q640" t="str">
        <x:v>608953</x:v>
      </x:c>
      <x:c r="R640" t="str">
        <x:v>0</x:v>
      </x:c>
      <x:c r="S640" t="str"/>
      <x:c r="T640" t="str"/>
      <x:c r="U640" t="str"/>
      <x:c r="V640" t="str"/>
      <x:c r="W640" t="str">
        <x:v>N/A</x:v>
      </x:c>
      <x:c r="X640" t="str">
        <x:v>N/A</x:v>
      </x:c>
      <x:c r="Y640" t="str">
        <x:v>0</x:v>
      </x:c>
      <x:c r="Z640" t="str">
        <x:v>0</x:v>
      </x:c>
      <x:c r="AA640" t="str">
        <x:v>0</x:v>
      </x:c>
      <x:c r="AB640" t="str">
        <x:v>N/A</x:v>
      </x:c>
      <x:c r="AC640" t="str">
        <x:v>N/A</x:v>
      </x:c>
      <x:c r="AD640" t="str">
        <x:v>N/A</x:v>
      </x:c>
      <x:c r="AE640" t="str">
        <x:v>N/A</x:v>
      </x:c>
    </x:row>
    <x:row r="641">
      <x:c r="A641" t="str">
        <x:v>51</x:v>
      </x:c>
      <x:c r="B641" t="str">
        <x:v>26808</x:v>
      </x:c>
      <x:c r="C641" t="str">
        <x:v>8</x:v>
      </x:c>
      <x:c r="D641" t="str">
        <x:v>962391</x:v>
      </x:c>
      <x:c r="E641" t="str">
        <x:v>TR ALI 1100X70X9 RTO LME REC PET BCO(ULT</x:v>
      </x:c>
      <x:c r="F641" t="str"/>
      <x:c r="G641" t="str"/>
      <x:c r="H641" t="str"/>
      <x:c r="I641" t="str">
        <x:v>ESMALTE</x:v>
      </x:c>
      <x:c r="J641" t="str">
        <x:v>BRANCO CARRARA</x:v>
      </x:c>
      <x:c r="K641" t="str">
        <x:v>0</x:v>
      </x:c>
      <x:c r="L641" t="str">
        <x:v>22</x:v>
      </x:c>
      <x:c r="M641" t="str">
        <x:v>0</x:v>
      </x:c>
      <x:c r="N641" t="str"/>
      <x:c r="O641" t="str"/>
      <x:c r="P641" t="str">
        <x:v>Liberada Para Producao</x:v>
      </x:c>
      <x:c r="Q641" t="str">
        <x:v>608954</x:v>
      </x:c>
      <x:c r="R641" t="str">
        <x:v>25</x:v>
      </x:c>
      <x:c r="S641" t="str"/>
      <x:c r="T641" t="str"/>
      <x:c r="U641" t="str"/>
      <x:c r="V641" t="str"/>
      <x:c r="W641" t="str">
        <x:v>N/A</x:v>
      </x:c>
      <x:c r="X641" t="str">
        <x:v>100</x:v>
      </x:c>
      <x:c r="Y641" t="str">
        <x:v>0</x:v>
      </x:c>
      <x:c r="Z641" t="str">
        <x:v>0</x:v>
      </x:c>
      <x:c r="AA641" t="str">
        <x:v>0</x:v>
      </x:c>
      <x:c r="AB641" t="str">
        <x:v>N/A</x:v>
      </x:c>
      <x:c r="AC641" t="str">
        <x:v>N/A</x:v>
      </x:c>
      <x:c r="AD641" t="str">
        <x:v>N/A</x:v>
      </x:c>
      <x:c r="AE641" t="str">
        <x:v>N/A</x:v>
      </x:c>
    </x:row>
    <x:row r="642">
      <x:c r="A642" t="str">
        <x:v>51</x:v>
      </x:c>
      <x:c r="B642" t="str">
        <x:v>26808</x:v>
      </x:c>
      <x:c r="C642" t="str">
        <x:v>8</x:v>
      </x:c>
      <x:c r="D642" t="str">
        <x:v>962766</x:v>
      </x:c>
      <x:c r="E642" t="str">
        <x:v>PE AL 2200X70X9 RTO RL35 REC PET BCO(ULT</x:v>
      </x:c>
      <x:c r="F642" t="str"/>
      <x:c r="G642" t="str"/>
      <x:c r="H642" t="str"/>
      <x:c r="I642" t="str">
        <x:v>ESMALTE</x:v>
      </x:c>
      <x:c r="J642" t="str">
        <x:v>BRANCO CARRARA</x:v>
      </x:c>
      <x:c r="K642" t="str">
        <x:v>0</x:v>
      </x:c>
      <x:c r="L642" t="str">
        <x:v>44</x:v>
      </x:c>
      <x:c r="M642" t="str">
        <x:v>0</x:v>
      </x:c>
      <x:c r="N642" t="str"/>
      <x:c r="O642" t="str"/>
      <x:c r="P642" t="str">
        <x:v>Liberada Para Producao</x:v>
      </x:c>
      <x:c r="Q642" t="str">
        <x:v>608955</x:v>
      </x:c>
      <x:c r="R642" t="str">
        <x:v>33,33</x:v>
      </x:c>
      <x:c r="S642" t="str"/>
      <x:c r="T642" t="str"/>
      <x:c r="U642" t="str"/>
      <x:c r="V642" t="str"/>
      <x:c r="W642" t="str">
        <x:v>N/A</x:v>
      </x:c>
      <x:c r="X642" t="str">
        <x:v>100</x:v>
      </x:c>
      <x:c r="Y642" t="str">
        <x:v>0</x:v>
      </x:c>
      <x:c r="Z642" t="str">
        <x:v>0</x:v>
      </x:c>
      <x:c r="AA642" t="str">
        <x:v>N/A</x:v>
      </x:c>
      <x:c r="AB642" t="str">
        <x:v>N/A</x:v>
      </x:c>
      <x:c r="AC642" t="str">
        <x:v>N/A</x:v>
      </x:c>
      <x:c r="AD642" t="str">
        <x:v>N/A</x:v>
      </x:c>
      <x:c r="AE642" t="str">
        <x:v>N/A</x:v>
      </x:c>
    </x:row>
    <x:row r="643">
      <x:c r="A643" t="str">
        <x:v>51</x:v>
      </x:c>
      <x:c r="B643" t="str">
        <x:v>26808</x:v>
      </x:c>
      <x:c r="C643" t="str">
        <x:v>8</x:v>
      </x:c>
      <x:c r="D643" t="str">
        <x:v>962969</x:v>
      </x:c>
      <x:c r="E643" t="str">
        <x:v>TR AL 1100X70X9 RTO RL35 REC PET BCO (UL</x:v>
      </x:c>
      <x:c r="F643" t="str"/>
      <x:c r="G643" t="str"/>
      <x:c r="H643" t="str"/>
      <x:c r="I643" t="str">
        <x:v>ESMALTE</x:v>
      </x:c>
      <x:c r="J643" t="str">
        <x:v>BRANCO CARRARA</x:v>
      </x:c>
      <x:c r="K643" t="str">
        <x:v>0</x:v>
      </x:c>
      <x:c r="L643" t="str">
        <x:v>22</x:v>
      </x:c>
      <x:c r="M643" t="str">
        <x:v>0</x:v>
      </x:c>
      <x:c r="N643" t="str"/>
      <x:c r="O643" t="str"/>
      <x:c r="P643" t="str">
        <x:v>Liberada Para Producao</x:v>
      </x:c>
      <x:c r="Q643" t="str">
        <x:v>608956</x:v>
      </x:c>
      <x:c r="R643" t="str">
        <x:v>25</x:v>
      </x:c>
      <x:c r="S643" t="str"/>
      <x:c r="T643" t="str"/>
      <x:c r="U643" t="str"/>
      <x:c r="V643" t="str"/>
      <x:c r="W643" t="str">
        <x:v>N/A</x:v>
      </x:c>
      <x:c r="X643" t="str">
        <x:v>100</x:v>
      </x:c>
      <x:c r="Y643" t="str">
        <x:v>0</x:v>
      </x:c>
      <x:c r="Z643" t="str">
        <x:v>0</x:v>
      </x:c>
      <x:c r="AA643" t="str">
        <x:v>0</x:v>
      </x:c>
      <x:c r="AB643" t="str">
        <x:v>N/A</x:v>
      </x:c>
      <x:c r="AC643" t="str">
        <x:v>N/A</x:v>
      </x:c>
      <x:c r="AD643" t="str">
        <x:v>N/A</x:v>
      </x:c>
      <x:c r="AE643" t="str">
        <x:v>N/A</x:v>
      </x:c>
    </x:row>
    <x:row r="644">
      <x:c r="A644" t="str">
        <x:v>51</x:v>
      </x:c>
      <x:c r="B644" t="str">
        <x:v>26808</x:v>
      </x:c>
      <x:c r="C644" t="str">
        <x:v>8</x:v>
      </x:c>
      <x:c r="D644" t="str">
        <x:v>962986</x:v>
      </x:c>
      <x:c r="E644" t="str">
        <x:v>PE AL 2250X70X9 RTO LME REC PET BCO(ULTR</x:v>
      </x:c>
      <x:c r="F644" t="str"/>
      <x:c r="G644" t="str"/>
      <x:c r="H644" t="str"/>
      <x:c r="I644" t="str">
        <x:v>ESMALTE</x:v>
      </x:c>
      <x:c r="J644" t="str">
        <x:v>BRANCO CARRARA</x:v>
      </x:c>
      <x:c r="K644" t="str">
        <x:v>0</x:v>
      </x:c>
      <x:c r="L644" t="str">
        <x:v>44</x:v>
      </x:c>
      <x:c r="M644" t="str">
        <x:v>0</x:v>
      </x:c>
      <x:c r="N644" t="str"/>
      <x:c r="O644" t="str"/>
      <x:c r="P644" t="str">
        <x:v>Liberada Para Producao</x:v>
      </x:c>
      <x:c r="Q644" t="str">
        <x:v>608957</x:v>
      </x:c>
      <x:c r="R644" t="str">
        <x:v>33,33</x:v>
      </x:c>
      <x:c r="S644" t="str"/>
      <x:c r="T644" t="str"/>
      <x:c r="U644" t="str"/>
      <x:c r="V644" t="str"/>
      <x:c r="W644" t="str">
        <x:v>N/A</x:v>
      </x:c>
      <x:c r="X644" t="str">
        <x:v>100</x:v>
      </x:c>
      <x:c r="Y644" t="str">
        <x:v>0</x:v>
      </x:c>
      <x:c r="Z644" t="str">
        <x:v>0</x:v>
      </x:c>
      <x:c r="AA644" t="str">
        <x:v>N/A</x:v>
      </x:c>
      <x:c r="AB644" t="str">
        <x:v>N/A</x:v>
      </x:c>
      <x:c r="AC644" t="str">
        <x:v>N/A</x:v>
      </x:c>
      <x:c r="AD644" t="str">
        <x:v>N/A</x:v>
      </x:c>
      <x:c r="AE644" t="str">
        <x:v>N/A</x:v>
      </x:c>
    </x:row>
    <x:row r="645">
      <x:c r="A645" t="str">
        <x:v>51</x:v>
      </x:c>
      <x:c r="B645" t="str">
        <x:v>26808</x:v>
      </x:c>
      <x:c r="C645" t="str">
        <x:v>8</x:v>
      </x:c>
      <x:c r="D645" t="str">
        <x:v>4731234915</x:v>
      </x:c>
      <x:c r="E645" t="str">
        <x:v>FOL.POR.SAR.US.2100x800x0 ESM.BRC PLS</x:v>
      </x:c>
      <x:c r="F645" t="str"/>
      <x:c r="G645" t="str"/>
      <x:c r="H645" t="str"/>
      <x:c r="I645" t="str">
        <x:v>ESMALTE</x:v>
      </x:c>
      <x:c r="J645" t="str">
        <x:v>BRANCO CARRARA</x:v>
      </x:c>
      <x:c r="K645" t="str">
        <x:v>0</x:v>
      </x:c>
      <x:c r="L645" t="str">
        <x:v>22</x:v>
      </x:c>
      <x:c r="M645" t="str">
        <x:v>1,294</x:v>
      </x:c>
      <x:c r="N645" t="str"/>
      <x:c r="O645" t="str"/>
      <x:c r="P645" t="str">
        <x:v>Liberada Para Producao</x:v>
      </x:c>
      <x:c r="Q645" t="str">
        <x:v>608958</x:v>
      </x:c>
      <x:c r="R645" t="str">
        <x:v>66,67</x:v>
      </x:c>
      <x:c r="S645" t="str">
        <x:v>1</x:v>
      </x:c>
      <x:c r="T645" t="str">
        <x:v>PORTA LINHA PREMIUM</x:v>
      </x:c>
      <x:c r="U645" t="str"/>
      <x:c r="V645" t="str"/>
      <x:c r="W645" t="str">
        <x:v>N/A</x:v>
      </x:c>
      <x:c r="X645" t="str">
        <x:v>100</x:v>
      </x:c>
      <x:c r="Y645" t="str">
        <x:v>N/A</x:v>
      </x:c>
      <x:c r="Z645" t="str">
        <x:v>N/A</x:v>
      </x:c>
      <x:c r="AA645" t="str">
        <x:v>N/A</x:v>
      </x:c>
      <x:c r="AB645" t="str">
        <x:v>100</x:v>
      </x:c>
      <x:c r="AC645" t="str">
        <x:v>N/A</x:v>
      </x:c>
      <x:c r="AD645" t="str">
        <x:v>0</x:v>
      </x:c>
      <x:c r="AE645" t="str">
        <x:v>N/A</x:v>
      </x:c>
    </x:row>
    <x:row r="646">
      <x:c r="A646" t="str">
        <x:v>51</x:v>
      </x:c>
      <x:c r="B646" t="str">
        <x:v>26808</x:v>
      </x:c>
      <x:c r="C646" t="str">
        <x:v>9</x:v>
      </x:c>
      <x:c r="D646" t="str">
        <x:v>674786</x:v>
      </x:c>
      <x:c r="E646" t="str">
        <x:v>2110x110x30 42x10 R2L BIA R PET U PREMIU</x:v>
      </x:c>
      <x:c r="F646" t="str"/>
      <x:c r="G646" t="str"/>
      <x:c r="H646" t="str"/>
      <x:c r="I646" t="str">
        <x:v>ESMALTE</x:v>
      </x:c>
      <x:c r="J646" t="str">
        <x:v>BRANCO CARRARA</x:v>
      </x:c>
      <x:c r="K646" t="str">
        <x:v>0</x:v>
      </x:c>
      <x:c r="L646" t="str">
        <x:v>142</x:v>
      </x:c>
      <x:c r="M646" t="str">
        <x:v>0,989</x:v>
      </x:c>
      <x:c r="N646" t="str"/>
      <x:c r="O646" t="str"/>
      <x:c r="P646" t="str">
        <x:v>Liberada Para Producao</x:v>
      </x:c>
      <x:c r="Q646" t="str">
        <x:v>610975</x:v>
      </x:c>
      <x:c r="R646" t="str">
        <x:v>0</x:v>
      </x:c>
      <x:c r="S646" t="str"/>
      <x:c r="T646" t="str"/>
      <x:c r="U646" t="str"/>
      <x:c r="V646" t="str"/>
      <x:c r="W646" t="str">
        <x:v>N/A</x:v>
      </x:c>
      <x:c r="X646" t="str">
        <x:v>N/A</x:v>
      </x:c>
      <x:c r="Y646" t="str">
        <x:v>0</x:v>
      </x:c>
      <x:c r="Z646" t="str">
        <x:v>0</x:v>
      </x:c>
      <x:c r="AA646" t="str">
        <x:v>0</x:v>
      </x:c>
      <x:c r="AB646" t="str">
        <x:v>N/A</x:v>
      </x:c>
      <x:c r="AC646" t="str">
        <x:v>N/A</x:v>
      </x:c>
      <x:c r="AD646" t="str">
        <x:v>N/A</x:v>
      </x:c>
      <x:c r="AE646" t="str">
        <x:v>N/A</x:v>
      </x:c>
    </x:row>
    <x:row r="647">
      <x:c r="A647" t="str">
        <x:v>51</x:v>
      </x:c>
      <x:c r="B647" t="str">
        <x:v>26808</x:v>
      </x:c>
      <x:c r="C647" t="str">
        <x:v>9</x:v>
      </x:c>
      <x:c r="D647" t="str">
        <x:v>675670</x:v>
      </x:c>
      <x:c r="E647" t="str">
        <x:v>847x110x30 42x10 R2L BIA PET BCO PREMIUM</x:v>
      </x:c>
      <x:c r="F647" t="str"/>
      <x:c r="G647" t="str"/>
      <x:c r="H647" t="str"/>
      <x:c r="I647" t="str">
        <x:v>ESMALTE</x:v>
      </x:c>
      <x:c r="J647" t="str">
        <x:v>BRANCO CARRARA</x:v>
      </x:c>
      <x:c r="K647" t="str">
        <x:v>0</x:v>
      </x:c>
      <x:c r="L647" t="str">
        <x:v>71</x:v>
      </x:c>
      <x:c r="M647" t="str">
        <x:v>0</x:v>
      </x:c>
      <x:c r="N647" t="str"/>
      <x:c r="O647" t="str"/>
      <x:c r="P647" t="str">
        <x:v>Liberada Para Producao</x:v>
      </x:c>
      <x:c r="Q647" t="str">
        <x:v>610976</x:v>
      </x:c>
      <x:c r="R647" t="str">
        <x:v>0</x:v>
      </x:c>
      <x:c r="S647" t="str"/>
      <x:c r="T647" t="str"/>
      <x:c r="U647" t="str"/>
      <x:c r="V647" t="str"/>
      <x:c r="W647" t="str">
        <x:v>N/A</x:v>
      </x:c>
      <x:c r="X647" t="str">
        <x:v>N/A</x:v>
      </x:c>
      <x:c r="Y647" t="str">
        <x:v>0</x:v>
      </x:c>
      <x:c r="Z647" t="str">
        <x:v>0</x:v>
      </x:c>
      <x:c r="AA647" t="str">
        <x:v>0</x:v>
      </x:c>
      <x:c r="AB647" t="str">
        <x:v>N/A</x:v>
      </x:c>
      <x:c r="AC647" t="str">
        <x:v>N/A</x:v>
      </x:c>
      <x:c r="AD647" t="str">
        <x:v>N/A</x:v>
      </x:c>
      <x:c r="AE647" t="str">
        <x:v>N/A</x:v>
      </x:c>
    </x:row>
    <x:row r="648">
      <x:c r="A648" t="str">
        <x:v>51</x:v>
      </x:c>
      <x:c r="B648" t="str">
        <x:v>26808</x:v>
      </x:c>
      <x:c r="C648" t="str">
        <x:v>9</x:v>
      </x:c>
      <x:c r="D648" t="str">
        <x:v>962391</x:v>
      </x:c>
      <x:c r="E648" t="str">
        <x:v>TR ALI 1100X70X9 RTO LME REC PET BCO(ULT</x:v>
      </x:c>
      <x:c r="F648" t="str"/>
      <x:c r="G648" t="str"/>
      <x:c r="H648" t="str"/>
      <x:c r="I648" t="str">
        <x:v>ESMALTE</x:v>
      </x:c>
      <x:c r="J648" t="str">
        <x:v>BRANCO CARRARA</x:v>
      </x:c>
      <x:c r="K648" t="str">
        <x:v>0</x:v>
      </x:c>
      <x:c r="L648" t="str">
        <x:v>71</x:v>
      </x:c>
      <x:c r="M648" t="str">
        <x:v>0</x:v>
      </x:c>
      <x:c r="N648" t="str"/>
      <x:c r="O648" t="str"/>
      <x:c r="P648" t="str">
        <x:v>Liberada Para Producao</x:v>
      </x:c>
      <x:c r="Q648" t="str">
        <x:v>608962</x:v>
      </x:c>
      <x:c r="R648" t="str">
        <x:v>25</x:v>
      </x:c>
      <x:c r="S648" t="str"/>
      <x:c r="T648" t="str"/>
      <x:c r="U648" t="str"/>
      <x:c r="V648" t="str"/>
      <x:c r="W648" t="str">
        <x:v>N/A</x:v>
      </x:c>
      <x:c r="X648" t="str">
        <x:v>100</x:v>
      </x:c>
      <x:c r="Y648" t="str">
        <x:v>0</x:v>
      </x:c>
      <x:c r="Z648" t="str">
        <x:v>0</x:v>
      </x:c>
      <x:c r="AA648" t="str">
        <x:v>0</x:v>
      </x:c>
      <x:c r="AB648" t="str">
        <x:v>N/A</x:v>
      </x:c>
      <x:c r="AC648" t="str">
        <x:v>N/A</x:v>
      </x:c>
      <x:c r="AD648" t="str">
        <x:v>N/A</x:v>
      </x:c>
      <x:c r="AE648" t="str">
        <x:v>N/A</x:v>
      </x:c>
    </x:row>
    <x:row r="649">
      <x:c r="A649" t="str">
        <x:v>51</x:v>
      </x:c>
      <x:c r="B649" t="str">
        <x:v>26808</x:v>
      </x:c>
      <x:c r="C649" t="str">
        <x:v>9</x:v>
      </x:c>
      <x:c r="D649" t="str">
        <x:v>962766</x:v>
      </x:c>
      <x:c r="E649" t="str">
        <x:v>PE AL 2200X70X9 RTO RL35 REC PET BCO(ULT</x:v>
      </x:c>
      <x:c r="F649" t="str"/>
      <x:c r="G649" t="str"/>
      <x:c r="H649" t="str"/>
      <x:c r="I649" t="str">
        <x:v>ESMALTE</x:v>
      </x:c>
      <x:c r="J649" t="str">
        <x:v>BRANCO CARRARA</x:v>
      </x:c>
      <x:c r="K649" t="str">
        <x:v>0</x:v>
      </x:c>
      <x:c r="L649" t="str">
        <x:v>142</x:v>
      </x:c>
      <x:c r="M649" t="str">
        <x:v>0</x:v>
      </x:c>
      <x:c r="N649" t="str"/>
      <x:c r="O649" t="str"/>
      <x:c r="P649" t="str">
        <x:v>Liberada Para Producao</x:v>
      </x:c>
      <x:c r="Q649" t="str">
        <x:v>608963</x:v>
      </x:c>
      <x:c r="R649" t="str">
        <x:v>33,33</x:v>
      </x:c>
      <x:c r="S649" t="str"/>
      <x:c r="T649" t="str"/>
      <x:c r="U649" t="str"/>
      <x:c r="V649" t="str"/>
      <x:c r="W649" t="str">
        <x:v>N/A</x:v>
      </x:c>
      <x:c r="X649" t="str">
        <x:v>100</x:v>
      </x:c>
      <x:c r="Y649" t="str">
        <x:v>0</x:v>
      </x:c>
      <x:c r="Z649" t="str">
        <x:v>0</x:v>
      </x:c>
      <x:c r="AA649" t="str">
        <x:v>N/A</x:v>
      </x:c>
      <x:c r="AB649" t="str">
        <x:v>N/A</x:v>
      </x:c>
      <x:c r="AC649" t="str">
        <x:v>N/A</x:v>
      </x:c>
      <x:c r="AD649" t="str">
        <x:v>N/A</x:v>
      </x:c>
      <x:c r="AE649" t="str">
        <x:v>N/A</x:v>
      </x:c>
    </x:row>
    <x:row r="650">
      <x:c r="A650" t="str">
        <x:v>51</x:v>
      </x:c>
      <x:c r="B650" t="str">
        <x:v>26808</x:v>
      </x:c>
      <x:c r="C650" t="str">
        <x:v>9</x:v>
      </x:c>
      <x:c r="D650" t="str">
        <x:v>962969</x:v>
      </x:c>
      <x:c r="E650" t="str">
        <x:v>TR AL 1100X70X9 RTO RL35 REC PET BCO (UL</x:v>
      </x:c>
      <x:c r="F650" t="str"/>
      <x:c r="G650" t="str"/>
      <x:c r="H650" t="str"/>
      <x:c r="I650" t="str">
        <x:v>ESMALTE</x:v>
      </x:c>
      <x:c r="J650" t="str">
        <x:v>BRANCO CARRARA</x:v>
      </x:c>
      <x:c r="K650" t="str">
        <x:v>0</x:v>
      </x:c>
      <x:c r="L650" t="str">
        <x:v>71</x:v>
      </x:c>
      <x:c r="M650" t="str">
        <x:v>0</x:v>
      </x:c>
      <x:c r="N650" t="str"/>
      <x:c r="O650" t="str"/>
      <x:c r="P650" t="str">
        <x:v>Liberada Para Producao</x:v>
      </x:c>
      <x:c r="Q650" t="str">
        <x:v>608964</x:v>
      </x:c>
      <x:c r="R650" t="str">
        <x:v>25</x:v>
      </x:c>
      <x:c r="S650" t="str"/>
      <x:c r="T650" t="str"/>
      <x:c r="U650" t="str"/>
      <x:c r="V650" t="str"/>
      <x:c r="W650" t="str">
        <x:v>N/A</x:v>
      </x:c>
      <x:c r="X650" t="str">
        <x:v>100</x:v>
      </x:c>
      <x:c r="Y650" t="str">
        <x:v>0</x:v>
      </x:c>
      <x:c r="Z650" t="str">
        <x:v>0</x:v>
      </x:c>
      <x:c r="AA650" t="str">
        <x:v>0</x:v>
      </x:c>
      <x:c r="AB650" t="str">
        <x:v>N/A</x:v>
      </x:c>
      <x:c r="AC650" t="str">
        <x:v>N/A</x:v>
      </x:c>
      <x:c r="AD650" t="str">
        <x:v>N/A</x:v>
      </x:c>
      <x:c r="AE650" t="str">
        <x:v>N/A</x:v>
      </x:c>
    </x:row>
    <x:row r="651">
      <x:c r="A651" t="str">
        <x:v>51</x:v>
      </x:c>
      <x:c r="B651" t="str">
        <x:v>26808</x:v>
      </x:c>
      <x:c r="C651" t="str">
        <x:v>9</x:v>
      </x:c>
      <x:c r="D651" t="str">
        <x:v>962986</x:v>
      </x:c>
      <x:c r="E651" t="str">
        <x:v>PE AL 2250X70X9 RTO LME REC PET BCO(ULTR</x:v>
      </x:c>
      <x:c r="F651" t="str"/>
      <x:c r="G651" t="str"/>
      <x:c r="H651" t="str"/>
      <x:c r="I651" t="str">
        <x:v>ESMALTE</x:v>
      </x:c>
      <x:c r="J651" t="str">
        <x:v>BRANCO CARRARA</x:v>
      </x:c>
      <x:c r="K651" t="str">
        <x:v>0</x:v>
      </x:c>
      <x:c r="L651" t="str">
        <x:v>142</x:v>
      </x:c>
      <x:c r="M651" t="str">
        <x:v>0</x:v>
      </x:c>
      <x:c r="N651" t="str"/>
      <x:c r="O651" t="str"/>
      <x:c r="P651" t="str">
        <x:v>Liberada Para Producao</x:v>
      </x:c>
      <x:c r="Q651" t="str">
        <x:v>608965</x:v>
      </x:c>
      <x:c r="R651" t="str">
        <x:v>33,33</x:v>
      </x:c>
      <x:c r="S651" t="str"/>
      <x:c r="T651" t="str"/>
      <x:c r="U651" t="str"/>
      <x:c r="V651" t="str"/>
      <x:c r="W651" t="str">
        <x:v>N/A</x:v>
      </x:c>
      <x:c r="X651" t="str">
        <x:v>100</x:v>
      </x:c>
      <x:c r="Y651" t="str">
        <x:v>0</x:v>
      </x:c>
      <x:c r="Z651" t="str">
        <x:v>0</x:v>
      </x:c>
      <x:c r="AA651" t="str">
        <x:v>N/A</x:v>
      </x:c>
      <x:c r="AB651" t="str">
        <x:v>N/A</x:v>
      </x:c>
      <x:c r="AC651" t="str">
        <x:v>N/A</x:v>
      </x:c>
      <x:c r="AD651" t="str">
        <x:v>N/A</x:v>
      </x:c>
      <x:c r="AE651" t="str">
        <x:v>N/A</x:v>
      </x:c>
    </x:row>
    <x:row r="652">
      <x:c r="A652" t="str">
        <x:v>51</x:v>
      </x:c>
      <x:c r="B652" t="str">
        <x:v>26808</x:v>
      </x:c>
      <x:c r="C652" t="str">
        <x:v>9</x:v>
      </x:c>
      <x:c r="D652" t="str">
        <x:v>4731234915</x:v>
      </x:c>
      <x:c r="E652" t="str">
        <x:v>FOL.POR.SAR.US.2100x800x0 ESM.BRC PLS</x:v>
      </x:c>
      <x:c r="F652" t="str"/>
      <x:c r="G652" t="str"/>
      <x:c r="H652" t="str"/>
      <x:c r="I652" t="str">
        <x:v>ESMALTE</x:v>
      </x:c>
      <x:c r="J652" t="str">
        <x:v>BRANCO CARRARA</x:v>
      </x:c>
      <x:c r="K652" t="str">
        <x:v>0</x:v>
      </x:c>
      <x:c r="L652" t="str">
        <x:v>71</x:v>
      </x:c>
      <x:c r="M652" t="str">
        <x:v>4,175</x:v>
      </x:c>
      <x:c r="N652" t="str"/>
      <x:c r="O652" t="str"/>
      <x:c r="P652" t="str">
        <x:v>Liberada Para Producao</x:v>
      </x:c>
      <x:c r="Q652" t="str">
        <x:v>610981</x:v>
      </x:c>
      <x:c r="R652" t="str">
        <x:v>66,67</x:v>
      </x:c>
      <x:c r="S652" t="str">
        <x:v>1</x:v>
      </x:c>
      <x:c r="T652" t="str">
        <x:v>PORTA LINHA PREMIUM</x:v>
      </x:c>
      <x:c r="U652" t="str"/>
      <x:c r="V652" t="str"/>
      <x:c r="W652" t="str">
        <x:v>N/A</x:v>
      </x:c>
      <x:c r="X652" t="str">
        <x:v>100</x:v>
      </x:c>
      <x:c r="Y652" t="str">
        <x:v>N/A</x:v>
      </x:c>
      <x:c r="Z652" t="str">
        <x:v>N/A</x:v>
      </x:c>
      <x:c r="AA652" t="str">
        <x:v>N/A</x:v>
      </x:c>
      <x:c r="AB652" t="str">
        <x:v>100</x:v>
      </x:c>
      <x:c r="AC652" t="str">
        <x:v>N/A</x:v>
      </x:c>
      <x:c r="AD652" t="str">
        <x:v>0</x:v>
      </x:c>
      <x:c r="AE652" t="str">
        <x:v>N/A</x:v>
      </x:c>
    </x:row>
    <x:row r="653">
      <x:c r="A653" t="str">
        <x:v>51</x:v>
      </x:c>
      <x:c r="B653" t="str">
        <x:v>26750</x:v>
      </x:c>
      <x:c r="C653" t="str">
        <x:v>17</x:v>
      </x:c>
      <x:c r="D653" t="str">
        <x:v>2010700372</x:v>
      </x:c>
      <x:c r="E653" t="str">
        <x:v>M P ULTRA PET BCO CAR 2130X90X30 S/REB R</x:v>
      </x:c>
      <x:c r="F653" t="str">
        <x:v>MDF ULTRA</x:v>
      </x:c>
      <x:c r="G653" t="str">
        <x:v>S/CANAL</x:v>
      </x:c>
      <x:c r="H653" t="str">
        <x:v>S/REB</x:v>
      </x:c>
      <x:c r="I653" t="str">
        <x:v>RECOBERTO PET</x:v>
      </x:c>
      <x:c r="J653" t="str">
        <x:v>BRANCO CARRARA</x:v>
      </x:c>
      <x:c r="K653" t="str">
        <x:v>0</x:v>
      </x:c>
      <x:c r="L653" t="str">
        <x:v>14</x:v>
      </x:c>
      <x:c r="M653" t="str">
        <x:v>0,081</x:v>
      </x:c>
      <x:c r="N653" t="str"/>
      <x:c r="O653" t="str"/>
      <x:c r="P653" t="str">
        <x:v>Liberada Para Producao</x:v>
      </x:c>
      <x:c r="Q653" t="str">
        <x:v>609854</x:v>
      </x:c>
      <x:c r="R653" t="str">
        <x:v>66,67</x:v>
      </x:c>
      <x:c r="S653" t="str">
        <x:v>1550</x:v>
      </x:c>
      <x:c r="T653" t="str">
        <x:v>PERNA BAT PRM DE CORRER(SEMI</x:v>
      </x:c>
      <x:c r="U653" t="str"/>
      <x:c r="V653" t="str"/>
      <x:c r="W653" t="str">
        <x:v>100</x:v>
      </x:c>
      <x:c r="X653" t="str">
        <x:v>100</x:v>
      </x:c>
      <x:c r="Y653" t="str">
        <x:v>N/A</x:v>
      </x:c>
      <x:c r="Z653" t="str">
        <x:v>0</x:v>
      </x:c>
      <x:c r="AA653" t="str">
        <x:v>N/A</x:v>
      </x:c>
      <x:c r="AB653" t="str">
        <x:v>N/A</x:v>
      </x:c>
      <x:c r="AC653" t="str">
        <x:v>N/A</x:v>
      </x:c>
      <x:c r="AD653" t="str">
        <x:v>N/A</x:v>
      </x:c>
      <x:c r="AE653" t="str">
        <x:v>N/A</x:v>
      </x:c>
    </x:row>
    <x:row r="654">
      <x:c r="A654" t="str">
        <x:v>51</x:v>
      </x:c>
      <x:c r="B654" t="str">
        <x:v>26826</x:v>
      </x:c>
      <x:c r="C654" t="str">
        <x:v>4</x:v>
      </x:c>
      <x:c r="D654" t="str">
        <x:v>2010600535</x:v>
      </x:c>
      <x:c r="E654" t="str">
        <x:v>M STD PET TXT BCO 2130X70X30 S/REB R2L M</x:v>
      </x:c>
      <x:c r="F654" t="str">
        <x:v>MDF STD</x:v>
      </x:c>
      <x:c r="G654" t="str">
        <x:v>S/CANAL</x:v>
      </x:c>
      <x:c r="H654" t="str">
        <x:v>S/REB</x:v>
      </x:c>
      <x:c r="I654" t="str">
        <x:v>RECOBERTO PET TXT</x:v>
      </x:c>
      <x:c r="J654" t="str">
        <x:v>BRANCO</x:v>
      </x:c>
      <x:c r="K654" t="str">
        <x:v>0</x:v>
      </x:c>
      <x:c r="L654" t="str">
        <x:v>106</x:v>
      </x:c>
      <x:c r="M654" t="str">
        <x:v>0,474</x:v>
      </x:c>
      <x:c r="N654" t="str"/>
      <x:c r="O654" t="str"/>
      <x:c r="P654" t="str">
        <x:v>Liberada Para Producao</x:v>
      </x:c>
      <x:c r="Q654" t="str">
        <x:v>609063</x:v>
      </x:c>
      <x:c r="R654" t="str">
        <x:v>0</x:v>
      </x:c>
      <x:c r="S654" t="str">
        <x:v>1550</x:v>
      </x:c>
      <x:c r="T654" t="str">
        <x:v>PERNA BAT PRM DE CORRER(SEMI</x:v>
      </x:c>
      <x:c r="U654" t="str"/>
      <x:c r="V654" t="str"/>
      <x:c r="W654" t="str">
        <x:v>N/A</x:v>
      </x:c>
      <x:c r="X654" t="str">
        <x:v>N/A</x:v>
      </x:c>
      <x:c r="Y654" t="str">
        <x:v>N/A</x:v>
      </x:c>
      <x:c r="Z654" t="str">
        <x:v>0</x:v>
      </x:c>
      <x:c r="AA654" t="str">
        <x:v>N/A</x:v>
      </x:c>
      <x:c r="AB654" t="str">
        <x:v>N/A</x:v>
      </x:c>
      <x:c r="AC654" t="str">
        <x:v>N/A</x:v>
      </x:c>
      <x:c r="AD654" t="str">
        <x:v>N/A</x:v>
      </x:c>
      <x:c r="AE654" t="str">
        <x:v>N/A</x:v>
      </x:c>
    </x:row>
    <x:row r="655">
      <x:c r="A655" t="str">
        <x:v>51</x:v>
      </x:c>
      <x:c r="B655" t="str">
        <x:v>26808</x:v>
      </x:c>
      <x:c r="C655" t="str">
        <x:v>10</x:v>
      </x:c>
      <x:c r="D655" t="str">
        <x:v>962391</x:v>
      </x:c>
      <x:c r="E655" t="str">
        <x:v>TR ALI 1100X70X9 RTO LME REC PET BCO(ULT</x:v>
      </x:c>
      <x:c r="F655" t="str"/>
      <x:c r="G655" t="str"/>
      <x:c r="H655" t="str"/>
      <x:c r="I655" t="str">
        <x:v>ESMALTE</x:v>
      </x:c>
      <x:c r="J655" t="str">
        <x:v>BRANCO CARRARA</x:v>
      </x:c>
      <x:c r="K655" t="str">
        <x:v>0</x:v>
      </x:c>
      <x:c r="L655" t="str">
        <x:v>1</x:v>
      </x:c>
      <x:c r="M655" t="str">
        <x:v>0</x:v>
      </x:c>
      <x:c r="N655" t="str"/>
      <x:c r="O655" t="str"/>
      <x:c r="P655" t="str">
        <x:v>Liberada Para Producao</x:v>
      </x:c>
      <x:c r="Q655" t="str">
        <x:v>608970</x:v>
      </x:c>
      <x:c r="R655" t="str">
        <x:v>25</x:v>
      </x:c>
      <x:c r="S655" t="str"/>
      <x:c r="T655" t="str"/>
      <x:c r="U655" t="str"/>
      <x:c r="V655" t="str"/>
      <x:c r="W655" t="str">
        <x:v>N/A</x:v>
      </x:c>
      <x:c r="X655" t="str">
        <x:v>100</x:v>
      </x:c>
      <x:c r="Y655" t="str">
        <x:v>0</x:v>
      </x:c>
      <x:c r="Z655" t="str">
        <x:v>0</x:v>
      </x:c>
      <x:c r="AA655" t="str">
        <x:v>0</x:v>
      </x:c>
      <x:c r="AB655" t="str">
        <x:v>N/A</x:v>
      </x:c>
      <x:c r="AC655" t="str">
        <x:v>N/A</x:v>
      </x:c>
      <x:c r="AD655" t="str">
        <x:v>N/A</x:v>
      </x:c>
      <x:c r="AE655" t="str">
        <x:v>N/A</x:v>
      </x:c>
    </x:row>
    <x:row r="656">
      <x:c r="A656" t="str">
        <x:v>51</x:v>
      </x:c>
      <x:c r="B656" t="str">
        <x:v>26808</x:v>
      </x:c>
      <x:c r="C656" t="str">
        <x:v>10</x:v>
      </x:c>
      <x:c r="D656" t="str">
        <x:v>962766</x:v>
      </x:c>
      <x:c r="E656" t="str">
        <x:v>PE AL 2200X70X9 RTO RL35 REC PET BCO(ULT</x:v>
      </x:c>
      <x:c r="F656" t="str"/>
      <x:c r="G656" t="str"/>
      <x:c r="H656" t="str"/>
      <x:c r="I656" t="str">
        <x:v>ESMALTE</x:v>
      </x:c>
      <x:c r="J656" t="str">
        <x:v>BRANCO CARRARA</x:v>
      </x:c>
      <x:c r="K656" t="str">
        <x:v>0</x:v>
      </x:c>
      <x:c r="L656" t="str">
        <x:v>2</x:v>
      </x:c>
      <x:c r="M656" t="str">
        <x:v>0</x:v>
      </x:c>
      <x:c r="N656" t="str"/>
      <x:c r="O656" t="str"/>
      <x:c r="P656" t="str">
        <x:v>Liberada Para Producao</x:v>
      </x:c>
      <x:c r="Q656" t="str">
        <x:v>608971</x:v>
      </x:c>
      <x:c r="R656" t="str">
        <x:v>33,33</x:v>
      </x:c>
      <x:c r="S656" t="str"/>
      <x:c r="T656" t="str"/>
      <x:c r="U656" t="str"/>
      <x:c r="V656" t="str"/>
      <x:c r="W656" t="str">
        <x:v>N/A</x:v>
      </x:c>
      <x:c r="X656" t="str">
        <x:v>100</x:v>
      </x:c>
      <x:c r="Y656" t="str">
        <x:v>0</x:v>
      </x:c>
      <x:c r="Z656" t="str">
        <x:v>0</x:v>
      </x:c>
      <x:c r="AA656" t="str">
        <x:v>N/A</x:v>
      </x:c>
      <x:c r="AB656" t="str">
        <x:v>N/A</x:v>
      </x:c>
      <x:c r="AC656" t="str">
        <x:v>N/A</x:v>
      </x:c>
      <x:c r="AD656" t="str">
        <x:v>N/A</x:v>
      </x:c>
      <x:c r="AE656" t="str">
        <x:v>N/A</x:v>
      </x:c>
    </x:row>
    <x:row r="657">
      <x:c r="A657" t="str">
        <x:v>51</x:v>
      </x:c>
      <x:c r="B657" t="str">
        <x:v>26808</x:v>
      </x:c>
      <x:c r="C657" t="str">
        <x:v>10</x:v>
      </x:c>
      <x:c r="D657" t="str">
        <x:v>962969</x:v>
      </x:c>
      <x:c r="E657" t="str">
        <x:v>TR AL 1100X70X9 RTO RL35 REC PET BCO (UL</x:v>
      </x:c>
      <x:c r="F657" t="str"/>
      <x:c r="G657" t="str"/>
      <x:c r="H657" t="str"/>
      <x:c r="I657" t="str">
        <x:v>ESMALTE</x:v>
      </x:c>
      <x:c r="J657" t="str">
        <x:v>BRANCO CARRARA</x:v>
      </x:c>
      <x:c r="K657" t="str">
        <x:v>0</x:v>
      </x:c>
      <x:c r="L657" t="str">
        <x:v>1</x:v>
      </x:c>
      <x:c r="M657" t="str">
        <x:v>0</x:v>
      </x:c>
      <x:c r="N657" t="str"/>
      <x:c r="O657" t="str"/>
      <x:c r="P657" t="str">
        <x:v>Liberada Para Producao</x:v>
      </x:c>
      <x:c r="Q657" t="str">
        <x:v>608972</x:v>
      </x:c>
      <x:c r="R657" t="str">
        <x:v>25</x:v>
      </x:c>
      <x:c r="S657" t="str"/>
      <x:c r="T657" t="str"/>
      <x:c r="U657" t="str"/>
      <x:c r="V657" t="str"/>
      <x:c r="W657" t="str">
        <x:v>N/A</x:v>
      </x:c>
      <x:c r="X657" t="str">
        <x:v>100</x:v>
      </x:c>
      <x:c r="Y657" t="str">
        <x:v>0</x:v>
      </x:c>
      <x:c r="Z657" t="str">
        <x:v>0</x:v>
      </x:c>
      <x:c r="AA657" t="str">
        <x:v>0</x:v>
      </x:c>
      <x:c r="AB657" t="str">
        <x:v>N/A</x:v>
      </x:c>
      <x:c r="AC657" t="str">
        <x:v>N/A</x:v>
      </x:c>
      <x:c r="AD657" t="str">
        <x:v>N/A</x:v>
      </x:c>
      <x:c r="AE657" t="str">
        <x:v>N/A</x:v>
      </x:c>
    </x:row>
    <x:row r="658">
      <x:c r="A658" t="str">
        <x:v>51</x:v>
      </x:c>
      <x:c r="B658" t="str">
        <x:v>26808</x:v>
      </x:c>
      <x:c r="C658" t="str">
        <x:v>10</x:v>
      </x:c>
      <x:c r="D658" t="str">
        <x:v>962986</x:v>
      </x:c>
      <x:c r="E658" t="str">
        <x:v>PE AL 2250X70X9 RTO LME REC PET BCO(ULTR</x:v>
      </x:c>
      <x:c r="F658" t="str"/>
      <x:c r="G658" t="str"/>
      <x:c r="H658" t="str"/>
      <x:c r="I658" t="str">
        <x:v>ESMALTE</x:v>
      </x:c>
      <x:c r="J658" t="str">
        <x:v>BRANCO CARRARA</x:v>
      </x:c>
      <x:c r="K658" t="str">
        <x:v>0</x:v>
      </x:c>
      <x:c r="L658" t="str">
        <x:v>2</x:v>
      </x:c>
      <x:c r="M658" t="str">
        <x:v>0</x:v>
      </x:c>
      <x:c r="N658" t="str"/>
      <x:c r="O658" t="str"/>
      <x:c r="P658" t="str">
        <x:v>Liberada Para Producao</x:v>
      </x:c>
      <x:c r="Q658" t="str">
        <x:v>608973</x:v>
      </x:c>
      <x:c r="R658" t="str">
        <x:v>33,33</x:v>
      </x:c>
      <x:c r="S658" t="str"/>
      <x:c r="T658" t="str"/>
      <x:c r="U658" t="str"/>
      <x:c r="V658" t="str"/>
      <x:c r="W658" t="str">
        <x:v>N/A</x:v>
      </x:c>
      <x:c r="X658" t="str">
        <x:v>100</x:v>
      </x:c>
      <x:c r="Y658" t="str">
        <x:v>0</x:v>
      </x:c>
      <x:c r="Z658" t="str">
        <x:v>0</x:v>
      </x:c>
      <x:c r="AA658" t="str">
        <x:v>N/A</x:v>
      </x:c>
      <x:c r="AB658" t="str">
        <x:v>N/A</x:v>
      </x:c>
      <x:c r="AC658" t="str">
        <x:v>N/A</x:v>
      </x:c>
      <x:c r="AD658" t="str">
        <x:v>N/A</x:v>
      </x:c>
      <x:c r="AE658" t="str">
        <x:v>N/A</x:v>
      </x:c>
    </x:row>
    <x:row r="659">
      <x:c r="A659" t="str">
        <x:v>51</x:v>
      </x:c>
      <x:c r="B659" t="str">
        <x:v>26808</x:v>
      </x:c>
      <x:c r="C659" t="str">
        <x:v>10</x:v>
      </x:c>
      <x:c r="D659" t="str">
        <x:v>3041400235</x:v>
      </x:c>
      <x:c r="E659" t="str">
        <x:v>FO POR S GD HDF 3 ESM BCO CAR 2100X800X3</x:v>
      </x:c>
      <x:c r="F659" t="str"/>
      <x:c r="G659" t="str"/>
      <x:c r="H659" t="str"/>
      <x:c r="I659" t="str">
        <x:v>ESMALTE</x:v>
      </x:c>
      <x:c r="J659" t="str">
        <x:v>BRANCO CARRARA</x:v>
      </x:c>
      <x:c r="K659" t="str">
        <x:v>0</x:v>
      </x:c>
      <x:c r="L659" t="str">
        <x:v>1</x:v>
      </x:c>
      <x:c r="M659" t="str">
        <x:v>0,059</x:v>
      </x:c>
      <x:c r="N659" t="str"/>
      <x:c r="O659" t="str"/>
      <x:c r="P659" t="str">
        <x:v>Liberada Para Producao</x:v>
      </x:c>
      <x:c r="Q659" t="str">
        <x:v>608974</x:v>
      </x:c>
      <x:c r="R659" t="str">
        <x:v>66,67</x:v>
      </x:c>
      <x:c r="S659" t="str">
        <x:v>1</x:v>
      </x:c>
      <x:c r="T659" t="str">
        <x:v>PORTA LINHA PREMIUM</x:v>
      </x:c>
      <x:c r="U659" t="str"/>
      <x:c r="V659" t="str"/>
      <x:c r="W659" t="str">
        <x:v>N/A</x:v>
      </x:c>
      <x:c r="X659" t="str">
        <x:v>100</x:v>
      </x:c>
      <x:c r="Y659" t="str">
        <x:v>N/A</x:v>
      </x:c>
      <x:c r="Z659" t="str">
        <x:v>N/A</x:v>
      </x:c>
      <x:c r="AA659" t="str">
        <x:v>N/A</x:v>
      </x:c>
      <x:c r="AB659" t="str">
        <x:v>100</x:v>
      </x:c>
      <x:c r="AC659" t="str">
        <x:v>N/A</x:v>
      </x:c>
      <x:c r="AD659" t="str">
        <x:v>0</x:v>
      </x:c>
      <x:c r="AE659" t="str">
        <x:v>N/A</x:v>
      </x:c>
    </x:row>
    <x:row r="660">
      <x:c r="A660" t="str">
        <x:v>51</x:v>
      </x:c>
      <x:c r="B660" t="str">
        <x:v>26808</x:v>
      </x:c>
      <x:c r="C660" t="str">
        <x:v>11</x:v>
      </x:c>
      <x:c r="D660" t="str">
        <x:v>962766</x:v>
      </x:c>
      <x:c r="E660" t="str">
        <x:v>PE AL 2200X70X9 RTO RL35 REC PET BCO(ULT</x:v>
      </x:c>
      <x:c r="F660" t="str"/>
      <x:c r="G660" t="str"/>
      <x:c r="H660" t="str"/>
      <x:c r="I660" t="str">
        <x:v>ESMALTE</x:v>
      </x:c>
      <x:c r="J660" t="str">
        <x:v>BRANCO CARRARA</x:v>
      </x:c>
      <x:c r="K660" t="str">
        <x:v>0</x:v>
      </x:c>
      <x:c r="L660" t="str">
        <x:v>2</x:v>
      </x:c>
      <x:c r="M660" t="str">
        <x:v>0</x:v>
      </x:c>
      <x:c r="N660" t="str"/>
      <x:c r="O660" t="str"/>
      <x:c r="P660" t="str">
        <x:v>Liberada Para Producao</x:v>
      </x:c>
      <x:c r="Q660" t="str">
        <x:v>608976</x:v>
      </x:c>
      <x:c r="R660" t="str">
        <x:v>33,33</x:v>
      </x:c>
      <x:c r="S660" t="str"/>
      <x:c r="T660" t="str"/>
      <x:c r="U660" t="str"/>
      <x:c r="V660" t="str"/>
      <x:c r="W660" t="str">
        <x:v>N/A</x:v>
      </x:c>
      <x:c r="X660" t="str">
        <x:v>100</x:v>
      </x:c>
      <x:c r="Y660" t="str">
        <x:v>0</x:v>
      </x:c>
      <x:c r="Z660" t="str">
        <x:v>0</x:v>
      </x:c>
      <x:c r="AA660" t="str">
        <x:v>N/A</x:v>
      </x:c>
      <x:c r="AB660" t="str">
        <x:v>N/A</x:v>
      </x:c>
      <x:c r="AC660" t="str">
        <x:v>N/A</x:v>
      </x:c>
      <x:c r="AD660" t="str">
        <x:v>N/A</x:v>
      </x:c>
      <x:c r="AE660" t="str">
        <x:v>N/A</x:v>
      </x:c>
    </x:row>
    <x:row r="661">
      <x:c r="A661" t="str">
        <x:v>51</x:v>
      </x:c>
      <x:c r="B661" t="str">
        <x:v>26808</x:v>
      </x:c>
      <x:c r="C661" t="str">
        <x:v>11</x:v>
      </x:c>
      <x:c r="D661" t="str">
        <x:v>962769</x:v>
      </x:c>
      <x:c r="E661" t="str">
        <x:v>TR AL 1200X70X9 RTO RL35 REC PET BCO (UL</x:v>
      </x:c>
      <x:c r="F661" t="str"/>
      <x:c r="G661" t="str"/>
      <x:c r="H661" t="str"/>
      <x:c r="I661" t="str">
        <x:v>ESMALTE</x:v>
      </x:c>
      <x:c r="J661" t="str">
        <x:v>BRANCO CARRARA</x:v>
      </x:c>
      <x:c r="K661" t="str">
        <x:v>0</x:v>
      </x:c>
      <x:c r="L661" t="str">
        <x:v>1</x:v>
      </x:c>
      <x:c r="M661" t="str">
        <x:v>0</x:v>
      </x:c>
      <x:c r="N661" t="str"/>
      <x:c r="O661" t="str"/>
      <x:c r="P661" t="str">
        <x:v>Liberada Para Producao</x:v>
      </x:c>
      <x:c r="Q661" t="str">
        <x:v>608977</x:v>
      </x:c>
      <x:c r="R661" t="str">
        <x:v>25</x:v>
      </x:c>
      <x:c r="S661" t="str"/>
      <x:c r="T661" t="str"/>
      <x:c r="U661" t="str"/>
      <x:c r="V661" t="str"/>
      <x:c r="W661" t="str">
        <x:v>N/A</x:v>
      </x:c>
      <x:c r="X661" t="str">
        <x:v>100</x:v>
      </x:c>
      <x:c r="Y661" t="str">
        <x:v>0</x:v>
      </x:c>
      <x:c r="Z661" t="str">
        <x:v>0</x:v>
      </x:c>
      <x:c r="AA661" t="str">
        <x:v>0</x:v>
      </x:c>
      <x:c r="AB661" t="str">
        <x:v>N/A</x:v>
      </x:c>
      <x:c r="AC661" t="str">
        <x:v>N/A</x:v>
      </x:c>
      <x:c r="AD661" t="str">
        <x:v>N/A</x:v>
      </x:c>
      <x:c r="AE661" t="str">
        <x:v>N/A</x:v>
      </x:c>
    </x:row>
    <x:row r="662">
      <x:c r="A662" t="str">
        <x:v>51</x:v>
      </x:c>
      <x:c r="B662" t="str">
        <x:v>26808</x:v>
      </x:c>
      <x:c r="C662" t="str">
        <x:v>11</x:v>
      </x:c>
      <x:c r="D662" t="str">
        <x:v>962770</x:v>
      </x:c>
      <x:c r="E662" t="str">
        <x:v>TR ALI 1200X70X9 RTO LME REC PET BCO(ULT</x:v>
      </x:c>
      <x:c r="F662" t="str"/>
      <x:c r="G662" t="str"/>
      <x:c r="H662" t="str"/>
      <x:c r="I662" t="str">
        <x:v>ESMALTE</x:v>
      </x:c>
      <x:c r="J662" t="str">
        <x:v>BRANCO CARRARA</x:v>
      </x:c>
      <x:c r="K662" t="str">
        <x:v>0</x:v>
      </x:c>
      <x:c r="L662" t="str">
        <x:v>1</x:v>
      </x:c>
      <x:c r="M662" t="str">
        <x:v>0</x:v>
      </x:c>
      <x:c r="N662" t="str"/>
      <x:c r="O662" t="str"/>
      <x:c r="P662" t="str">
        <x:v>Liberada Para Producao</x:v>
      </x:c>
      <x:c r="Q662" t="str">
        <x:v>608978</x:v>
      </x:c>
      <x:c r="R662" t="str">
        <x:v>25</x:v>
      </x:c>
      <x:c r="S662" t="str"/>
      <x:c r="T662" t="str"/>
      <x:c r="U662" t="str"/>
      <x:c r="V662" t="str"/>
      <x:c r="W662" t="str">
        <x:v>N/A</x:v>
      </x:c>
      <x:c r="X662" t="str">
        <x:v>100</x:v>
      </x:c>
      <x:c r="Y662" t="str">
        <x:v>0</x:v>
      </x:c>
      <x:c r="Z662" t="str">
        <x:v>0</x:v>
      </x:c>
      <x:c r="AA662" t="str">
        <x:v>0</x:v>
      </x:c>
      <x:c r="AB662" t="str">
        <x:v>N/A</x:v>
      </x:c>
      <x:c r="AC662" t="str">
        <x:v>N/A</x:v>
      </x:c>
      <x:c r="AD662" t="str">
        <x:v>N/A</x:v>
      </x:c>
      <x:c r="AE662" t="str">
        <x:v>N/A</x:v>
      </x:c>
    </x:row>
    <x:row r="663">
      <x:c r="A663" t="str">
        <x:v>51</x:v>
      </x:c>
      <x:c r="B663" t="str">
        <x:v>26808</x:v>
      </x:c>
      <x:c r="C663" t="str">
        <x:v>11</x:v>
      </x:c>
      <x:c r="D663" t="str">
        <x:v>962986</x:v>
      </x:c>
      <x:c r="E663" t="str">
        <x:v>PE AL 2250X70X9 RTO LME REC PET BCO(ULTR</x:v>
      </x:c>
      <x:c r="F663" t="str"/>
      <x:c r="G663" t="str"/>
      <x:c r="H663" t="str"/>
      <x:c r="I663" t="str">
        <x:v>ESMALTE</x:v>
      </x:c>
      <x:c r="J663" t="str">
        <x:v>BRANCO CARRARA</x:v>
      </x:c>
      <x:c r="K663" t="str">
        <x:v>0</x:v>
      </x:c>
      <x:c r="L663" t="str">
        <x:v>2</x:v>
      </x:c>
      <x:c r="M663" t="str">
        <x:v>0</x:v>
      </x:c>
      <x:c r="N663" t="str"/>
      <x:c r="O663" t="str"/>
      <x:c r="P663" t="str">
        <x:v>Liberada Para Producao</x:v>
      </x:c>
      <x:c r="Q663" t="str">
        <x:v>608979</x:v>
      </x:c>
      <x:c r="R663" t="str">
        <x:v>33,33</x:v>
      </x:c>
      <x:c r="S663" t="str"/>
      <x:c r="T663" t="str"/>
      <x:c r="U663" t="str"/>
      <x:c r="V663" t="str"/>
      <x:c r="W663" t="str">
        <x:v>N/A</x:v>
      </x:c>
      <x:c r="X663" t="str">
        <x:v>100</x:v>
      </x:c>
      <x:c r="Y663" t="str">
        <x:v>0</x:v>
      </x:c>
      <x:c r="Z663" t="str">
        <x:v>0</x:v>
      </x:c>
      <x:c r="AA663" t="str">
        <x:v>N/A</x:v>
      </x:c>
      <x:c r="AB663" t="str">
        <x:v>N/A</x:v>
      </x:c>
      <x:c r="AC663" t="str">
        <x:v>N/A</x:v>
      </x:c>
      <x:c r="AD663" t="str">
        <x:v>N/A</x:v>
      </x:c>
      <x:c r="AE663" t="str">
        <x:v>N/A</x:v>
      </x:c>
    </x:row>
    <x:row r="664">
      <x:c r="A664" t="str">
        <x:v>51</x:v>
      </x:c>
      <x:c r="B664" t="str">
        <x:v>26808</x:v>
      </x:c>
      <x:c r="C664" t="str">
        <x:v>11</x:v>
      </x:c>
      <x:c r="D664" t="str">
        <x:v>2010500025</x:v>
      </x:c>
      <x:c r="E664" t="str">
        <x:v>M P PINUS PET BCO CAR 2110X90X30 42X10 R</x:v>
      </x:c>
      <x:c r="F664" t="str"/>
      <x:c r="G664" t="str"/>
      <x:c r="H664" t="str"/>
      <x:c r="I664" t="str">
        <x:v>ESMALTE</x:v>
      </x:c>
      <x:c r="J664" t="str">
        <x:v>BRANCO CARRARA</x:v>
      </x:c>
      <x:c r="K664" t="str">
        <x:v>0</x:v>
      </x:c>
      <x:c r="L664" t="str">
        <x:v>2</x:v>
      </x:c>
      <x:c r="M664" t="str">
        <x:v>0,011</x:v>
      </x:c>
      <x:c r="N664" t="str"/>
      <x:c r="O664" t="str"/>
      <x:c r="P664" t="str">
        <x:v>Liberada Para Producao</x:v>
      </x:c>
      <x:c r="Q664" t="str">
        <x:v>608980</x:v>
      </x:c>
      <x:c r="R664" t="str">
        <x:v>0</x:v>
      </x:c>
      <x:c r="S664" t="str">
        <x:v>1500</x:v>
      </x:c>
      <x:c r="T664" t="str">
        <x:v>PERNA DE BATENTE PREMIUM(SEMIA</x:v>
      </x:c>
      <x:c r="U664" t="str"/>
      <x:c r="V664" t="str"/>
      <x:c r="W664" t="str">
        <x:v>N/A</x:v>
      </x:c>
      <x:c r="X664" t="str">
        <x:v>N/A</x:v>
      </x:c>
      <x:c r="Y664" t="str">
        <x:v>0</x:v>
      </x:c>
      <x:c r="Z664" t="str">
        <x:v>0</x:v>
      </x:c>
      <x:c r="AA664" t="str">
        <x:v>0</x:v>
      </x:c>
      <x:c r="AB664" t="str">
        <x:v>N/A</x:v>
      </x:c>
      <x:c r="AC664" t="str">
        <x:v>N/A</x:v>
      </x:c>
      <x:c r="AD664" t="str">
        <x:v>N/A</x:v>
      </x:c>
      <x:c r="AE664" t="str">
        <x:v>N/A</x:v>
      </x:c>
    </x:row>
    <x:row r="665">
      <x:c r="A665" t="str">
        <x:v>51</x:v>
      </x:c>
      <x:c r="B665" t="str">
        <x:v>26808</x:v>
      </x:c>
      <x:c r="C665" t="str">
        <x:v>11</x:v>
      </x:c>
      <x:c r="D665" t="str">
        <x:v>2010500059</x:v>
      </x:c>
      <x:c r="E665" t="str">
        <x:v>M T PINUS PET BCO CAR 1047X90X30 42X10 R</x:v>
      </x:c>
      <x:c r="F665" t="str"/>
      <x:c r="G665" t="str"/>
      <x:c r="H665" t="str"/>
      <x:c r="I665" t="str">
        <x:v>ESMALTE</x:v>
      </x:c>
      <x:c r="J665" t="str">
        <x:v>BRANCO CARRARA</x:v>
      </x:c>
      <x:c r="K665" t="str">
        <x:v>0</x:v>
      </x:c>
      <x:c r="L665" t="str">
        <x:v>1</x:v>
      </x:c>
      <x:c r="M665" t="str">
        <x:v>0</x:v>
      </x:c>
      <x:c r="N665" t="str"/>
      <x:c r="O665" t="str"/>
      <x:c r="P665" t="str">
        <x:v>Liberada Para Producao</x:v>
      </x:c>
      <x:c r="Q665" t="str">
        <x:v>608981</x:v>
      </x:c>
      <x:c r="R665" t="str">
        <x:v>0</x:v>
      </x:c>
      <x:c r="S665" t="str">
        <x:v>1502</x:v>
      </x:c>
      <x:c r="T665" t="str">
        <x:v>TV.BAT. 680-1100 PET/PVC(SEMI)</x:v>
      </x:c>
      <x:c r="U665" t="str"/>
      <x:c r="V665" t="str"/>
      <x:c r="W665" t="str">
        <x:v>N/A</x:v>
      </x:c>
      <x:c r="X665" t="str">
        <x:v>N/A</x:v>
      </x:c>
      <x:c r="Y665" t="str">
        <x:v>0</x:v>
      </x:c>
      <x:c r="Z665" t="str">
        <x:v>0</x:v>
      </x:c>
      <x:c r="AA665" t="str">
        <x:v>0</x:v>
      </x:c>
      <x:c r="AB665" t="str">
        <x:v>N/A</x:v>
      </x:c>
      <x:c r="AC665" t="str">
        <x:v>N/A</x:v>
      </x:c>
      <x:c r="AD665" t="str">
        <x:v>N/A</x:v>
      </x:c>
      <x:c r="AE665" t="str">
        <x:v>N/A</x:v>
      </x:c>
    </x:row>
    <x:row r="666">
      <x:c r="A666" t="str">
        <x:v>51</x:v>
      </x:c>
      <x:c r="B666" t="str">
        <x:v>26808</x:v>
      </x:c>
      <x:c r="C666" t="str">
        <x:v>11</x:v>
      </x:c>
      <x:c r="D666" t="str">
        <x:v>4510012080</x:v>
      </x:c>
      <x:c r="E666" t="str">
        <x:v>FO POR EST HDF 6 2100X1000X35 ESM BCO CA</x:v>
      </x:c>
      <x:c r="F666" t="str"/>
      <x:c r="G666" t="str"/>
      <x:c r="H666" t="str"/>
      <x:c r="I666" t="str">
        <x:v>ESMALTE</x:v>
      </x:c>
      <x:c r="J666" t="str">
        <x:v>BRANCO CARRARA</x:v>
      </x:c>
      <x:c r="K666" t="str">
        <x:v>0</x:v>
      </x:c>
      <x:c r="L666" t="str">
        <x:v>1</x:v>
      </x:c>
      <x:c r="M666" t="str">
        <x:v>0,074</x:v>
      </x:c>
      <x:c r="N666" t="str"/>
      <x:c r="O666" t="str"/>
      <x:c r="P666" t="str">
        <x:v>Liberada Para Producao</x:v>
      </x:c>
      <x:c r="Q666" t="str">
        <x:v>608982</x:v>
      </x:c>
      <x:c r="R666" t="str">
        <x:v>66,67</x:v>
      </x:c>
      <x:c r="S666" t="str">
        <x:v>1</x:v>
      </x:c>
      <x:c r="T666" t="str">
        <x:v>PORTA LINHA PREMIUM</x:v>
      </x:c>
      <x:c r="U666" t="str"/>
      <x:c r="V666" t="str"/>
      <x:c r="W666" t="str">
        <x:v>N/A</x:v>
      </x:c>
      <x:c r="X666" t="str">
        <x:v>100</x:v>
      </x:c>
      <x:c r="Y666" t="str">
        <x:v>N/A</x:v>
      </x:c>
      <x:c r="Z666" t="str">
        <x:v>N/A</x:v>
      </x:c>
      <x:c r="AA666" t="str">
        <x:v>N/A</x:v>
      </x:c>
      <x:c r="AB666" t="str">
        <x:v>100</x:v>
      </x:c>
      <x:c r="AC666" t="str">
        <x:v>N/A</x:v>
      </x:c>
      <x:c r="AD666" t="str">
        <x:v>0</x:v>
      </x:c>
      <x:c r="AE666" t="str">
        <x:v>N/A</x:v>
      </x:c>
    </x:row>
    <x:row r="667">
      <x:c r="A667" t="str">
        <x:v>51</x:v>
      </x:c>
      <x:c r="B667" t="str">
        <x:v>26808</x:v>
      </x:c>
      <x:c r="C667" t="str">
        <x:v>12</x:v>
      </x:c>
      <x:c r="D667" t="str">
        <x:v>3051400085</x:v>
      </x:c>
      <x:c r="E667" t="str">
        <x:v>FO P COR S GD HDF 3 ESM BCO CAR 2060X720</x:v>
      </x:c>
      <x:c r="F667" t="str">
        <x:v>LISA</x:v>
      </x:c>
      <x:c r="G667" t="str"/>
      <x:c r="H667" t="str"/>
      <x:c r="I667" t="str">
        <x:v>ESMALTE</x:v>
      </x:c>
      <x:c r="J667" t="str">
        <x:v>BRANCO CARRARA</x:v>
      </x:c>
      <x:c r="K667" t="str">
        <x:v>0</x:v>
      </x:c>
      <x:c r="L667" t="str">
        <x:v>2</x:v>
      </x:c>
      <x:c r="M667" t="str">
        <x:v>0,104</x:v>
      </x:c>
      <x:c r="N667" t="str"/>
      <x:c r="O667" t="str"/>
      <x:c r="P667" t="str">
        <x:v>Liberada Para Producao</x:v>
      </x:c>
      <x:c r="Q667" t="str">
        <x:v>608983</x:v>
      </x:c>
      <x:c r="R667" t="str">
        <x:v>33,33</x:v>
      </x:c>
      <x:c r="S667" t="str">
        <x:v>1</x:v>
      </x:c>
      <x:c r="T667" t="str">
        <x:v>PORTA LINHA PREMIUM</x:v>
      </x:c>
      <x:c r="U667" t="str">
        <x:v>BORDA 2 LADOS</x:v>
      </x:c>
      <x:c r="V667" t="str"/>
      <x:c r="W667" t="str">
        <x:v>N/A</x:v>
      </x:c>
      <x:c r="X667" t="str">
        <x:v>50</x:v>
      </x:c>
      <x:c r="Y667" t="str">
        <x:v>N/A</x:v>
      </x:c>
      <x:c r="Z667" t="str">
        <x:v>N/A</x:v>
      </x:c>
      <x:c r="AA667" t="str">
        <x:v>N/A</x:v>
      </x:c>
      <x:c r="AB667" t="str">
        <x:v>50</x:v>
      </x:c>
      <x:c r="AC667" t="str">
        <x:v>0</x:v>
      </x:c>
      <x:c r="AD667" t="str">
        <x:v>0</x:v>
      </x:c>
      <x:c r="AE667" t="str">
        <x:v>N/A</x:v>
      </x:c>
    </x:row>
    <x:row r="668">
      <x:c r="A668" t="str">
        <x:v>51</x:v>
      </x:c>
      <x:c r="B668" t="str">
        <x:v>26808</x:v>
      </x:c>
      <x:c r="C668" t="str">
        <x:v>13</x:v>
      </x:c>
      <x:c r="D668" t="str">
        <x:v>961608</x:v>
      </x:c>
      <x:c r="E668" t="str">
        <x:v> KIT DE CORRER EM MADEIRA DE PINUS</x:v>
      </x:c>
      <x:c r="F668" t="str"/>
      <x:c r="G668" t="str"/>
      <x:c r="H668" t="str"/>
      <x:c r="I668" t="str">
        <x:v>RECOBERTO PET</x:v>
      </x:c>
      <x:c r="J668" t="str">
        <x:v>BRANCO CARRARA</x:v>
      </x:c>
      <x:c r="K668" t="str">
        <x:v>0</x:v>
      </x:c>
      <x:c r="L668" t="str">
        <x:v>2</x:v>
      </x:c>
      <x:c r="M668" t="str">
        <x:v>0</x:v>
      </x:c>
      <x:c r="N668" t="str"/>
      <x:c r="O668" t="str"/>
      <x:c r="P668" t="str">
        <x:v>Liberada Para Producao</x:v>
      </x:c>
      <x:c r="Q668" t="str">
        <x:v>610182</x:v>
      </x:c>
      <x:c r="R668" t="str">
        <x:v>33,33</x:v>
      </x:c>
      <x:c r="S668" t="str"/>
      <x:c r="T668" t="str"/>
      <x:c r="U668" t="str"/>
      <x:c r="V668" t="str"/>
      <x:c r="W668" t="str">
        <x:v>100</x:v>
      </x:c>
      <x:c r="X668" t="str">
        <x:v>N/A</x:v>
      </x:c>
      <x:c r="Y668" t="str">
        <x:v>0</x:v>
      </x:c>
      <x:c r="Z668" t="str">
        <x:v>0</x:v>
      </x:c>
      <x:c r="AA668" t="str">
        <x:v>N/A</x:v>
      </x:c>
      <x:c r="AB668" t="str">
        <x:v>N/A</x:v>
      </x:c>
      <x:c r="AC668" t="str">
        <x:v>N/A</x:v>
      </x:c>
      <x:c r="AD668" t="str">
        <x:v>N/A</x:v>
      </x:c>
      <x:c r="AE668" t="str">
        <x:v>N/A</x:v>
      </x:c>
    </x:row>
    <x:row r="669">
      <x:c r="A669" t="str">
        <x:v>51</x:v>
      </x:c>
      <x:c r="B669" t="str">
        <x:v>26808</x:v>
      </x:c>
      <x:c r="C669" t="str">
        <x:v>13</x:v>
      </x:c>
      <x:c r="D669" t="str">
        <x:v>961775</x:v>
      </x:c>
      <x:c r="E669" t="str">
        <x:v> KIT DE CORRER EM MADEIRA DE PINUS</x:v>
      </x:c>
      <x:c r="F669" t="str"/>
      <x:c r="G669" t="str"/>
      <x:c r="H669" t="str"/>
      <x:c r="I669" t="str">
        <x:v>RECOBERTO PET</x:v>
      </x:c>
      <x:c r="J669" t="str">
        <x:v>BRANCO CARRARA</x:v>
      </x:c>
      <x:c r="K669" t="str">
        <x:v>0</x:v>
      </x:c>
      <x:c r="L669" t="str">
        <x:v>2</x:v>
      </x:c>
      <x:c r="M669" t="str">
        <x:v>0,014</x:v>
      </x:c>
      <x:c r="N669" t="str"/>
      <x:c r="O669" t="str"/>
      <x:c r="P669" t="str">
        <x:v>Liberada Para Producao</x:v>
      </x:c>
      <x:c r="Q669" t="str">
        <x:v>610183</x:v>
      </x:c>
      <x:c r="R669" t="str">
        <x:v>33,33</x:v>
      </x:c>
      <x:c r="S669" t="str"/>
      <x:c r="T669" t="str"/>
      <x:c r="U669" t="str"/>
      <x:c r="V669" t="str"/>
      <x:c r="W669" t="str">
        <x:v>100</x:v>
      </x:c>
      <x:c r="X669" t="str">
        <x:v>N/A</x:v>
      </x:c>
      <x:c r="Y669" t="str">
        <x:v>0</x:v>
      </x:c>
      <x:c r="Z669" t="str">
        <x:v>0</x:v>
      </x:c>
      <x:c r="AA669" t="str">
        <x:v>N/A</x:v>
      </x:c>
      <x:c r="AB669" t="str">
        <x:v>N/A</x:v>
      </x:c>
      <x:c r="AC669" t="str">
        <x:v>N/A</x:v>
      </x:c>
      <x:c r="AD669" t="str">
        <x:v>N/A</x:v>
      </x:c>
      <x:c r="AE669" t="str">
        <x:v>N/A</x:v>
      </x:c>
    </x:row>
    <x:row r="670">
      <x:c r="A670" t="str">
        <x:v>51</x:v>
      </x:c>
      <x:c r="B670" t="str">
        <x:v>26808</x:v>
      </x:c>
      <x:c r="C670" t="str">
        <x:v>13</x:v>
      </x:c>
      <x:c r="D670" t="str">
        <x:v>975730</x:v>
      </x:c>
      <x:c r="E670" t="str">
        <x:v> KIT DE CORRER EM MADEIRA DE PINUS</x:v>
      </x:c>
      <x:c r="F670" t="str"/>
      <x:c r="G670" t="str"/>
      <x:c r="H670" t="str"/>
      <x:c r="I670" t="str">
        <x:v>RECOBERTO PET</x:v>
      </x:c>
      <x:c r="J670" t="str">
        <x:v>BRANCO CARRARA</x:v>
      </x:c>
      <x:c r="K670" t="str">
        <x:v>0</x:v>
      </x:c>
      <x:c r="L670" t="str">
        <x:v>2</x:v>
      </x:c>
      <x:c r="M670" t="str">
        <x:v>0,004</x:v>
      </x:c>
      <x:c r="N670" t="str"/>
      <x:c r="O670" t="str"/>
      <x:c r="P670" t="str">
        <x:v>Liberada Para Producao</x:v>
      </x:c>
      <x:c r="Q670" t="str">
        <x:v>610184</x:v>
      </x:c>
      <x:c r="R670" t="str">
        <x:v>33,33</x:v>
      </x:c>
      <x:c r="S670" t="str"/>
      <x:c r="T670" t="str"/>
      <x:c r="U670" t="str"/>
      <x:c r="V670" t="str"/>
      <x:c r="W670" t="str">
        <x:v>N/A</x:v>
      </x:c>
      <x:c r="X670" t="str">
        <x:v>100</x:v>
      </x:c>
      <x:c r="Y670" t="str">
        <x:v>N/A</x:v>
      </x:c>
      <x:c r="Z670" t="str">
        <x:v>0</x:v>
      </x:c>
      <x:c r="AA670" t="str">
        <x:v>0</x:v>
      </x:c>
      <x:c r="AB670" t="str">
        <x:v>N/A</x:v>
      </x:c>
      <x:c r="AC670" t="str">
        <x:v>N/A</x:v>
      </x:c>
      <x:c r="AD670" t="str">
        <x:v>N/A</x:v>
      </x:c>
      <x:c r="AE670" t="str">
        <x:v>N/A</x:v>
      </x:c>
    </x:row>
    <x:row r="671">
      <x:c r="A671" t="str">
        <x:v>51</x:v>
      </x:c>
      <x:c r="B671" t="str">
        <x:v>26808</x:v>
      </x:c>
      <x:c r="C671" t="str">
        <x:v>13</x:v>
      </x:c>
      <x:c r="D671" t="str">
        <x:v>984045</x:v>
      </x:c>
      <x:c r="E671" t="str">
        <x:v> KIT DE CORRER EM MADEIRA DE PINUS</x:v>
      </x:c>
      <x:c r="F671" t="str"/>
      <x:c r="G671" t="str"/>
      <x:c r="H671" t="str"/>
      <x:c r="I671" t="str">
        <x:v>RECOBERTO PET</x:v>
      </x:c>
      <x:c r="J671" t="str">
        <x:v>BRANCO CARRARA</x:v>
      </x:c>
      <x:c r="K671" t="str">
        <x:v>0</x:v>
      </x:c>
      <x:c r="L671" t="str">
        <x:v>2</x:v>
      </x:c>
      <x:c r="M671" t="str">
        <x:v>0,005</x:v>
      </x:c>
      <x:c r="N671" t="str"/>
      <x:c r="O671" t="str"/>
      <x:c r="P671" t="str">
        <x:v>Liberada Para Producao</x:v>
      </x:c>
      <x:c r="Q671" t="str">
        <x:v>610185</x:v>
      </x:c>
      <x:c r="R671" t="str">
        <x:v>33,33</x:v>
      </x:c>
      <x:c r="S671" t="str"/>
      <x:c r="T671" t="str"/>
      <x:c r="U671" t="str"/>
      <x:c r="V671" t="str"/>
      <x:c r="W671" t="str">
        <x:v>100</x:v>
      </x:c>
      <x:c r="X671" t="str">
        <x:v>N/A</x:v>
      </x:c>
      <x:c r="Y671" t="str">
        <x:v>0</x:v>
      </x:c>
      <x:c r="Z671" t="str">
        <x:v>0</x:v>
      </x:c>
      <x:c r="AA671" t="str">
        <x:v>N/A</x:v>
      </x:c>
      <x:c r="AB671" t="str">
        <x:v>N/A</x:v>
      </x:c>
      <x:c r="AC671" t="str">
        <x:v>N/A</x:v>
      </x:c>
      <x:c r="AD671" t="str">
        <x:v>N/A</x:v>
      </x:c>
      <x:c r="AE671" t="str">
        <x:v>N/A</x:v>
      </x:c>
    </x:row>
    <x:row r="672">
      <x:c r="A672" t="str">
        <x:v>51</x:v>
      </x:c>
      <x:c r="B672" t="str">
        <x:v>26808</x:v>
      </x:c>
      <x:c r="C672" t="str">
        <x:v>13</x:v>
      </x:c>
      <x:c r="D672" t="str">
        <x:v>984047</x:v>
      </x:c>
      <x:c r="E672" t="str">
        <x:v> KIT DE CORRER EM MADEIRA DE PINUS</x:v>
      </x:c>
      <x:c r="F672" t="str"/>
      <x:c r="G672" t="str"/>
      <x:c r="H672" t="str"/>
      <x:c r="I672" t="str">
        <x:v>RECOBERTO PET</x:v>
      </x:c>
      <x:c r="J672" t="str">
        <x:v>BRANCO CARRARA</x:v>
      </x:c>
      <x:c r="K672" t="str">
        <x:v>0</x:v>
      </x:c>
      <x:c r="L672" t="str">
        <x:v>2</x:v>
      </x:c>
      <x:c r="M672" t="str">
        <x:v>0,006</x:v>
      </x:c>
      <x:c r="N672" t="str"/>
      <x:c r="O672" t="str"/>
      <x:c r="P672" t="str">
        <x:v>Liberada Para Producao</x:v>
      </x:c>
      <x:c r="Q672" t="str">
        <x:v>610186</x:v>
      </x:c>
      <x:c r="R672" t="str">
        <x:v>33,33</x:v>
      </x:c>
      <x:c r="S672" t="str"/>
      <x:c r="T672" t="str"/>
      <x:c r="U672" t="str"/>
      <x:c r="V672" t="str"/>
      <x:c r="W672" t="str">
        <x:v>100</x:v>
      </x:c>
      <x:c r="X672" t="str">
        <x:v>N/A</x:v>
      </x:c>
      <x:c r="Y672" t="str">
        <x:v>0</x:v>
      </x:c>
      <x:c r="Z672" t="str">
        <x:v>0</x:v>
      </x:c>
      <x:c r="AA672" t="str">
        <x:v>N/A</x:v>
      </x:c>
      <x:c r="AB672" t="str">
        <x:v>N/A</x:v>
      </x:c>
      <x:c r="AC672" t="str">
        <x:v>N/A</x:v>
      </x:c>
      <x:c r="AD672" t="str">
        <x:v>N/A</x:v>
      </x:c>
      <x:c r="AE672" t="str">
        <x:v>N/A</x:v>
      </x:c>
    </x:row>
    <x:row r="673">
      <x:c r="A673" t="str">
        <x:v>51</x:v>
      </x:c>
      <x:c r="B673" t="str">
        <x:v>26808</x:v>
      </x:c>
      <x:c r="C673" t="str">
        <x:v>14</x:v>
      </x:c>
      <x:c r="D673" t="str">
        <x:v>958879</x:v>
      </x:c>
      <x:c r="E673" t="str">
        <x:v>P A  KIT DE CORRER EM MDF ULTRA</x:v>
      </x:c>
      <x:c r="F673" t="str"/>
      <x:c r="G673" t="str"/>
      <x:c r="H673" t="str"/>
      <x:c r="I673" t="str">
        <x:v>RECOBERTO PET</x:v>
      </x:c>
      <x:c r="J673" t="str">
        <x:v>BRANCO CARRARA</x:v>
      </x:c>
      <x:c r="K673" t="str">
        <x:v>0</x:v>
      </x:c>
      <x:c r="L673" t="str">
        <x:v>4</x:v>
      </x:c>
      <x:c r="M673" t="str">
        <x:v>0,004</x:v>
      </x:c>
      <x:c r="N673" t="str"/>
      <x:c r="O673" t="str"/>
      <x:c r="P673" t="str">
        <x:v>Liberada Para Producao</x:v>
      </x:c>
      <x:c r="Q673" t="str">
        <x:v>608991</x:v>
      </x:c>
      <x:c r="R673" t="str">
        <x:v>0</x:v>
      </x:c>
      <x:c r="S673" t="str"/>
      <x:c r="T673" t="str"/>
      <x:c r="U673" t="str"/>
      <x:c r="V673" t="str"/>
      <x:c r="W673" t="str">
        <x:v>N/A</x:v>
      </x:c>
      <x:c r="X673" t="str">
        <x:v>0</x:v>
      </x:c>
      <x:c r="Y673" t="str">
        <x:v>0</x:v>
      </x:c>
      <x:c r="Z673" t="str">
        <x:v>0</x:v>
      </x:c>
      <x:c r="AA673" t="str">
        <x:v>N/A</x:v>
      </x:c>
      <x:c r="AB673" t="str">
        <x:v>N/A</x:v>
      </x:c>
      <x:c r="AC673" t="str">
        <x:v>N/A</x:v>
      </x:c>
      <x:c r="AD673" t="str">
        <x:v>N/A</x:v>
      </x:c>
      <x:c r="AE673" t="str">
        <x:v>N/A</x:v>
      </x:c>
    </x:row>
    <x:row r="674">
      <x:c r="A674" t="str">
        <x:v>51</x:v>
      </x:c>
      <x:c r="B674" t="str">
        <x:v>26808</x:v>
      </x:c>
      <x:c r="C674" t="str">
        <x:v>14</x:v>
      </x:c>
      <x:c r="D674" t="str">
        <x:v>963311</x:v>
      </x:c>
      <x:c r="E674" t="str">
        <x:v> KIT DE CORRER EM MDF ULTRA</x:v>
      </x:c>
      <x:c r="F674" t="str"/>
      <x:c r="G674" t="str"/>
      <x:c r="H674" t="str"/>
      <x:c r="I674" t="str">
        <x:v>RECOBERTO PET</x:v>
      </x:c>
      <x:c r="J674" t="str">
        <x:v>BRANCO CARRARA</x:v>
      </x:c>
      <x:c r="K674" t="str">
        <x:v>0</x:v>
      </x:c>
      <x:c r="L674" t="str">
        <x:v>6</x:v>
      </x:c>
      <x:c r="M674" t="str">
        <x:v>0</x:v>
      </x:c>
      <x:c r="N674" t="str"/>
      <x:c r="O674" t="str"/>
      <x:c r="P674" t="str">
        <x:v>Liberada Para Producao</x:v>
      </x:c>
      <x:c r="Q674" t="str">
        <x:v>608992</x:v>
      </x:c>
      <x:c r="R674" t="str">
        <x:v>0</x:v>
      </x:c>
      <x:c r="S674" t="str"/>
      <x:c r="T674" t="str"/>
      <x:c r="U674" t="str"/>
      <x:c r="V674" t="str"/>
      <x:c r="W674" t="str">
        <x:v>N/A</x:v>
      </x:c>
      <x:c r="X674" t="str">
        <x:v>0</x:v>
      </x:c>
      <x:c r="Y674" t="str">
        <x:v>0</x:v>
      </x:c>
      <x:c r="Z674" t="str">
        <x:v>0</x:v>
      </x:c>
      <x:c r="AA674" t="str">
        <x:v>N/A</x:v>
      </x:c>
      <x:c r="AB674" t="str">
        <x:v>N/A</x:v>
      </x:c>
      <x:c r="AC674" t="str">
        <x:v>N/A</x:v>
      </x:c>
      <x:c r="AD674" t="str">
        <x:v>N/A</x:v>
      </x:c>
      <x:c r="AE674" t="str">
        <x:v>N/A</x:v>
      </x:c>
    </x:row>
    <x:row r="675">
      <x:c r="A675" t="str">
        <x:v>51</x:v>
      </x:c>
      <x:c r="B675" t="str">
        <x:v>26808</x:v>
      </x:c>
      <x:c r="C675" t="str">
        <x:v>14</x:v>
      </x:c>
      <x:c r="D675" t="str">
        <x:v>963313</x:v>
      </x:c>
      <x:c r="E675" t="str">
        <x:v>P A  KIT DE CORRER EM MDF ULTRA</x:v>
      </x:c>
      <x:c r="F675" t="str"/>
      <x:c r="G675" t="str"/>
      <x:c r="H675" t="str"/>
      <x:c r="I675" t="str">
        <x:v>RECOBERTO PET</x:v>
      </x:c>
      <x:c r="J675" t="str">
        <x:v>BRANCO CARRARA</x:v>
      </x:c>
      <x:c r="K675" t="str">
        <x:v>0</x:v>
      </x:c>
      <x:c r="L675" t="str">
        <x:v>2</x:v>
      </x:c>
      <x:c r="M675" t="str">
        <x:v>0,002</x:v>
      </x:c>
      <x:c r="N675" t="str"/>
      <x:c r="O675" t="str"/>
      <x:c r="P675" t="str">
        <x:v>Liberada Para Producao</x:v>
      </x:c>
      <x:c r="Q675" t="str">
        <x:v>608993</x:v>
      </x:c>
      <x:c r="R675" t="str">
        <x:v>0</x:v>
      </x:c>
      <x:c r="S675" t="str"/>
      <x:c r="T675" t="str"/>
      <x:c r="U675" t="str"/>
      <x:c r="V675" t="str"/>
      <x:c r="W675" t="str">
        <x:v>N/A</x:v>
      </x:c>
      <x:c r="X675" t="str">
        <x:v>0</x:v>
      </x:c>
      <x:c r="Y675" t="str">
        <x:v>0</x:v>
      </x:c>
      <x:c r="Z675" t="str">
        <x:v>0</x:v>
      </x:c>
      <x:c r="AA675" t="str">
        <x:v>N/A</x:v>
      </x:c>
      <x:c r="AB675" t="str">
        <x:v>N/A</x:v>
      </x:c>
      <x:c r="AC675" t="str">
        <x:v>N/A</x:v>
      </x:c>
      <x:c r="AD675" t="str">
        <x:v>N/A</x:v>
      </x:c>
      <x:c r="AE675" t="str">
        <x:v>N/A</x:v>
      </x:c>
    </x:row>
    <x:row r="676">
      <x:c r="A676" t="str">
        <x:v>51</x:v>
      </x:c>
      <x:c r="B676" t="str">
        <x:v>26808</x:v>
      </x:c>
      <x:c r="C676" t="str">
        <x:v>14</x:v>
      </x:c>
      <x:c r="D676" t="str">
        <x:v>963315</x:v>
      </x:c>
      <x:c r="E676" t="str">
        <x:v> KIT DE CORRER EM MDF ULTRA</x:v>
      </x:c>
      <x:c r="F676" t="str"/>
      <x:c r="G676" t="str"/>
      <x:c r="H676" t="str"/>
      <x:c r="I676" t="str">
        <x:v>RECOBERTO PET</x:v>
      </x:c>
      <x:c r="J676" t="str">
        <x:v>BRANCO CARRARA</x:v>
      </x:c>
      <x:c r="K676" t="str">
        <x:v>0</x:v>
      </x:c>
      <x:c r="L676" t="str">
        <x:v>2</x:v>
      </x:c>
      <x:c r="M676" t="str">
        <x:v>0</x:v>
      </x:c>
      <x:c r="N676" t="str"/>
      <x:c r="O676" t="str"/>
      <x:c r="P676" t="str">
        <x:v>Liberada Para Producao</x:v>
      </x:c>
      <x:c r="Q676" t="str">
        <x:v>608994</x:v>
      </x:c>
      <x:c r="R676" t="str">
        <x:v>33,33</x:v>
      </x:c>
      <x:c r="S676" t="str"/>
      <x:c r="T676" t="str"/>
      <x:c r="U676" t="str"/>
      <x:c r="V676" t="str"/>
      <x:c r="W676" t="str">
        <x:v>N/A</x:v>
      </x:c>
      <x:c r="X676" t="str">
        <x:v>100</x:v>
      </x:c>
      <x:c r="Y676" t="str">
        <x:v>0</x:v>
      </x:c>
      <x:c r="Z676" t="str">
        <x:v>0</x:v>
      </x:c>
      <x:c r="AA676" t="str">
        <x:v>N/A</x:v>
      </x:c>
      <x:c r="AB676" t="str">
        <x:v>N/A</x:v>
      </x:c>
      <x:c r="AC676" t="str">
        <x:v>N/A</x:v>
      </x:c>
      <x:c r="AD676" t="str">
        <x:v>N/A</x:v>
      </x:c>
      <x:c r="AE676" t="str">
        <x:v>N/A</x:v>
      </x:c>
    </x:row>
    <x:row r="677">
      <x:c r="A677" t="str">
        <x:v>51</x:v>
      </x:c>
      <x:c r="B677" t="str">
        <x:v>26808</x:v>
      </x:c>
      <x:c r="C677" t="str">
        <x:v>14</x:v>
      </x:c>
      <x:c r="D677" t="str">
        <x:v>963490</x:v>
      </x:c>
      <x:c r="E677" t="str">
        <x:v> KIT DE CORRER EM MDF ULTRA</x:v>
      </x:c>
      <x:c r="F677" t="str"/>
      <x:c r="G677" t="str"/>
      <x:c r="H677" t="str"/>
      <x:c r="I677" t="str">
        <x:v>RECOBERTO PET</x:v>
      </x:c>
      <x:c r="J677" t="str">
        <x:v>BRANCO CARRARA</x:v>
      </x:c>
      <x:c r="K677" t="str">
        <x:v>0</x:v>
      </x:c>
      <x:c r="L677" t="str">
        <x:v>2</x:v>
      </x:c>
      <x:c r="M677" t="str">
        <x:v>0</x:v>
      </x:c>
      <x:c r="N677" t="str"/>
      <x:c r="O677" t="str"/>
      <x:c r="P677" t="str">
        <x:v>Liberada Para Producao</x:v>
      </x:c>
      <x:c r="Q677" t="str">
        <x:v>608995</x:v>
      </x:c>
      <x:c r="R677" t="str">
        <x:v>0</x:v>
      </x:c>
      <x:c r="S677" t="str"/>
      <x:c r="T677" t="str"/>
      <x:c r="U677" t="str"/>
      <x:c r="V677" t="str"/>
      <x:c r="W677" t="str">
        <x:v>N/A</x:v>
      </x:c>
      <x:c r="X677" t="str">
        <x:v>0</x:v>
      </x:c>
      <x:c r="Y677" t="str">
        <x:v>0</x:v>
      </x:c>
      <x:c r="Z677" t="str">
        <x:v>0</x:v>
      </x:c>
      <x:c r="AA677" t="str">
        <x:v>0</x:v>
      </x:c>
      <x:c r="AB677" t="str">
        <x:v>N/A</x:v>
      </x:c>
      <x:c r="AC677" t="str">
        <x:v>N/A</x:v>
      </x:c>
      <x:c r="AD677" t="str">
        <x:v>N/A</x:v>
      </x:c>
      <x:c r="AE677" t="str">
        <x:v>N/A</x:v>
      </x:c>
    </x:row>
    <x:row r="678">
      <x:c r="A678" t="str">
        <x:v>51</x:v>
      </x:c>
      <x:c r="B678" t="str">
        <x:v>26808</x:v>
      </x:c>
      <x:c r="C678" t="str">
        <x:v>14</x:v>
      </x:c>
      <x:c r="D678" t="str">
        <x:v>1000077</x:v>
      </x:c>
      <x:c r="E678" t="str">
        <x:v> KIT DE CORRER EM MDF ULTRA</x:v>
      </x:c>
      <x:c r="F678" t="str"/>
      <x:c r="G678" t="str"/>
      <x:c r="H678" t="str"/>
      <x:c r="I678" t="str">
        <x:v>RECOBERTO PET</x:v>
      </x:c>
      <x:c r="J678" t="str">
        <x:v>BRANCO CARRARA</x:v>
      </x:c>
      <x:c r="K678" t="str">
        <x:v>0</x:v>
      </x:c>
      <x:c r="L678" t="str">
        <x:v>2</x:v>
      </x:c>
      <x:c r="M678" t="str">
        <x:v>0</x:v>
      </x:c>
      <x:c r="N678" t="str"/>
      <x:c r="O678" t="str"/>
      <x:c r="P678" t="str">
        <x:v>Liberada Para Producao</x:v>
      </x:c>
      <x:c r="Q678" t="str">
        <x:v>608996</x:v>
      </x:c>
      <x:c r="R678" t="str">
        <x:v>0</x:v>
      </x:c>
      <x:c r="S678" t="str"/>
      <x:c r="T678" t="str"/>
      <x:c r="U678" t="str"/>
      <x:c r="V678" t="str"/>
      <x:c r="W678" t="str">
        <x:v>N/A</x:v>
      </x:c>
      <x:c r="X678" t="str">
        <x:v>N/A</x:v>
      </x:c>
      <x:c r="Y678" t="str">
        <x:v>N/A</x:v>
      </x:c>
      <x:c r="Z678" t="str">
        <x:v>N/A</x:v>
      </x:c>
      <x:c r="AA678" t="str">
        <x:v>N/A</x:v>
      </x:c>
      <x:c r="AB678" t="str">
        <x:v>N/A</x:v>
      </x:c>
      <x:c r="AC678" t="str">
        <x:v>N/A</x:v>
      </x:c>
      <x:c r="AD678" t="str">
        <x:v>0</x:v>
      </x:c>
      <x:c r="AE678" t="str">
        <x:v>N/A</x:v>
      </x:c>
    </x:row>
    <x:row r="679">
      <x:c r="A679" t="str">
        <x:v>51</x:v>
      </x:c>
      <x:c r="B679" t="str">
        <x:v>26808</x:v>
      </x:c>
      <x:c r="C679" t="str">
        <x:v>15</x:v>
      </x:c>
      <x:c r="D679" t="str">
        <x:v>959646</x:v>
      </x:c>
      <x:c r="E679" t="str">
        <x:v>FEC CORRER-357504 CH.V BR 27-575-2 CONC</x:v>
      </x:c>
      <x:c r="F679" t="str"/>
      <x:c r="G679" t="str"/>
      <x:c r="H679" t="str"/>
      <x:c r="I679" t="str">
        <x:v>FERRAGENS</x:v>
      </x:c>
      <x:c r="J679" t="str">
        <x:v>FECHADURAS</x:v>
      </x:c>
      <x:c r="K679" t="str">
        <x:v>0</x:v>
      </x:c>
      <x:c r="L679" t="str">
        <x:v>2</x:v>
      </x:c>
      <x:c r="M679" t="str">
        <x:v>0,002</x:v>
      </x:c>
      <x:c r="N679" t="str"/>
      <x:c r="O679" t="str"/>
      <x:c r="P679" t="str">
        <x:v>SEM ENGENHARIA CADASTRADA</x:v>
      </x:c>
      <x:c r="Q679" t="str"/>
      <x:c r="R679" t="str">
        <x:v>0</x:v>
      </x:c>
      <x:c r="S679" t="str"/>
      <x:c r="T679" t="str"/>
      <x:c r="U679" t="str"/>
      <x:c r="V679" t="str"/>
      <x:c r="W679" t="str">
        <x:v>N/A</x:v>
      </x:c>
      <x:c r="X679" t="str">
        <x:v>N/A</x:v>
      </x:c>
      <x:c r="Y679" t="str">
        <x:v>N/A</x:v>
      </x:c>
      <x:c r="Z679" t="str">
        <x:v>N/A</x:v>
      </x:c>
      <x:c r="AA679" t="str">
        <x:v>N/A</x:v>
      </x:c>
      <x:c r="AB679" t="str">
        <x:v>N/A</x:v>
      </x:c>
      <x:c r="AC679" t="str">
        <x:v>N/A</x:v>
      </x:c>
      <x:c r="AD679" t="str">
        <x:v>N/A</x:v>
      </x:c>
      <x:c r="AE679" t="str">
        <x:v>N/A</x:v>
      </x:c>
    </x:row>
    <x:row r="680">
      <x:c r="A680" t="str">
        <x:v>51</x:v>
      </x:c>
      <x:c r="B680" t="str">
        <x:v>26809</x:v>
      </x:c>
      <x:c r="C680" t="str">
        <x:v>1</x:v>
      </x:c>
      <x:c r="D680" t="str">
        <x:v>3040300026</x:v>
      </x:c>
      <x:c r="E680" t="str">
        <x:v>FO POR COL HDF 3 RU 2100X700X35 IMP CAP</x:v>
      </x:c>
      <x:c r="F680" t="str">
        <x:v>LISA</x:v>
      </x:c>
      <x:c r="G680" t="str"/>
      <x:c r="H680" t="str"/>
      <x:c r="I680" t="str">
        <x:v>IMPRESSO</x:v>
      </x:c>
      <x:c r="J680" t="str">
        <x:v>CAPUCCINO MARCHE</x:v>
      </x:c>
      <x:c r="K680" t="str">
        <x:v>0</x:v>
      </x:c>
      <x:c r="L680" t="str">
        <x:v>1</x:v>
      </x:c>
      <x:c r="M680" t="str">
        <x:v>0,051</x:v>
      </x:c>
      <x:c r="N680" t="str"/>
      <x:c r="O680" t="str"/>
      <x:c r="P680" t="str">
        <x:v>Liberada Para Producao</x:v>
      </x:c>
      <x:c r="Q680" t="str">
        <x:v>609929</x:v>
      </x:c>
      <x:c r="R680" t="str">
        <x:v>33,33</x:v>
      </x:c>
      <x:c r="S680" t="str">
        <x:v>1</x:v>
      </x:c>
      <x:c r="T680" t="str">
        <x:v>PORTA LINHA PREMIUM</x:v>
      </x:c>
      <x:c r="U680" t="str">
        <x:v>RU</x:v>
      </x:c>
      <x:c r="V680" t="str"/>
      <x:c r="W680" t="str">
        <x:v>N/A</x:v>
      </x:c>
      <x:c r="X680" t="str">
        <x:v>100</x:v>
      </x:c>
      <x:c r="Y680" t="str">
        <x:v>N/A</x:v>
      </x:c>
      <x:c r="Z680" t="str">
        <x:v>N/A</x:v>
      </x:c>
      <x:c r="AA680" t="str">
        <x:v>N/A</x:v>
      </x:c>
      <x:c r="AB680" t="str">
        <x:v>0</x:v>
      </x:c>
      <x:c r="AC680" t="str">
        <x:v>N/A</x:v>
      </x:c>
      <x:c r="AD680" t="str">
        <x:v>0</x:v>
      </x:c>
      <x:c r="AE680" t="str">
        <x:v>N/A</x:v>
      </x:c>
    </x:row>
    <x:row r="681">
      <x:c r="A681" t="str">
        <x:v>51</x:v>
      </x:c>
      <x:c r="B681" t="str">
        <x:v>26809</x:v>
      </x:c>
      <x:c r="C681" t="str">
        <x:v>2</x:v>
      </x:c>
      <x:c r="D681" t="str">
        <x:v>2010701238</x:v>
      </x:c>
      <x:c r="E681" t="str">
        <x:v>M ULTRA PET CAP M 2110X270X30 42X10 R2L</x:v>
      </x:c>
      <x:c r="F681" t="str">
        <x:v>MDF ULTRA</x:v>
      </x:c>
      <x:c r="G681" t="str">
        <x:v>C/BORRACHA I APLICADA</x:v>
      </x:c>
      <x:c r="H681" t="str">
        <x:v>C/REB 42X10</x:v>
      </x:c>
      <x:c r="I681" t="str">
        <x:v>RECOBERTO PET</x:v>
      </x:c>
      <x:c r="J681" t="str">
        <x:v>CAPUCCINO MARCHE</x:v>
      </x:c>
      <x:c r="K681" t="str">
        <x:v>0</x:v>
      </x:c>
      <x:c r="L681" t="str">
        <x:v>2</x:v>
      </x:c>
      <x:c r="M681" t="str">
        <x:v>0,034</x:v>
      </x:c>
      <x:c r="N681" t="str"/>
      <x:c r="O681" t="str"/>
      <x:c r="P681" t="str">
        <x:v>Liberada Para Producao</x:v>
      </x:c>
      <x:c r="Q681" t="str">
        <x:v>609931</x:v>
      </x:c>
      <x:c r="R681" t="str">
        <x:v>50</x:v>
      </x:c>
      <x:c r="S681" t="str">
        <x:v>1500</x:v>
      </x:c>
      <x:c r="T681" t="str">
        <x:v>PERNA DE BATENTE PREMIUM(SEMIA</x:v>
      </x:c>
      <x:c r="U681" t="str"/>
      <x:c r="V681" t="str"/>
      <x:c r="W681" t="str">
        <x:v>100</x:v>
      </x:c>
      <x:c r="X681" t="str">
        <x:v>100</x:v>
      </x:c>
      <x:c r="Y681" t="str">
        <x:v>N/A</x:v>
      </x:c>
      <x:c r="Z681" t="str">
        <x:v>0</x:v>
      </x:c>
      <x:c r="AA681" t="str">
        <x:v>0</x:v>
      </x:c>
      <x:c r="AB681" t="str">
        <x:v>N/A</x:v>
      </x:c>
      <x:c r="AC681" t="str">
        <x:v>N/A</x:v>
      </x:c>
      <x:c r="AD681" t="str">
        <x:v>N/A</x:v>
      </x:c>
      <x:c r="AE681" t="str">
        <x:v>N/A</x:v>
      </x:c>
    </x:row>
    <x:row r="682">
      <x:c r="A682" t="str">
        <x:v>51</x:v>
      </x:c>
      <x:c r="B682" t="str">
        <x:v>26809</x:v>
      </x:c>
      <x:c r="C682" t="str">
        <x:v>2</x:v>
      </x:c>
      <x:c r="D682" t="str">
        <x:v>2010701242</x:v>
      </x:c>
      <x:c r="E682" t="str">
        <x:v>M ULTRA PET CAP M 747X270X30 42X10 R2L M</x:v>
      </x:c>
      <x:c r="F682" t="str">
        <x:v>MDF ULTRA</x:v>
      </x:c>
      <x:c r="G682" t="str">
        <x:v>C/BORRACHA I APLICADA</x:v>
      </x:c>
      <x:c r="H682" t="str">
        <x:v>C/REB 42X10</x:v>
      </x:c>
      <x:c r="I682" t="str">
        <x:v>RECOBERTO PET</x:v>
      </x:c>
      <x:c r="J682" t="str">
        <x:v>CAPUCCINO MARCHE</x:v>
      </x:c>
      <x:c r="K682" t="str">
        <x:v>0</x:v>
      </x:c>
      <x:c r="L682" t="str">
        <x:v>1</x:v>
      </x:c>
      <x:c r="M682" t="str">
        <x:v>0,006</x:v>
      </x:c>
      <x:c r="N682" t="str"/>
      <x:c r="O682" t="str"/>
      <x:c r="P682" t="str">
        <x:v>Liberada Para Producao</x:v>
      </x:c>
      <x:c r="Q682" t="str">
        <x:v>609932</x:v>
      </x:c>
      <x:c r="R682" t="str">
        <x:v>50</x:v>
      </x:c>
      <x:c r="S682" t="str">
        <x:v>1502</x:v>
      </x:c>
      <x:c r="T682" t="str">
        <x:v>TV.BAT. 680-1100 PET/PVC(SEMI)</x:v>
      </x:c>
      <x:c r="U682" t="str"/>
      <x:c r="V682" t="str"/>
      <x:c r="W682" t="str">
        <x:v>100</x:v>
      </x:c>
      <x:c r="X682" t="str">
        <x:v>100</x:v>
      </x:c>
      <x:c r="Y682" t="str">
        <x:v>N/A</x:v>
      </x:c>
      <x:c r="Z682" t="str">
        <x:v>0</x:v>
      </x:c>
      <x:c r="AA682" t="str">
        <x:v>0</x:v>
      </x:c>
      <x:c r="AB682" t="str">
        <x:v>N/A</x:v>
      </x:c>
      <x:c r="AC682" t="str">
        <x:v>N/A</x:v>
      </x:c>
      <x:c r="AD682" t="str">
        <x:v>N/A</x:v>
      </x:c>
      <x:c r="AE682" t="str">
        <x:v>N/A</x:v>
      </x:c>
    </x:row>
    <x:row r="683">
      <x:c r="A683" t="str">
        <x:v>51</x:v>
      </x:c>
      <x:c r="B683" t="str">
        <x:v>26809</x:v>
      </x:c>
      <x:c r="C683" t="str">
        <x:v>3</x:v>
      </x:c>
      <x:c r="D683" t="str">
        <x:v>3041400350</x:v>
      </x:c>
      <x:c r="E683" t="str">
        <x:v>FO POR S GD RU HDF 3 IMP CAP M 2100X900X</x:v>
      </x:c>
      <x:c r="F683" t="str">
        <x:v>LISA</x:v>
      </x:c>
      <x:c r="G683" t="str"/>
      <x:c r="H683" t="str"/>
      <x:c r="I683" t="str">
        <x:v>IMPRESSO</x:v>
      </x:c>
      <x:c r="J683" t="str">
        <x:v>CAPUCCINO MARCHE</x:v>
      </x:c>
      <x:c r="K683" t="str">
        <x:v>0</x:v>
      </x:c>
      <x:c r="L683" t="str">
        <x:v>11</x:v>
      </x:c>
      <x:c r="M683" t="str">
        <x:v>0,728</x:v>
      </x:c>
      <x:c r="N683" t="str"/>
      <x:c r="O683" t="str"/>
      <x:c r="P683" t="str">
        <x:v>Liberada Para Producao</x:v>
      </x:c>
      <x:c r="Q683" t="str">
        <x:v>609933</x:v>
      </x:c>
      <x:c r="R683" t="str">
        <x:v>50</x:v>
      </x:c>
      <x:c r="S683" t="str">
        <x:v>1</x:v>
      </x:c>
      <x:c r="T683" t="str">
        <x:v>PORTA LINHA PREMIUM</x:v>
      </x:c>
      <x:c r="U683" t="str">
        <x:v>RU</x:v>
      </x:c>
      <x:c r="V683" t="str"/>
      <x:c r="W683" t="str">
        <x:v>N/A</x:v>
      </x:c>
      <x:c r="X683" t="str">
        <x:v>100</x:v>
      </x:c>
      <x:c r="Y683" t="str">
        <x:v>N/A</x:v>
      </x:c>
      <x:c r="Z683" t="str">
        <x:v>N/A</x:v>
      </x:c>
      <x:c r="AA683" t="str">
        <x:v>N/A</x:v>
      </x:c>
      <x:c r="AB683" t="str">
        <x:v>50</x:v>
      </x:c>
      <x:c r="AC683" t="str">
        <x:v>N/A</x:v>
      </x:c>
      <x:c r="AD683" t="str">
        <x:v>0</x:v>
      </x:c>
      <x:c r="AE683" t="str">
        <x:v>N/A</x:v>
      </x:c>
    </x:row>
    <x:row r="684">
      <x:c r="A684" t="str">
        <x:v>51</x:v>
      </x:c>
      <x:c r="B684" t="str">
        <x:v>26815</x:v>
      </x:c>
      <x:c r="C684" t="str">
        <x:v>4</x:v>
      </x:c>
      <x:c r="D684" t="str">
        <x:v>2010600074</x:v>
      </x:c>
      <x:c r="E684" t="str">
        <x:v>M T MDF STD PET TXT BCO 847X130X30 42X10</x:v>
      </x:c>
      <x:c r="F684" t="str"/>
      <x:c r="G684" t="str"/>
      <x:c r="H684" t="str"/>
      <x:c r="I684" t="str">
        <x:v>ESMALTE</x:v>
      </x:c>
      <x:c r="J684" t="str">
        <x:v>BRANCO CARRARA</x:v>
      </x:c>
      <x:c r="K684" t="str">
        <x:v>0</x:v>
      </x:c>
      <x:c r="L684" t="str">
        <x:v>67</x:v>
      </x:c>
      <x:c r="M684" t="str">
        <x:v>0,221</x:v>
      </x:c>
      <x:c r="N684" t="str">
        <x:v>OC 4500910499</x:v>
      </x:c>
      <x:c r="O684" t="str"/>
      <x:c r="P684" t="str">
        <x:v>Liberada Para Producao</x:v>
      </x:c>
      <x:c r="Q684" t="str">
        <x:v>609517</x:v>
      </x:c>
      <x:c r="R684" t="str">
        <x:v>0</x:v>
      </x:c>
      <x:c r="S684" t="str">
        <x:v>1502</x:v>
      </x:c>
      <x:c r="T684" t="str">
        <x:v>TV.BAT. 680-1100 PET/PVC(SEMI)</x:v>
      </x:c>
      <x:c r="U684" t="str"/>
      <x:c r="V684" t="str"/>
      <x:c r="W684" t="str">
        <x:v>N/A</x:v>
      </x:c>
      <x:c r="X684" t="str">
        <x:v>N/A</x:v>
      </x:c>
      <x:c r="Y684" t="str">
        <x:v>N/A</x:v>
      </x:c>
      <x:c r="Z684" t="str">
        <x:v>0</x:v>
      </x:c>
      <x:c r="AA684" t="str">
        <x:v>0</x:v>
      </x:c>
      <x:c r="AB684" t="str">
        <x:v>N/A</x:v>
      </x:c>
      <x:c r="AC684" t="str">
        <x:v>N/A</x:v>
      </x:c>
      <x:c r="AD684" t="str">
        <x:v>N/A</x:v>
      </x:c>
      <x:c r="AE684" t="str">
        <x:v>N/A</x:v>
      </x:c>
    </x:row>
    <x:row r="685">
      <x:c r="A685" t="str">
        <x:v>51</x:v>
      </x:c>
      <x:c r="B685" t="str">
        <x:v>26815</x:v>
      </x:c>
      <x:c r="C685" t="str">
        <x:v>5</x:v>
      </x:c>
      <x:c r="D685" t="str">
        <x:v>2010600081</x:v>
      </x:c>
      <x:c r="E685" t="str">
        <x:v>M T MDF STD PET TXT BCO 947X130X30 42X10</x:v>
      </x:c>
      <x:c r="F685" t="str"/>
      <x:c r="G685" t="str"/>
      <x:c r="H685" t="str"/>
      <x:c r="I685" t="str">
        <x:v>ESMALTE</x:v>
      </x:c>
      <x:c r="J685" t="str">
        <x:v>BRANCO CARRARA</x:v>
      </x:c>
      <x:c r="K685" t="str">
        <x:v>0</x:v>
      </x:c>
      <x:c r="L685" t="str">
        <x:v>8</x:v>
      </x:c>
      <x:c r="M685" t="str">
        <x:v>0,03</x:v>
      </x:c>
      <x:c r="N685" t="str">
        <x:v>OC 4500910499</x:v>
      </x:c>
      <x:c r="O685" t="str"/>
      <x:c r="P685" t="str">
        <x:v>Liberada Para Producao</x:v>
      </x:c>
      <x:c r="Q685" t="str">
        <x:v>609534</x:v>
      </x:c>
      <x:c r="R685" t="str">
        <x:v>0</x:v>
      </x:c>
      <x:c r="S685" t="str">
        <x:v>1502</x:v>
      </x:c>
      <x:c r="T685" t="str">
        <x:v>TV.BAT. 680-1100 PET/PVC(SEMI)</x:v>
      </x:c>
      <x:c r="U685" t="str"/>
      <x:c r="V685" t="str"/>
      <x:c r="W685" t="str">
        <x:v>N/A</x:v>
      </x:c>
      <x:c r="X685" t="str">
        <x:v>N/A</x:v>
      </x:c>
      <x:c r="Y685" t="str">
        <x:v>N/A</x:v>
      </x:c>
      <x:c r="Z685" t="str">
        <x:v>0</x:v>
      </x:c>
      <x:c r="AA685" t="str">
        <x:v>0</x:v>
      </x:c>
      <x:c r="AB685" t="str">
        <x:v>N/A</x:v>
      </x:c>
      <x:c r="AC685" t="str">
        <x:v>N/A</x:v>
      </x:c>
      <x:c r="AD685" t="str">
        <x:v>N/A</x:v>
      </x:c>
      <x:c r="AE685" t="str">
        <x:v>N/A</x:v>
      </x:c>
    </x:row>
    <x:row r="686">
      <x:c r="A686" t="str">
        <x:v>51</x:v>
      </x:c>
      <x:c r="B686" t="str">
        <x:v>26809</x:v>
      </x:c>
      <x:c r="C686" t="str">
        <x:v>5</x:v>
      </x:c>
      <x:c r="D686" t="str">
        <x:v>2010700624</x:v>
      </x:c>
      <x:c r="E686" t="str">
        <x:v>M ULTRA PET CAP M 2110X150X30 42X10 R2L</x:v>
      </x:c>
      <x:c r="F686" t="str">
        <x:v>MDF ULTRA</x:v>
      </x:c>
      <x:c r="G686" t="str">
        <x:v>C/BORRACHA I APLICADA</x:v>
      </x:c>
      <x:c r="H686" t="str">
        <x:v>C/REB 42X10</x:v>
      </x:c>
      <x:c r="I686" t="str">
        <x:v>RECOBERTO PET</x:v>
      </x:c>
      <x:c r="J686" t="str">
        <x:v>CAPUCCINO MARCHE</x:v>
      </x:c>
      <x:c r="K686" t="str">
        <x:v>0</x:v>
      </x:c>
      <x:c r="L686" t="str">
        <x:v>2</x:v>
      </x:c>
      <x:c r="M686" t="str">
        <x:v>0,019</x:v>
      </x:c>
      <x:c r="N686" t="str"/>
      <x:c r="O686" t="str"/>
      <x:c r="P686" t="str">
        <x:v>Liberada Para Producao</x:v>
      </x:c>
      <x:c r="Q686" t="str">
        <x:v>609938</x:v>
      </x:c>
      <x:c r="R686" t="str">
        <x:v>0</x:v>
      </x:c>
      <x:c r="S686" t="str">
        <x:v>1500</x:v>
      </x:c>
      <x:c r="T686" t="str">
        <x:v>PERNA DE BATENTE PREMIUM(SEMIA</x:v>
      </x:c>
      <x:c r="U686" t="str"/>
      <x:c r="V686" t="str"/>
      <x:c r="W686" t="str">
        <x:v>N/A</x:v>
      </x:c>
      <x:c r="X686" t="str">
        <x:v>N/A</x:v>
      </x:c>
      <x:c r="Y686" t="str">
        <x:v>N/A</x:v>
      </x:c>
      <x:c r="Z686" t="str">
        <x:v>0</x:v>
      </x:c>
      <x:c r="AA686" t="str">
        <x:v>0</x:v>
      </x:c>
      <x:c r="AB686" t="str">
        <x:v>N/A</x:v>
      </x:c>
      <x:c r="AC686" t="str">
        <x:v>N/A</x:v>
      </x:c>
      <x:c r="AD686" t="str">
        <x:v>N/A</x:v>
      </x:c>
      <x:c r="AE686" t="str">
        <x:v>N/A</x:v>
      </x:c>
    </x:row>
    <x:row r="687">
      <x:c r="A687" t="str">
        <x:v>51</x:v>
      </x:c>
      <x:c r="B687" t="str">
        <x:v>26809</x:v>
      </x:c>
      <x:c r="C687" t="str">
        <x:v>5</x:v>
      </x:c>
      <x:c r="D687" t="str">
        <x:v>2010701235</x:v>
      </x:c>
      <x:c r="E687" t="str">
        <x:v>M ULTRA PET CAP M 947X150X30 42X10 R2L M</x:v>
      </x:c>
      <x:c r="F687" t="str">
        <x:v>MDF ULTRA</x:v>
      </x:c>
      <x:c r="G687" t="str">
        <x:v>C/BORRACHA I APLICADA</x:v>
      </x:c>
      <x:c r="H687" t="str">
        <x:v>C/REB 42X10</x:v>
      </x:c>
      <x:c r="I687" t="str">
        <x:v>RECOBERTO PET</x:v>
      </x:c>
      <x:c r="J687" t="str">
        <x:v>CAPUCCINO MARCHE</x:v>
      </x:c>
      <x:c r="K687" t="str">
        <x:v>0</x:v>
      </x:c>
      <x:c r="L687" t="str">
        <x:v>1</x:v>
      </x:c>
      <x:c r="M687" t="str">
        <x:v>0,004</x:v>
      </x:c>
      <x:c r="N687" t="str"/>
      <x:c r="O687" t="str"/>
      <x:c r="P687" t="str">
        <x:v>Liberada Para Producao</x:v>
      </x:c>
      <x:c r="Q687" t="str">
        <x:v>609939</x:v>
      </x:c>
      <x:c r="R687" t="str">
        <x:v>0</x:v>
      </x:c>
      <x:c r="S687" t="str">
        <x:v>1502</x:v>
      </x:c>
      <x:c r="T687" t="str">
        <x:v>TV.BAT. 680-1100 PET/PVC(SEMI)</x:v>
      </x:c>
      <x:c r="U687" t="str"/>
      <x:c r="V687" t="str"/>
      <x:c r="W687" t="str">
        <x:v>N/A</x:v>
      </x:c>
      <x:c r="X687" t="str">
        <x:v>N/A</x:v>
      </x:c>
      <x:c r="Y687" t="str">
        <x:v>N/A</x:v>
      </x:c>
      <x:c r="Z687" t="str">
        <x:v>0</x:v>
      </x:c>
      <x:c r="AA687" t="str">
        <x:v>0</x:v>
      </x:c>
      <x:c r="AB687" t="str">
        <x:v>N/A</x:v>
      </x:c>
      <x:c r="AC687" t="str">
        <x:v>N/A</x:v>
      </x:c>
      <x:c r="AD687" t="str">
        <x:v>N/A</x:v>
      </x:c>
      <x:c r="AE687" t="str">
        <x:v>N/A</x:v>
      </x:c>
    </x:row>
    <x:row r="688">
      <x:c r="A688" t="str">
        <x:v>51</x:v>
      </x:c>
      <x:c r="B688" t="str">
        <x:v>26809</x:v>
      </x:c>
      <x:c r="C688" t="str">
        <x:v>6</x:v>
      </x:c>
      <x:c r="D688" t="str">
        <x:v>2010701236</x:v>
      </x:c>
      <x:c r="E688" t="str">
        <x:v>M ULTRA PET CAP M 2110X250X30 42X10 R2L</x:v>
      </x:c>
      <x:c r="F688" t="str">
        <x:v>MDF ULTRA</x:v>
      </x:c>
      <x:c r="G688" t="str">
        <x:v>C/BORRACHA I APLICADA</x:v>
      </x:c>
      <x:c r="H688" t="str">
        <x:v>C/REB 42X10</x:v>
      </x:c>
      <x:c r="I688" t="str">
        <x:v>RECOBERTO PET</x:v>
      </x:c>
      <x:c r="J688" t="str">
        <x:v>CAPUCCINO MARCHE</x:v>
      </x:c>
      <x:c r="K688" t="str">
        <x:v>0</x:v>
      </x:c>
      <x:c r="L688" t="str">
        <x:v>6</x:v>
      </x:c>
      <x:c r="M688" t="str">
        <x:v>0,095</x:v>
      </x:c>
      <x:c r="N688" t="str"/>
      <x:c r="O688" t="str"/>
      <x:c r="P688" t="str">
        <x:v>Liberada Para Producao</x:v>
      </x:c>
      <x:c r="Q688" t="str">
        <x:v>609941</x:v>
      </x:c>
      <x:c r="R688" t="str">
        <x:v>50</x:v>
      </x:c>
      <x:c r="S688" t="str">
        <x:v>1500</x:v>
      </x:c>
      <x:c r="T688" t="str">
        <x:v>PERNA DE BATENTE PREMIUM(SEMIA</x:v>
      </x:c>
      <x:c r="U688" t="str"/>
      <x:c r="V688" t="str"/>
      <x:c r="W688" t="str">
        <x:v>100</x:v>
      </x:c>
      <x:c r="X688" t="str">
        <x:v>100</x:v>
      </x:c>
      <x:c r="Y688" t="str">
        <x:v>N/A</x:v>
      </x:c>
      <x:c r="Z688" t="str">
        <x:v>0</x:v>
      </x:c>
      <x:c r="AA688" t="str">
        <x:v>0</x:v>
      </x:c>
      <x:c r="AB688" t="str">
        <x:v>N/A</x:v>
      </x:c>
      <x:c r="AC688" t="str">
        <x:v>N/A</x:v>
      </x:c>
      <x:c r="AD688" t="str">
        <x:v>N/A</x:v>
      </x:c>
      <x:c r="AE688" t="str">
        <x:v>N/A</x:v>
      </x:c>
    </x:row>
    <x:row r="689">
      <x:c r="A689" t="str">
        <x:v>51</x:v>
      </x:c>
      <x:c r="B689" t="str">
        <x:v>26809</x:v>
      </x:c>
      <x:c r="C689" t="str">
        <x:v>6</x:v>
      </x:c>
      <x:c r="D689" t="str">
        <x:v>2010701237</x:v>
      </x:c>
      <x:c r="E689" t="str">
        <x:v>M ULTRA PET CAP M 947X250X30 42X10 R2L M</x:v>
      </x:c>
      <x:c r="F689" t="str">
        <x:v>MDF ULTRA</x:v>
      </x:c>
      <x:c r="G689" t="str">
        <x:v>C/BORRACHA I APLICADA</x:v>
      </x:c>
      <x:c r="H689" t="str">
        <x:v>C/REB 42X10</x:v>
      </x:c>
      <x:c r="I689" t="str">
        <x:v>RECOBERTO PET</x:v>
      </x:c>
      <x:c r="J689" t="str">
        <x:v>CAPUCCINO MARCHE</x:v>
      </x:c>
      <x:c r="K689" t="str">
        <x:v>0</x:v>
      </x:c>
      <x:c r="L689" t="str">
        <x:v>3</x:v>
      </x:c>
      <x:c r="M689" t="str">
        <x:v>0,021</x:v>
      </x:c>
      <x:c r="N689" t="str"/>
      <x:c r="O689" t="str"/>
      <x:c r="P689" t="str">
        <x:v>Liberada Para Producao</x:v>
      </x:c>
      <x:c r="Q689" t="str">
        <x:v>609942</x:v>
      </x:c>
      <x:c r="R689" t="str">
        <x:v>50</x:v>
      </x:c>
      <x:c r="S689" t="str">
        <x:v>1502</x:v>
      </x:c>
      <x:c r="T689" t="str">
        <x:v>TV.BAT. 680-1100 PET/PVC(SEMI)</x:v>
      </x:c>
      <x:c r="U689" t="str"/>
      <x:c r="V689" t="str"/>
      <x:c r="W689" t="str">
        <x:v>100</x:v>
      </x:c>
      <x:c r="X689" t="str">
        <x:v>100</x:v>
      </x:c>
      <x:c r="Y689" t="str">
        <x:v>N/A</x:v>
      </x:c>
      <x:c r="Z689" t="str">
        <x:v>0</x:v>
      </x:c>
      <x:c r="AA689" t="str">
        <x:v>0</x:v>
      </x:c>
      <x:c r="AB689" t="str">
        <x:v>N/A</x:v>
      </x:c>
      <x:c r="AC689" t="str">
        <x:v>N/A</x:v>
      </x:c>
      <x:c r="AD689" t="str">
        <x:v>N/A</x:v>
      </x:c>
      <x:c r="AE689" t="str">
        <x:v>N/A</x:v>
      </x:c>
    </x:row>
    <x:row r="690">
      <x:c r="A690" t="str">
        <x:v>51</x:v>
      </x:c>
      <x:c r="B690" t="str">
        <x:v>26809</x:v>
      </x:c>
      <x:c r="C690" t="str">
        <x:v>7</x:v>
      </x:c>
      <x:c r="D690" t="str">
        <x:v>2010701238</x:v>
      </x:c>
      <x:c r="E690" t="str">
        <x:v>M ULTRA PET CAP M 2110X270X30 42X10 R2L</x:v>
      </x:c>
      <x:c r="F690" t="str">
        <x:v>MDF ULTRA</x:v>
      </x:c>
      <x:c r="G690" t="str">
        <x:v>C/BORRACHA I APLICADA</x:v>
      </x:c>
      <x:c r="H690" t="str">
        <x:v>C/REB 42X10</x:v>
      </x:c>
      <x:c r="I690" t="str">
        <x:v>RECOBERTO PET</x:v>
      </x:c>
      <x:c r="J690" t="str">
        <x:v>CAPUCCINO MARCHE</x:v>
      </x:c>
      <x:c r="K690" t="str">
        <x:v>0</x:v>
      </x:c>
      <x:c r="L690" t="str">
        <x:v>2</x:v>
      </x:c>
      <x:c r="M690" t="str">
        <x:v>0,034</x:v>
      </x:c>
      <x:c r="N690" t="str"/>
      <x:c r="O690" t="str"/>
      <x:c r="P690" t="str">
        <x:v>Liberada Para Producao</x:v>
      </x:c>
      <x:c r="Q690" t="str">
        <x:v>609944</x:v>
      </x:c>
      <x:c r="R690" t="str">
        <x:v>50</x:v>
      </x:c>
      <x:c r="S690" t="str">
        <x:v>1500</x:v>
      </x:c>
      <x:c r="T690" t="str">
        <x:v>PERNA DE BATENTE PREMIUM(SEMIA</x:v>
      </x:c>
      <x:c r="U690" t="str"/>
      <x:c r="V690" t="str"/>
      <x:c r="W690" t="str">
        <x:v>100</x:v>
      </x:c>
      <x:c r="X690" t="str">
        <x:v>100</x:v>
      </x:c>
      <x:c r="Y690" t="str">
        <x:v>N/A</x:v>
      </x:c>
      <x:c r="Z690" t="str">
        <x:v>0</x:v>
      </x:c>
      <x:c r="AA690" t="str">
        <x:v>0</x:v>
      </x:c>
      <x:c r="AB690" t="str">
        <x:v>N/A</x:v>
      </x:c>
      <x:c r="AC690" t="str">
        <x:v>N/A</x:v>
      </x:c>
      <x:c r="AD690" t="str">
        <x:v>N/A</x:v>
      </x:c>
      <x:c r="AE690" t="str">
        <x:v>N/A</x:v>
      </x:c>
    </x:row>
    <x:row r="691">
      <x:c r="A691" t="str">
        <x:v>51</x:v>
      </x:c>
      <x:c r="B691" t="str">
        <x:v>26809</x:v>
      </x:c>
      <x:c r="C691" t="str">
        <x:v>7</x:v>
      </x:c>
      <x:c r="D691" t="str">
        <x:v>2010701239</x:v>
      </x:c>
      <x:c r="E691" t="str">
        <x:v>M ULTRA PET CAP M 947X270X30 42X10 R2L M</x:v>
      </x:c>
      <x:c r="F691" t="str">
        <x:v>MDF ULTRA</x:v>
      </x:c>
      <x:c r="G691" t="str">
        <x:v>C/BORRACHA I APLICADA</x:v>
      </x:c>
      <x:c r="H691" t="str">
        <x:v>C/REB 42X10</x:v>
      </x:c>
      <x:c r="I691" t="str">
        <x:v>RECOBERTO PET</x:v>
      </x:c>
      <x:c r="J691" t="str">
        <x:v>CAPUCCINO MARCHE</x:v>
      </x:c>
      <x:c r="K691" t="str">
        <x:v>0</x:v>
      </x:c>
      <x:c r="L691" t="str">
        <x:v>1</x:v>
      </x:c>
      <x:c r="M691" t="str">
        <x:v>0,008</x:v>
      </x:c>
      <x:c r="N691" t="str"/>
      <x:c r="O691" t="str"/>
      <x:c r="P691" t="str">
        <x:v>Liberada Para Producao</x:v>
      </x:c>
      <x:c r="Q691" t="str">
        <x:v>609945</x:v>
      </x:c>
      <x:c r="R691" t="str">
        <x:v>50</x:v>
      </x:c>
      <x:c r="S691" t="str">
        <x:v>1502</x:v>
      </x:c>
      <x:c r="T691" t="str">
        <x:v>TV.BAT. 680-1100 PET/PVC(SEMI)</x:v>
      </x:c>
      <x:c r="U691" t="str"/>
      <x:c r="V691" t="str"/>
      <x:c r="W691" t="str">
        <x:v>100</x:v>
      </x:c>
      <x:c r="X691" t="str">
        <x:v>100</x:v>
      </x:c>
      <x:c r="Y691" t="str">
        <x:v>N/A</x:v>
      </x:c>
      <x:c r="Z691" t="str">
        <x:v>0</x:v>
      </x:c>
      <x:c r="AA691" t="str">
        <x:v>0</x:v>
      </x:c>
      <x:c r="AB691" t="str">
        <x:v>N/A</x:v>
      </x:c>
      <x:c r="AC691" t="str">
        <x:v>N/A</x:v>
      </x:c>
      <x:c r="AD691" t="str">
        <x:v>N/A</x:v>
      </x:c>
      <x:c r="AE691" t="str">
        <x:v>N/A</x:v>
      </x:c>
    </x:row>
    <x:row r="692">
      <x:c r="A692" t="str">
        <x:v>51</x:v>
      </x:c>
      <x:c r="B692" t="str">
        <x:v>26809</x:v>
      </x:c>
      <x:c r="C692" t="str">
        <x:v>8</x:v>
      </x:c>
      <x:c r="D692" t="str">
        <x:v>3050800095</x:v>
      </x:c>
      <x:c r="E692" t="str">
        <x:v>FO P COR EST HDF 6 IMP CAP M 2100X1200X3</x:v>
      </x:c>
      <x:c r="F692" t="str">
        <x:v>LISA</x:v>
      </x:c>
      <x:c r="G692" t="str"/>
      <x:c r="H692" t="str"/>
      <x:c r="I692" t="str">
        <x:v>IMPRESSO</x:v>
      </x:c>
      <x:c r="J692" t="str">
        <x:v>CAPUCCINO MARCHE</x:v>
      </x:c>
      <x:c r="K692" t="str">
        <x:v>0</x:v>
      </x:c>
      <x:c r="L692" t="str">
        <x:v>1</x:v>
      </x:c>
      <x:c r="M692" t="str">
        <x:v>0,088</x:v>
      </x:c>
      <x:c r="N692" t="str"/>
      <x:c r="O692" t="str"/>
      <x:c r="P692" t="str">
        <x:v>Liberada Para Producao</x:v>
      </x:c>
      <x:c r="Q692" t="str">
        <x:v>609946</x:v>
      </x:c>
      <x:c r="R692" t="str">
        <x:v>33,33</x:v>
      </x:c>
      <x:c r="S692" t="str">
        <x:v>1</x:v>
      </x:c>
      <x:c r="T692" t="str">
        <x:v>PORTA LINHA PREMIUM</x:v>
      </x:c>
      <x:c r="U692" t="str">
        <x:v>BORDA 2 LADOS</x:v>
      </x:c>
      <x:c r="V692" t="str"/>
      <x:c r="W692" t="str">
        <x:v>N/A</x:v>
      </x:c>
      <x:c r="X692" t="str">
        <x:v>50</x:v>
      </x:c>
      <x:c r="Y692" t="str">
        <x:v>N/A</x:v>
      </x:c>
      <x:c r="Z692" t="str">
        <x:v>N/A</x:v>
      </x:c>
      <x:c r="AA692" t="str">
        <x:v>N/A</x:v>
      </x:c>
      <x:c r="AB692" t="str">
        <x:v>50</x:v>
      </x:c>
      <x:c r="AC692" t="str">
        <x:v>N/A</x:v>
      </x:c>
      <x:c r="AD692" t="str">
        <x:v>0</x:v>
      </x:c>
      <x:c r="AE692" t="str">
        <x:v>N/A</x:v>
      </x:c>
    </x:row>
    <x:row r="693">
      <x:c r="A693" t="str">
        <x:v>51</x:v>
      </x:c>
      <x:c r="B693" t="str">
        <x:v>26825</x:v>
      </x:c>
      <x:c r="C693" t="str">
        <x:v>2</x:v>
      </x:c>
      <x:c r="D693" t="str">
        <x:v>2010701243</x:v>
      </x:c>
      <x:c r="E693" t="str">
        <x:v>M ULTRA PET BCO CAR 2130X110X30 S/REB R2</x:v>
      </x:c>
      <x:c r="F693" t="str">
        <x:v>MDF ULTRA</x:v>
      </x:c>
      <x:c r="G693" t="str">
        <x:v>S/CANAL</x:v>
      </x:c>
      <x:c r="H693" t="str">
        <x:v>S/REB</x:v>
      </x:c>
      <x:c r="I693" t="str">
        <x:v>RECOBERTO PET</x:v>
      </x:c>
      <x:c r="J693" t="str">
        <x:v>BRANCO CARRARA</x:v>
      </x:c>
      <x:c r="K693" t="str">
        <x:v>0</x:v>
      </x:c>
      <x:c r="L693" t="str">
        <x:v>64</x:v>
      </x:c>
      <x:c r="M693" t="str">
        <x:v>0,45</x:v>
      </x:c>
      <x:c r="N693" t="str"/>
      <x:c r="O693" t="str"/>
      <x:c r="P693" t="str">
        <x:v>Liberada Para Producao</x:v>
      </x:c>
      <x:c r="Q693" t="str">
        <x:v>609044</x:v>
      </x:c>
      <x:c r="R693" t="str">
        <x:v>66,67</x:v>
      </x:c>
      <x:c r="S693" t="str">
        <x:v>1550</x:v>
      </x:c>
      <x:c r="T693" t="str">
        <x:v>PERNA BAT PRM DE CORRER(SEMI</x:v>
      </x:c>
      <x:c r="U693" t="str"/>
      <x:c r="V693" t="str"/>
      <x:c r="W693" t="str">
        <x:v>100</x:v>
      </x:c>
      <x:c r="X693" t="str">
        <x:v>100</x:v>
      </x:c>
      <x:c r="Y693" t="str">
        <x:v>N/A</x:v>
      </x:c>
      <x:c r="Z693" t="str">
        <x:v>0</x:v>
      </x:c>
      <x:c r="AA693" t="str">
        <x:v>N/A</x:v>
      </x:c>
      <x:c r="AB693" t="str">
        <x:v>N/A</x:v>
      </x:c>
      <x:c r="AC693" t="str">
        <x:v>N/A</x:v>
      </x:c>
      <x:c r="AD693" t="str">
        <x:v>N/A</x:v>
      </x:c>
      <x:c r="AE693" t="str">
        <x:v>N/A</x:v>
      </x:c>
    </x:row>
    <x:row r="694">
      <x:c r="A694" t="str">
        <x:v>51</x:v>
      </x:c>
      <x:c r="B694" t="str">
        <x:v>26520</x:v>
      </x:c>
      <x:c r="C694" t="str">
        <x:v>8</x:v>
      </x:c>
      <x:c r="D694" t="str">
        <x:v>2010701222</x:v>
      </x:c>
      <x:c r="E694" t="str">
        <x:v>M ULTRA PET C RA 2130X110X30 S/REB R2L M</x:v>
      </x:c>
      <x:c r="F694" t="str">
        <x:v>MDF ULTRA</x:v>
      </x:c>
      <x:c r="G694" t="str">
        <x:v>S/CANAL</x:v>
      </x:c>
      <x:c r="H694" t="str">
        <x:v>S/REB</x:v>
      </x:c>
      <x:c r="I694" t="str">
        <x:v>RECOBERTO PET</x:v>
      </x:c>
      <x:c r="J694" t="str">
        <x:v>CURUPIXA RAVENNA</x:v>
      </x:c>
      <x:c r="K694" t="str">
        <x:v>0</x:v>
      </x:c>
      <x:c r="L694" t="str">
        <x:v>2</x:v>
      </x:c>
      <x:c r="M694" t="str">
        <x:v>0,014</x:v>
      </x:c>
      <x:c r="N694" t="str"/>
      <x:c r="O694" t="str"/>
      <x:c r="P694" t="str">
        <x:v>Liberada Para Producao</x:v>
      </x:c>
      <x:c r="Q694" t="str">
        <x:v>610112</x:v>
      </x:c>
      <x:c r="R694" t="str">
        <x:v>66,67</x:v>
      </x:c>
      <x:c r="S694" t="str">
        <x:v>1550</x:v>
      </x:c>
      <x:c r="T694" t="str">
        <x:v>PERNA BAT PRM DE CORRER(SEMI</x:v>
      </x:c>
      <x:c r="U694" t="str"/>
      <x:c r="V694" t="str"/>
      <x:c r="W694" t="str">
        <x:v>100</x:v>
      </x:c>
      <x:c r="X694" t="str">
        <x:v>100</x:v>
      </x:c>
      <x:c r="Y694" t="str">
        <x:v>N/A</x:v>
      </x:c>
      <x:c r="Z694" t="str">
        <x:v>0</x:v>
      </x:c>
      <x:c r="AA694" t="str">
        <x:v>N/A</x:v>
      </x:c>
      <x:c r="AB694" t="str">
        <x:v>N/A</x:v>
      </x:c>
      <x:c r="AC694" t="str">
        <x:v>N/A</x:v>
      </x:c>
      <x:c r="AD694" t="str">
        <x:v>N/A</x:v>
      </x:c>
      <x:c r="AE694" t="str">
        <x:v>N/A</x:v>
      </x:c>
    </x:row>
    <x:row r="695">
      <x:c r="A695" t="str">
        <x:v>51</x:v>
      </x:c>
      <x:c r="B695" t="str">
        <x:v>26809</x:v>
      </x:c>
      <x:c r="C695" t="str">
        <x:v>10</x:v>
      </x:c>
      <x:c r="D695" t="str">
        <x:v>961633</x:v>
      </x:c>
      <x:c r="E695" t="str">
        <x:v>SUP KIT CORR  KIT DE CORRER EM MDF ULTRA</x:v>
      </x:c>
      <x:c r="F695" t="str"/>
      <x:c r="G695" t="str"/>
      <x:c r="H695" t="str"/>
      <x:c r="I695" t="str">
        <x:v>RECOBERTO PET</x:v>
      </x:c>
      <x:c r="J695" t="str">
        <x:v>CAPUCCINO MARCHE</x:v>
      </x:c>
      <x:c r="K695" t="str">
        <x:v>0</x:v>
      </x:c>
      <x:c r="L695" t="str">
        <x:v>1</x:v>
      </x:c>
      <x:c r="M695" t="str">
        <x:v>0,006</x:v>
      </x:c>
      <x:c r="N695" t="str"/>
      <x:c r="O695" t="str"/>
      <x:c r="P695" t="str">
        <x:v>Liberada Para Producao</x:v>
      </x:c>
      <x:c r="Q695" t="str">
        <x:v>609951</x:v>
      </x:c>
      <x:c r="R695" t="str">
        <x:v>0</x:v>
      </x:c>
      <x:c r="S695" t="str"/>
      <x:c r="T695" t="str"/>
      <x:c r="U695" t="str"/>
      <x:c r="V695" t="str"/>
      <x:c r="W695" t="str">
        <x:v>N/A</x:v>
      </x:c>
      <x:c r="X695" t="str">
        <x:v>N/A</x:v>
      </x:c>
      <x:c r="Y695" t="str">
        <x:v>0</x:v>
      </x:c>
      <x:c r="Z695" t="str">
        <x:v>0</x:v>
      </x:c>
      <x:c r="AA695" t="str">
        <x:v>N/A</x:v>
      </x:c>
      <x:c r="AB695" t="str">
        <x:v>N/A</x:v>
      </x:c>
      <x:c r="AC695" t="str">
        <x:v>N/A</x:v>
      </x:c>
      <x:c r="AD695" t="str">
        <x:v>N/A</x:v>
      </x:c>
      <x:c r="AE695" t="str">
        <x:v>N/A</x:v>
      </x:c>
    </x:row>
    <x:row r="696">
      <x:c r="A696" t="str">
        <x:v>51</x:v>
      </x:c>
      <x:c r="B696" t="str">
        <x:v>26809</x:v>
      </x:c>
      <x:c r="C696" t="str">
        <x:v>10</x:v>
      </x:c>
      <x:c r="D696" t="str">
        <x:v>961635</x:v>
      </x:c>
      <x:c r="E696" t="str">
        <x:v>CA KIT L MAI UL  KIT DE CORRER EM MDF ULTRA</x:v>
      </x:c>
      <x:c r="F696" t="str"/>
      <x:c r="G696" t="str"/>
      <x:c r="H696" t="str"/>
      <x:c r="I696" t="str">
        <x:v>RECOBERTO PET</x:v>
      </x:c>
      <x:c r="J696" t="str">
        <x:v>CAPUCCINO MARCHE</x:v>
      </x:c>
      <x:c r="K696" t="str">
        <x:v>0</x:v>
      </x:c>
      <x:c r="L696" t="str">
        <x:v>1</x:v>
      </x:c>
      <x:c r="M696" t="str">
        <x:v>0,002</x:v>
      </x:c>
      <x:c r="N696" t="str"/>
      <x:c r="O696" t="str"/>
      <x:c r="P696" t="str">
        <x:v>Liberada Para Producao</x:v>
      </x:c>
      <x:c r="Q696" t="str">
        <x:v>609952</x:v>
      </x:c>
      <x:c r="R696" t="str">
        <x:v>0</x:v>
      </x:c>
      <x:c r="S696" t="str"/>
      <x:c r="T696" t="str"/>
      <x:c r="U696" t="str"/>
      <x:c r="V696" t="str"/>
      <x:c r="W696" t="str">
        <x:v>N/A</x:v>
      </x:c>
      <x:c r="X696" t="str">
        <x:v>0</x:v>
      </x:c>
      <x:c r="Y696" t="str">
        <x:v>0</x:v>
      </x:c>
      <x:c r="Z696" t="str">
        <x:v>0</x:v>
      </x:c>
      <x:c r="AA696" t="str">
        <x:v>N/A</x:v>
      </x:c>
      <x:c r="AB696" t="str">
        <x:v>N/A</x:v>
      </x:c>
      <x:c r="AC696" t="str">
        <x:v>N/A</x:v>
      </x:c>
      <x:c r="AD696" t="str">
        <x:v>N/A</x:v>
      </x:c>
      <x:c r="AE696" t="str">
        <x:v>N/A</x:v>
      </x:c>
    </x:row>
    <x:row r="697">
      <x:c r="A697" t="str">
        <x:v>51</x:v>
      </x:c>
      <x:c r="B697" t="str">
        <x:v>26809</x:v>
      </x:c>
      <x:c r="C697" t="str">
        <x:v>10</x:v>
      </x:c>
      <x:c r="D697" t="str">
        <x:v>978579</x:v>
      </x:c>
      <x:c r="E697" t="str">
        <x:v>PE KIT CORR  KIT DE CORRER EM MDF ULTRA</x:v>
      </x:c>
      <x:c r="F697" t="str"/>
      <x:c r="G697" t="str"/>
      <x:c r="H697" t="str"/>
      <x:c r="I697" t="str">
        <x:v>RECOBERTO PET</x:v>
      </x:c>
      <x:c r="J697" t="str">
        <x:v>CAPUCCINO MARCHE</x:v>
      </x:c>
      <x:c r="K697" t="str">
        <x:v>0</x:v>
      </x:c>
      <x:c r="L697" t="str">
        <x:v>2</x:v>
      </x:c>
      <x:c r="M697" t="str">
        <x:v>0,011</x:v>
      </x:c>
      <x:c r="N697" t="str"/>
      <x:c r="O697" t="str"/>
      <x:c r="P697" t="str">
        <x:v>Liberada Para Producao</x:v>
      </x:c>
      <x:c r="Q697" t="str">
        <x:v>609953</x:v>
      </x:c>
      <x:c r="R697" t="str">
        <x:v>0</x:v>
      </x:c>
      <x:c r="S697" t="str"/>
      <x:c r="T697" t="str"/>
      <x:c r="U697" t="str"/>
      <x:c r="V697" t="str"/>
      <x:c r="W697" t="str">
        <x:v>N/A</x:v>
      </x:c>
      <x:c r="X697" t="str">
        <x:v>N/A</x:v>
      </x:c>
      <x:c r="Y697" t="str">
        <x:v>0</x:v>
      </x:c>
      <x:c r="Z697" t="str">
        <x:v>0</x:v>
      </x:c>
      <x:c r="AA697" t="str">
        <x:v>0</x:v>
      </x:c>
      <x:c r="AB697" t="str">
        <x:v>N/A</x:v>
      </x:c>
      <x:c r="AC697" t="str">
        <x:v>N/A</x:v>
      </x:c>
      <x:c r="AD697" t="str">
        <x:v>N/A</x:v>
      </x:c>
      <x:c r="AE697" t="str">
        <x:v>N/A</x:v>
      </x:c>
    </x:row>
    <x:row r="698">
      <x:c r="A698" t="str">
        <x:v>51</x:v>
      </x:c>
      <x:c r="B698" t="str">
        <x:v>26809</x:v>
      </x:c>
      <x:c r="C698" t="str">
        <x:v>10</x:v>
      </x:c>
      <x:c r="D698" t="str">
        <x:v>978581</x:v>
      </x:c>
      <x:c r="E698" t="str">
        <x:v>A KIT L ME UL  KIT DE CORRER EM MDF ULTRA</x:v>
      </x:c>
      <x:c r="F698" t="str"/>
      <x:c r="G698" t="str"/>
      <x:c r="H698" t="str"/>
      <x:c r="I698" t="str">
        <x:v>RECOBERTO PET</x:v>
      </x:c>
      <x:c r="J698" t="str">
        <x:v>CAPUCCINO MARCHE</x:v>
      </x:c>
      <x:c r="K698" t="str">
        <x:v>0</x:v>
      </x:c>
      <x:c r="L698" t="str">
        <x:v>3</x:v>
      </x:c>
      <x:c r="M698" t="str">
        <x:v>0,003</x:v>
      </x:c>
      <x:c r="N698" t="str"/>
      <x:c r="O698" t="str"/>
      <x:c r="P698" t="str">
        <x:v>Liberada Para Producao</x:v>
      </x:c>
      <x:c r="Q698" t="str">
        <x:v>609954</x:v>
      </x:c>
      <x:c r="R698" t="str">
        <x:v>0</x:v>
      </x:c>
      <x:c r="S698" t="str"/>
      <x:c r="T698" t="str"/>
      <x:c r="U698" t="str"/>
      <x:c r="V698" t="str"/>
      <x:c r="W698" t="str">
        <x:v>N/A</x:v>
      </x:c>
      <x:c r="X698" t="str">
        <x:v>0</x:v>
      </x:c>
      <x:c r="Y698" t="str">
        <x:v>0</x:v>
      </x:c>
      <x:c r="Z698" t="str">
        <x:v>0</x:v>
      </x:c>
      <x:c r="AA698" t="str">
        <x:v>N/A</x:v>
      </x:c>
      <x:c r="AB698" t="str">
        <x:v>N/A</x:v>
      </x:c>
      <x:c r="AC698" t="str">
        <x:v>N/A</x:v>
      </x:c>
      <x:c r="AD698" t="str">
        <x:v>N/A</x:v>
      </x:c>
      <x:c r="AE698" t="str">
        <x:v>N/A</x:v>
      </x:c>
    </x:row>
    <x:row r="699">
      <x:c r="A699" t="str">
        <x:v>51</x:v>
      </x:c>
      <x:c r="B699" t="str">
        <x:v>26809</x:v>
      </x:c>
      <x:c r="C699" t="str">
        <x:v>10</x:v>
      </x:c>
      <x:c r="D699" t="str">
        <x:v>1000078</x:v>
      </x:c>
      <x:c r="E699" t="str">
        <x:v> KIT DE CORRER EM MDF ULTRA</x:v>
      </x:c>
      <x:c r="F699" t="str"/>
      <x:c r="G699" t="str"/>
      <x:c r="H699" t="str"/>
      <x:c r="I699" t="str">
        <x:v>RECOBERTO PET</x:v>
      </x:c>
      <x:c r="J699" t="str">
        <x:v>CAPUCCINO MARCHE</x:v>
      </x:c>
      <x:c r="K699" t="str">
        <x:v>0</x:v>
      </x:c>
      <x:c r="L699" t="str">
        <x:v>1</x:v>
      </x:c>
      <x:c r="M699" t="str">
        <x:v>0</x:v>
      </x:c>
      <x:c r="N699" t="str"/>
      <x:c r="O699" t="str"/>
      <x:c r="P699" t="str">
        <x:v>Liberada Para Producao</x:v>
      </x:c>
      <x:c r="Q699" t="str">
        <x:v>609955</x:v>
      </x:c>
      <x:c r="R699" t="str">
        <x:v>0</x:v>
      </x:c>
      <x:c r="S699" t="str"/>
      <x:c r="T699" t="str"/>
      <x:c r="U699" t="str"/>
      <x:c r="V699" t="str"/>
      <x:c r="W699" t="str">
        <x:v>N/A</x:v>
      </x:c>
      <x:c r="X699" t="str">
        <x:v>N/A</x:v>
      </x:c>
      <x:c r="Y699" t="str">
        <x:v>N/A</x:v>
      </x:c>
      <x:c r="Z699" t="str">
        <x:v>N/A</x:v>
      </x:c>
      <x:c r="AA699" t="str">
        <x:v>N/A</x:v>
      </x:c>
      <x:c r="AB699" t="str">
        <x:v>N/A</x:v>
      </x:c>
      <x:c r="AC699" t="str">
        <x:v>N/A</x:v>
      </x:c>
      <x:c r="AD699" t="str">
        <x:v>0</x:v>
      </x:c>
      <x:c r="AE699" t="str">
        <x:v>N/A</x:v>
      </x:c>
    </x:row>
    <x:row r="700">
      <x:c r="A700" t="str">
        <x:v>51</x:v>
      </x:c>
      <x:c r="B700" t="str">
        <x:v>26809</x:v>
      </x:c>
      <x:c r="C700" t="str">
        <x:v>11</x:v>
      </x:c>
      <x:c r="D700" t="str">
        <x:v>968525</x:v>
      </x:c>
      <x:c r="E700" t="str">
        <x:v>P A 2250X70X09 RTO RL55 RC PET CAPUCC UL</x:v>
      </x:c>
      <x:c r="F700" t="str">
        <x:v>REG 2L(MAIOR 55MM)</x:v>
      </x:c>
      <x:c r="G700" t="str"/>
      <x:c r="H700" t="str"/>
      <x:c r="I700" t="str">
        <x:v>RECOBERTO PET</x:v>
      </x:c>
      <x:c r="J700" t="str">
        <x:v>CAPUCCINO MARCHE</x:v>
      </x:c>
      <x:c r="K700" t="str">
        <x:v>0</x:v>
      </x:c>
      <x:c r="L700" t="str">
        <x:v>24</x:v>
      </x:c>
      <x:c r="M700" t="str">
        <x:v>0,034</x:v>
      </x:c>
      <x:c r="N700" t="str"/>
      <x:c r="O700" t="str"/>
      <x:c r="P700" t="str">
        <x:v>Liberada Para Producao</x:v>
      </x:c>
      <x:c r="Q700" t="str">
        <x:v>609957</x:v>
      </x:c>
      <x:c r="R700" t="str">
        <x:v>0</x:v>
      </x:c>
      <x:c r="S700" t="str"/>
      <x:c r="T700" t="str"/>
      <x:c r="U700" t="str"/>
      <x:c r="V700" t="str"/>
      <x:c r="W700" t="str">
        <x:v>N/A</x:v>
      </x:c>
      <x:c r="X700" t="str">
        <x:v>0</x:v>
      </x:c>
      <x:c r="Y700" t="str">
        <x:v>0</x:v>
      </x:c>
      <x:c r="Z700" t="str">
        <x:v>0</x:v>
      </x:c>
      <x:c r="AA700" t="str">
        <x:v>N/A</x:v>
      </x:c>
      <x:c r="AB700" t="str">
        <x:v>N/A</x:v>
      </x:c>
      <x:c r="AC700" t="str">
        <x:v>N/A</x:v>
      </x:c>
      <x:c r="AD700" t="str">
        <x:v>N/A</x:v>
      </x:c>
      <x:c r="AE700" t="str">
        <x:v>N/A</x:v>
      </x:c>
    </x:row>
    <x:row r="701">
      <x:c r="A701" t="str">
        <x:v>51</x:v>
      </x:c>
      <x:c r="B701" t="str">
        <x:v>26809</x:v>
      </x:c>
      <x:c r="C701" t="str">
        <x:v>11</x:v>
      </x:c>
      <x:c r="D701" t="str">
        <x:v>968526</x:v>
      </x:c>
      <x:c r="E701" t="str">
        <x:v>T A 1100X70X09 RTO RL55 RC PET CAPUC ULT</x:v>
      </x:c>
      <x:c r="F701" t="str">
        <x:v>REG 2L(MAIOR 55MM)</x:v>
      </x:c>
      <x:c r="G701" t="str"/>
      <x:c r="H701" t="str"/>
      <x:c r="I701" t="str">
        <x:v>RECOBERTO PET</x:v>
      </x:c>
      <x:c r="J701" t="str">
        <x:v>CAPUCCINO MARCHE</x:v>
      </x:c>
      <x:c r="K701" t="str">
        <x:v>0</x:v>
      </x:c>
      <x:c r="L701" t="str">
        <x:v>12</x:v>
      </x:c>
      <x:c r="M701" t="str">
        <x:v>0,008</x:v>
      </x:c>
      <x:c r="N701" t="str"/>
      <x:c r="O701" t="str"/>
      <x:c r="P701" t="str">
        <x:v>Liberada Para Producao</x:v>
      </x:c>
      <x:c r="Q701" t="str">
        <x:v>609958</x:v>
      </x:c>
      <x:c r="R701" t="str">
        <x:v>0</x:v>
      </x:c>
      <x:c r="S701" t="str"/>
      <x:c r="T701" t="str"/>
      <x:c r="U701" t="str"/>
      <x:c r="V701" t="str"/>
      <x:c r="W701" t="str">
        <x:v>N/A</x:v>
      </x:c>
      <x:c r="X701" t="str">
        <x:v>0</x:v>
      </x:c>
      <x:c r="Y701" t="str">
        <x:v>0</x:v>
      </x:c>
      <x:c r="Z701" t="str">
        <x:v>0</x:v>
      </x:c>
      <x:c r="AA701" t="str">
        <x:v>0</x:v>
      </x:c>
      <x:c r="AB701" t="str">
        <x:v>N/A</x:v>
      </x:c>
      <x:c r="AC701" t="str">
        <x:v>N/A</x:v>
      </x:c>
      <x:c r="AD701" t="str">
        <x:v>N/A</x:v>
      </x:c>
      <x:c r="AE701" t="str">
        <x:v>N/A</x:v>
      </x:c>
    </x:row>
    <x:row r="702">
      <x:c r="A702" t="str">
        <x:v>51</x:v>
      </x:c>
      <x:c r="B702" t="str">
        <x:v>26809</x:v>
      </x:c>
      <x:c r="C702" t="str">
        <x:v>11</x:v>
      </x:c>
      <x:c r="D702" t="str">
        <x:v>968527</x:v>
      </x:c>
      <x:c r="E702" t="str">
        <x:v>P A 2250X70X09 RTO LME RC PET CAPUCC (UL</x:v>
      </x:c>
      <x:c r="F702" t="str">
        <x:v>REG 2L(MAIOR 55MM)</x:v>
      </x:c>
      <x:c r="G702" t="str"/>
      <x:c r="H702" t="str"/>
      <x:c r="I702" t="str">
        <x:v>RECOBERTO PET</x:v>
      </x:c>
      <x:c r="J702" t="str">
        <x:v>CAPUCCINO MARCHE</x:v>
      </x:c>
      <x:c r="K702" t="str">
        <x:v>0</x:v>
      </x:c>
      <x:c r="L702" t="str">
        <x:v>24</x:v>
      </x:c>
      <x:c r="M702" t="str">
        <x:v>0,034</x:v>
      </x:c>
      <x:c r="N702" t="str"/>
      <x:c r="O702" t="str"/>
      <x:c r="P702" t="str">
        <x:v>Liberada Para Producao</x:v>
      </x:c>
      <x:c r="Q702" t="str">
        <x:v>609959</x:v>
      </x:c>
      <x:c r="R702" t="str">
        <x:v>0</x:v>
      </x:c>
      <x:c r="S702" t="str"/>
      <x:c r="T702" t="str"/>
      <x:c r="U702" t="str"/>
      <x:c r="V702" t="str"/>
      <x:c r="W702" t="str">
        <x:v>N/A</x:v>
      </x:c>
      <x:c r="X702" t="str">
        <x:v>0</x:v>
      </x:c>
      <x:c r="Y702" t="str">
        <x:v>0</x:v>
      </x:c>
      <x:c r="Z702" t="str">
        <x:v>0</x:v>
      </x:c>
      <x:c r="AA702" t="str">
        <x:v>N/A</x:v>
      </x:c>
      <x:c r="AB702" t="str">
        <x:v>N/A</x:v>
      </x:c>
      <x:c r="AC702" t="str">
        <x:v>N/A</x:v>
      </x:c>
      <x:c r="AD702" t="str">
        <x:v>N/A</x:v>
      </x:c>
      <x:c r="AE702" t="str">
        <x:v>N/A</x:v>
      </x:c>
    </x:row>
    <x:row r="703">
      <x:c r="A703" t="str">
        <x:v>51</x:v>
      </x:c>
      <x:c r="B703" t="str">
        <x:v>26809</x:v>
      </x:c>
      <x:c r="C703" t="str">
        <x:v>11</x:v>
      </x:c>
      <x:c r="D703" t="str">
        <x:v>968528</x:v>
      </x:c>
      <x:c r="E703" t="str">
        <x:v>T A 1100X70X09 RTO LME RC PET CAPUCC (UL</x:v>
      </x:c>
      <x:c r="F703" t="str">
        <x:v>REG 2L(MAIOR 55MM)</x:v>
      </x:c>
      <x:c r="G703" t="str"/>
      <x:c r="H703" t="str"/>
      <x:c r="I703" t="str">
        <x:v>RECOBERTO PET</x:v>
      </x:c>
      <x:c r="J703" t="str">
        <x:v>CAPUCCINO MARCHE</x:v>
      </x:c>
      <x:c r="K703" t="str">
        <x:v>0</x:v>
      </x:c>
      <x:c r="L703" t="str">
        <x:v>12</x:v>
      </x:c>
      <x:c r="M703" t="str">
        <x:v>0,008</x:v>
      </x:c>
      <x:c r="N703" t="str"/>
      <x:c r="O703" t="str"/>
      <x:c r="P703" t="str">
        <x:v>Liberada Para Producao</x:v>
      </x:c>
      <x:c r="Q703" t="str">
        <x:v>609960</x:v>
      </x:c>
      <x:c r="R703" t="str">
        <x:v>0</x:v>
      </x:c>
      <x:c r="S703" t="str"/>
      <x:c r="T703" t="str"/>
      <x:c r="U703" t="str"/>
      <x:c r="V703" t="str"/>
      <x:c r="W703" t="str">
        <x:v>N/A</x:v>
      </x:c>
      <x:c r="X703" t="str">
        <x:v>0</x:v>
      </x:c>
      <x:c r="Y703" t="str">
        <x:v>0</x:v>
      </x:c>
      <x:c r="Z703" t="str">
        <x:v>0</x:v>
      </x:c>
      <x:c r="AA703" t="str">
        <x:v>0</x:v>
      </x:c>
      <x:c r="AB703" t="str">
        <x:v>N/A</x:v>
      </x:c>
      <x:c r="AC703" t="str">
        <x:v>N/A</x:v>
      </x:c>
      <x:c r="AD703" t="str">
        <x:v>N/A</x:v>
      </x:c>
      <x:c r="AE703" t="str">
        <x:v>N/A</x:v>
      </x:c>
    </x:row>
    <x:row r="704">
      <x:c r="A704" t="str">
        <x:v>51</x:v>
      </x:c>
      <x:c r="B704" t="str">
        <x:v>26809</x:v>
      </x:c>
      <x:c r="C704" t="str">
        <x:v>12</x:v>
      </x:c>
      <x:c r="D704" t="str">
        <x:v>2020700108</x:v>
      </x:c>
      <x:c r="E704" t="str">
        <x:v>A ULTRA PET CAP M 2250X70X9 RG(55) RTO</x:v>
      </x:c>
      <x:c r="F704" t="str">
        <x:v>REG 2L(MAIOR 55MM)</x:v>
      </x:c>
      <x:c r="G704" t="str"/>
      <x:c r="H704" t="str"/>
      <x:c r="I704" t="str">
        <x:v>RECOBERTO PET</x:v>
      </x:c>
      <x:c r="J704" t="str">
        <x:v>CAPUCCINO MARCHE</x:v>
      </x:c>
      <x:c r="K704" t="str">
        <x:v>0</x:v>
      </x:c>
      <x:c r="L704" t="str">
        <x:v>2</x:v>
      </x:c>
      <x:c r="M704" t="str">
        <x:v>0</x:v>
      </x:c>
      <x:c r="N704" t="str"/>
      <x:c r="O704" t="str"/>
      <x:c r="P704" t="str">
        <x:v>Liberada Para Producao</x:v>
      </x:c>
      <x:c r="Q704" t="str">
        <x:v>609962</x:v>
      </x:c>
      <x:c r="R704" t="str">
        <x:v>0</x:v>
      </x:c>
      <x:c r="S704" t="str">
        <x:v>2001</x:v>
      </x:c>
      <x:c r="T704" t="str">
        <x:v>PERNA ALIZAR RG 55 (SEMI)</x:v>
      </x:c>
      <x:c r="U704" t="str"/>
      <x:c r="V704" t="str"/>
      <x:c r="W704" t="str">
        <x:v>N/A</x:v>
      </x:c>
      <x:c r="X704" t="str">
        <x:v>0</x:v>
      </x:c>
      <x:c r="Y704" t="str">
        <x:v>0</x:v>
      </x:c>
      <x:c r="Z704" t="str">
        <x:v>0</x:v>
      </x:c>
      <x:c r="AA704" t="str">
        <x:v>N/A</x:v>
      </x:c>
      <x:c r="AB704" t="str">
        <x:v>N/A</x:v>
      </x:c>
      <x:c r="AC704" t="str">
        <x:v>N/A</x:v>
      </x:c>
      <x:c r="AD704" t="str">
        <x:v>N/A</x:v>
      </x:c>
      <x:c r="AE704" t="str">
        <x:v>N/A</x:v>
      </x:c>
    </x:row>
    <x:row r="705">
      <x:c r="A705" t="str">
        <x:v>51</x:v>
      </x:c>
      <x:c r="B705" t="str">
        <x:v>26809</x:v>
      </x:c>
      <x:c r="C705" t="str">
        <x:v>12</x:v>
      </x:c>
      <x:c r="D705" t="str">
        <x:v>2020700109</x:v>
      </x:c>
      <x:c r="E705" t="str">
        <x:v>A ULTRA PET CAP M 2250X70X9 RG(ME) RTO</x:v>
      </x:c>
      <x:c r="F705" t="str">
        <x:v>REG 2L(MAIOR 55MM)</x:v>
      </x:c>
      <x:c r="G705" t="str"/>
      <x:c r="H705" t="str"/>
      <x:c r="I705" t="str">
        <x:v>RECOBERTO PET</x:v>
      </x:c>
      <x:c r="J705" t="str">
        <x:v>CAPUCCINO MARCHE</x:v>
      </x:c>
      <x:c r="K705" t="str">
        <x:v>0</x:v>
      </x:c>
      <x:c r="L705" t="str">
        <x:v>2</x:v>
      </x:c>
      <x:c r="M705" t="str">
        <x:v>0</x:v>
      </x:c>
      <x:c r="N705" t="str"/>
      <x:c r="O705" t="str"/>
      <x:c r="P705" t="str">
        <x:v>Liberada Para Producao</x:v>
      </x:c>
      <x:c r="Q705" t="str">
        <x:v>609963</x:v>
      </x:c>
      <x:c r="R705" t="str">
        <x:v>0</x:v>
      </x:c>
      <x:c r="S705" t="str">
        <x:v>2003</x:v>
      </x:c>
      <x:c r="T705" t="str">
        <x:v>PERNA ALIZAR L MENOR  (SEMI)</x:v>
      </x:c>
      <x:c r="U705" t="str"/>
      <x:c r="V705" t="str"/>
      <x:c r="W705" t="str">
        <x:v>N/A</x:v>
      </x:c>
      <x:c r="X705" t="str">
        <x:v>0</x:v>
      </x:c>
      <x:c r="Y705" t="str">
        <x:v>0</x:v>
      </x:c>
      <x:c r="Z705" t="str">
        <x:v>0</x:v>
      </x:c>
      <x:c r="AA705" t="str">
        <x:v>N/A</x:v>
      </x:c>
      <x:c r="AB705" t="str">
        <x:v>N/A</x:v>
      </x:c>
      <x:c r="AC705" t="str">
        <x:v>N/A</x:v>
      </x:c>
      <x:c r="AD705" t="str">
        <x:v>N/A</x:v>
      </x:c>
      <x:c r="AE705" t="str">
        <x:v>N/A</x:v>
      </x:c>
    </x:row>
    <x:row r="706">
      <x:c r="A706" t="str">
        <x:v>51</x:v>
      </x:c>
      <x:c r="B706" t="str">
        <x:v>26809</x:v>
      </x:c>
      <x:c r="C706" t="str">
        <x:v>12</x:v>
      </x:c>
      <x:c r="D706" t="str">
        <x:v>2020700635</x:v>
      </x:c>
      <x:c r="E706" t="str">
        <x:v>A ULTRA PET CAP M 1400X70X9 RG(55) RTO</x:v>
      </x:c>
      <x:c r="F706" t="str">
        <x:v>REG 2L(MAIOR 55MM)</x:v>
      </x:c>
      <x:c r="G706" t="str"/>
      <x:c r="H706" t="str"/>
      <x:c r="I706" t="str">
        <x:v>RECOBERTO PET</x:v>
      </x:c>
      <x:c r="J706" t="str">
        <x:v>CAPUCCINO MARCHE</x:v>
      </x:c>
      <x:c r="K706" t="str">
        <x:v>0</x:v>
      </x:c>
      <x:c r="L706" t="str">
        <x:v>1</x:v>
      </x:c>
      <x:c r="M706" t="str">
        <x:v>0</x:v>
      </x:c>
      <x:c r="N706" t="str"/>
      <x:c r="O706" t="str"/>
      <x:c r="P706" t="str">
        <x:v>Liberada Para Producao</x:v>
      </x:c>
      <x:c r="Q706" t="str">
        <x:v>609964</x:v>
      </x:c>
      <x:c r="R706" t="str">
        <x:v>0</x:v>
      </x:c>
      <x:c r="S706" t="str">
        <x:v>2005</x:v>
      </x:c>
      <x:c r="T706" t="str">
        <x:v>TRAVESSA ALIZAR RG 55 (SEMI)</x:v>
      </x:c>
      <x:c r="U706" t="str"/>
      <x:c r="V706" t="str"/>
      <x:c r="W706" t="str">
        <x:v>N/A</x:v>
      </x:c>
      <x:c r="X706" t="str">
        <x:v>0</x:v>
      </x:c>
      <x:c r="Y706" t="str">
        <x:v>N/A</x:v>
      </x:c>
      <x:c r="Z706" t="str">
        <x:v>0</x:v>
      </x:c>
      <x:c r="AA706" t="str">
        <x:v>0</x:v>
      </x:c>
      <x:c r="AB706" t="str">
        <x:v>N/A</x:v>
      </x:c>
      <x:c r="AC706" t="str">
        <x:v>N/A</x:v>
      </x:c>
      <x:c r="AD706" t="str">
        <x:v>N/A</x:v>
      </x:c>
      <x:c r="AE706" t="str">
        <x:v>N/A</x:v>
      </x:c>
    </x:row>
    <x:row r="707">
      <x:c r="A707" t="str">
        <x:v>51</x:v>
      </x:c>
      <x:c r="B707" t="str">
        <x:v>26809</x:v>
      </x:c>
      <x:c r="C707" t="str">
        <x:v>12</x:v>
      </x:c>
      <x:c r="D707" t="str">
        <x:v>2020700636</x:v>
      </x:c>
      <x:c r="E707" t="str">
        <x:v>A ULTRA PET CAP M 1400X70X9 RG(ME) RTO</x:v>
      </x:c>
      <x:c r="F707" t="str">
        <x:v>REG 2L(MAIOR 55MM)</x:v>
      </x:c>
      <x:c r="G707" t="str"/>
      <x:c r="H707" t="str"/>
      <x:c r="I707" t="str">
        <x:v>RECOBERTO PET</x:v>
      </x:c>
      <x:c r="J707" t="str">
        <x:v>CAPUCCINO MARCHE</x:v>
      </x:c>
      <x:c r="K707" t="str">
        <x:v>0</x:v>
      </x:c>
      <x:c r="L707" t="str">
        <x:v>1</x:v>
      </x:c>
      <x:c r="M707" t="str">
        <x:v>0</x:v>
      </x:c>
      <x:c r="N707" t="str"/>
      <x:c r="O707" t="str"/>
      <x:c r="P707" t="str">
        <x:v>Liberada Para Producao</x:v>
      </x:c>
      <x:c r="Q707" t="str">
        <x:v>609965</x:v>
      </x:c>
      <x:c r="R707" t="str">
        <x:v>0</x:v>
      </x:c>
      <x:c r="S707" t="str">
        <x:v>2007</x:v>
      </x:c>
      <x:c r="T707" t="str">
        <x:v>TRAVESS ALIZAR L MENOR  (SEMI)</x:v>
      </x:c>
      <x:c r="U707" t="str"/>
      <x:c r="V707" t="str"/>
      <x:c r="W707" t="str">
        <x:v>N/A</x:v>
      </x:c>
      <x:c r="X707" t="str">
        <x:v>0</x:v>
      </x:c>
      <x:c r="Y707" t="str">
        <x:v>N/A</x:v>
      </x:c>
      <x:c r="Z707" t="str">
        <x:v>0</x:v>
      </x:c>
      <x:c r="AA707" t="str">
        <x:v>0</x:v>
      </x:c>
      <x:c r="AB707" t="str">
        <x:v>N/A</x:v>
      </x:c>
      <x:c r="AC707" t="str">
        <x:v>N/A</x:v>
      </x:c>
      <x:c r="AD707" t="str">
        <x:v>N/A</x:v>
      </x:c>
      <x:c r="AE707" t="str">
        <x:v>N/A</x:v>
      </x:c>
    </x:row>
    <x:row r="708">
      <x:c r="A708" t="str">
        <x:v>51</x:v>
      </x:c>
      <x:c r="B708" t="str">
        <x:v>26809</x:v>
      </x:c>
      <x:c r="C708" t="str">
        <x:v>13</x:v>
      </x:c>
      <x:c r="D708" t="str">
        <x:v>973268</x:v>
      </x:c>
      <x:c r="E708" t="str">
        <x:v>DOB INOX 304 FAMOSSUL 3x2,5R16 FABRICADO</x:v>
      </x:c>
      <x:c r="F708" t="str"/>
      <x:c r="G708" t="str"/>
      <x:c r="H708" t="str"/>
      <x:c r="I708" t="str">
        <x:v>FERRAGENS</x:v>
      </x:c>
      <x:c r="J708" t="str">
        <x:v>DOBRADICAS</x:v>
      </x:c>
      <x:c r="K708" t="str">
        <x:v>0</x:v>
      </x:c>
      <x:c r="L708" t="str">
        <x:v>36</x:v>
      </x:c>
      <x:c r="M708" t="str">
        <x:v>0</x:v>
      </x:c>
      <x:c r="N708" t="str"/>
      <x:c r="O708" t="str"/>
      <x:c r="P708" t="str">
        <x:v>Liberada Para Producao</x:v>
      </x:c>
      <x:c r="Q708" t="str">
        <x:v>609966</x:v>
      </x:c>
      <x:c r="R708" t="str">
        <x:v>0</x:v>
      </x:c>
      <x:c r="S708" t="str"/>
      <x:c r="T708" t="str"/>
      <x:c r="U708" t="str"/>
      <x:c r="V708" t="str"/>
      <x:c r="W708" t="str">
        <x:v>N/A</x:v>
      </x:c>
      <x:c r="X708" t="str">
        <x:v>N/A</x:v>
      </x:c>
      <x:c r="Y708" t="str">
        <x:v>N/A</x:v>
      </x:c>
      <x:c r="Z708" t="str">
        <x:v>N/A</x:v>
      </x:c>
      <x:c r="AA708" t="str">
        <x:v>N/A</x:v>
      </x:c>
      <x:c r="AB708" t="str">
        <x:v>N/A</x:v>
      </x:c>
      <x:c r="AC708" t="str">
        <x:v>N/A</x:v>
      </x:c>
      <x:c r="AD708" t="str">
        <x:v>0</x:v>
      </x:c>
      <x:c r="AE708" t="str">
        <x:v>N/A</x:v>
      </x:c>
    </x:row>
    <x:row r="709">
      <x:c r="A709" t="str">
        <x:v>51</x:v>
      </x:c>
      <x:c r="B709" t="str">
        <x:v>26815</x:v>
      </x:c>
      <x:c r="C709" t="str">
        <x:v>1</x:v>
      </x:c>
      <x:c r="D709" t="str">
        <x:v>2010600024</x:v>
      </x:c>
      <x:c r="E709" t="str">
        <x:v>M P MDF STD PET TXT BCO 2110X80X30 42X10</x:v>
      </x:c>
      <x:c r="F709" t="str"/>
      <x:c r="G709" t="str"/>
      <x:c r="H709" t="str"/>
      <x:c r="I709" t="str">
        <x:v>ESMALTE</x:v>
      </x:c>
      <x:c r="J709" t="str">
        <x:v>BRANCO CARRARA</x:v>
      </x:c>
      <x:c r="K709" t="str">
        <x:v>0</x:v>
      </x:c>
      <x:c r="L709" t="str">
        <x:v>308</x:v>
      </x:c>
      <x:c r="M709" t="str">
        <x:v>1,56</x:v>
      </x:c>
      <x:c r="N709" t="str">
        <x:v>OC 4500910499</x:v>
      </x:c>
      <x:c r="O709" t="str"/>
      <x:c r="P709" t="str">
        <x:v>Liberada Para Producao</x:v>
      </x:c>
      <x:c r="Q709" t="str">
        <x:v>609486</x:v>
      </x:c>
      <x:c r="R709" t="str">
        <x:v>0</x:v>
      </x:c>
      <x:c r="S709" t="str">
        <x:v>1500</x:v>
      </x:c>
      <x:c r="T709" t="str">
        <x:v>PERNA DE BATENTE PREMIUM(SEMIA</x:v>
      </x:c>
      <x:c r="U709" t="str"/>
      <x:c r="V709" t="str"/>
      <x:c r="W709" t="str">
        <x:v>N/A</x:v>
      </x:c>
      <x:c r="X709" t="str">
        <x:v>N/A</x:v>
      </x:c>
      <x:c r="Y709" t="str">
        <x:v>N/A</x:v>
      </x:c>
      <x:c r="Z709" t="str">
        <x:v>0</x:v>
      </x:c>
      <x:c r="AA709" t="str">
        <x:v>0</x:v>
      </x:c>
      <x:c r="AB709" t="str">
        <x:v>N/A</x:v>
      </x:c>
      <x:c r="AC709" t="str">
        <x:v>N/A</x:v>
      </x:c>
      <x:c r="AD709" t="str">
        <x:v>N/A</x:v>
      </x:c>
      <x:c r="AE709" t="str">
        <x:v>N/A</x:v>
      </x:c>
    </x:row>
    <x:row r="710">
      <x:c r="A710" t="str">
        <x:v>51</x:v>
      </x:c>
      <x:c r="B710" t="str">
        <x:v>26815</x:v>
      </x:c>
      <x:c r="C710" t="str">
        <x:v>1</x:v>
      </x:c>
      <x:c r="D710" t="str">
        <x:v>2010600170</x:v>
      </x:c>
      <x:c r="E710" t="str">
        <x:v>M T MDF STD PET TXT BCO 647X80X30 42X10</x:v>
      </x:c>
      <x:c r="F710" t="str"/>
      <x:c r="G710" t="str"/>
      <x:c r="H710" t="str"/>
      <x:c r="I710" t="str">
        <x:v>ESMALTE</x:v>
      </x:c>
      <x:c r="J710" t="str">
        <x:v>BRANCO CARRARA</x:v>
      </x:c>
      <x:c r="K710" t="str">
        <x:v>0</x:v>
      </x:c>
      <x:c r="L710" t="str">
        <x:v>154</x:v>
      </x:c>
      <x:c r="M710" t="str">
        <x:v>0,239</x:v>
      </x:c>
      <x:c r="N710" t="str">
        <x:v>OC 4500910499</x:v>
      </x:c>
      <x:c r="O710" t="str"/>
      <x:c r="P710" t="str">
        <x:v>Liberada Para Producao</x:v>
      </x:c>
      <x:c r="Q710" t="str">
        <x:v>609487</x:v>
      </x:c>
      <x:c r="R710" t="str">
        <x:v>0</x:v>
      </x:c>
      <x:c r="S710" t="str">
        <x:v>1501</x:v>
      </x:c>
      <x:c r="T710" t="str">
        <x:v>TRAV. BAT. 680 PET/PVC(SEMI)</x:v>
      </x:c>
      <x:c r="U710" t="str"/>
      <x:c r="V710" t="str"/>
      <x:c r="W710" t="str">
        <x:v>N/A</x:v>
      </x:c>
      <x:c r="X710" t="str">
        <x:v>N/A</x:v>
      </x:c>
      <x:c r="Y710" t="str">
        <x:v>N/A</x:v>
      </x:c>
      <x:c r="Z710" t="str">
        <x:v>0</x:v>
      </x:c>
      <x:c r="AA710" t="str">
        <x:v>0</x:v>
      </x:c>
      <x:c r="AB710" t="str">
        <x:v>N/A</x:v>
      </x:c>
      <x:c r="AC710" t="str">
        <x:v>N/A</x:v>
      </x:c>
      <x:c r="AD710" t="str">
        <x:v>N/A</x:v>
      </x:c>
      <x:c r="AE710" t="str">
        <x:v>N/A</x:v>
      </x:c>
    </x:row>
    <x:row r="711">
      <x:c r="A711" t="str">
        <x:v>51</x:v>
      </x:c>
      <x:c r="B711" t="str">
        <x:v>26815</x:v>
      </x:c>
      <x:c r="C711" t="str">
        <x:v>1</x:v>
      </x:c>
      <x:c r="D711" t="str">
        <x:v>2020600232</x:v>
      </x:c>
      <x:c r="E711" t="str">
        <x:v>A STD PET TXT BCO 2200X60X9 RG(55) RTO</x:v>
      </x:c>
      <x:c r="F711" t="str"/>
      <x:c r="G711" t="str"/>
      <x:c r="H711" t="str"/>
      <x:c r="I711" t="str">
        <x:v>ESMALTE</x:v>
      </x:c>
      <x:c r="J711" t="str">
        <x:v>BRANCO CARRARA</x:v>
      </x:c>
      <x:c r="K711" t="str">
        <x:v>0</x:v>
      </x:c>
      <x:c r="L711" t="str">
        <x:v>308</x:v>
      </x:c>
      <x:c r="M711" t="str">
        <x:v>0</x:v>
      </x:c>
      <x:c r="N711" t="str">
        <x:v>OC 4500910499</x:v>
      </x:c>
      <x:c r="O711" t="str"/>
      <x:c r="P711" t="str">
        <x:v>Liberada Para Producao</x:v>
      </x:c>
      <x:c r="Q711" t="str">
        <x:v>609488</x:v>
      </x:c>
      <x:c r="R711" t="str">
        <x:v>0</x:v>
      </x:c>
      <x:c r="S711" t="str">
        <x:v>2001</x:v>
      </x:c>
      <x:c r="T711" t="str">
        <x:v>PERNA ALIZAR RG 55 (SEMI)</x:v>
      </x:c>
      <x:c r="U711" t="str"/>
      <x:c r="V711" t="str"/>
      <x:c r="W711" t="str">
        <x:v>N/A</x:v>
      </x:c>
      <x:c r="X711" t="str">
        <x:v>0</x:v>
      </x:c>
      <x:c r="Y711" t="str">
        <x:v>0</x:v>
      </x:c>
      <x:c r="Z711" t="str">
        <x:v>0</x:v>
      </x:c>
      <x:c r="AA711" t="str">
        <x:v>N/A</x:v>
      </x:c>
      <x:c r="AB711" t="str">
        <x:v>N/A</x:v>
      </x:c>
      <x:c r="AC711" t="str">
        <x:v>N/A</x:v>
      </x:c>
      <x:c r="AD711" t="str">
        <x:v>N/A</x:v>
      </x:c>
      <x:c r="AE711" t="str">
        <x:v>N/A</x:v>
      </x:c>
    </x:row>
    <x:row r="712">
      <x:c r="A712" t="str">
        <x:v>51</x:v>
      </x:c>
      <x:c r="B712" t="str">
        <x:v>26815</x:v>
      </x:c>
      <x:c r="C712" t="str">
        <x:v>1</x:v>
      </x:c>
      <x:c r="D712" t="str">
        <x:v>2020600233</x:v>
      </x:c>
      <x:c r="E712" t="str">
        <x:v>A STD PET TXT BCO 2200X60X9 RG(ME) RTO</x:v>
      </x:c>
      <x:c r="F712" t="str"/>
      <x:c r="G712" t="str"/>
      <x:c r="H712" t="str"/>
      <x:c r="I712" t="str">
        <x:v>ESMALTE</x:v>
      </x:c>
      <x:c r="J712" t="str">
        <x:v>BRANCO CARRARA</x:v>
      </x:c>
      <x:c r="K712" t="str">
        <x:v>0</x:v>
      </x:c>
      <x:c r="L712" t="str">
        <x:v>308</x:v>
      </x:c>
      <x:c r="M712" t="str">
        <x:v>0</x:v>
      </x:c>
      <x:c r="N712" t="str">
        <x:v>OC 4500910499</x:v>
      </x:c>
      <x:c r="O712" t="str"/>
      <x:c r="P712" t="str">
        <x:v>Liberada Para Producao</x:v>
      </x:c>
      <x:c r="Q712" t="str">
        <x:v>609489</x:v>
      </x:c>
      <x:c r="R712" t="str">
        <x:v>0</x:v>
      </x:c>
      <x:c r="S712" t="str">
        <x:v>2003</x:v>
      </x:c>
      <x:c r="T712" t="str">
        <x:v>PERNA ALIZAR L MENOR  (SEMI)</x:v>
      </x:c>
      <x:c r="U712" t="str"/>
      <x:c r="V712" t="str"/>
      <x:c r="W712" t="str">
        <x:v>N/A</x:v>
      </x:c>
      <x:c r="X712" t="str">
        <x:v>0</x:v>
      </x:c>
      <x:c r="Y712" t="str">
        <x:v>0</x:v>
      </x:c>
      <x:c r="Z712" t="str">
        <x:v>0</x:v>
      </x:c>
      <x:c r="AA712" t="str">
        <x:v>N/A</x:v>
      </x:c>
      <x:c r="AB712" t="str">
        <x:v>N/A</x:v>
      </x:c>
      <x:c r="AC712" t="str">
        <x:v>N/A</x:v>
      </x:c>
      <x:c r="AD712" t="str">
        <x:v>N/A</x:v>
      </x:c>
      <x:c r="AE712" t="str">
        <x:v>N/A</x:v>
      </x:c>
    </x:row>
    <x:row r="713">
      <x:c r="A713" t="str">
        <x:v>51</x:v>
      </x:c>
      <x:c r="B713" t="str">
        <x:v>26815</x:v>
      </x:c>
      <x:c r="C713" t="str">
        <x:v>1</x:v>
      </x:c>
      <x:c r="D713" t="str">
        <x:v>2020600234</x:v>
      </x:c>
      <x:c r="E713" t="str">
        <x:v>A STD PET TXT BCO 1100X60X9 RG(55) RTO</x:v>
      </x:c>
      <x:c r="F713" t="str"/>
      <x:c r="G713" t="str"/>
      <x:c r="H713" t="str"/>
      <x:c r="I713" t="str">
        <x:v>ESMALTE</x:v>
      </x:c>
      <x:c r="J713" t="str">
        <x:v>BRANCO CARRARA</x:v>
      </x:c>
      <x:c r="K713" t="str">
        <x:v>0</x:v>
      </x:c>
      <x:c r="L713" t="str">
        <x:v>154</x:v>
      </x:c>
      <x:c r="M713" t="str">
        <x:v>0</x:v>
      </x:c>
      <x:c r="N713" t="str">
        <x:v>OC 4500910499</x:v>
      </x:c>
      <x:c r="O713" t="str"/>
      <x:c r="P713" t="str">
        <x:v>Liberada Para Producao</x:v>
      </x:c>
      <x:c r="Q713" t="str">
        <x:v>609490</x:v>
      </x:c>
      <x:c r="R713" t="str">
        <x:v>0</x:v>
      </x:c>
      <x:c r="S713" t="str">
        <x:v>2005</x:v>
      </x:c>
      <x:c r="T713" t="str">
        <x:v>TRAVESSA ALIZAR RG 55 (SEMI)</x:v>
      </x:c>
      <x:c r="U713" t="str"/>
      <x:c r="V713" t="str"/>
      <x:c r="W713" t="str">
        <x:v>N/A</x:v>
      </x:c>
      <x:c r="X713" t="str">
        <x:v>0</x:v>
      </x:c>
      <x:c r="Y713" t="str">
        <x:v>N/A</x:v>
      </x:c>
      <x:c r="Z713" t="str">
        <x:v>0</x:v>
      </x:c>
      <x:c r="AA713" t="str">
        <x:v>0</x:v>
      </x:c>
      <x:c r="AB713" t="str">
        <x:v>N/A</x:v>
      </x:c>
      <x:c r="AC713" t="str">
        <x:v>N/A</x:v>
      </x:c>
      <x:c r="AD713" t="str">
        <x:v>N/A</x:v>
      </x:c>
      <x:c r="AE713" t="str">
        <x:v>N/A</x:v>
      </x:c>
    </x:row>
    <x:row r="714">
      <x:c r="A714" t="str">
        <x:v>51</x:v>
      </x:c>
      <x:c r="B714" t="str">
        <x:v>26815</x:v>
      </x:c>
      <x:c r="C714" t="str">
        <x:v>1</x:v>
      </x:c>
      <x:c r="D714" t="str">
        <x:v>2020600235</x:v>
      </x:c>
      <x:c r="E714" t="str">
        <x:v>A STD PET TXT BCO 1100X60X9 RG(ME) RTO</x:v>
      </x:c>
      <x:c r="F714" t="str"/>
      <x:c r="G714" t="str"/>
      <x:c r="H714" t="str"/>
      <x:c r="I714" t="str">
        <x:v>ESMALTE</x:v>
      </x:c>
      <x:c r="J714" t="str">
        <x:v>BRANCO CARRARA</x:v>
      </x:c>
      <x:c r="K714" t="str">
        <x:v>0</x:v>
      </x:c>
      <x:c r="L714" t="str">
        <x:v>154</x:v>
      </x:c>
      <x:c r="M714" t="str">
        <x:v>0</x:v>
      </x:c>
      <x:c r="N714" t="str">
        <x:v>OC 4500910499</x:v>
      </x:c>
      <x:c r="O714" t="str"/>
      <x:c r="P714" t="str">
        <x:v>Liberada Para Producao</x:v>
      </x:c>
      <x:c r="Q714" t="str">
        <x:v>609491</x:v>
      </x:c>
      <x:c r="R714" t="str">
        <x:v>0</x:v>
      </x:c>
      <x:c r="S714" t="str">
        <x:v>2007</x:v>
      </x:c>
      <x:c r="T714" t="str">
        <x:v>TRAVESS ALIZAR L MENOR  (SEMI)</x:v>
      </x:c>
      <x:c r="U714" t="str"/>
      <x:c r="V714" t="str"/>
      <x:c r="W714" t="str">
        <x:v>N/A</x:v>
      </x:c>
      <x:c r="X714" t="str">
        <x:v>0</x:v>
      </x:c>
      <x:c r="Y714" t="str">
        <x:v>N/A</x:v>
      </x:c>
      <x:c r="Z714" t="str">
        <x:v>0</x:v>
      </x:c>
      <x:c r="AA714" t="str">
        <x:v>0</x:v>
      </x:c>
      <x:c r="AB714" t="str">
        <x:v>N/A</x:v>
      </x:c>
      <x:c r="AC714" t="str">
        <x:v>N/A</x:v>
      </x:c>
      <x:c r="AD714" t="str">
        <x:v>N/A</x:v>
      </x:c>
      <x:c r="AE714" t="str">
        <x:v>N/A</x:v>
      </x:c>
    </x:row>
    <x:row r="715">
      <x:c r="A715" t="str">
        <x:v>51</x:v>
      </x:c>
      <x:c r="B715" t="str">
        <x:v>26815</x:v>
      </x:c>
      <x:c r="C715" t="str">
        <x:v>1</x:v>
      </x:c>
      <x:c r="D715" t="str">
        <x:v>3040300440</x:v>
      </x:c>
      <x:c r="E715" t="str">
        <x:v>FO POR SMT HDF 3 COL RU 2100X600X35 ESM</x:v>
      </x:c>
      <x:c r="F715" t="str"/>
      <x:c r="G715" t="str"/>
      <x:c r="H715" t="str"/>
      <x:c r="I715" t="str">
        <x:v>ESMALTE</x:v>
      </x:c>
      <x:c r="J715" t="str">
        <x:v>BRANCO CARRARA</x:v>
      </x:c>
      <x:c r="K715" t="str">
        <x:v>0</x:v>
      </x:c>
      <x:c r="L715" t="str">
        <x:v>154</x:v>
      </x:c>
      <x:c r="M715" t="str">
        <x:v>6,791</x:v>
      </x:c>
      <x:c r="N715" t="str">
        <x:v>OC 4500910499</x:v>
      </x:c>
      <x:c r="O715" t="str"/>
      <x:c r="P715" t="str">
        <x:v>Liberada Para Producao</x:v>
      </x:c>
      <x:c r="Q715" t="str">
        <x:v>609492</x:v>
      </x:c>
      <x:c r="R715" t="str">
        <x:v>62,99</x:v>
      </x:c>
      <x:c r="S715" t="str">
        <x:v>11</x:v>
      </x:c>
      <x:c r="T715" t="str">
        <x:v>PORTA LINHA SMART</x:v>
      </x:c>
      <x:c r="U715" t="str"/>
      <x:c r="V715" t="str"/>
      <x:c r="W715" t="str">
        <x:v>N/A</x:v>
      </x:c>
      <x:c r="X715" t="str">
        <x:v>100</x:v>
      </x:c>
      <x:c r="Y715" t="str">
        <x:v>N/A</x:v>
      </x:c>
      <x:c r="Z715" t="str">
        <x:v>N/A</x:v>
      </x:c>
      <x:c r="AA715" t="str">
        <x:v>N/A</x:v>
      </x:c>
      <x:c r="AB715" t="str">
        <x:v>88,96</x:v>
      </x:c>
      <x:c r="AC715" t="str">
        <x:v>N/A</x:v>
      </x:c>
      <x:c r="AD715" t="str">
        <x:v>0</x:v>
      </x:c>
      <x:c r="AE715" t="str">
        <x:v>N/A</x:v>
      </x:c>
    </x:row>
    <x:row r="716">
      <x:c r="A716" t="str">
        <x:v>51</x:v>
      </x:c>
      <x:c r="B716" t="str">
        <x:v>26815</x:v>
      </x:c>
      <x:c r="C716" t="str">
        <x:v>2</x:v>
      </x:c>
      <x:c r="D716" t="str">
        <x:v>2010600197</x:v>
      </x:c>
      <x:c r="E716" t="str">
        <x:v>M P MDF STD PET TXT BCO 2110X90X30 42X10</x:v>
      </x:c>
      <x:c r="F716" t="str"/>
      <x:c r="G716" t="str"/>
      <x:c r="H716" t="str"/>
      <x:c r="I716" t="str">
        <x:v>ESMALTE</x:v>
      </x:c>
      <x:c r="J716" t="str">
        <x:v>BRANCO CARRARA</x:v>
      </x:c>
      <x:c r="K716" t="str">
        <x:v>0</x:v>
      </x:c>
      <x:c r="L716" t="str">
        <x:v>20</x:v>
      </x:c>
      <x:c r="M716" t="str">
        <x:v>0,114</x:v>
      </x:c>
      <x:c r="N716" t="str">
        <x:v>OC 4500910499</x:v>
      </x:c>
      <x:c r="O716" t="str"/>
      <x:c r="P716" t="str">
        <x:v>Liberada Para Producao</x:v>
      </x:c>
      <x:c r="Q716" t="str">
        <x:v>609494</x:v>
      </x:c>
      <x:c r="R716" t="str">
        <x:v>0</x:v>
      </x:c>
      <x:c r="S716" t="str">
        <x:v>1500</x:v>
      </x:c>
      <x:c r="T716" t="str">
        <x:v>PERNA DE BATENTE PREMIUM(SEMIA</x:v>
      </x:c>
      <x:c r="U716" t="str"/>
      <x:c r="V716" t="str"/>
      <x:c r="W716" t="str">
        <x:v>N/A</x:v>
      </x:c>
      <x:c r="X716" t="str">
        <x:v>N/A</x:v>
      </x:c>
      <x:c r="Y716" t="str">
        <x:v>N/A</x:v>
      </x:c>
      <x:c r="Z716" t="str">
        <x:v>0</x:v>
      </x:c>
      <x:c r="AA716" t="str">
        <x:v>0</x:v>
      </x:c>
      <x:c r="AB716" t="str">
        <x:v>N/A</x:v>
      </x:c>
      <x:c r="AC716" t="str">
        <x:v>N/A</x:v>
      </x:c>
      <x:c r="AD716" t="str">
        <x:v>N/A</x:v>
      </x:c>
      <x:c r="AE716" t="str">
        <x:v>N/A</x:v>
      </x:c>
    </x:row>
    <x:row r="717">
      <x:c r="A717" t="str">
        <x:v>51</x:v>
      </x:c>
      <x:c r="B717" t="str">
        <x:v>26815</x:v>
      </x:c>
      <x:c r="C717" t="str">
        <x:v>2</x:v>
      </x:c>
      <x:c r="D717" t="str">
        <x:v>2010600198</x:v>
      </x:c>
      <x:c r="E717" t="str">
        <x:v>M T MDF STD PET TXT BCO 647X90X30 42X10</x:v>
      </x:c>
      <x:c r="F717" t="str"/>
      <x:c r="G717" t="str"/>
      <x:c r="H717" t="str"/>
      <x:c r="I717" t="str">
        <x:v>ESMALTE</x:v>
      </x:c>
      <x:c r="J717" t="str">
        <x:v>BRANCO CARRARA</x:v>
      </x:c>
      <x:c r="K717" t="str">
        <x:v>0</x:v>
      </x:c>
      <x:c r="L717" t="str">
        <x:v>10</x:v>
      </x:c>
      <x:c r="M717" t="str">
        <x:v>0,017</x:v>
      </x:c>
      <x:c r="N717" t="str">
        <x:v>OC 4500910499</x:v>
      </x:c>
      <x:c r="O717" t="str"/>
      <x:c r="P717" t="str">
        <x:v>Liberada Para Producao</x:v>
      </x:c>
      <x:c r="Q717" t="str">
        <x:v>609495</x:v>
      </x:c>
      <x:c r="R717" t="str">
        <x:v>0</x:v>
      </x:c>
      <x:c r="S717" t="str">
        <x:v>1501</x:v>
      </x:c>
      <x:c r="T717" t="str">
        <x:v>TRAV. BAT. 680 PET/PVC(SEMI)</x:v>
      </x:c>
      <x:c r="U717" t="str"/>
      <x:c r="V717" t="str"/>
      <x:c r="W717" t="str">
        <x:v>N/A</x:v>
      </x:c>
      <x:c r="X717" t="str">
        <x:v>N/A</x:v>
      </x:c>
      <x:c r="Y717" t="str">
        <x:v>N/A</x:v>
      </x:c>
      <x:c r="Z717" t="str">
        <x:v>0</x:v>
      </x:c>
      <x:c r="AA717" t="str">
        <x:v>0</x:v>
      </x:c>
      <x:c r="AB717" t="str">
        <x:v>N/A</x:v>
      </x:c>
      <x:c r="AC717" t="str">
        <x:v>N/A</x:v>
      </x:c>
      <x:c r="AD717" t="str">
        <x:v>N/A</x:v>
      </x:c>
      <x:c r="AE717" t="str">
        <x:v>N/A</x:v>
      </x:c>
    </x:row>
    <x:row r="718">
      <x:c r="A718" t="str">
        <x:v>51</x:v>
      </x:c>
      <x:c r="B718" t="str">
        <x:v>26815</x:v>
      </x:c>
      <x:c r="C718" t="str">
        <x:v>2</x:v>
      </x:c>
      <x:c r="D718" t="str">
        <x:v>2020600232</x:v>
      </x:c>
      <x:c r="E718" t="str">
        <x:v>A STD PET TXT BCO 2200X60X9 RG(55) RTO</x:v>
      </x:c>
      <x:c r="F718" t="str"/>
      <x:c r="G718" t="str"/>
      <x:c r="H718" t="str"/>
      <x:c r="I718" t="str">
        <x:v>ESMALTE</x:v>
      </x:c>
      <x:c r="J718" t="str">
        <x:v>BRANCO CARRARA</x:v>
      </x:c>
      <x:c r="K718" t="str">
        <x:v>0</x:v>
      </x:c>
      <x:c r="L718" t="str">
        <x:v>20</x:v>
      </x:c>
      <x:c r="M718" t="str">
        <x:v>0</x:v>
      </x:c>
      <x:c r="N718" t="str">
        <x:v>OC 4500910499</x:v>
      </x:c>
      <x:c r="O718" t="str"/>
      <x:c r="P718" t="str">
        <x:v>Liberada Para Producao</x:v>
      </x:c>
      <x:c r="Q718" t="str">
        <x:v>609496</x:v>
      </x:c>
      <x:c r="R718" t="str">
        <x:v>0</x:v>
      </x:c>
      <x:c r="S718" t="str">
        <x:v>2001</x:v>
      </x:c>
      <x:c r="T718" t="str">
        <x:v>PERNA ALIZAR RG 55 (SEMI)</x:v>
      </x:c>
      <x:c r="U718" t="str"/>
      <x:c r="V718" t="str"/>
      <x:c r="W718" t="str">
        <x:v>N/A</x:v>
      </x:c>
      <x:c r="X718" t="str">
        <x:v>0</x:v>
      </x:c>
      <x:c r="Y718" t="str">
        <x:v>0</x:v>
      </x:c>
      <x:c r="Z718" t="str">
        <x:v>0</x:v>
      </x:c>
      <x:c r="AA718" t="str">
        <x:v>N/A</x:v>
      </x:c>
      <x:c r="AB718" t="str">
        <x:v>N/A</x:v>
      </x:c>
      <x:c r="AC718" t="str">
        <x:v>N/A</x:v>
      </x:c>
      <x:c r="AD718" t="str">
        <x:v>N/A</x:v>
      </x:c>
      <x:c r="AE718" t="str">
        <x:v>N/A</x:v>
      </x:c>
    </x:row>
    <x:row r="719">
      <x:c r="A719" t="str">
        <x:v>51</x:v>
      </x:c>
      <x:c r="B719" t="str">
        <x:v>26815</x:v>
      </x:c>
      <x:c r="C719" t="str">
        <x:v>2</x:v>
      </x:c>
      <x:c r="D719" t="str">
        <x:v>2020600233</x:v>
      </x:c>
      <x:c r="E719" t="str">
        <x:v>A STD PET TXT BCO 2200X60X9 RG(ME) RTO</x:v>
      </x:c>
      <x:c r="F719" t="str"/>
      <x:c r="G719" t="str"/>
      <x:c r="H719" t="str"/>
      <x:c r="I719" t="str">
        <x:v>ESMALTE</x:v>
      </x:c>
      <x:c r="J719" t="str">
        <x:v>BRANCO CARRARA</x:v>
      </x:c>
      <x:c r="K719" t="str">
        <x:v>0</x:v>
      </x:c>
      <x:c r="L719" t="str">
        <x:v>20</x:v>
      </x:c>
      <x:c r="M719" t="str">
        <x:v>0</x:v>
      </x:c>
      <x:c r="N719" t="str">
        <x:v>OC 4500910499</x:v>
      </x:c>
      <x:c r="O719" t="str"/>
      <x:c r="P719" t="str">
        <x:v>Liberada Para Producao</x:v>
      </x:c>
      <x:c r="Q719" t="str">
        <x:v>609497</x:v>
      </x:c>
      <x:c r="R719" t="str">
        <x:v>0</x:v>
      </x:c>
      <x:c r="S719" t="str">
        <x:v>2003</x:v>
      </x:c>
      <x:c r="T719" t="str">
        <x:v>PERNA ALIZAR L MENOR  (SEMI)</x:v>
      </x:c>
      <x:c r="U719" t="str"/>
      <x:c r="V719" t="str"/>
      <x:c r="W719" t="str">
        <x:v>N/A</x:v>
      </x:c>
      <x:c r="X719" t="str">
        <x:v>0</x:v>
      </x:c>
      <x:c r="Y719" t="str">
        <x:v>0</x:v>
      </x:c>
      <x:c r="Z719" t="str">
        <x:v>0</x:v>
      </x:c>
      <x:c r="AA719" t="str">
        <x:v>N/A</x:v>
      </x:c>
      <x:c r="AB719" t="str">
        <x:v>N/A</x:v>
      </x:c>
      <x:c r="AC719" t="str">
        <x:v>N/A</x:v>
      </x:c>
      <x:c r="AD719" t="str">
        <x:v>N/A</x:v>
      </x:c>
      <x:c r="AE719" t="str">
        <x:v>N/A</x:v>
      </x:c>
    </x:row>
    <x:row r="720">
      <x:c r="A720" t="str">
        <x:v>51</x:v>
      </x:c>
      <x:c r="B720" t="str">
        <x:v>26815</x:v>
      </x:c>
      <x:c r="C720" t="str">
        <x:v>2</x:v>
      </x:c>
      <x:c r="D720" t="str">
        <x:v>2020600234</x:v>
      </x:c>
      <x:c r="E720" t="str">
        <x:v>A STD PET TXT BCO 1100X60X9 RG(55) RTO</x:v>
      </x:c>
      <x:c r="F720" t="str"/>
      <x:c r="G720" t="str"/>
      <x:c r="H720" t="str"/>
      <x:c r="I720" t="str">
        <x:v>ESMALTE</x:v>
      </x:c>
      <x:c r="J720" t="str">
        <x:v>BRANCO CARRARA</x:v>
      </x:c>
      <x:c r="K720" t="str">
        <x:v>0</x:v>
      </x:c>
      <x:c r="L720" t="str">
        <x:v>10</x:v>
      </x:c>
      <x:c r="M720" t="str">
        <x:v>0</x:v>
      </x:c>
      <x:c r="N720" t="str">
        <x:v>OC 4500910499</x:v>
      </x:c>
      <x:c r="O720" t="str"/>
      <x:c r="P720" t="str">
        <x:v>Liberada Para Producao</x:v>
      </x:c>
      <x:c r="Q720" t="str">
        <x:v>609498</x:v>
      </x:c>
      <x:c r="R720" t="str">
        <x:v>0</x:v>
      </x:c>
      <x:c r="S720" t="str">
        <x:v>2005</x:v>
      </x:c>
      <x:c r="T720" t="str">
        <x:v>TRAVESSA ALIZAR RG 55 (SEMI)</x:v>
      </x:c>
      <x:c r="U720" t="str"/>
      <x:c r="V720" t="str"/>
      <x:c r="W720" t="str">
        <x:v>N/A</x:v>
      </x:c>
      <x:c r="X720" t="str">
        <x:v>0</x:v>
      </x:c>
      <x:c r="Y720" t="str">
        <x:v>N/A</x:v>
      </x:c>
      <x:c r="Z720" t="str">
        <x:v>0</x:v>
      </x:c>
      <x:c r="AA720" t="str">
        <x:v>0</x:v>
      </x:c>
      <x:c r="AB720" t="str">
        <x:v>N/A</x:v>
      </x:c>
      <x:c r="AC720" t="str">
        <x:v>N/A</x:v>
      </x:c>
      <x:c r="AD720" t="str">
        <x:v>N/A</x:v>
      </x:c>
      <x:c r="AE720" t="str">
        <x:v>N/A</x:v>
      </x:c>
    </x:row>
    <x:row r="721">
      <x:c r="A721" t="str">
        <x:v>51</x:v>
      </x:c>
      <x:c r="B721" t="str">
        <x:v>26815</x:v>
      </x:c>
      <x:c r="C721" t="str">
        <x:v>2</x:v>
      </x:c>
      <x:c r="D721" t="str">
        <x:v>2020600235</x:v>
      </x:c>
      <x:c r="E721" t="str">
        <x:v>A STD PET TXT BCO 1100X60X9 RG(ME) RTO</x:v>
      </x:c>
      <x:c r="F721" t="str"/>
      <x:c r="G721" t="str"/>
      <x:c r="H721" t="str"/>
      <x:c r="I721" t="str">
        <x:v>ESMALTE</x:v>
      </x:c>
      <x:c r="J721" t="str">
        <x:v>BRANCO CARRARA</x:v>
      </x:c>
      <x:c r="K721" t="str">
        <x:v>0</x:v>
      </x:c>
      <x:c r="L721" t="str">
        <x:v>10</x:v>
      </x:c>
      <x:c r="M721" t="str">
        <x:v>0</x:v>
      </x:c>
      <x:c r="N721" t="str">
        <x:v>OC 4500910499</x:v>
      </x:c>
      <x:c r="O721" t="str"/>
      <x:c r="P721" t="str">
        <x:v>Liberada Para Producao</x:v>
      </x:c>
      <x:c r="Q721" t="str">
        <x:v>609499</x:v>
      </x:c>
      <x:c r="R721" t="str">
        <x:v>0</x:v>
      </x:c>
      <x:c r="S721" t="str">
        <x:v>2007</x:v>
      </x:c>
      <x:c r="T721" t="str">
        <x:v>TRAVESS ALIZAR L MENOR  (SEMI)</x:v>
      </x:c>
      <x:c r="U721" t="str"/>
      <x:c r="V721" t="str"/>
      <x:c r="W721" t="str">
        <x:v>N/A</x:v>
      </x:c>
      <x:c r="X721" t="str">
        <x:v>0</x:v>
      </x:c>
      <x:c r="Y721" t="str">
        <x:v>N/A</x:v>
      </x:c>
      <x:c r="Z721" t="str">
        <x:v>0</x:v>
      </x:c>
      <x:c r="AA721" t="str">
        <x:v>0</x:v>
      </x:c>
      <x:c r="AB721" t="str">
        <x:v>N/A</x:v>
      </x:c>
      <x:c r="AC721" t="str">
        <x:v>N/A</x:v>
      </x:c>
      <x:c r="AD721" t="str">
        <x:v>N/A</x:v>
      </x:c>
      <x:c r="AE721" t="str">
        <x:v>N/A</x:v>
      </x:c>
    </x:row>
    <x:row r="722">
      <x:c r="A722" t="str">
        <x:v>51</x:v>
      </x:c>
      <x:c r="B722" t="str">
        <x:v>26815</x:v>
      </x:c>
      <x:c r="C722" t="str">
        <x:v>2</x:v>
      </x:c>
      <x:c r="D722" t="str">
        <x:v>3040300440</x:v>
      </x:c>
      <x:c r="E722" t="str">
        <x:v>FO POR SMT HDF 3 COL RU 2100X600X35 ESM</x:v>
      </x:c>
      <x:c r="F722" t="str"/>
      <x:c r="G722" t="str"/>
      <x:c r="H722" t="str"/>
      <x:c r="I722" t="str">
        <x:v>ESMALTE</x:v>
      </x:c>
      <x:c r="J722" t="str">
        <x:v>BRANCO CARRARA</x:v>
      </x:c>
      <x:c r="K722" t="str">
        <x:v>0</x:v>
      </x:c>
      <x:c r="L722" t="str">
        <x:v>10</x:v>
      </x:c>
      <x:c r="M722" t="str">
        <x:v>0,441</x:v>
      </x:c>
      <x:c r="N722" t="str">
        <x:v>OC 4500910499</x:v>
      </x:c>
      <x:c r="O722" t="str"/>
      <x:c r="P722" t="str">
        <x:v>Liberada Para Producao</x:v>
      </x:c>
      <x:c r="Q722" t="str">
        <x:v>609500</x:v>
      </x:c>
      <x:c r="R722" t="str">
        <x:v>66,67</x:v>
      </x:c>
      <x:c r="S722" t="str">
        <x:v>11</x:v>
      </x:c>
      <x:c r="T722" t="str">
        <x:v>PORTA LINHA SMART</x:v>
      </x:c>
      <x:c r="U722" t="str"/>
      <x:c r="V722" t="str"/>
      <x:c r="W722" t="str">
        <x:v>N/A</x:v>
      </x:c>
      <x:c r="X722" t="str">
        <x:v>100</x:v>
      </x:c>
      <x:c r="Y722" t="str">
        <x:v>N/A</x:v>
      </x:c>
      <x:c r="Z722" t="str">
        <x:v>N/A</x:v>
      </x:c>
      <x:c r="AA722" t="str">
        <x:v>N/A</x:v>
      </x:c>
      <x:c r="AB722" t="str">
        <x:v>100</x:v>
      </x:c>
      <x:c r="AC722" t="str">
        <x:v>N/A</x:v>
      </x:c>
      <x:c r="AD722" t="str">
        <x:v>0</x:v>
      </x:c>
      <x:c r="AE722" t="str">
        <x:v>N/A</x:v>
      </x:c>
    </x:row>
    <x:row r="723">
      <x:c r="A723" t="str">
        <x:v>51</x:v>
      </x:c>
      <x:c r="B723" t="str">
        <x:v>26815</x:v>
      </x:c>
      <x:c r="C723" t="str">
        <x:v>3</x:v>
      </x:c>
      <x:c r="D723" t="str">
        <x:v>2010600024</x:v>
      </x:c>
      <x:c r="E723" t="str">
        <x:v>M P MDF STD PET TXT BCO 2110X80X30 42X10</x:v>
      </x:c>
      <x:c r="F723" t="str"/>
      <x:c r="G723" t="str"/>
      <x:c r="H723" t="str"/>
      <x:c r="I723" t="str">
        <x:v>ESMALTE</x:v>
      </x:c>
      <x:c r="J723" t="str">
        <x:v>BRANCO</x:v>
      </x:c>
      <x:c r="K723" t="str">
        <x:v>0</x:v>
      </x:c>
      <x:c r="L723" t="str">
        <x:v>184</x:v>
      </x:c>
      <x:c r="M723" t="str">
        <x:v>0,932</x:v>
      </x:c>
      <x:c r="N723" t="str">
        <x:v>OC 4500910499</x:v>
      </x:c>
      <x:c r="O723" t="str"/>
      <x:c r="P723" t="str">
        <x:v>Liberada Para Producao</x:v>
      </x:c>
      <x:c r="Q723" t="str">
        <x:v>609502</x:v>
      </x:c>
      <x:c r="R723" t="str">
        <x:v>0</x:v>
      </x:c>
      <x:c r="S723" t="str">
        <x:v>1500</x:v>
      </x:c>
      <x:c r="T723" t="str">
        <x:v>PERNA DE BATENTE PREMIUM(SEMIA</x:v>
      </x:c>
      <x:c r="U723" t="str"/>
      <x:c r="V723" t="str"/>
      <x:c r="W723" t="str">
        <x:v>N/A</x:v>
      </x:c>
      <x:c r="X723" t="str">
        <x:v>N/A</x:v>
      </x:c>
      <x:c r="Y723" t="str">
        <x:v>N/A</x:v>
      </x:c>
      <x:c r="Z723" t="str">
        <x:v>0</x:v>
      </x:c>
      <x:c r="AA723" t="str">
        <x:v>0</x:v>
      </x:c>
      <x:c r="AB723" t="str">
        <x:v>N/A</x:v>
      </x:c>
      <x:c r="AC723" t="str">
        <x:v>N/A</x:v>
      </x:c>
      <x:c r="AD723" t="str">
        <x:v>N/A</x:v>
      </x:c>
      <x:c r="AE723" t="str">
        <x:v>N/A</x:v>
      </x:c>
    </x:row>
    <x:row r="724">
      <x:c r="A724" t="str">
        <x:v>51</x:v>
      </x:c>
      <x:c r="B724" t="str">
        <x:v>26815</x:v>
      </x:c>
      <x:c r="C724" t="str">
        <x:v>3</x:v>
      </x:c>
      <x:c r="D724" t="str">
        <x:v>2010600025</x:v>
      </x:c>
      <x:c r="E724" t="str">
        <x:v>M T MDF STD PET TXT BCO 747X80X30 42X10</x:v>
      </x:c>
      <x:c r="F724" t="str"/>
      <x:c r="G724" t="str"/>
      <x:c r="H724" t="str"/>
      <x:c r="I724" t="str">
        <x:v>ESMALTE</x:v>
      </x:c>
      <x:c r="J724" t="str">
        <x:v>BRANCO</x:v>
      </x:c>
      <x:c r="K724" t="str">
        <x:v>0</x:v>
      </x:c>
      <x:c r="L724" t="str">
        <x:v>92</x:v>
      </x:c>
      <x:c r="M724" t="str">
        <x:v>0</x:v>
      </x:c>
      <x:c r="N724" t="str">
        <x:v>OC 4500910499</x:v>
      </x:c>
      <x:c r="O724" t="str"/>
      <x:c r="P724" t="str">
        <x:v>Liberada Para Producao</x:v>
      </x:c>
      <x:c r="Q724" t="str">
        <x:v>609503</x:v>
      </x:c>
      <x:c r="R724" t="str">
        <x:v>0</x:v>
      </x:c>
      <x:c r="S724" t="str">
        <x:v>1502</x:v>
      </x:c>
      <x:c r="T724" t="str">
        <x:v>TV.BAT. 680-1100 PET/PVC(SEMI)</x:v>
      </x:c>
      <x:c r="U724" t="str"/>
      <x:c r="V724" t="str"/>
      <x:c r="W724" t="str">
        <x:v>N/A</x:v>
      </x:c>
      <x:c r="X724" t="str">
        <x:v>N/A</x:v>
      </x:c>
      <x:c r="Y724" t="str">
        <x:v>N/A</x:v>
      </x:c>
      <x:c r="Z724" t="str">
        <x:v>0</x:v>
      </x:c>
      <x:c r="AA724" t="str">
        <x:v>0</x:v>
      </x:c>
      <x:c r="AB724" t="str">
        <x:v>N/A</x:v>
      </x:c>
      <x:c r="AC724" t="str">
        <x:v>N/A</x:v>
      </x:c>
      <x:c r="AD724" t="str">
        <x:v>N/A</x:v>
      </x:c>
      <x:c r="AE724" t="str">
        <x:v>N/A</x:v>
      </x:c>
    </x:row>
    <x:row r="725">
      <x:c r="A725" t="str">
        <x:v>51</x:v>
      </x:c>
      <x:c r="B725" t="str">
        <x:v>26815</x:v>
      </x:c>
      <x:c r="C725" t="str">
        <x:v>3</x:v>
      </x:c>
      <x:c r="D725" t="str">
        <x:v>2020600203</x:v>
      </x:c>
      <x:c r="E725" t="str">
        <x:v>A STD PET TXT BCO 2200X60X9 RG(35) RTO</x:v>
      </x:c>
      <x:c r="F725" t="str"/>
      <x:c r="G725" t="str"/>
      <x:c r="H725" t="str"/>
      <x:c r="I725" t="str">
        <x:v>ESMALTE</x:v>
      </x:c>
      <x:c r="J725" t="str">
        <x:v>BRANCO</x:v>
      </x:c>
      <x:c r="K725" t="str">
        <x:v>0</x:v>
      </x:c>
      <x:c r="L725" t="str">
        <x:v>184</x:v>
      </x:c>
      <x:c r="M725" t="str">
        <x:v>0</x:v>
      </x:c>
      <x:c r="N725" t="str">
        <x:v>OC 4500910499</x:v>
      </x:c>
      <x:c r="O725" t="str"/>
      <x:c r="P725" t="str">
        <x:v>Liberada Para Producao</x:v>
      </x:c>
      <x:c r="Q725" t="str">
        <x:v>609504</x:v>
      </x:c>
      <x:c r="R725" t="str">
        <x:v>0</x:v>
      </x:c>
      <x:c r="S725" t="str">
        <x:v>2000</x:v>
      </x:c>
      <x:c r="T725" t="str">
        <x:v>PERNA ALIZAR RG 35 (SEMI)</x:v>
      </x:c>
      <x:c r="U725" t="str"/>
      <x:c r="V725" t="str"/>
      <x:c r="W725" t="str">
        <x:v>N/A</x:v>
      </x:c>
      <x:c r="X725" t="str">
        <x:v>0</x:v>
      </x:c>
      <x:c r="Y725" t="str">
        <x:v>0</x:v>
      </x:c>
      <x:c r="Z725" t="str">
        <x:v>N/A</x:v>
      </x:c>
      <x:c r="AA725" t="str">
        <x:v>N/A</x:v>
      </x:c>
      <x:c r="AB725" t="str">
        <x:v>N/A</x:v>
      </x:c>
      <x:c r="AC725" t="str">
        <x:v>N/A</x:v>
      </x:c>
      <x:c r="AD725" t="str">
        <x:v>N/A</x:v>
      </x:c>
      <x:c r="AE725" t="str">
        <x:v>N/A</x:v>
      </x:c>
    </x:row>
    <x:row r="726">
      <x:c r="A726" t="str">
        <x:v>51</x:v>
      </x:c>
      <x:c r="B726" t="str">
        <x:v>26815</x:v>
      </x:c>
      <x:c r="C726" t="str">
        <x:v>3</x:v>
      </x:c>
      <x:c r="D726" t="str">
        <x:v>2020600204</x:v>
      </x:c>
      <x:c r="E726" t="str">
        <x:v>A STD PET TXT BCO 2200X60X9 RG(ME) RTO</x:v>
      </x:c>
      <x:c r="F726" t="str"/>
      <x:c r="G726" t="str"/>
      <x:c r="H726" t="str"/>
      <x:c r="I726" t="str">
        <x:v>ESMALTE</x:v>
      </x:c>
      <x:c r="J726" t="str">
        <x:v>BRANCO</x:v>
      </x:c>
      <x:c r="K726" t="str">
        <x:v>0</x:v>
      </x:c>
      <x:c r="L726" t="str">
        <x:v>184</x:v>
      </x:c>
      <x:c r="M726" t="str">
        <x:v>0</x:v>
      </x:c>
      <x:c r="N726" t="str">
        <x:v>OC 4500910499</x:v>
      </x:c>
      <x:c r="O726" t="str"/>
      <x:c r="P726" t="str">
        <x:v>Liberada Para Producao</x:v>
      </x:c>
      <x:c r="Q726" t="str">
        <x:v>609505</x:v>
      </x:c>
      <x:c r="R726" t="str">
        <x:v>0</x:v>
      </x:c>
      <x:c r="S726" t="str">
        <x:v>2003</x:v>
      </x:c>
      <x:c r="T726" t="str">
        <x:v>PERNA ALIZAR L MENOR  (SEMI)</x:v>
      </x:c>
      <x:c r="U726" t="str"/>
      <x:c r="V726" t="str"/>
      <x:c r="W726" t="str">
        <x:v>N/A</x:v>
      </x:c>
      <x:c r="X726" t="str">
        <x:v>0</x:v>
      </x:c>
      <x:c r="Y726" t="str">
        <x:v>0</x:v>
      </x:c>
      <x:c r="Z726" t="str">
        <x:v>0</x:v>
      </x:c>
      <x:c r="AA726" t="str">
        <x:v>N/A</x:v>
      </x:c>
      <x:c r="AB726" t="str">
        <x:v>N/A</x:v>
      </x:c>
      <x:c r="AC726" t="str">
        <x:v>N/A</x:v>
      </x:c>
      <x:c r="AD726" t="str">
        <x:v>N/A</x:v>
      </x:c>
      <x:c r="AE726" t="str">
        <x:v>N/A</x:v>
      </x:c>
    </x:row>
    <x:row r="727">
      <x:c r="A727" t="str">
        <x:v>51</x:v>
      </x:c>
      <x:c r="B727" t="str">
        <x:v>26815</x:v>
      </x:c>
      <x:c r="C727" t="str">
        <x:v>3</x:v>
      </x:c>
      <x:c r="D727" t="str">
        <x:v>2020600205</x:v>
      </x:c>
      <x:c r="E727" t="str">
        <x:v>A STD PET TXT BCO 1100X60X9 RG(35) RTO</x:v>
      </x:c>
      <x:c r="F727" t="str"/>
      <x:c r="G727" t="str"/>
      <x:c r="H727" t="str"/>
      <x:c r="I727" t="str">
        <x:v>ESMALTE</x:v>
      </x:c>
      <x:c r="J727" t="str">
        <x:v>BRANCO</x:v>
      </x:c>
      <x:c r="K727" t="str">
        <x:v>0</x:v>
      </x:c>
      <x:c r="L727" t="str">
        <x:v>92</x:v>
      </x:c>
      <x:c r="M727" t="str">
        <x:v>0,055</x:v>
      </x:c>
      <x:c r="N727" t="str">
        <x:v>OC 4500910499</x:v>
      </x:c>
      <x:c r="O727" t="str"/>
      <x:c r="P727" t="str">
        <x:v>Liberada Para Producao</x:v>
      </x:c>
      <x:c r="Q727" t="str">
        <x:v>609506</x:v>
      </x:c>
      <x:c r="R727" t="str">
        <x:v>0</x:v>
      </x:c>
      <x:c r="S727" t="str">
        <x:v>2004</x:v>
      </x:c>
      <x:c r="T727" t="str">
        <x:v>TRAVESSA ALIZAR RG 35 (SEMI)</x:v>
      </x:c>
      <x:c r="U727" t="str"/>
      <x:c r="V727" t="str"/>
      <x:c r="W727" t="str">
        <x:v>N/A</x:v>
      </x:c>
      <x:c r="X727" t="str">
        <x:v>0</x:v>
      </x:c>
      <x:c r="Y727" t="str">
        <x:v>N/A</x:v>
      </x:c>
      <x:c r="Z727" t="str">
        <x:v>N/A</x:v>
      </x:c>
      <x:c r="AA727" t="str">
        <x:v>N/A</x:v>
      </x:c>
      <x:c r="AB727" t="str">
        <x:v>N/A</x:v>
      </x:c>
      <x:c r="AC727" t="str">
        <x:v>N/A</x:v>
      </x:c>
      <x:c r="AD727" t="str">
        <x:v>N/A</x:v>
      </x:c>
      <x:c r="AE727" t="str">
        <x:v>N/A</x:v>
      </x:c>
    </x:row>
    <x:row r="728">
      <x:c r="A728" t="str">
        <x:v>51</x:v>
      </x:c>
      <x:c r="B728" t="str">
        <x:v>26815</x:v>
      </x:c>
      <x:c r="C728" t="str">
        <x:v>3</x:v>
      </x:c>
      <x:c r="D728" t="str">
        <x:v>2020600206</x:v>
      </x:c>
      <x:c r="E728" t="str">
        <x:v>A STD PET TXT BCO 1100X60X9 RG(ME) RTO</x:v>
      </x:c>
      <x:c r="F728" t="str"/>
      <x:c r="G728" t="str"/>
      <x:c r="H728" t="str"/>
      <x:c r="I728" t="str">
        <x:v>ESMALTE</x:v>
      </x:c>
      <x:c r="J728" t="str">
        <x:v>BRANCO</x:v>
      </x:c>
      <x:c r="K728" t="str">
        <x:v>0</x:v>
      </x:c>
      <x:c r="L728" t="str">
        <x:v>92</x:v>
      </x:c>
      <x:c r="M728" t="str">
        <x:v>0</x:v>
      </x:c>
      <x:c r="N728" t="str">
        <x:v>OC 4500910499</x:v>
      </x:c>
      <x:c r="O728" t="str"/>
      <x:c r="P728" t="str">
        <x:v>Liberada Para Producao</x:v>
      </x:c>
      <x:c r="Q728" t="str">
        <x:v>609507</x:v>
      </x:c>
      <x:c r="R728" t="str">
        <x:v>0</x:v>
      </x:c>
      <x:c r="S728" t="str">
        <x:v>2007</x:v>
      </x:c>
      <x:c r="T728" t="str">
        <x:v>TRAVESS ALIZAR L MENOR  (SEMI)</x:v>
      </x:c>
      <x:c r="U728" t="str"/>
      <x:c r="V728" t="str"/>
      <x:c r="W728" t="str">
        <x:v>N/A</x:v>
      </x:c>
      <x:c r="X728" t="str">
        <x:v>0</x:v>
      </x:c>
      <x:c r="Y728" t="str">
        <x:v>N/A</x:v>
      </x:c>
      <x:c r="Z728" t="str">
        <x:v>0</x:v>
      </x:c>
      <x:c r="AA728" t="str">
        <x:v>0</x:v>
      </x:c>
      <x:c r="AB728" t="str">
        <x:v>N/A</x:v>
      </x:c>
      <x:c r="AC728" t="str">
        <x:v>N/A</x:v>
      </x:c>
      <x:c r="AD728" t="str">
        <x:v>N/A</x:v>
      </x:c>
      <x:c r="AE728" t="str">
        <x:v>N/A</x:v>
      </x:c>
    </x:row>
    <x:row r="729">
      <x:c r="A729" t="str">
        <x:v>51</x:v>
      </x:c>
      <x:c r="B729" t="str">
        <x:v>26815</x:v>
      </x:c>
      <x:c r="C729" t="str">
        <x:v>3</x:v>
      </x:c>
      <x:c r="D729" t="str">
        <x:v>3040300041</x:v>
      </x:c>
      <x:c r="E729" t="str">
        <x:v>FO POR SMT HDF 3 COL ESM BCO RU 2100X700</x:v>
      </x:c>
      <x:c r="F729" t="str"/>
      <x:c r="G729" t="str"/>
      <x:c r="H729" t="str"/>
      <x:c r="I729" t="str">
        <x:v>ESMALTE</x:v>
      </x:c>
      <x:c r="J729" t="str">
        <x:v>BRANCO</x:v>
      </x:c>
      <x:c r="K729" t="str">
        <x:v>0</x:v>
      </x:c>
      <x:c r="L729" t="str">
        <x:v>92</x:v>
      </x:c>
      <x:c r="M729" t="str">
        <x:v>4,733</x:v>
      </x:c>
      <x:c r="N729" t="str">
        <x:v>OC 4500910499</x:v>
      </x:c>
      <x:c r="O729" t="str"/>
      <x:c r="P729" t="str">
        <x:v>Liberada Para Producao</x:v>
      </x:c>
      <x:c r="Q729" t="str">
        <x:v>609508</x:v>
      </x:c>
      <x:c r="R729" t="str">
        <x:v>54,35</x:v>
      </x:c>
      <x:c r="S729" t="str">
        <x:v>11</x:v>
      </x:c>
      <x:c r="T729" t="str">
        <x:v>PORTA LINHA SMART</x:v>
      </x:c>
      <x:c r="U729" t="str"/>
      <x:c r="V729" t="str"/>
      <x:c r="W729" t="str">
        <x:v>N/A</x:v>
      </x:c>
      <x:c r="X729" t="str">
        <x:v>100</x:v>
      </x:c>
      <x:c r="Y729" t="str">
        <x:v>N/A</x:v>
      </x:c>
      <x:c r="Z729" t="str">
        <x:v>N/A</x:v>
      </x:c>
      <x:c r="AA729" t="str">
        <x:v>N/A</x:v>
      </x:c>
      <x:c r="AB729" t="str">
        <x:v>63,04</x:v>
      </x:c>
      <x:c r="AC729" t="str">
        <x:v>N/A</x:v>
      </x:c>
      <x:c r="AD729" t="str">
        <x:v>0</x:v>
      </x:c>
      <x:c r="AE729" t="str">
        <x:v>N/A</x:v>
      </x:c>
    </x:row>
    <x:row r="730">
      <x:c r="A730" t="str">
        <x:v>51</x:v>
      </x:c>
      <x:c r="B730" t="str">
        <x:v>26809</x:v>
      </x:c>
      <x:c r="C730" t="str">
        <x:v>9</x:v>
      </x:c>
      <x:c r="D730" t="str">
        <x:v>2010701241</x:v>
      </x:c>
      <x:c r="E730" t="str">
        <x:v>M ULTRA PET CAP M 1300X290X30 S/REB RG 1</x:v>
      </x:c>
      <x:c r="F730" t="str">
        <x:v>MDF ULTRA</x:v>
      </x:c>
      <x:c r="G730" t="str">
        <x:v>S/CANAL</x:v>
      </x:c>
      <x:c r="H730" t="str">
        <x:v>S/REB</x:v>
      </x:c>
      <x:c r="I730" t="str">
        <x:v>RECOBERTO PET</x:v>
      </x:c>
      <x:c r="J730" t="str">
        <x:v>CAPUCCINO MARCHE</x:v>
      </x:c>
      <x:c r="K730" t="str">
        <x:v>0</x:v>
      </x:c>
      <x:c r="L730" t="str">
        <x:v>1</x:v>
      </x:c>
      <x:c r="M730" t="str">
        <x:v>0,011</x:v>
      </x:c>
      <x:c r="N730" t="str"/>
      <x:c r="O730" t="str"/>
      <x:c r="P730" t="str">
        <x:v>Liberada Para Producao</x:v>
      </x:c>
      <x:c r="Q730" t="str">
        <x:v>609949</x:v>
      </x:c>
      <x:c r="R730" t="str">
        <x:v>33,33</x:v>
      </x:c>
      <x:c r="S730" t="str">
        <x:v>1553</x:v>
      </x:c>
      <x:c r="T730" t="str">
        <x:v>TV.BAT.1100-2200 PRM CORR(SEMI</x:v>
      </x:c>
      <x:c r="U730" t="str"/>
      <x:c r="V730" t="str"/>
      <x:c r="W730" t="str">
        <x:v>N/A</x:v>
      </x:c>
      <x:c r="X730" t="str">
        <x:v>100</x:v>
      </x:c>
      <x:c r="Y730" t="str">
        <x:v>N/A</x:v>
      </x:c>
      <x:c r="Z730" t="str">
        <x:v>0</x:v>
      </x:c>
      <x:c r="AA730" t="str">
        <x:v>0</x:v>
      </x:c>
      <x:c r="AB730" t="str">
        <x:v>N/A</x:v>
      </x:c>
      <x:c r="AC730" t="str">
        <x:v>N/A</x:v>
      </x:c>
      <x:c r="AD730" t="str">
        <x:v>N/A</x:v>
      </x:c>
      <x:c r="AE730" t="str">
        <x:v>N/A</x:v>
      </x:c>
    </x:row>
    <x:row r="731">
      <x:c r="A731" t="str">
        <x:v>51</x:v>
      </x:c>
      <x:c r="B731" t="str">
        <x:v>26809</x:v>
      </x:c>
      <x:c r="C731" t="str">
        <x:v>4</x:v>
      </x:c>
      <x:c r="D731" t="str">
        <x:v>2010700619</x:v>
      </x:c>
      <x:c r="E731" t="str">
        <x:v>M ULTRA PET CAP M 2110X130X30 42X10 R2L</x:v>
      </x:c>
      <x:c r="F731" t="str">
        <x:v>MDF ULTRA</x:v>
      </x:c>
      <x:c r="G731" t="str">
        <x:v>C/BORRACHA I APLICADA</x:v>
      </x:c>
      <x:c r="H731" t="str">
        <x:v>C/REB 42X10</x:v>
      </x:c>
      <x:c r="I731" t="str">
        <x:v>RECOBERTO PET</x:v>
      </x:c>
      <x:c r="J731" t="str">
        <x:v>CAPUCCINO MARCHE</x:v>
      </x:c>
      <x:c r="K731" t="str">
        <x:v>0</x:v>
      </x:c>
      <x:c r="L731" t="str">
        <x:v>12</x:v>
      </x:c>
      <x:c r="M731" t="str">
        <x:v>0,099</x:v>
      </x:c>
      <x:c r="N731" t="str"/>
      <x:c r="O731" t="str"/>
      <x:c r="P731" t="str">
        <x:v>Liberada Para Producao</x:v>
      </x:c>
      <x:c r="Q731" t="str">
        <x:v>609935</x:v>
      </x:c>
      <x:c r="R731" t="str">
        <x:v>0</x:v>
      </x:c>
      <x:c r="S731" t="str">
        <x:v>1500</x:v>
      </x:c>
      <x:c r="T731" t="str">
        <x:v>PERNA DE BATENTE PREMIUM(SEMIA</x:v>
      </x:c>
      <x:c r="U731" t="str"/>
      <x:c r="V731" t="str"/>
      <x:c r="W731" t="str">
        <x:v>N/A</x:v>
      </x:c>
      <x:c r="X731" t="str">
        <x:v>N/A</x:v>
      </x:c>
      <x:c r="Y731" t="str">
        <x:v>N/A</x:v>
      </x:c>
      <x:c r="Z731" t="str">
        <x:v>0</x:v>
      </x:c>
      <x:c r="AA731" t="str">
        <x:v>0</x:v>
      </x:c>
      <x:c r="AB731" t="str">
        <x:v>N/A</x:v>
      </x:c>
      <x:c r="AC731" t="str">
        <x:v>N/A</x:v>
      </x:c>
      <x:c r="AD731" t="str">
        <x:v>N/A</x:v>
      </x:c>
      <x:c r="AE731" t="str">
        <x:v>N/A</x:v>
      </x:c>
    </x:row>
    <x:row r="732">
      <x:c r="A732" t="str">
        <x:v>51</x:v>
      </x:c>
      <x:c r="B732" t="str">
        <x:v>26815</x:v>
      </x:c>
      <x:c r="C732" t="str">
        <x:v>4</x:v>
      </x:c>
      <x:c r="D732" t="str">
        <x:v>2020600240</x:v>
      </x:c>
      <x:c r="E732" t="str">
        <x:v>A STD PET TXT BCO 2200X60X12 RG(ME) RTO</x:v>
      </x:c>
      <x:c r="F732" t="str"/>
      <x:c r="G732" t="str"/>
      <x:c r="H732" t="str"/>
      <x:c r="I732" t="str">
        <x:v>ESMALTE</x:v>
      </x:c>
      <x:c r="J732" t="str">
        <x:v>BRANCO CARRARA</x:v>
      </x:c>
      <x:c r="K732" t="str">
        <x:v>0</x:v>
      </x:c>
      <x:c r="L732" t="str">
        <x:v>134</x:v>
      </x:c>
      <x:c r="M732" t="str">
        <x:v>0</x:v>
      </x:c>
      <x:c r="N732" t="str">
        <x:v>OC 4500910499</x:v>
      </x:c>
      <x:c r="O732" t="str"/>
      <x:c r="P732" t="str">
        <x:v>Liberada Para Producao</x:v>
      </x:c>
      <x:c r="Q732" t="str">
        <x:v>609518</x:v>
      </x:c>
      <x:c r="R732" t="str">
        <x:v>0</x:v>
      </x:c>
      <x:c r="S732" t="str">
        <x:v>2003</x:v>
      </x:c>
      <x:c r="T732" t="str">
        <x:v>PERNA ALIZAR L MENOR  (SEMI)</x:v>
      </x:c>
      <x:c r="U732" t="str"/>
      <x:c r="V732" t="str"/>
      <x:c r="W732" t="str">
        <x:v>N/A</x:v>
      </x:c>
      <x:c r="X732" t="str">
        <x:v>0</x:v>
      </x:c>
      <x:c r="Y732" t="str">
        <x:v>0</x:v>
      </x:c>
      <x:c r="Z732" t="str">
        <x:v>0</x:v>
      </x:c>
      <x:c r="AA732" t="str">
        <x:v>N/A</x:v>
      </x:c>
      <x:c r="AB732" t="str">
        <x:v>N/A</x:v>
      </x:c>
      <x:c r="AC732" t="str">
        <x:v>N/A</x:v>
      </x:c>
      <x:c r="AD732" t="str">
        <x:v>N/A</x:v>
      </x:c>
      <x:c r="AE732" t="str">
        <x:v>N/A</x:v>
      </x:c>
    </x:row>
    <x:row r="733">
      <x:c r="A733" t="str">
        <x:v>51</x:v>
      </x:c>
      <x:c r="B733" t="str">
        <x:v>26815</x:v>
      </x:c>
      <x:c r="C733" t="str">
        <x:v>4</x:v>
      </x:c>
      <x:c r="D733" t="str">
        <x:v>2020600241</x:v>
      </x:c>
      <x:c r="E733" t="str">
        <x:v>A STD PET TXT BCO 1100X60X12 RG(ME) RTO</x:v>
      </x:c>
      <x:c r="F733" t="str"/>
      <x:c r="G733" t="str"/>
      <x:c r="H733" t="str"/>
      <x:c r="I733" t="str">
        <x:v>ESMALTE</x:v>
      </x:c>
      <x:c r="J733" t="str">
        <x:v>BRANCO CARRARA</x:v>
      </x:c>
      <x:c r="K733" t="str">
        <x:v>0</x:v>
      </x:c>
      <x:c r="L733" t="str">
        <x:v>67</x:v>
      </x:c>
      <x:c r="M733" t="str">
        <x:v>0</x:v>
      </x:c>
      <x:c r="N733" t="str">
        <x:v>OC 4500910499</x:v>
      </x:c>
      <x:c r="O733" t="str"/>
      <x:c r="P733" t="str">
        <x:v>Liberada Para Producao</x:v>
      </x:c>
      <x:c r="Q733" t="str">
        <x:v>609519</x:v>
      </x:c>
      <x:c r="R733" t="str">
        <x:v>0</x:v>
      </x:c>
      <x:c r="S733" t="str">
        <x:v>2007</x:v>
      </x:c>
      <x:c r="T733" t="str">
        <x:v>TRAVESS ALIZAR L MENOR  (SEMI)</x:v>
      </x:c>
      <x:c r="U733" t="str"/>
      <x:c r="V733" t="str"/>
      <x:c r="W733" t="str">
        <x:v>N/A</x:v>
      </x:c>
      <x:c r="X733" t="str">
        <x:v>0</x:v>
      </x:c>
      <x:c r="Y733" t="str">
        <x:v>N/A</x:v>
      </x:c>
      <x:c r="Z733" t="str">
        <x:v>0</x:v>
      </x:c>
      <x:c r="AA733" t="str">
        <x:v>0</x:v>
      </x:c>
      <x:c r="AB733" t="str">
        <x:v>N/A</x:v>
      </x:c>
      <x:c r="AC733" t="str">
        <x:v>N/A</x:v>
      </x:c>
      <x:c r="AD733" t="str">
        <x:v>N/A</x:v>
      </x:c>
      <x:c r="AE733" t="str">
        <x:v>N/A</x:v>
      </x:c>
    </x:row>
    <x:row r="734">
      <x:c r="A734" t="str">
        <x:v>51</x:v>
      </x:c>
      <x:c r="B734" t="str">
        <x:v>26815</x:v>
      </x:c>
      <x:c r="C734" t="str">
        <x:v>4</x:v>
      </x:c>
      <x:c r="D734" t="str">
        <x:v>2020600242</x:v>
      </x:c>
      <x:c r="E734" t="str">
        <x:v>A STD PET TXT BCO 2690X60X12 RG(55) RTO</x:v>
      </x:c>
      <x:c r="F734" t="str"/>
      <x:c r="G734" t="str"/>
      <x:c r="H734" t="str"/>
      <x:c r="I734" t="str">
        <x:v>ESMALTE</x:v>
      </x:c>
      <x:c r="J734" t="str">
        <x:v>BRANCO CARRARA</x:v>
      </x:c>
      <x:c r="K734" t="str">
        <x:v>0</x:v>
      </x:c>
      <x:c r="L734" t="str">
        <x:v>134</x:v>
      </x:c>
      <x:c r="M734" t="str">
        <x:v>0</x:v>
      </x:c>
      <x:c r="N734" t="str">
        <x:v>OC 4500910499</x:v>
      </x:c>
      <x:c r="O734" t="str"/>
      <x:c r="P734" t="str">
        <x:v>Liberada Para Producao</x:v>
      </x:c>
      <x:c r="Q734" t="str">
        <x:v>609520</x:v>
      </x:c>
      <x:c r="R734" t="str">
        <x:v>0</x:v>
      </x:c>
      <x:c r="S734" t="str">
        <x:v>2001</x:v>
      </x:c>
      <x:c r="T734" t="str">
        <x:v>PERNA ALIZAR RG 55 (SEMI)</x:v>
      </x:c>
      <x:c r="U734" t="str"/>
      <x:c r="V734" t="str"/>
      <x:c r="W734" t="str">
        <x:v>N/A</x:v>
      </x:c>
      <x:c r="X734" t="str">
        <x:v>0</x:v>
      </x:c>
      <x:c r="Y734" t="str">
        <x:v>0</x:v>
      </x:c>
      <x:c r="Z734" t="str">
        <x:v>0</x:v>
      </x:c>
      <x:c r="AA734" t="str">
        <x:v>N/A</x:v>
      </x:c>
      <x:c r="AB734" t="str">
        <x:v>N/A</x:v>
      </x:c>
      <x:c r="AC734" t="str">
        <x:v>N/A</x:v>
      </x:c>
      <x:c r="AD734" t="str">
        <x:v>N/A</x:v>
      </x:c>
      <x:c r="AE734" t="str">
        <x:v>N/A</x:v>
      </x:c>
    </x:row>
    <x:row r="735">
      <x:c r="A735" t="str">
        <x:v>51</x:v>
      </x:c>
      <x:c r="B735" t="str">
        <x:v>26815</x:v>
      </x:c>
      <x:c r="C735" t="str">
        <x:v>4</x:v>
      </x:c>
      <x:c r="D735" t="str">
        <x:v>3041400418</x:v>
      </x:c>
      <x:c r="E735" t="str">
        <x:v>FO POR SMT HDF 3 S GD RU 2100X800X35 ESM</x:v>
      </x:c>
      <x:c r="F735" t="str"/>
      <x:c r="G735" t="str"/>
      <x:c r="H735" t="str"/>
      <x:c r="I735" t="str">
        <x:v>ESMALTE</x:v>
      </x:c>
      <x:c r="J735" t="str">
        <x:v>BRANCO CARRARA</x:v>
      </x:c>
      <x:c r="K735" t="str">
        <x:v>0</x:v>
      </x:c>
      <x:c r="L735" t="str">
        <x:v>67</x:v>
      </x:c>
      <x:c r="M735" t="str">
        <x:v>3,94</x:v>
      </x:c>
      <x:c r="N735" t="str">
        <x:v>OC 4500910499</x:v>
      </x:c>
      <x:c r="O735" t="str"/>
      <x:c r="P735" t="str">
        <x:v>Liberada Para Producao</x:v>
      </x:c>
      <x:c r="Q735" t="str">
        <x:v>610297</x:v>
      </x:c>
      <x:c r="R735" t="str">
        <x:v>38,89</x:v>
      </x:c>
      <x:c r="S735" t="str">
        <x:v>11</x:v>
      </x:c>
      <x:c r="T735" t="str">
        <x:v>PORTA LINHA SMART</x:v>
      </x:c>
      <x:c r="U735" t="str"/>
      <x:c r="V735" t="str"/>
      <x:c r="W735" t="str">
        <x:v>N/A</x:v>
      </x:c>
      <x:c r="X735" t="str">
        <x:v>66,67</x:v>
      </x:c>
      <x:c r="Y735" t="str">
        <x:v>N/A</x:v>
      </x:c>
      <x:c r="Z735" t="str">
        <x:v>N/A</x:v>
      </x:c>
      <x:c r="AA735" t="str">
        <x:v>N/A</x:v>
      </x:c>
      <x:c r="AB735" t="str">
        <x:v>50</x:v>
      </x:c>
      <x:c r="AC735" t="str">
        <x:v>N/A</x:v>
      </x:c>
      <x:c r="AD735" t="str">
        <x:v>0</x:v>
      </x:c>
      <x:c r="AE735" t="str">
        <x:v>N/A</x:v>
      </x:c>
    </x:row>
    <x:row r="736">
      <x:c r="A736" t="str">
        <x:v>51</x:v>
      </x:c>
      <x:c r="B736" t="str">
        <x:v>26815</x:v>
      </x:c>
      <x:c r="C736" t="str">
        <x:v>4</x:v>
      </x:c>
      <x:c r="D736" t="str">
        <x:v>3190500045</x:v>
      </x:c>
      <x:c r="E736" t="str">
        <x:v>BAG P/VEN PINUS 2200X25X7 RTO PET TXT BC</x:v>
      </x:c>
      <x:c r="F736" t="str"/>
      <x:c r="G736" t="str"/>
      <x:c r="H736" t="str"/>
      <x:c r="I736" t="str">
        <x:v>ESMALTE</x:v>
      </x:c>
      <x:c r="J736" t="str">
        <x:v>BRANCO CARRARA</x:v>
      </x:c>
      <x:c r="K736" t="str">
        <x:v>0</x:v>
      </x:c>
      <x:c r="L736" t="str">
        <x:v>268</x:v>
      </x:c>
      <x:c r="M736" t="str">
        <x:v>0,103</x:v>
      </x:c>
      <x:c r="N736" t="str">
        <x:v>OC 4500910499</x:v>
      </x:c>
      <x:c r="O736" t="str"/>
      <x:c r="P736" t="str">
        <x:v>Liberada Para Producao</x:v>
      </x:c>
      <x:c r="Q736" t="str">
        <x:v>609524</x:v>
      </x:c>
      <x:c r="R736" t="str">
        <x:v>0</x:v>
      </x:c>
      <x:c r="S736" t="str">
        <x:v>500</x:v>
      </x:c>
      <x:c r="T736" t="str">
        <x:v>BAGUETES PET/PVC</x:v>
      </x:c>
      <x:c r="U736" t="str"/>
      <x:c r="V736" t="str"/>
      <x:c r="W736" t="str">
        <x:v>N/A</x:v>
      </x:c>
      <x:c r="X736" t="str">
        <x:v>N/A</x:v>
      </x:c>
      <x:c r="Y736" t="str">
        <x:v>N/A</x:v>
      </x:c>
      <x:c r="Z736" t="str">
        <x:v>N/A</x:v>
      </x:c>
      <x:c r="AA736" t="str">
        <x:v>N/A</x:v>
      </x:c>
      <x:c r="AB736" t="str">
        <x:v>N/A</x:v>
      </x:c>
      <x:c r="AC736" t="str">
        <x:v>N/A</x:v>
      </x:c>
      <x:c r="AD736" t="str">
        <x:v>0</x:v>
      </x:c>
      <x:c r="AE736" t="str">
        <x:v>N/A</x:v>
      </x:c>
    </x:row>
    <x:row r="737">
      <x:c r="A737" t="str">
        <x:v>51</x:v>
      </x:c>
      <x:c r="B737" t="str">
        <x:v>26815</x:v>
      </x:c>
      <x:c r="C737" t="str">
        <x:v>4</x:v>
      </x:c>
      <x:c r="D737" t="str">
        <x:v>3230600006</x:v>
      </x:c>
      <x:c r="E737" t="str">
        <x:v>BAND DOB STD 400X806X12 PET TXT BCO RTO</x:v>
      </x:c>
      <x:c r="F737" t="str"/>
      <x:c r="G737" t="str"/>
      <x:c r="H737" t="str"/>
      <x:c r="I737" t="str">
        <x:v>ESMALTE</x:v>
      </x:c>
      <x:c r="J737" t="str">
        <x:v>BRANCO CARRARA</x:v>
      </x:c>
      <x:c r="K737" t="str">
        <x:v>0</x:v>
      </x:c>
      <x:c r="L737" t="str">
        <x:v>67</x:v>
      </x:c>
      <x:c r="M737" t="str">
        <x:v>0</x:v>
      </x:c>
      <x:c r="N737" t="str">
        <x:v>OC 4500910499</x:v>
      </x:c>
      <x:c r="O737" t="str"/>
      <x:c r="P737" t="str">
        <x:v>Liberada Para Producao</x:v>
      </x:c>
      <x:c r="Q737" t="str">
        <x:v>609525</x:v>
      </x:c>
      <x:c r="R737" t="str">
        <x:v>0</x:v>
      </x:c>
      <x:c r="S737" t="str">
        <x:v>607</x:v>
      </x:c>
      <x:c r="T737" t="str">
        <x:v>BANDEIRA DOBRAVEL</x:v>
      </x:c>
      <x:c r="U737" t="str"/>
      <x:c r="V737" t="str"/>
      <x:c r="W737" t="str">
        <x:v>N/A</x:v>
      </x:c>
      <x:c r="X737" t="str">
        <x:v>N/A</x:v>
      </x:c>
      <x:c r="Y737" t="str">
        <x:v>N/A</x:v>
      </x:c>
      <x:c r="Z737" t="str">
        <x:v>N/A</x:v>
      </x:c>
      <x:c r="AA737" t="str">
        <x:v>N/A</x:v>
      </x:c>
      <x:c r="AB737" t="str">
        <x:v>N/A</x:v>
      </x:c>
      <x:c r="AC737" t="str">
        <x:v>N/A</x:v>
      </x:c>
      <x:c r="AD737" t="str">
        <x:v>0</x:v>
      </x:c>
      <x:c r="AE737" t="str">
        <x:v>N/A</x:v>
      </x:c>
    </x:row>
    <x:row r="738">
      <x:c r="A738" t="str">
        <x:v>51</x:v>
      </x:c>
      <x:c r="B738" t="str">
        <x:v>26809</x:v>
      </x:c>
      <x:c r="C738" t="str">
        <x:v>9</x:v>
      </x:c>
      <x:c r="D738" t="str">
        <x:v>2010701240</x:v>
      </x:c>
      <x:c r="E738" t="str">
        <x:v>M ULTRA PET CAP M 2130X290X30 S/REB R2L</x:v>
      </x:c>
      <x:c r="F738" t="str">
        <x:v>MDF ULTRA</x:v>
      </x:c>
      <x:c r="G738" t="str">
        <x:v>S/CANAL</x:v>
      </x:c>
      <x:c r="H738" t="str">
        <x:v>S/REB</x:v>
      </x:c>
      <x:c r="I738" t="str">
        <x:v>RECOBERTO PET</x:v>
      </x:c>
      <x:c r="J738" t="str">
        <x:v>CAPUCCINO MARCHE</x:v>
      </x:c>
      <x:c r="K738" t="str">
        <x:v>0</x:v>
      </x:c>
      <x:c r="L738" t="str">
        <x:v>2</x:v>
      </x:c>
      <x:c r="M738" t="str">
        <x:v>0,037</x:v>
      </x:c>
      <x:c r="N738" t="str"/>
      <x:c r="O738" t="str"/>
      <x:c r="P738" t="str">
        <x:v>Liberada Para Producao</x:v>
      </x:c>
      <x:c r="Q738" t="str">
        <x:v>609948</x:v>
      </x:c>
      <x:c r="R738" t="str">
        <x:v>66,67</x:v>
      </x:c>
      <x:c r="S738" t="str">
        <x:v>1550</x:v>
      </x:c>
      <x:c r="T738" t="str">
        <x:v>PERNA BAT PRM DE CORRER(SEMI</x:v>
      </x:c>
      <x:c r="U738" t="str"/>
      <x:c r="V738" t="str"/>
      <x:c r="W738" t="str">
        <x:v>100</x:v>
      </x:c>
      <x:c r="X738" t="str">
        <x:v>100</x:v>
      </x:c>
      <x:c r="Y738" t="str">
        <x:v>N/A</x:v>
      </x:c>
      <x:c r="Z738" t="str">
        <x:v>0</x:v>
      </x:c>
      <x:c r="AA738" t="str">
        <x:v>N/A</x:v>
      </x:c>
      <x:c r="AB738" t="str">
        <x:v>N/A</x:v>
      </x:c>
      <x:c r="AC738" t="str">
        <x:v>N/A</x:v>
      </x:c>
      <x:c r="AD738" t="str">
        <x:v>N/A</x:v>
      </x:c>
      <x:c r="AE738" t="str">
        <x:v>N/A</x:v>
      </x:c>
    </x:row>
    <x:row r="739">
      <x:c r="A739" t="str">
        <x:v>51</x:v>
      </x:c>
      <x:c r="B739" t="str">
        <x:v>26809</x:v>
      </x:c>
      <x:c r="C739" t="str">
        <x:v>4</x:v>
      </x:c>
      <x:c r="D739" t="str">
        <x:v>2010701183</x:v>
      </x:c>
      <x:c r="E739" t="str">
        <x:v>M ULTRA PET CAP M 947X130X30 42X10 R2L M</x:v>
      </x:c>
      <x:c r="F739" t="str">
        <x:v>MDF ULTRA</x:v>
      </x:c>
      <x:c r="G739" t="str">
        <x:v>C/BORRACHA I APLICADA</x:v>
      </x:c>
      <x:c r="H739" t="str">
        <x:v>C/REB 42X10</x:v>
      </x:c>
      <x:c r="I739" t="str">
        <x:v>RECOBERTO PET</x:v>
      </x:c>
      <x:c r="J739" t="str">
        <x:v>CAPUCCINO MARCHE</x:v>
      </x:c>
      <x:c r="K739" t="str">
        <x:v>0</x:v>
      </x:c>
      <x:c r="L739" t="str">
        <x:v>6</x:v>
      </x:c>
      <x:c r="M739" t="str">
        <x:v>0,022</x:v>
      </x:c>
      <x:c r="N739" t="str"/>
      <x:c r="O739" t="str"/>
      <x:c r="P739" t="str">
        <x:v>Liberada Para Producao</x:v>
      </x:c>
      <x:c r="Q739" t="str">
        <x:v>609936</x:v>
      </x:c>
      <x:c r="R739" t="str">
        <x:v>0</x:v>
      </x:c>
      <x:c r="S739" t="str">
        <x:v>1502</x:v>
      </x:c>
      <x:c r="T739" t="str">
        <x:v>TV.BAT. 680-1100 PET/PVC(SEMI)</x:v>
      </x:c>
      <x:c r="U739" t="str"/>
      <x:c r="V739" t="str"/>
      <x:c r="W739" t="str">
        <x:v>N/A</x:v>
      </x:c>
      <x:c r="X739" t="str">
        <x:v>N/A</x:v>
      </x:c>
      <x:c r="Y739" t="str">
        <x:v>N/A</x:v>
      </x:c>
      <x:c r="Z739" t="str">
        <x:v>0</x:v>
      </x:c>
      <x:c r="AA739" t="str">
        <x:v>0</x:v>
      </x:c>
      <x:c r="AB739" t="str">
        <x:v>N/A</x:v>
      </x:c>
      <x:c r="AC739" t="str">
        <x:v>N/A</x:v>
      </x:c>
      <x:c r="AD739" t="str">
        <x:v>N/A</x:v>
      </x:c>
      <x:c r="AE739" t="str">
        <x:v>N/A</x:v>
      </x:c>
    </x:row>
    <x:row r="740">
      <x:c r="A740" t="str">
        <x:v>51</x:v>
      </x:c>
      <x:c r="B740" t="str">
        <x:v>26815</x:v>
      </x:c>
      <x:c r="C740" t="str">
        <x:v>5</x:v>
      </x:c>
      <x:c r="D740" t="str">
        <x:v>2020600240</x:v>
      </x:c>
      <x:c r="E740" t="str">
        <x:v>A STD PET TXT BCO 2200X60X12 RG(ME) RTO</x:v>
      </x:c>
      <x:c r="F740" t="str"/>
      <x:c r="G740" t="str"/>
      <x:c r="H740" t="str"/>
      <x:c r="I740" t="str">
        <x:v>ESMALTE</x:v>
      </x:c>
      <x:c r="J740" t="str">
        <x:v>BRANCO CARRARA</x:v>
      </x:c>
      <x:c r="K740" t="str">
        <x:v>0</x:v>
      </x:c>
      <x:c r="L740" t="str">
        <x:v>16</x:v>
      </x:c>
      <x:c r="M740" t="str">
        <x:v>0</x:v>
      </x:c>
      <x:c r="N740" t="str">
        <x:v>OC 4500910499</x:v>
      </x:c>
      <x:c r="O740" t="str"/>
      <x:c r="P740" t="str">
        <x:v>Liberada Para Producao</x:v>
      </x:c>
      <x:c r="Q740" t="str">
        <x:v>609535</x:v>
      </x:c>
      <x:c r="R740" t="str">
        <x:v>0</x:v>
      </x:c>
      <x:c r="S740" t="str">
        <x:v>2003</x:v>
      </x:c>
      <x:c r="T740" t="str">
        <x:v>PERNA ALIZAR L MENOR  (SEMI)</x:v>
      </x:c>
      <x:c r="U740" t="str"/>
      <x:c r="V740" t="str"/>
      <x:c r="W740" t="str">
        <x:v>N/A</x:v>
      </x:c>
      <x:c r="X740" t="str">
        <x:v>0</x:v>
      </x:c>
      <x:c r="Y740" t="str">
        <x:v>0</x:v>
      </x:c>
      <x:c r="Z740" t="str">
        <x:v>0</x:v>
      </x:c>
      <x:c r="AA740" t="str">
        <x:v>N/A</x:v>
      </x:c>
      <x:c r="AB740" t="str">
        <x:v>N/A</x:v>
      </x:c>
      <x:c r="AC740" t="str">
        <x:v>N/A</x:v>
      </x:c>
      <x:c r="AD740" t="str">
        <x:v>N/A</x:v>
      </x:c>
      <x:c r="AE740" t="str">
        <x:v>N/A</x:v>
      </x:c>
    </x:row>
    <x:row r="741">
      <x:c r="A741" t="str">
        <x:v>51</x:v>
      </x:c>
      <x:c r="B741" t="str">
        <x:v>26815</x:v>
      </x:c>
      <x:c r="C741" t="str">
        <x:v>5</x:v>
      </x:c>
      <x:c r="D741" t="str">
        <x:v>2020600241</x:v>
      </x:c>
      <x:c r="E741" t="str">
        <x:v>A STD PET TXT BCO 1100X60X12 RG(ME) RTO</x:v>
      </x:c>
      <x:c r="F741" t="str"/>
      <x:c r="G741" t="str"/>
      <x:c r="H741" t="str"/>
      <x:c r="I741" t="str">
        <x:v>ESMALTE</x:v>
      </x:c>
      <x:c r="J741" t="str">
        <x:v>BRANCO CARRARA</x:v>
      </x:c>
      <x:c r="K741" t="str">
        <x:v>0</x:v>
      </x:c>
      <x:c r="L741" t="str">
        <x:v>8</x:v>
      </x:c>
      <x:c r="M741" t="str">
        <x:v>0</x:v>
      </x:c>
      <x:c r="N741" t="str">
        <x:v>OC 4500910499</x:v>
      </x:c>
      <x:c r="O741" t="str"/>
      <x:c r="P741" t="str">
        <x:v>Liberada Para Producao</x:v>
      </x:c>
      <x:c r="Q741" t="str">
        <x:v>609536</x:v>
      </x:c>
      <x:c r="R741" t="str">
        <x:v>0</x:v>
      </x:c>
      <x:c r="S741" t="str">
        <x:v>2007</x:v>
      </x:c>
      <x:c r="T741" t="str">
        <x:v>TRAVESS ALIZAR L MENOR  (SEMI)</x:v>
      </x:c>
      <x:c r="U741" t="str"/>
      <x:c r="V741" t="str"/>
      <x:c r="W741" t="str">
        <x:v>N/A</x:v>
      </x:c>
      <x:c r="X741" t="str">
        <x:v>0</x:v>
      </x:c>
      <x:c r="Y741" t="str">
        <x:v>N/A</x:v>
      </x:c>
      <x:c r="Z741" t="str">
        <x:v>0</x:v>
      </x:c>
      <x:c r="AA741" t="str">
        <x:v>0</x:v>
      </x:c>
      <x:c r="AB741" t="str">
        <x:v>N/A</x:v>
      </x:c>
      <x:c r="AC741" t="str">
        <x:v>N/A</x:v>
      </x:c>
      <x:c r="AD741" t="str">
        <x:v>N/A</x:v>
      </x:c>
      <x:c r="AE741" t="str">
        <x:v>N/A</x:v>
      </x:c>
    </x:row>
    <x:row r="742">
      <x:c r="A742" t="str">
        <x:v>51</x:v>
      </x:c>
      <x:c r="B742" t="str">
        <x:v>26815</x:v>
      </x:c>
      <x:c r="C742" t="str">
        <x:v>5</x:v>
      </x:c>
      <x:c r="D742" t="str">
        <x:v>2020600242</x:v>
      </x:c>
      <x:c r="E742" t="str">
        <x:v>A STD PET TXT BCO 2690X60X12 RG(55) RTO</x:v>
      </x:c>
      <x:c r="F742" t="str"/>
      <x:c r="G742" t="str"/>
      <x:c r="H742" t="str"/>
      <x:c r="I742" t="str">
        <x:v>ESMALTE</x:v>
      </x:c>
      <x:c r="J742" t="str">
        <x:v>BRANCO CARRARA</x:v>
      </x:c>
      <x:c r="K742" t="str">
        <x:v>0</x:v>
      </x:c>
      <x:c r="L742" t="str">
        <x:v>16</x:v>
      </x:c>
      <x:c r="M742" t="str">
        <x:v>0</x:v>
      </x:c>
      <x:c r="N742" t="str">
        <x:v>OC 4500910499</x:v>
      </x:c>
      <x:c r="O742" t="str"/>
      <x:c r="P742" t="str">
        <x:v>Liberada Para Producao</x:v>
      </x:c>
      <x:c r="Q742" t="str">
        <x:v>609537</x:v>
      </x:c>
      <x:c r="R742" t="str">
        <x:v>0</x:v>
      </x:c>
      <x:c r="S742" t="str">
        <x:v>2001</x:v>
      </x:c>
      <x:c r="T742" t="str">
        <x:v>PERNA ALIZAR RG 55 (SEMI)</x:v>
      </x:c>
      <x:c r="U742" t="str"/>
      <x:c r="V742" t="str"/>
      <x:c r="W742" t="str">
        <x:v>N/A</x:v>
      </x:c>
      <x:c r="X742" t="str">
        <x:v>0</x:v>
      </x:c>
      <x:c r="Y742" t="str">
        <x:v>0</x:v>
      </x:c>
      <x:c r="Z742" t="str">
        <x:v>0</x:v>
      </x:c>
      <x:c r="AA742" t="str">
        <x:v>N/A</x:v>
      </x:c>
      <x:c r="AB742" t="str">
        <x:v>N/A</x:v>
      </x:c>
      <x:c r="AC742" t="str">
        <x:v>N/A</x:v>
      </x:c>
      <x:c r="AD742" t="str">
        <x:v>N/A</x:v>
      </x:c>
      <x:c r="AE742" t="str">
        <x:v>N/A</x:v>
      </x:c>
    </x:row>
    <x:row r="743">
      <x:c r="A743" t="str">
        <x:v>51</x:v>
      </x:c>
      <x:c r="B743" t="str">
        <x:v>26815</x:v>
      </x:c>
      <x:c r="C743" t="str">
        <x:v>5</x:v>
      </x:c>
      <x:c r="D743" t="str">
        <x:v>3041400419</x:v>
      </x:c>
      <x:c r="E743" t="str">
        <x:v>FO POR SMT HDF 3 S GD RU 2100X900X35 ESM</x:v>
      </x:c>
      <x:c r="F743" t="str"/>
      <x:c r="G743" t="str"/>
      <x:c r="H743" t="str"/>
      <x:c r="I743" t="str">
        <x:v>ESMALTE</x:v>
      </x:c>
      <x:c r="J743" t="str">
        <x:v>BRANCO CARRARA</x:v>
      </x:c>
      <x:c r="K743" t="str">
        <x:v>0</x:v>
      </x:c>
      <x:c r="L743" t="str">
        <x:v>8</x:v>
      </x:c>
      <x:c r="M743" t="str">
        <x:v>0,529</x:v>
      </x:c>
      <x:c r="N743" t="str">
        <x:v>OC 4500910499</x:v>
      </x:c>
      <x:c r="O743" t="str"/>
      <x:c r="P743" t="str">
        <x:v>Liberada Para Producao</x:v>
      </x:c>
      <x:c r="Q743" t="str">
        <x:v>609538</x:v>
      </x:c>
      <x:c r="R743" t="str">
        <x:v>38,89</x:v>
      </x:c>
      <x:c r="S743" t="str">
        <x:v>11</x:v>
      </x:c>
      <x:c r="T743" t="str">
        <x:v>PORTA LINHA SMART</x:v>
      </x:c>
      <x:c r="U743" t="str"/>
      <x:c r="V743" t="str"/>
      <x:c r="W743" t="str">
        <x:v>N/A</x:v>
      </x:c>
      <x:c r="X743" t="str">
        <x:v>66,67</x:v>
      </x:c>
      <x:c r="Y743" t="str">
        <x:v>N/A</x:v>
      </x:c>
      <x:c r="Z743" t="str">
        <x:v>N/A</x:v>
      </x:c>
      <x:c r="AA743" t="str">
        <x:v>N/A</x:v>
      </x:c>
      <x:c r="AB743" t="str">
        <x:v>50</x:v>
      </x:c>
      <x:c r="AC743" t="str">
        <x:v>N/A</x:v>
      </x:c>
      <x:c r="AD743" t="str">
        <x:v>0</x:v>
      </x:c>
      <x:c r="AE743" t="str">
        <x:v>N/A</x:v>
      </x:c>
    </x:row>
    <x:row r="744">
      <x:c r="A744" t="str">
        <x:v>51</x:v>
      </x:c>
      <x:c r="B744" t="str">
        <x:v>26815</x:v>
      </x:c>
      <x:c r="C744" t="str">
        <x:v>5</x:v>
      </x:c>
      <x:c r="D744" t="str">
        <x:v>3190500045</x:v>
      </x:c>
      <x:c r="E744" t="str">
        <x:v>BAG P/VEN PINUS 2200X25X7 RTO PET TXT BC</x:v>
      </x:c>
      <x:c r="F744" t="str"/>
      <x:c r="G744" t="str"/>
      <x:c r="H744" t="str"/>
      <x:c r="I744" t="str">
        <x:v>ESMALTE</x:v>
      </x:c>
      <x:c r="J744" t="str">
        <x:v>BRANCO CARRARA</x:v>
      </x:c>
      <x:c r="K744" t="str">
        <x:v>0</x:v>
      </x:c>
      <x:c r="L744" t="str">
        <x:v>32</x:v>
      </x:c>
      <x:c r="M744" t="str">
        <x:v>0,012</x:v>
      </x:c>
      <x:c r="N744" t="str">
        <x:v>OC 4500910499</x:v>
      </x:c>
      <x:c r="O744" t="str"/>
      <x:c r="P744" t="str">
        <x:v>Liberada Para Producao</x:v>
      </x:c>
      <x:c r="Q744" t="str">
        <x:v>609541</x:v>
      </x:c>
      <x:c r="R744" t="str">
        <x:v>0</x:v>
      </x:c>
      <x:c r="S744" t="str">
        <x:v>500</x:v>
      </x:c>
      <x:c r="T744" t="str">
        <x:v>BAGUETES PET/PVC</x:v>
      </x:c>
      <x:c r="U744" t="str"/>
      <x:c r="V744" t="str"/>
      <x:c r="W744" t="str">
        <x:v>N/A</x:v>
      </x:c>
      <x:c r="X744" t="str">
        <x:v>N/A</x:v>
      </x:c>
      <x:c r="Y744" t="str">
        <x:v>N/A</x:v>
      </x:c>
      <x:c r="Z744" t="str">
        <x:v>N/A</x:v>
      </x:c>
      <x:c r="AA744" t="str">
        <x:v>N/A</x:v>
      </x:c>
      <x:c r="AB744" t="str">
        <x:v>N/A</x:v>
      </x:c>
      <x:c r="AC744" t="str">
        <x:v>N/A</x:v>
      </x:c>
      <x:c r="AD744" t="str">
        <x:v>0</x:v>
      </x:c>
      <x:c r="AE744" t="str">
        <x:v>N/A</x:v>
      </x:c>
    </x:row>
    <x:row r="745">
      <x:c r="A745" t="str">
        <x:v>51</x:v>
      </x:c>
      <x:c r="B745" t="str">
        <x:v>26815</x:v>
      </x:c>
      <x:c r="C745" t="str">
        <x:v>5</x:v>
      </x:c>
      <x:c r="D745" t="str">
        <x:v>3230600004</x:v>
      </x:c>
      <x:c r="E745" t="str">
        <x:v>BAND DOB STD 400X906X12 PET TXT BCO RTO</x:v>
      </x:c>
      <x:c r="F745" t="str"/>
      <x:c r="G745" t="str"/>
      <x:c r="H745" t="str"/>
      <x:c r="I745" t="str">
        <x:v>ESMALTE</x:v>
      </x:c>
      <x:c r="J745" t="str">
        <x:v>BRANCO CARRARA</x:v>
      </x:c>
      <x:c r="K745" t="str">
        <x:v>0</x:v>
      </x:c>
      <x:c r="L745" t="str">
        <x:v>8</x:v>
      </x:c>
      <x:c r="M745" t="str">
        <x:v>0,035</x:v>
      </x:c>
      <x:c r="N745" t="str">
        <x:v>OC 4500910499</x:v>
      </x:c>
      <x:c r="O745" t="str"/>
      <x:c r="P745" t="str">
        <x:v>Liberada Para Producao</x:v>
      </x:c>
      <x:c r="Q745" t="str">
        <x:v>609542</x:v>
      </x:c>
      <x:c r="R745" t="str">
        <x:v>0</x:v>
      </x:c>
      <x:c r="S745" t="str">
        <x:v>607</x:v>
      </x:c>
      <x:c r="T745" t="str">
        <x:v>BANDEIRA DOBRAVEL</x:v>
      </x:c>
      <x:c r="U745" t="str"/>
      <x:c r="V745" t="str"/>
      <x:c r="W745" t="str">
        <x:v>N/A</x:v>
      </x:c>
      <x:c r="X745" t="str">
        <x:v>N/A</x:v>
      </x:c>
      <x:c r="Y745" t="str">
        <x:v>N/A</x:v>
      </x:c>
      <x:c r="Z745" t="str">
        <x:v>N/A</x:v>
      </x:c>
      <x:c r="AA745" t="str">
        <x:v>N/A</x:v>
      </x:c>
      <x:c r="AB745" t="str">
        <x:v>N/A</x:v>
      </x:c>
      <x:c r="AC745" t="str">
        <x:v>N/A</x:v>
      </x:c>
      <x:c r="AD745" t="str">
        <x:v>0</x:v>
      </x:c>
      <x:c r="AE745" t="str">
        <x:v>N/A</x:v>
      </x:c>
    </x:row>
    <x:row r="746">
      <x:c r="A746" t="str">
        <x:v>51</x:v>
      </x:c>
      <x:c r="B746" t="str">
        <x:v>26815</x:v>
      </x:c>
      <x:c r="C746" t="str">
        <x:v>6</x:v>
      </x:c>
      <x:c r="D746" t="str">
        <x:v>2010600115</x:v>
      </x:c>
      <x:c r="E746" t="str">
        <x:v>M P MDF STD PET TXT BCO 2110X150X30 42X1</x:v>
      </x:c>
      <x:c r="F746" t="str"/>
      <x:c r="G746" t="str"/>
      <x:c r="H746" t="str"/>
      <x:c r="I746" t="str">
        <x:v>ESMALTE</x:v>
      </x:c>
      <x:c r="J746" t="str">
        <x:v>BRANCO CARRARA</x:v>
      </x:c>
      <x:c r="K746" t="str">
        <x:v>0</x:v>
      </x:c>
      <x:c r="L746" t="str">
        <x:v>54</x:v>
      </x:c>
      <x:c r="M746" t="str">
        <x:v>0,513</x:v>
      </x:c>
      <x:c r="N746" t="str">
        <x:v>OC 4500910499</x:v>
      </x:c>
      <x:c r="O746" t="str"/>
      <x:c r="P746" t="str">
        <x:v>Liberada Para Producao</x:v>
      </x:c>
      <x:c r="Q746" t="str">
        <x:v>609550</x:v>
      </x:c>
      <x:c r="R746" t="str">
        <x:v>0</x:v>
      </x:c>
      <x:c r="S746" t="str">
        <x:v>1500</x:v>
      </x:c>
      <x:c r="T746" t="str">
        <x:v>PERNA DE BATENTE PREMIUM(SEMIA</x:v>
      </x:c>
      <x:c r="U746" t="str"/>
      <x:c r="V746" t="str"/>
      <x:c r="W746" t="str">
        <x:v>N/A</x:v>
      </x:c>
      <x:c r="X746" t="str">
        <x:v>N/A</x:v>
      </x:c>
      <x:c r="Y746" t="str">
        <x:v>N/A</x:v>
      </x:c>
      <x:c r="Z746" t="str">
        <x:v>0</x:v>
      </x:c>
      <x:c r="AA746" t="str">
        <x:v>0</x:v>
      </x:c>
      <x:c r="AB746" t="str">
        <x:v>N/A</x:v>
      </x:c>
      <x:c r="AC746" t="str">
        <x:v>N/A</x:v>
      </x:c>
      <x:c r="AD746" t="str">
        <x:v>N/A</x:v>
      </x:c>
      <x:c r="AE746" t="str">
        <x:v>N/A</x:v>
      </x:c>
    </x:row>
    <x:row r="747">
      <x:c r="A747" t="str">
        <x:v>51</x:v>
      </x:c>
      <x:c r="B747" t="str">
        <x:v>26815</x:v>
      </x:c>
      <x:c r="C747" t="str">
        <x:v>6</x:v>
      </x:c>
      <x:c r="D747" t="str">
        <x:v>2010600117</x:v>
      </x:c>
      <x:c r="E747" t="str">
        <x:v>M T MDF STD PET TXT BCO 947X150X30 42X10</x:v>
      </x:c>
      <x:c r="F747" t="str"/>
      <x:c r="G747" t="str"/>
      <x:c r="H747" t="str"/>
      <x:c r="I747" t="str">
        <x:v>ESMALTE</x:v>
      </x:c>
      <x:c r="J747" t="str">
        <x:v>BRANCO CARRARA</x:v>
      </x:c>
      <x:c r="K747" t="str">
        <x:v>0</x:v>
      </x:c>
      <x:c r="L747" t="str">
        <x:v>27</x:v>
      </x:c>
      <x:c r="M747" t="str">
        <x:v>0,115</x:v>
      </x:c>
      <x:c r="N747" t="str">
        <x:v>OC 4500910499</x:v>
      </x:c>
      <x:c r="O747" t="str"/>
      <x:c r="P747" t="str">
        <x:v>Liberada Para Producao</x:v>
      </x:c>
      <x:c r="Q747" t="str">
        <x:v>609551</x:v>
      </x:c>
      <x:c r="R747" t="str">
        <x:v>0</x:v>
      </x:c>
      <x:c r="S747" t="str">
        <x:v>1502</x:v>
      </x:c>
      <x:c r="T747" t="str">
        <x:v>TV.BAT. 680-1100 PET/PVC(SEMI)</x:v>
      </x:c>
      <x:c r="U747" t="str"/>
      <x:c r="V747" t="str"/>
      <x:c r="W747" t="str">
        <x:v>N/A</x:v>
      </x:c>
      <x:c r="X747" t="str">
        <x:v>N/A</x:v>
      </x:c>
      <x:c r="Y747" t="str">
        <x:v>N/A</x:v>
      </x:c>
      <x:c r="Z747" t="str">
        <x:v>0</x:v>
      </x:c>
      <x:c r="AA747" t="str">
        <x:v>0</x:v>
      </x:c>
      <x:c r="AB747" t="str">
        <x:v>N/A</x:v>
      </x:c>
      <x:c r="AC747" t="str">
        <x:v>N/A</x:v>
      </x:c>
      <x:c r="AD747" t="str">
        <x:v>N/A</x:v>
      </x:c>
      <x:c r="AE747" t="str">
        <x:v>N/A</x:v>
      </x:c>
    </x:row>
    <x:row r="748">
      <x:c r="A748" t="str">
        <x:v>51</x:v>
      </x:c>
      <x:c r="B748" t="str">
        <x:v>26815</x:v>
      </x:c>
      <x:c r="C748" t="str">
        <x:v>6</x:v>
      </x:c>
      <x:c r="D748" t="str">
        <x:v>2020600240</x:v>
      </x:c>
      <x:c r="E748" t="str">
        <x:v>A STD PET TXT BCO 2200X60X12 RG(ME) RTO</x:v>
      </x:c>
      <x:c r="F748" t="str"/>
      <x:c r="G748" t="str"/>
      <x:c r="H748" t="str"/>
      <x:c r="I748" t="str">
        <x:v>ESMALTE</x:v>
      </x:c>
      <x:c r="J748" t="str">
        <x:v>BRANCO CARRARA</x:v>
      </x:c>
      <x:c r="K748" t="str">
        <x:v>0</x:v>
      </x:c>
      <x:c r="L748" t="str">
        <x:v>54</x:v>
      </x:c>
      <x:c r="M748" t="str">
        <x:v>0</x:v>
      </x:c>
      <x:c r="N748" t="str">
        <x:v>OC 4500910499</x:v>
      </x:c>
      <x:c r="O748" t="str"/>
      <x:c r="P748" t="str">
        <x:v>Liberada Para Producao</x:v>
      </x:c>
      <x:c r="Q748" t="str">
        <x:v>609552</x:v>
      </x:c>
      <x:c r="R748" t="str">
        <x:v>0</x:v>
      </x:c>
      <x:c r="S748" t="str">
        <x:v>2003</x:v>
      </x:c>
      <x:c r="T748" t="str">
        <x:v>PERNA ALIZAR L MENOR  (SEMI)</x:v>
      </x:c>
      <x:c r="U748" t="str"/>
      <x:c r="V748" t="str"/>
      <x:c r="W748" t="str">
        <x:v>N/A</x:v>
      </x:c>
      <x:c r="X748" t="str">
        <x:v>0</x:v>
      </x:c>
      <x:c r="Y748" t="str">
        <x:v>0</x:v>
      </x:c>
      <x:c r="Z748" t="str">
        <x:v>0</x:v>
      </x:c>
      <x:c r="AA748" t="str">
        <x:v>N/A</x:v>
      </x:c>
      <x:c r="AB748" t="str">
        <x:v>N/A</x:v>
      </x:c>
      <x:c r="AC748" t="str">
        <x:v>N/A</x:v>
      </x:c>
      <x:c r="AD748" t="str">
        <x:v>N/A</x:v>
      </x:c>
      <x:c r="AE748" t="str">
        <x:v>N/A</x:v>
      </x:c>
    </x:row>
    <x:row r="749">
      <x:c r="A749" t="str">
        <x:v>51</x:v>
      </x:c>
      <x:c r="B749" t="str">
        <x:v>26815</x:v>
      </x:c>
      <x:c r="C749" t="str">
        <x:v>6</x:v>
      </x:c>
      <x:c r="D749" t="str">
        <x:v>2020600241</x:v>
      </x:c>
      <x:c r="E749" t="str">
        <x:v>A STD PET TXT BCO 1100X60X12 RG(ME) RTO</x:v>
      </x:c>
      <x:c r="F749" t="str"/>
      <x:c r="G749" t="str"/>
      <x:c r="H749" t="str"/>
      <x:c r="I749" t="str">
        <x:v>ESMALTE</x:v>
      </x:c>
      <x:c r="J749" t="str">
        <x:v>BRANCO CARRARA</x:v>
      </x:c>
      <x:c r="K749" t="str">
        <x:v>0</x:v>
      </x:c>
      <x:c r="L749" t="str">
        <x:v>27</x:v>
      </x:c>
      <x:c r="M749" t="str">
        <x:v>0</x:v>
      </x:c>
      <x:c r="N749" t="str">
        <x:v>OC 4500910499</x:v>
      </x:c>
      <x:c r="O749" t="str"/>
      <x:c r="P749" t="str">
        <x:v>Liberada Para Producao</x:v>
      </x:c>
      <x:c r="Q749" t="str">
        <x:v>609553</x:v>
      </x:c>
      <x:c r="R749" t="str">
        <x:v>0</x:v>
      </x:c>
      <x:c r="S749" t="str">
        <x:v>2007</x:v>
      </x:c>
      <x:c r="T749" t="str">
        <x:v>TRAVESS ALIZAR L MENOR  (SEMI)</x:v>
      </x:c>
      <x:c r="U749" t="str"/>
      <x:c r="V749" t="str"/>
      <x:c r="W749" t="str">
        <x:v>N/A</x:v>
      </x:c>
      <x:c r="X749" t="str">
        <x:v>0</x:v>
      </x:c>
      <x:c r="Y749" t="str">
        <x:v>N/A</x:v>
      </x:c>
      <x:c r="Z749" t="str">
        <x:v>0</x:v>
      </x:c>
      <x:c r="AA749" t="str">
        <x:v>0</x:v>
      </x:c>
      <x:c r="AB749" t="str">
        <x:v>N/A</x:v>
      </x:c>
      <x:c r="AC749" t="str">
        <x:v>N/A</x:v>
      </x:c>
      <x:c r="AD749" t="str">
        <x:v>N/A</x:v>
      </x:c>
      <x:c r="AE749" t="str">
        <x:v>N/A</x:v>
      </x:c>
    </x:row>
    <x:row r="750">
      <x:c r="A750" t="str">
        <x:v>51</x:v>
      </x:c>
      <x:c r="B750" t="str">
        <x:v>26815</x:v>
      </x:c>
      <x:c r="C750" t="str">
        <x:v>6</x:v>
      </x:c>
      <x:c r="D750" t="str">
        <x:v>2020600242</x:v>
      </x:c>
      <x:c r="E750" t="str">
        <x:v>A STD PET TXT BCO 2690X60X12 RG(55) RTO</x:v>
      </x:c>
      <x:c r="F750" t="str"/>
      <x:c r="G750" t="str"/>
      <x:c r="H750" t="str"/>
      <x:c r="I750" t="str">
        <x:v>ESMALTE</x:v>
      </x:c>
      <x:c r="J750" t="str">
        <x:v>BRANCO CARRARA</x:v>
      </x:c>
      <x:c r="K750" t="str">
        <x:v>0</x:v>
      </x:c>
      <x:c r="L750" t="str">
        <x:v>54</x:v>
      </x:c>
      <x:c r="M750" t="str">
        <x:v>0</x:v>
      </x:c>
      <x:c r="N750" t="str">
        <x:v>OC 4500910499</x:v>
      </x:c>
      <x:c r="O750" t="str"/>
      <x:c r="P750" t="str">
        <x:v>Liberada Para Producao</x:v>
      </x:c>
      <x:c r="Q750" t="str">
        <x:v>609554</x:v>
      </x:c>
      <x:c r="R750" t="str">
        <x:v>0</x:v>
      </x:c>
      <x:c r="S750" t="str">
        <x:v>2001</x:v>
      </x:c>
      <x:c r="T750" t="str">
        <x:v>PERNA ALIZAR RG 55 (SEMI)</x:v>
      </x:c>
      <x:c r="U750" t="str"/>
      <x:c r="V750" t="str"/>
      <x:c r="W750" t="str">
        <x:v>N/A</x:v>
      </x:c>
      <x:c r="X750" t="str">
        <x:v>0</x:v>
      </x:c>
      <x:c r="Y750" t="str">
        <x:v>0</x:v>
      </x:c>
      <x:c r="Z750" t="str">
        <x:v>0</x:v>
      </x:c>
      <x:c r="AA750" t="str">
        <x:v>N/A</x:v>
      </x:c>
      <x:c r="AB750" t="str">
        <x:v>N/A</x:v>
      </x:c>
      <x:c r="AC750" t="str">
        <x:v>N/A</x:v>
      </x:c>
      <x:c r="AD750" t="str">
        <x:v>N/A</x:v>
      </x:c>
      <x:c r="AE750" t="str">
        <x:v>N/A</x:v>
      </x:c>
    </x:row>
    <x:row r="751">
      <x:c r="A751" t="str">
        <x:v>51</x:v>
      </x:c>
      <x:c r="B751" t="str">
        <x:v>26815</x:v>
      </x:c>
      <x:c r="C751" t="str">
        <x:v>6</x:v>
      </x:c>
      <x:c r="D751" t="str">
        <x:v>3041400419</x:v>
      </x:c>
      <x:c r="E751" t="str">
        <x:v>FO POR SMT HDF 3 S GD RU 2100X900X35 ESM</x:v>
      </x:c>
      <x:c r="F751" t="str"/>
      <x:c r="G751" t="str"/>
      <x:c r="H751" t="str"/>
      <x:c r="I751" t="str">
        <x:v>ESMALTE</x:v>
      </x:c>
      <x:c r="J751" t="str">
        <x:v>BRANCO CARRARA</x:v>
      </x:c>
      <x:c r="K751" t="str">
        <x:v>0</x:v>
      </x:c>
      <x:c r="L751" t="str">
        <x:v>27</x:v>
      </x:c>
      <x:c r="M751" t="str">
        <x:v>1,786</x:v>
      </x:c>
      <x:c r="N751" t="str">
        <x:v>OC 4500910499</x:v>
      </x:c>
      <x:c r="O751" t="str"/>
      <x:c r="P751" t="str">
        <x:v>Liberada Para Producao</x:v>
      </x:c>
      <x:c r="Q751" t="str">
        <x:v>609555</x:v>
      </x:c>
      <x:c r="R751" t="str">
        <x:v>38,89</x:v>
      </x:c>
      <x:c r="S751" t="str">
        <x:v>11</x:v>
      </x:c>
      <x:c r="T751" t="str">
        <x:v>PORTA LINHA SMART</x:v>
      </x:c>
      <x:c r="U751" t="str"/>
      <x:c r="V751" t="str"/>
      <x:c r="W751" t="str">
        <x:v>N/A</x:v>
      </x:c>
      <x:c r="X751" t="str">
        <x:v>66,67</x:v>
      </x:c>
      <x:c r="Y751" t="str">
        <x:v>N/A</x:v>
      </x:c>
      <x:c r="Z751" t="str">
        <x:v>N/A</x:v>
      </x:c>
      <x:c r="AA751" t="str">
        <x:v>N/A</x:v>
      </x:c>
      <x:c r="AB751" t="str">
        <x:v>50</x:v>
      </x:c>
      <x:c r="AC751" t="str">
        <x:v>N/A</x:v>
      </x:c>
      <x:c r="AD751" t="str">
        <x:v>0</x:v>
      </x:c>
      <x:c r="AE751" t="str">
        <x:v>N/A</x:v>
      </x:c>
    </x:row>
    <x:row r="752">
      <x:c r="A752" t="str">
        <x:v>51</x:v>
      </x:c>
      <x:c r="B752" t="str">
        <x:v>26815</x:v>
      </x:c>
      <x:c r="C752" t="str">
        <x:v>6</x:v>
      </x:c>
      <x:c r="D752" t="str">
        <x:v>3190500045</x:v>
      </x:c>
      <x:c r="E752" t="str">
        <x:v>BAG P/VEN PINUS 2200X25X7 RTO PET TXT BC</x:v>
      </x:c>
      <x:c r="F752" t="str"/>
      <x:c r="G752" t="str"/>
      <x:c r="H752" t="str"/>
      <x:c r="I752" t="str">
        <x:v>ESMALTE</x:v>
      </x:c>
      <x:c r="J752" t="str">
        <x:v>BRANCO CARRARA</x:v>
      </x:c>
      <x:c r="K752" t="str">
        <x:v>0</x:v>
      </x:c>
      <x:c r="L752" t="str">
        <x:v>108</x:v>
      </x:c>
      <x:c r="M752" t="str">
        <x:v>0,042</x:v>
      </x:c>
      <x:c r="N752" t="str">
        <x:v>OC 4500910499</x:v>
      </x:c>
      <x:c r="O752" t="str"/>
      <x:c r="P752" t="str">
        <x:v>Liberada Para Producao</x:v>
      </x:c>
      <x:c r="Q752" t="str">
        <x:v>609558</x:v>
      </x:c>
      <x:c r="R752" t="str">
        <x:v>0</x:v>
      </x:c>
      <x:c r="S752" t="str">
        <x:v>500</x:v>
      </x:c>
      <x:c r="T752" t="str">
        <x:v>BAGUETES PET/PVC</x:v>
      </x:c>
      <x:c r="U752" t="str"/>
      <x:c r="V752" t="str"/>
      <x:c r="W752" t="str">
        <x:v>N/A</x:v>
      </x:c>
      <x:c r="X752" t="str">
        <x:v>N/A</x:v>
      </x:c>
      <x:c r="Y752" t="str">
        <x:v>N/A</x:v>
      </x:c>
      <x:c r="Z752" t="str">
        <x:v>N/A</x:v>
      </x:c>
      <x:c r="AA752" t="str">
        <x:v>N/A</x:v>
      </x:c>
      <x:c r="AB752" t="str">
        <x:v>N/A</x:v>
      </x:c>
      <x:c r="AC752" t="str">
        <x:v>N/A</x:v>
      </x:c>
      <x:c r="AD752" t="str">
        <x:v>0</x:v>
      </x:c>
      <x:c r="AE752" t="str">
        <x:v>N/A</x:v>
      </x:c>
    </x:row>
    <x:row r="753">
      <x:c r="A753" t="str">
        <x:v>51</x:v>
      </x:c>
      <x:c r="B753" t="str">
        <x:v>26815</x:v>
      </x:c>
      <x:c r="C753" t="str">
        <x:v>6</x:v>
      </x:c>
      <x:c r="D753" t="str">
        <x:v>3230600004</x:v>
      </x:c>
      <x:c r="E753" t="str">
        <x:v>BAND DOB STD 400X906X12 PET TXT BCO RTO</x:v>
      </x:c>
      <x:c r="F753" t="str"/>
      <x:c r="G753" t="str"/>
      <x:c r="H753" t="str"/>
      <x:c r="I753" t="str">
        <x:v>ESMALTE</x:v>
      </x:c>
      <x:c r="J753" t="str">
        <x:v>BRANCO CARRARA</x:v>
      </x:c>
      <x:c r="K753" t="str">
        <x:v>0</x:v>
      </x:c>
      <x:c r="L753" t="str">
        <x:v>27</x:v>
      </x:c>
      <x:c r="M753" t="str">
        <x:v>0,117</x:v>
      </x:c>
      <x:c r="N753" t="str">
        <x:v>OC 4500910499</x:v>
      </x:c>
      <x:c r="O753" t="str"/>
      <x:c r="P753" t="str">
        <x:v>Liberada Para Producao</x:v>
      </x:c>
      <x:c r="Q753" t="str">
        <x:v>609559</x:v>
      </x:c>
      <x:c r="R753" t="str">
        <x:v>0</x:v>
      </x:c>
      <x:c r="S753" t="str">
        <x:v>607</x:v>
      </x:c>
      <x:c r="T753" t="str">
        <x:v>BANDEIRA DOBRAVEL</x:v>
      </x:c>
      <x:c r="U753" t="str"/>
      <x:c r="V753" t="str"/>
      <x:c r="W753" t="str">
        <x:v>N/A</x:v>
      </x:c>
      <x:c r="X753" t="str">
        <x:v>N/A</x:v>
      </x:c>
      <x:c r="Y753" t="str">
        <x:v>N/A</x:v>
      </x:c>
      <x:c r="Z753" t="str">
        <x:v>N/A</x:v>
      </x:c>
      <x:c r="AA753" t="str">
        <x:v>N/A</x:v>
      </x:c>
      <x:c r="AB753" t="str">
        <x:v>N/A</x:v>
      </x:c>
      <x:c r="AC753" t="str">
        <x:v>N/A</x:v>
      </x:c>
      <x:c r="AD753" t="str">
        <x:v>0</x:v>
      </x:c>
      <x:c r="AE753" t="str">
        <x:v>N/A</x:v>
      </x:c>
    </x:row>
    <x:row r="754">
      <x:c r="A754" t="str">
        <x:v>51</x:v>
      </x:c>
      <x:c r="B754" t="str">
        <x:v>26815</x:v>
      </x:c>
      <x:c r="C754" t="str">
        <x:v>7</x:v>
      </x:c>
      <x:c r="D754" t="str">
        <x:v>2010600115</x:v>
      </x:c>
      <x:c r="E754" t="str">
        <x:v>M P MDF STD PET TXT BCO 2110X150X30 42X1</x:v>
      </x:c>
      <x:c r="F754" t="str"/>
      <x:c r="G754" t="str"/>
      <x:c r="H754" t="str"/>
      <x:c r="I754" t="str">
        <x:v>ESMALTE</x:v>
      </x:c>
      <x:c r="J754" t="str">
        <x:v>BRANCO CARRARA</x:v>
      </x:c>
      <x:c r="K754" t="str">
        <x:v>0</x:v>
      </x:c>
      <x:c r="L754" t="str">
        <x:v>10</x:v>
      </x:c>
      <x:c r="M754" t="str">
        <x:v>0,095</x:v>
      </x:c>
      <x:c r="N754" t="str">
        <x:v>OC 4500910499</x:v>
      </x:c>
      <x:c r="O754" t="str"/>
      <x:c r="P754" t="str">
        <x:v>Liberada Para Producao</x:v>
      </x:c>
      <x:c r="Q754" t="str">
        <x:v>609567</x:v>
      </x:c>
      <x:c r="R754" t="str">
        <x:v>0</x:v>
      </x:c>
      <x:c r="S754" t="str">
        <x:v>1500</x:v>
      </x:c>
      <x:c r="T754" t="str">
        <x:v>PERNA DE BATENTE PREMIUM(SEMIA</x:v>
      </x:c>
      <x:c r="U754" t="str"/>
      <x:c r="V754" t="str"/>
      <x:c r="W754" t="str">
        <x:v>N/A</x:v>
      </x:c>
      <x:c r="X754" t="str">
        <x:v>N/A</x:v>
      </x:c>
      <x:c r="Y754" t="str">
        <x:v>N/A</x:v>
      </x:c>
      <x:c r="Z754" t="str">
        <x:v>0</x:v>
      </x:c>
      <x:c r="AA754" t="str">
        <x:v>0</x:v>
      </x:c>
      <x:c r="AB754" t="str">
        <x:v>N/A</x:v>
      </x:c>
      <x:c r="AC754" t="str">
        <x:v>N/A</x:v>
      </x:c>
      <x:c r="AD754" t="str">
        <x:v>N/A</x:v>
      </x:c>
      <x:c r="AE754" t="str">
        <x:v>N/A</x:v>
      </x:c>
    </x:row>
    <x:row r="755">
      <x:c r="A755" t="str">
        <x:v>51</x:v>
      </x:c>
      <x:c r="B755" t="str">
        <x:v>26815</x:v>
      </x:c>
      <x:c r="C755" t="str">
        <x:v>7</x:v>
      </x:c>
      <x:c r="D755" t="str">
        <x:v>2010600117</x:v>
      </x:c>
      <x:c r="E755" t="str">
        <x:v>M T MDF STD PET TXT BCO 947X150X30 42X10</x:v>
      </x:c>
      <x:c r="F755" t="str"/>
      <x:c r="G755" t="str"/>
      <x:c r="H755" t="str"/>
      <x:c r="I755" t="str">
        <x:v>ESMALTE</x:v>
      </x:c>
      <x:c r="J755" t="str">
        <x:v>BRANCO CARRARA</x:v>
      </x:c>
      <x:c r="K755" t="str">
        <x:v>0</x:v>
      </x:c>
      <x:c r="L755" t="str">
        <x:v>5</x:v>
      </x:c>
      <x:c r="M755" t="str">
        <x:v>0,021</x:v>
      </x:c>
      <x:c r="N755" t="str">
        <x:v>OC 4500910499</x:v>
      </x:c>
      <x:c r="O755" t="str"/>
      <x:c r="P755" t="str">
        <x:v>Liberada Para Producao</x:v>
      </x:c>
      <x:c r="Q755" t="str">
        <x:v>609568</x:v>
      </x:c>
      <x:c r="R755" t="str">
        <x:v>0</x:v>
      </x:c>
      <x:c r="S755" t="str">
        <x:v>1502</x:v>
      </x:c>
      <x:c r="T755" t="str">
        <x:v>TV.BAT. 680-1100 PET/PVC(SEMI)</x:v>
      </x:c>
      <x:c r="U755" t="str"/>
      <x:c r="V755" t="str"/>
      <x:c r="W755" t="str">
        <x:v>N/A</x:v>
      </x:c>
      <x:c r="X755" t="str">
        <x:v>N/A</x:v>
      </x:c>
      <x:c r="Y755" t="str">
        <x:v>N/A</x:v>
      </x:c>
      <x:c r="Z755" t="str">
        <x:v>0</x:v>
      </x:c>
      <x:c r="AA755" t="str">
        <x:v>0</x:v>
      </x:c>
      <x:c r="AB755" t="str">
        <x:v>N/A</x:v>
      </x:c>
      <x:c r="AC755" t="str">
        <x:v>N/A</x:v>
      </x:c>
      <x:c r="AD755" t="str">
        <x:v>N/A</x:v>
      </x:c>
      <x:c r="AE755" t="str">
        <x:v>N/A</x:v>
      </x:c>
    </x:row>
    <x:row r="756">
      <x:c r="A756" t="str">
        <x:v>51</x:v>
      </x:c>
      <x:c r="B756" t="str">
        <x:v>26815</x:v>
      </x:c>
      <x:c r="C756" t="str">
        <x:v>7</x:v>
      </x:c>
      <x:c r="D756" t="str">
        <x:v>2020600240</x:v>
      </x:c>
      <x:c r="E756" t="str">
        <x:v>A STD PET TXT BCO 2200X60X12 RG(ME) RTO</x:v>
      </x:c>
      <x:c r="F756" t="str"/>
      <x:c r="G756" t="str"/>
      <x:c r="H756" t="str"/>
      <x:c r="I756" t="str">
        <x:v>ESMALTE</x:v>
      </x:c>
      <x:c r="J756" t="str">
        <x:v>BRANCO CARRARA</x:v>
      </x:c>
      <x:c r="K756" t="str">
        <x:v>0</x:v>
      </x:c>
      <x:c r="L756" t="str">
        <x:v>10</x:v>
      </x:c>
      <x:c r="M756" t="str">
        <x:v>0</x:v>
      </x:c>
      <x:c r="N756" t="str">
        <x:v>OC 4500910499</x:v>
      </x:c>
      <x:c r="O756" t="str"/>
      <x:c r="P756" t="str">
        <x:v>Liberada Para Producao</x:v>
      </x:c>
      <x:c r="Q756" t="str">
        <x:v>609569</x:v>
      </x:c>
      <x:c r="R756" t="str">
        <x:v>0</x:v>
      </x:c>
      <x:c r="S756" t="str">
        <x:v>2003</x:v>
      </x:c>
      <x:c r="T756" t="str">
        <x:v>PERNA ALIZAR L MENOR  (SEMI)</x:v>
      </x:c>
      <x:c r="U756" t="str"/>
      <x:c r="V756" t="str"/>
      <x:c r="W756" t="str">
        <x:v>N/A</x:v>
      </x:c>
      <x:c r="X756" t="str">
        <x:v>0</x:v>
      </x:c>
      <x:c r="Y756" t="str">
        <x:v>0</x:v>
      </x:c>
      <x:c r="Z756" t="str">
        <x:v>0</x:v>
      </x:c>
      <x:c r="AA756" t="str">
        <x:v>N/A</x:v>
      </x:c>
      <x:c r="AB756" t="str">
        <x:v>N/A</x:v>
      </x:c>
      <x:c r="AC756" t="str">
        <x:v>N/A</x:v>
      </x:c>
      <x:c r="AD756" t="str">
        <x:v>N/A</x:v>
      </x:c>
      <x:c r="AE756" t="str">
        <x:v>N/A</x:v>
      </x:c>
    </x:row>
    <x:row r="757">
      <x:c r="A757" t="str">
        <x:v>51</x:v>
      </x:c>
      <x:c r="B757" t="str">
        <x:v>26815</x:v>
      </x:c>
      <x:c r="C757" t="str">
        <x:v>7</x:v>
      </x:c>
      <x:c r="D757" t="str">
        <x:v>2020600241</x:v>
      </x:c>
      <x:c r="E757" t="str">
        <x:v>A STD PET TXT BCO 1100X60X12 RG(ME) RTO</x:v>
      </x:c>
      <x:c r="F757" t="str"/>
      <x:c r="G757" t="str"/>
      <x:c r="H757" t="str"/>
      <x:c r="I757" t="str">
        <x:v>ESMALTE</x:v>
      </x:c>
      <x:c r="J757" t="str">
        <x:v>BRANCO CARRARA</x:v>
      </x:c>
      <x:c r="K757" t="str">
        <x:v>0</x:v>
      </x:c>
      <x:c r="L757" t="str">
        <x:v>5</x:v>
      </x:c>
      <x:c r="M757" t="str">
        <x:v>0</x:v>
      </x:c>
      <x:c r="N757" t="str">
        <x:v>OC 4500910499</x:v>
      </x:c>
      <x:c r="O757" t="str"/>
      <x:c r="P757" t="str">
        <x:v>Liberada Para Producao</x:v>
      </x:c>
      <x:c r="Q757" t="str">
        <x:v>609570</x:v>
      </x:c>
      <x:c r="R757" t="str">
        <x:v>0</x:v>
      </x:c>
      <x:c r="S757" t="str">
        <x:v>2007</x:v>
      </x:c>
      <x:c r="T757" t="str">
        <x:v>TRAVESS ALIZAR L MENOR  (SEMI)</x:v>
      </x:c>
      <x:c r="U757" t="str"/>
      <x:c r="V757" t="str"/>
      <x:c r="W757" t="str">
        <x:v>N/A</x:v>
      </x:c>
      <x:c r="X757" t="str">
        <x:v>0</x:v>
      </x:c>
      <x:c r="Y757" t="str">
        <x:v>N/A</x:v>
      </x:c>
      <x:c r="Z757" t="str">
        <x:v>0</x:v>
      </x:c>
      <x:c r="AA757" t="str">
        <x:v>0</x:v>
      </x:c>
      <x:c r="AB757" t="str">
        <x:v>N/A</x:v>
      </x:c>
      <x:c r="AC757" t="str">
        <x:v>N/A</x:v>
      </x:c>
      <x:c r="AD757" t="str">
        <x:v>N/A</x:v>
      </x:c>
      <x:c r="AE757" t="str">
        <x:v>N/A</x:v>
      </x:c>
    </x:row>
    <x:row r="758">
      <x:c r="A758" t="str">
        <x:v>51</x:v>
      </x:c>
      <x:c r="B758" t="str">
        <x:v>26815</x:v>
      </x:c>
      <x:c r="C758" t="str">
        <x:v>7</x:v>
      </x:c>
      <x:c r="D758" t="str">
        <x:v>2020600243</x:v>
      </x:c>
      <x:c r="E758" t="str">
        <x:v>A STD PET TXT BCO 2690X60X12 RG(80) RTO</x:v>
      </x:c>
      <x:c r="F758" t="str"/>
      <x:c r="G758" t="str"/>
      <x:c r="H758" t="str"/>
      <x:c r="I758" t="str">
        <x:v>ESMALTE</x:v>
      </x:c>
      <x:c r="J758" t="str">
        <x:v>BRANCO CARRARA</x:v>
      </x:c>
      <x:c r="K758" t="str">
        <x:v>0</x:v>
      </x:c>
      <x:c r="L758" t="str">
        <x:v>10</x:v>
      </x:c>
      <x:c r="M758" t="str">
        <x:v>0</x:v>
      </x:c>
      <x:c r="N758" t="str">
        <x:v>OC 4500910499</x:v>
      </x:c>
      <x:c r="O758" t="str"/>
      <x:c r="P758" t="str">
        <x:v>Liberada Para Producao</x:v>
      </x:c>
      <x:c r="Q758" t="str">
        <x:v>609571</x:v>
      </x:c>
      <x:c r="R758" t="str">
        <x:v>0</x:v>
      </x:c>
      <x:c r="S758" t="str">
        <x:v>2021</x:v>
      </x:c>
      <x:c r="T758" t="str">
        <x:v>PERNA ALIZAR RG 80 (SEMI)</x:v>
      </x:c>
      <x:c r="U758" t="str"/>
      <x:c r="V758" t="str"/>
      <x:c r="W758" t="str">
        <x:v>N/A</x:v>
      </x:c>
      <x:c r="X758" t="str">
        <x:v>0</x:v>
      </x:c>
      <x:c r="Y758" t="str">
        <x:v>0</x:v>
      </x:c>
      <x:c r="Z758" t="str">
        <x:v>0</x:v>
      </x:c>
      <x:c r="AA758" t="str">
        <x:v>N/A</x:v>
      </x:c>
      <x:c r="AB758" t="str">
        <x:v>N/A</x:v>
      </x:c>
      <x:c r="AC758" t="str">
        <x:v>N/A</x:v>
      </x:c>
      <x:c r="AD758" t="str">
        <x:v>N/A</x:v>
      </x:c>
      <x:c r="AE758" t="str">
        <x:v>N/A</x:v>
      </x:c>
    </x:row>
    <x:row r="759">
      <x:c r="A759" t="str">
        <x:v>51</x:v>
      </x:c>
      <x:c r="B759" t="str">
        <x:v>26815</x:v>
      </x:c>
      <x:c r="C759" t="str">
        <x:v>7</x:v>
      </x:c>
      <x:c r="D759" t="str">
        <x:v>3041400419</x:v>
      </x:c>
      <x:c r="E759" t="str">
        <x:v>FO POR SMT HDF 3 S GD RU 2100X900X35 ESM</x:v>
      </x:c>
      <x:c r="F759" t="str"/>
      <x:c r="G759" t="str"/>
      <x:c r="H759" t="str"/>
      <x:c r="I759" t="str">
        <x:v>ESMALTE</x:v>
      </x:c>
      <x:c r="J759" t="str">
        <x:v>BRANCO CARRARA</x:v>
      </x:c>
      <x:c r="K759" t="str">
        <x:v>0</x:v>
      </x:c>
      <x:c r="L759" t="str">
        <x:v>5</x:v>
      </x:c>
      <x:c r="M759" t="str">
        <x:v>0,331</x:v>
      </x:c>
      <x:c r="N759" t="str">
        <x:v>OC 4500910499</x:v>
      </x:c>
      <x:c r="O759" t="str"/>
      <x:c r="P759" t="str">
        <x:v>Liberada Para Producao</x:v>
      </x:c>
      <x:c r="Q759" t="str">
        <x:v>609572</x:v>
      </x:c>
      <x:c r="R759" t="str">
        <x:v>22,22</x:v>
      </x:c>
      <x:c r="S759" t="str">
        <x:v>11</x:v>
      </x:c>
      <x:c r="T759" t="str">
        <x:v>PORTA LINHA SMART</x:v>
      </x:c>
      <x:c r="U759" t="str"/>
      <x:c r="V759" t="str"/>
      <x:c r="W759" t="str">
        <x:v>N/A</x:v>
      </x:c>
      <x:c r="X759" t="str">
        <x:v>66,67</x:v>
      </x:c>
      <x:c r="Y759" t="str">
        <x:v>N/A</x:v>
      </x:c>
      <x:c r="Z759" t="str">
        <x:v>N/A</x:v>
      </x:c>
      <x:c r="AA759" t="str">
        <x:v>N/A</x:v>
      </x:c>
      <x:c r="AB759" t="str">
        <x:v>0</x:v>
      </x:c>
      <x:c r="AC759" t="str">
        <x:v>N/A</x:v>
      </x:c>
      <x:c r="AD759" t="str">
        <x:v>0</x:v>
      </x:c>
      <x:c r="AE759" t="str">
        <x:v>N/A</x:v>
      </x:c>
    </x:row>
    <x:row r="760">
      <x:c r="A760" t="str">
        <x:v>51</x:v>
      </x:c>
      <x:c r="B760" t="str">
        <x:v>26815</x:v>
      </x:c>
      <x:c r="C760" t="str">
        <x:v>7</x:v>
      </x:c>
      <x:c r="D760" t="str">
        <x:v>3190500045</x:v>
      </x:c>
      <x:c r="E760" t="str">
        <x:v>BAG P/VEN PINUS 2200X25X7 RTO PET TXT BC</x:v>
      </x:c>
      <x:c r="F760" t="str"/>
      <x:c r="G760" t="str"/>
      <x:c r="H760" t="str"/>
      <x:c r="I760" t="str">
        <x:v>ESMALTE</x:v>
      </x:c>
      <x:c r="J760" t="str">
        <x:v>BRANCO CARRARA</x:v>
      </x:c>
      <x:c r="K760" t="str">
        <x:v>0</x:v>
      </x:c>
      <x:c r="L760" t="str">
        <x:v>20</x:v>
      </x:c>
      <x:c r="M760" t="str">
        <x:v>0,008</x:v>
      </x:c>
      <x:c r="N760" t="str">
        <x:v>OC 4500910499</x:v>
      </x:c>
      <x:c r="O760" t="str"/>
      <x:c r="P760" t="str">
        <x:v>Liberada Para Producao</x:v>
      </x:c>
      <x:c r="Q760" t="str">
        <x:v>609575</x:v>
      </x:c>
      <x:c r="R760" t="str">
        <x:v>0</x:v>
      </x:c>
      <x:c r="S760" t="str">
        <x:v>500</x:v>
      </x:c>
      <x:c r="T760" t="str">
        <x:v>BAGUETES PET/PVC</x:v>
      </x:c>
      <x:c r="U760" t="str"/>
      <x:c r="V760" t="str"/>
      <x:c r="W760" t="str">
        <x:v>N/A</x:v>
      </x:c>
      <x:c r="X760" t="str">
        <x:v>N/A</x:v>
      </x:c>
      <x:c r="Y760" t="str">
        <x:v>N/A</x:v>
      </x:c>
      <x:c r="Z760" t="str">
        <x:v>N/A</x:v>
      </x:c>
      <x:c r="AA760" t="str">
        <x:v>N/A</x:v>
      </x:c>
      <x:c r="AB760" t="str">
        <x:v>N/A</x:v>
      </x:c>
      <x:c r="AC760" t="str">
        <x:v>N/A</x:v>
      </x:c>
      <x:c r="AD760" t="str">
        <x:v>0</x:v>
      </x:c>
      <x:c r="AE760" t="str">
        <x:v>N/A</x:v>
      </x:c>
    </x:row>
    <x:row r="761">
      <x:c r="A761" t="str">
        <x:v>51</x:v>
      </x:c>
      <x:c r="B761" t="str">
        <x:v>26815</x:v>
      </x:c>
      <x:c r="C761" t="str">
        <x:v>7</x:v>
      </x:c>
      <x:c r="D761" t="str">
        <x:v>3230600005</x:v>
      </x:c>
      <x:c r="E761" t="str">
        <x:v>BAND DOB STD 400X906X12 PET TXT BCO RTO</x:v>
      </x:c>
      <x:c r="F761" t="str"/>
      <x:c r="G761" t="str"/>
      <x:c r="H761" t="str"/>
      <x:c r="I761" t="str">
        <x:v>ESMALTE</x:v>
      </x:c>
      <x:c r="J761" t="str">
        <x:v>BRANCO CARRARA</x:v>
      </x:c>
      <x:c r="K761" t="str">
        <x:v>0</x:v>
      </x:c>
      <x:c r="L761" t="str">
        <x:v>5</x:v>
      </x:c>
      <x:c r="M761" t="str">
        <x:v>0,022</x:v>
      </x:c>
      <x:c r="N761" t="str">
        <x:v>OC 4500910499</x:v>
      </x:c>
      <x:c r="O761" t="str"/>
      <x:c r="P761" t="str">
        <x:v>Liberada Para Producao</x:v>
      </x:c>
      <x:c r="Q761" t="str">
        <x:v>609576</x:v>
      </x:c>
      <x:c r="R761" t="str">
        <x:v>0</x:v>
      </x:c>
      <x:c r="S761" t="str">
        <x:v>607</x:v>
      </x:c>
      <x:c r="T761" t="str">
        <x:v>BANDEIRA DOBRAVEL</x:v>
      </x:c>
      <x:c r="U761" t="str"/>
      <x:c r="V761" t="str"/>
      <x:c r="W761" t="str">
        <x:v>N/A</x:v>
      </x:c>
      <x:c r="X761" t="str">
        <x:v>N/A</x:v>
      </x:c>
      <x:c r="Y761" t="str">
        <x:v>N/A</x:v>
      </x:c>
      <x:c r="Z761" t="str">
        <x:v>N/A</x:v>
      </x:c>
      <x:c r="AA761" t="str">
        <x:v>N/A</x:v>
      </x:c>
      <x:c r="AB761" t="str">
        <x:v>N/A</x:v>
      </x:c>
      <x:c r="AC761" t="str">
        <x:v>N/A</x:v>
      </x:c>
      <x:c r="AD761" t="str">
        <x:v>0</x:v>
      </x:c>
      <x:c r="AE761" t="str">
        <x:v>N/A</x:v>
      </x:c>
    </x:row>
    <x:row r="762">
      <x:c r="A762" t="str">
        <x:v>51</x:v>
      </x:c>
      <x:c r="B762" t="str">
        <x:v>26820</x:v>
      </x:c>
      <x:c r="C762" t="str">
        <x:v>1</x:v>
      </x:c>
      <x:c r="D762" t="str">
        <x:v>2020700637</x:v>
      </x:c>
      <x:c r="E762" t="str">
        <x:v>A ULTRA PET BCO CAR 2250X40X9 RG(ME) RTO</x:v>
      </x:c>
      <x:c r="F762" t="str">
        <x:v>REG 2L(MAIOR 80MM)</x:v>
      </x:c>
      <x:c r="G762" t="str"/>
      <x:c r="H762" t="str"/>
      <x:c r="I762" t="str">
        <x:v>RECOBERTO PET</x:v>
      </x:c>
      <x:c r="J762" t="str">
        <x:v>BRANCO CARRARA</x:v>
      </x:c>
      <x:c r="K762" t="str">
        <x:v>0</x:v>
      </x:c>
      <x:c r="L762" t="str">
        <x:v>60</x:v>
      </x:c>
      <x:c r="M762" t="str">
        <x:v>0</x:v>
      </x:c>
      <x:c r="N762" t="str"/>
      <x:c r="O762" t="str"/>
      <x:c r="P762" t="str">
        <x:v>Liberada Para Producao</x:v>
      </x:c>
      <x:c r="Q762" t="str">
        <x:v>610051</x:v>
      </x:c>
      <x:c r="R762" t="str">
        <x:v>0</x:v>
      </x:c>
      <x:c r="S762" t="str">
        <x:v>2003</x:v>
      </x:c>
      <x:c r="T762" t="str">
        <x:v>PERNA ALIZAR L MENOR  (SEMI)</x:v>
      </x:c>
      <x:c r="U762" t="str"/>
      <x:c r="V762" t="str"/>
      <x:c r="W762" t="str">
        <x:v>N/A</x:v>
      </x:c>
      <x:c r="X762" t="str">
        <x:v>0</x:v>
      </x:c>
      <x:c r="Y762" t="str">
        <x:v>0</x:v>
      </x:c>
      <x:c r="Z762" t="str">
        <x:v>0</x:v>
      </x:c>
      <x:c r="AA762" t="str">
        <x:v>N/A</x:v>
      </x:c>
      <x:c r="AB762" t="str">
        <x:v>N/A</x:v>
      </x:c>
      <x:c r="AC762" t="str">
        <x:v>N/A</x:v>
      </x:c>
      <x:c r="AD762" t="str">
        <x:v>N/A</x:v>
      </x:c>
      <x:c r="AE762" t="str">
        <x:v>N/A</x:v>
      </x:c>
    </x:row>
    <x:row r="763">
      <x:c r="A763" t="str">
        <x:v>51</x:v>
      </x:c>
      <x:c r="B763" t="str">
        <x:v>26820</x:v>
      </x:c>
      <x:c r="C763" t="str">
        <x:v>1</x:v>
      </x:c>
      <x:c r="D763" t="str">
        <x:v>2020700638</x:v>
      </x:c>
      <x:c r="E763" t="str">
        <x:v>A ULTRA PET BCO CAR 2250X40X9 RG(80) RTO</x:v>
      </x:c>
      <x:c r="F763" t="str">
        <x:v>REG 2L(MAIOR 80MM)</x:v>
      </x:c>
      <x:c r="G763" t="str"/>
      <x:c r="H763" t="str"/>
      <x:c r="I763" t="str">
        <x:v>RECOBERTO PET</x:v>
      </x:c>
      <x:c r="J763" t="str">
        <x:v>BRANCO CARRARA</x:v>
      </x:c>
      <x:c r="K763" t="str">
        <x:v>0</x:v>
      </x:c>
      <x:c r="L763" t="str">
        <x:v>60</x:v>
      </x:c>
      <x:c r="M763" t="str">
        <x:v>0</x:v>
      </x:c>
      <x:c r="N763" t="str"/>
      <x:c r="O763" t="str"/>
      <x:c r="P763" t="str">
        <x:v>Liberada Para Producao</x:v>
      </x:c>
      <x:c r="Q763" t="str">
        <x:v>610052</x:v>
      </x:c>
      <x:c r="R763" t="str">
        <x:v>0</x:v>
      </x:c>
      <x:c r="S763" t="str">
        <x:v>2021</x:v>
      </x:c>
      <x:c r="T763" t="str">
        <x:v>PERNA ALIZAR RG 80 (SEMI)</x:v>
      </x:c>
      <x:c r="U763" t="str"/>
      <x:c r="V763" t="str"/>
      <x:c r="W763" t="str">
        <x:v>N/A</x:v>
      </x:c>
      <x:c r="X763" t="str">
        <x:v>0</x:v>
      </x:c>
      <x:c r="Y763" t="str">
        <x:v>0</x:v>
      </x:c>
      <x:c r="Z763" t="str">
        <x:v>0</x:v>
      </x:c>
      <x:c r="AA763" t="str">
        <x:v>N/A</x:v>
      </x:c>
      <x:c r="AB763" t="str">
        <x:v>N/A</x:v>
      </x:c>
      <x:c r="AC763" t="str">
        <x:v>N/A</x:v>
      </x:c>
      <x:c r="AD763" t="str">
        <x:v>N/A</x:v>
      </x:c>
      <x:c r="AE763" t="str">
        <x:v>N/A</x:v>
      </x:c>
    </x:row>
    <x:row r="764">
      <x:c r="A764" t="str">
        <x:v>51</x:v>
      </x:c>
      <x:c r="B764" t="str">
        <x:v>26820</x:v>
      </x:c>
      <x:c r="C764" t="str">
        <x:v>1</x:v>
      </x:c>
      <x:c r="D764" t="str">
        <x:v>2020700639</x:v>
      </x:c>
      <x:c r="E764" t="str">
        <x:v>A ULTRA PET BCO CAR 1200X40X9 RG(ME) RTO</x:v>
      </x:c>
      <x:c r="F764" t="str">
        <x:v>REG 2L(MAIOR 80MM)</x:v>
      </x:c>
      <x:c r="G764" t="str"/>
      <x:c r="H764" t="str"/>
      <x:c r="I764" t="str">
        <x:v>RECOBERTO PET</x:v>
      </x:c>
      <x:c r="J764" t="str">
        <x:v>BRANCO CARRARA</x:v>
      </x:c>
      <x:c r="K764" t="str">
        <x:v>0</x:v>
      </x:c>
      <x:c r="L764" t="str">
        <x:v>30</x:v>
      </x:c>
      <x:c r="M764" t="str">
        <x:v>0</x:v>
      </x:c>
      <x:c r="N764" t="str"/>
      <x:c r="O764" t="str"/>
      <x:c r="P764" t="str">
        <x:v>Liberada Para Producao</x:v>
      </x:c>
      <x:c r="Q764" t="str">
        <x:v>610053</x:v>
      </x:c>
      <x:c r="R764" t="str">
        <x:v>0</x:v>
      </x:c>
      <x:c r="S764" t="str">
        <x:v>2007</x:v>
      </x:c>
      <x:c r="T764" t="str">
        <x:v>TRAVESS ALIZAR L MENOR  (SEMI)</x:v>
      </x:c>
      <x:c r="U764" t="str"/>
      <x:c r="V764" t="str"/>
      <x:c r="W764" t="str">
        <x:v>N/A</x:v>
      </x:c>
      <x:c r="X764" t="str">
        <x:v>0</x:v>
      </x:c>
      <x:c r="Y764" t="str">
        <x:v>N/A</x:v>
      </x:c>
      <x:c r="Z764" t="str">
        <x:v>0</x:v>
      </x:c>
      <x:c r="AA764" t="str">
        <x:v>0</x:v>
      </x:c>
      <x:c r="AB764" t="str">
        <x:v>N/A</x:v>
      </x:c>
      <x:c r="AC764" t="str">
        <x:v>N/A</x:v>
      </x:c>
      <x:c r="AD764" t="str">
        <x:v>N/A</x:v>
      </x:c>
      <x:c r="AE764" t="str">
        <x:v>N/A</x:v>
      </x:c>
    </x:row>
    <x:row r="765">
      <x:c r="A765" t="str">
        <x:v>51</x:v>
      </x:c>
      <x:c r="B765" t="str">
        <x:v>26820</x:v>
      </x:c>
      <x:c r="C765" t="str">
        <x:v>1</x:v>
      </x:c>
      <x:c r="D765" t="str">
        <x:v>2020700640</x:v>
      </x:c>
      <x:c r="E765" t="str">
        <x:v>A ULTRA PET BCO CAR 1200X40X9 RG(80) RTO</x:v>
      </x:c>
      <x:c r="F765" t="str">
        <x:v>REG 2L(MAIOR 80MM)</x:v>
      </x:c>
      <x:c r="G765" t="str"/>
      <x:c r="H765" t="str"/>
      <x:c r="I765" t="str">
        <x:v>RECOBERTO PET</x:v>
      </x:c>
      <x:c r="J765" t="str">
        <x:v>BRANCO CARRARA</x:v>
      </x:c>
      <x:c r="K765" t="str">
        <x:v>0</x:v>
      </x:c>
      <x:c r="L765" t="str">
        <x:v>30</x:v>
      </x:c>
      <x:c r="M765" t="str">
        <x:v>0</x:v>
      </x:c>
      <x:c r="N765" t="str"/>
      <x:c r="O765" t="str"/>
      <x:c r="P765" t="str">
        <x:v>Liberada Para Producao</x:v>
      </x:c>
      <x:c r="Q765" t="str">
        <x:v>610054</x:v>
      </x:c>
      <x:c r="R765" t="str">
        <x:v>0</x:v>
      </x:c>
      <x:c r="S765" t="str">
        <x:v>2010</x:v>
      </x:c>
      <x:c r="T765" t="str">
        <x:v>TRAVESSA ALIZAR RG 80 (SEMI)</x:v>
      </x:c>
      <x:c r="U765" t="str"/>
      <x:c r="V765" t="str"/>
      <x:c r="W765" t="str">
        <x:v>N/A</x:v>
      </x:c>
      <x:c r="X765" t="str">
        <x:v>0</x:v>
      </x:c>
      <x:c r="Y765" t="str">
        <x:v>0</x:v>
      </x:c>
      <x:c r="Z765" t="str">
        <x:v>0</x:v>
      </x:c>
      <x:c r="AA765" t="str">
        <x:v>0</x:v>
      </x:c>
      <x:c r="AB765" t="str">
        <x:v>N/A</x:v>
      </x:c>
      <x:c r="AC765" t="str">
        <x:v>N/A</x:v>
      </x:c>
      <x:c r="AD765" t="str">
        <x:v>N/A</x:v>
      </x:c>
      <x:c r="AE765" t="str">
        <x:v>N/A</x:v>
      </x:c>
    </x:row>
    <x:row r="766">
      <x:c r="A766" t="str">
        <x:v>51</x:v>
      </x:c>
      <x:c r="B766" t="str">
        <x:v>26820</x:v>
      </x:c>
      <x:c r="C766" t="str">
        <x:v>2</x:v>
      </x:c>
      <x:c r="D766" t="str">
        <x:v>2020700641</x:v>
      </x:c>
      <x:c r="E766" t="str">
        <x:v>A ULTRA PET BCO CAR 2300X30X9 RG(ME) RTO</x:v>
      </x:c>
      <x:c r="F766" t="str">
        <x:v>REG 2L(MAIOR 80MM)</x:v>
      </x:c>
      <x:c r="G766" t="str"/>
      <x:c r="H766" t="str"/>
      <x:c r="I766" t="str">
        <x:v>RECOBERTO PET</x:v>
      </x:c>
      <x:c r="J766" t="str">
        <x:v>BRANCO CARRARA</x:v>
      </x:c>
      <x:c r="K766" t="str">
        <x:v>0</x:v>
      </x:c>
      <x:c r="L766" t="str">
        <x:v>20</x:v>
      </x:c>
      <x:c r="M766" t="str">
        <x:v>0</x:v>
      </x:c>
      <x:c r="N766" t="str"/>
      <x:c r="O766" t="str"/>
      <x:c r="P766" t="str">
        <x:v>Liberada Para Producao</x:v>
      </x:c>
      <x:c r="Q766" t="str">
        <x:v>610056</x:v>
      </x:c>
      <x:c r="R766" t="str">
        <x:v>0</x:v>
      </x:c>
      <x:c r="S766" t="str">
        <x:v>2003</x:v>
      </x:c>
      <x:c r="T766" t="str">
        <x:v>PERNA ALIZAR L MENOR  (SEMI)</x:v>
      </x:c>
      <x:c r="U766" t="str"/>
      <x:c r="V766" t="str"/>
      <x:c r="W766" t="str">
        <x:v>N/A</x:v>
      </x:c>
      <x:c r="X766" t="str">
        <x:v>0</x:v>
      </x:c>
      <x:c r="Y766" t="str">
        <x:v>0</x:v>
      </x:c>
      <x:c r="Z766" t="str">
        <x:v>0</x:v>
      </x:c>
      <x:c r="AA766" t="str">
        <x:v>N/A</x:v>
      </x:c>
      <x:c r="AB766" t="str">
        <x:v>N/A</x:v>
      </x:c>
      <x:c r="AC766" t="str">
        <x:v>N/A</x:v>
      </x:c>
      <x:c r="AD766" t="str">
        <x:v>N/A</x:v>
      </x:c>
      <x:c r="AE766" t="str">
        <x:v>N/A</x:v>
      </x:c>
    </x:row>
    <x:row r="767">
      <x:c r="A767" t="str">
        <x:v>51</x:v>
      </x:c>
      <x:c r="B767" t="str">
        <x:v>26820</x:v>
      </x:c>
      <x:c r="C767" t="str">
        <x:v>2</x:v>
      </x:c>
      <x:c r="D767" t="str">
        <x:v>2020700642</x:v>
      </x:c>
      <x:c r="E767" t="str">
        <x:v>A ULTRA PET BCO CAR 2300X30X9 RG(80) RTO</x:v>
      </x:c>
      <x:c r="F767" t="str">
        <x:v>REG 2L(MAIOR 80MM)</x:v>
      </x:c>
      <x:c r="G767" t="str"/>
      <x:c r="H767" t="str"/>
      <x:c r="I767" t="str">
        <x:v>RECOBERTO PET</x:v>
      </x:c>
      <x:c r="J767" t="str">
        <x:v>BRANCO CARRARA</x:v>
      </x:c>
      <x:c r="K767" t="str">
        <x:v>0</x:v>
      </x:c>
      <x:c r="L767" t="str">
        <x:v>20</x:v>
      </x:c>
      <x:c r="M767" t="str">
        <x:v>0</x:v>
      </x:c>
      <x:c r="N767" t="str"/>
      <x:c r="O767" t="str"/>
      <x:c r="P767" t="str">
        <x:v>Liberada Para Producao</x:v>
      </x:c>
      <x:c r="Q767" t="str">
        <x:v>610057</x:v>
      </x:c>
      <x:c r="R767" t="str">
        <x:v>0</x:v>
      </x:c>
      <x:c r="S767" t="str">
        <x:v>2021</x:v>
      </x:c>
      <x:c r="T767" t="str">
        <x:v>PERNA ALIZAR RG 80 (SEMI)</x:v>
      </x:c>
      <x:c r="U767" t="str"/>
      <x:c r="V767" t="str"/>
      <x:c r="W767" t="str">
        <x:v>N/A</x:v>
      </x:c>
      <x:c r="X767" t="str">
        <x:v>0</x:v>
      </x:c>
      <x:c r="Y767" t="str">
        <x:v>0</x:v>
      </x:c>
      <x:c r="Z767" t="str">
        <x:v>0</x:v>
      </x:c>
      <x:c r="AA767" t="str">
        <x:v>N/A</x:v>
      </x:c>
      <x:c r="AB767" t="str">
        <x:v>N/A</x:v>
      </x:c>
      <x:c r="AC767" t="str">
        <x:v>N/A</x:v>
      </x:c>
      <x:c r="AD767" t="str">
        <x:v>N/A</x:v>
      </x:c>
      <x:c r="AE767" t="str">
        <x:v>N/A</x:v>
      </x:c>
    </x:row>
    <x:row r="768">
      <x:c r="A768" t="str">
        <x:v>51</x:v>
      </x:c>
      <x:c r="B768" t="str">
        <x:v>26820</x:v>
      </x:c>
      <x:c r="C768" t="str">
        <x:v>2</x:v>
      </x:c>
      <x:c r="D768" t="str">
        <x:v>2020700643</x:v>
      </x:c>
      <x:c r="E768" t="str">
        <x:v>A ULTRA PET BCO CAR 1200X30X9 RG(ME) RTO</x:v>
      </x:c>
      <x:c r="F768" t="str">
        <x:v>REG 2L(MAIOR 80MM)</x:v>
      </x:c>
      <x:c r="G768" t="str"/>
      <x:c r="H768" t="str"/>
      <x:c r="I768" t="str">
        <x:v>RECOBERTO PET</x:v>
      </x:c>
      <x:c r="J768" t="str">
        <x:v>BRANCO CARRARA</x:v>
      </x:c>
      <x:c r="K768" t="str">
        <x:v>0</x:v>
      </x:c>
      <x:c r="L768" t="str">
        <x:v>10</x:v>
      </x:c>
      <x:c r="M768" t="str">
        <x:v>0</x:v>
      </x:c>
      <x:c r="N768" t="str"/>
      <x:c r="O768" t="str"/>
      <x:c r="P768" t="str">
        <x:v>Liberada Para Producao</x:v>
      </x:c>
      <x:c r="Q768" t="str">
        <x:v>610058</x:v>
      </x:c>
      <x:c r="R768" t="str">
        <x:v>0</x:v>
      </x:c>
      <x:c r="S768" t="str">
        <x:v>2007</x:v>
      </x:c>
      <x:c r="T768" t="str">
        <x:v>TRAVESS ALIZAR L MENOR  (SEMI)</x:v>
      </x:c>
      <x:c r="U768" t="str"/>
      <x:c r="V768" t="str"/>
      <x:c r="W768" t="str">
        <x:v>N/A</x:v>
      </x:c>
      <x:c r="X768" t="str">
        <x:v>0</x:v>
      </x:c>
      <x:c r="Y768" t="str">
        <x:v>N/A</x:v>
      </x:c>
      <x:c r="Z768" t="str">
        <x:v>0</x:v>
      </x:c>
      <x:c r="AA768" t="str">
        <x:v>0</x:v>
      </x:c>
      <x:c r="AB768" t="str">
        <x:v>N/A</x:v>
      </x:c>
      <x:c r="AC768" t="str">
        <x:v>N/A</x:v>
      </x:c>
      <x:c r="AD768" t="str">
        <x:v>N/A</x:v>
      </x:c>
      <x:c r="AE768" t="str">
        <x:v>N/A</x:v>
      </x:c>
    </x:row>
    <x:row r="769">
      <x:c r="A769" t="str">
        <x:v>51</x:v>
      </x:c>
      <x:c r="B769" t="str">
        <x:v>26820</x:v>
      </x:c>
      <x:c r="C769" t="str">
        <x:v>2</x:v>
      </x:c>
      <x:c r="D769" t="str">
        <x:v>2020700644</x:v>
      </x:c>
      <x:c r="E769" t="str">
        <x:v>A ULTRA PET BCO CAR 1200X30X9 RG(80) RTO</x:v>
      </x:c>
      <x:c r="F769" t="str">
        <x:v>REG 2L(MAIOR 80MM)</x:v>
      </x:c>
      <x:c r="G769" t="str"/>
      <x:c r="H769" t="str"/>
      <x:c r="I769" t="str">
        <x:v>RECOBERTO PET</x:v>
      </x:c>
      <x:c r="J769" t="str">
        <x:v>BRANCO CARRARA</x:v>
      </x:c>
      <x:c r="K769" t="str">
        <x:v>0</x:v>
      </x:c>
      <x:c r="L769" t="str">
        <x:v>10</x:v>
      </x:c>
      <x:c r="M769" t="str">
        <x:v>0</x:v>
      </x:c>
      <x:c r="N769" t="str"/>
      <x:c r="O769" t="str"/>
      <x:c r="P769" t="str">
        <x:v>Liberada Para Producao</x:v>
      </x:c>
      <x:c r="Q769" t="str">
        <x:v>610059</x:v>
      </x:c>
      <x:c r="R769" t="str">
        <x:v>0</x:v>
      </x:c>
      <x:c r="S769" t="str">
        <x:v>2010</x:v>
      </x:c>
      <x:c r="T769" t="str">
        <x:v>TRAVESSA ALIZAR RG 80 (SEMI)</x:v>
      </x:c>
      <x:c r="U769" t="str"/>
      <x:c r="V769" t="str"/>
      <x:c r="W769" t="str">
        <x:v>N/A</x:v>
      </x:c>
      <x:c r="X769" t="str">
        <x:v>0</x:v>
      </x:c>
      <x:c r="Y769" t="str">
        <x:v>0</x:v>
      </x:c>
      <x:c r="Z769" t="str">
        <x:v>0</x:v>
      </x:c>
      <x:c r="AA769" t="str">
        <x:v>0</x:v>
      </x:c>
      <x:c r="AB769" t="str">
        <x:v>N/A</x:v>
      </x:c>
      <x:c r="AC769" t="str">
        <x:v>N/A</x:v>
      </x:c>
      <x:c r="AD769" t="str">
        <x:v>N/A</x:v>
      </x:c>
      <x:c r="AE769" t="str">
        <x:v>N/A</x:v>
      </x:c>
    </x:row>
    <x:row r="770">
      <x:c r="A770" t="str">
        <x:v>51</x:v>
      </x:c>
      <x:c r="B770" t="str">
        <x:v>26824</x:v>
      </x:c>
      <x:c r="C770" t="str">
        <x:v>1</x:v>
      </x:c>
      <x:c r="D770" t="str">
        <x:v>956369</x:v>
      </x:c>
      <x:c r="E770" t="str">
        <x:v>2250X50X9 RTO RL55 PET BCO TXT MPMV(STD)</x:v>
      </x:c>
      <x:c r="F770" t="str"/>
      <x:c r="G770" t="str"/>
      <x:c r="H770" t="str"/>
      <x:c r="I770" t="str">
        <x:v>ESMALTE</x:v>
      </x:c>
      <x:c r="J770" t="str">
        <x:v>BRANCO CARRARA</x:v>
      </x:c>
      <x:c r="K770" t="str">
        <x:v>0</x:v>
      </x:c>
      <x:c r="L770" t="str">
        <x:v>246</x:v>
      </x:c>
      <x:c r="M770" t="str">
        <x:v>0</x:v>
      </x:c>
      <x:c r="N770" t="str"/>
      <x:c r="O770" t="str"/>
      <x:c r="P770" t="str">
        <x:v>Liberada Para Producao</x:v>
      </x:c>
      <x:c r="Q770" t="str">
        <x:v>609579</x:v>
      </x:c>
      <x:c r="R770" t="str">
        <x:v>0</x:v>
      </x:c>
      <x:c r="S770" t="str"/>
      <x:c r="T770" t="str"/>
      <x:c r="U770" t="str"/>
      <x:c r="V770" t="str"/>
      <x:c r="W770" t="str">
        <x:v>N/A</x:v>
      </x:c>
      <x:c r="X770" t="str">
        <x:v>0</x:v>
      </x:c>
      <x:c r="Y770" t="str">
        <x:v>0</x:v>
      </x:c>
      <x:c r="Z770" t="str">
        <x:v>0</x:v>
      </x:c>
      <x:c r="AA770" t="str">
        <x:v>N/A</x:v>
      </x:c>
      <x:c r="AB770" t="str">
        <x:v>N/A</x:v>
      </x:c>
      <x:c r="AC770" t="str">
        <x:v>N/A</x:v>
      </x:c>
      <x:c r="AD770" t="str">
        <x:v>N/A</x:v>
      </x:c>
      <x:c r="AE770" t="str">
        <x:v>N/A</x:v>
      </x:c>
    </x:row>
    <x:row r="771">
      <x:c r="A771" t="str">
        <x:v>51</x:v>
      </x:c>
      <x:c r="B771" t="str">
        <x:v>26824</x:v>
      </x:c>
      <x:c r="C771" t="str">
        <x:v>1</x:v>
      </x:c>
      <x:c r="D771" t="str">
        <x:v>956374</x:v>
      </x:c>
      <x:c r="E771" t="str">
        <x:v>2250X50X9 RTO LME PET BCO TXT MPMV(STD)</x:v>
      </x:c>
      <x:c r="F771" t="str"/>
      <x:c r="G771" t="str"/>
      <x:c r="H771" t="str"/>
      <x:c r="I771" t="str">
        <x:v>ESMALTE</x:v>
      </x:c>
      <x:c r="J771" t="str">
        <x:v>BRANCO CARRARA</x:v>
      </x:c>
      <x:c r="K771" t="str">
        <x:v>0</x:v>
      </x:c>
      <x:c r="L771" t="str">
        <x:v>246</x:v>
      </x:c>
      <x:c r="M771" t="str">
        <x:v>0</x:v>
      </x:c>
      <x:c r="N771" t="str"/>
      <x:c r="O771" t="str"/>
      <x:c r="P771" t="str">
        <x:v>Liberada Para Producao</x:v>
      </x:c>
      <x:c r="Q771" t="str">
        <x:v>609580</x:v>
      </x:c>
      <x:c r="R771" t="str">
        <x:v>0</x:v>
      </x:c>
      <x:c r="S771" t="str"/>
      <x:c r="T771" t="str"/>
      <x:c r="U771" t="str"/>
      <x:c r="V771" t="str"/>
      <x:c r="W771" t="str">
        <x:v>N/A</x:v>
      </x:c>
      <x:c r="X771" t="str">
        <x:v>0</x:v>
      </x:c>
      <x:c r="Y771" t="str">
        <x:v>0</x:v>
      </x:c>
      <x:c r="Z771" t="str">
        <x:v>0</x:v>
      </x:c>
      <x:c r="AA771" t="str">
        <x:v>N/A</x:v>
      </x:c>
      <x:c r="AB771" t="str">
        <x:v>N/A</x:v>
      </x:c>
      <x:c r="AC771" t="str">
        <x:v>N/A</x:v>
      </x:c>
      <x:c r="AD771" t="str">
        <x:v>N/A</x:v>
      </x:c>
      <x:c r="AE771" t="str">
        <x:v>N/A</x:v>
      </x:c>
    </x:row>
    <x:row r="772">
      <x:c r="A772" t="str">
        <x:v>51</x:v>
      </x:c>
      <x:c r="B772" t="str">
        <x:v>26824</x:v>
      </x:c>
      <x:c r="C772" t="str">
        <x:v>1</x:v>
      </x:c>
      <x:c r="D772" t="str">
        <x:v>985577</x:v>
      </x:c>
      <x:c r="E772" t="str">
        <x:v>T A 1100X50X9 RTO LME PET BCO TXT (STD)</x:v>
      </x:c>
      <x:c r="F772" t="str"/>
      <x:c r="G772" t="str"/>
      <x:c r="H772" t="str"/>
      <x:c r="I772" t="str">
        <x:v>ESMALTE</x:v>
      </x:c>
      <x:c r="J772" t="str">
        <x:v>BRANCO CARRARA</x:v>
      </x:c>
      <x:c r="K772" t="str">
        <x:v>0</x:v>
      </x:c>
      <x:c r="L772" t="str">
        <x:v>123</x:v>
      </x:c>
      <x:c r="M772" t="str">
        <x:v>0</x:v>
      </x:c>
      <x:c r="N772" t="str"/>
      <x:c r="O772" t="str"/>
      <x:c r="P772" t="str">
        <x:v>Liberada Para Producao</x:v>
      </x:c>
      <x:c r="Q772" t="str">
        <x:v>609581</x:v>
      </x:c>
      <x:c r="R772" t="str">
        <x:v>0</x:v>
      </x:c>
      <x:c r="S772" t="str"/>
      <x:c r="T772" t="str"/>
      <x:c r="U772" t="str"/>
      <x:c r="V772" t="str"/>
      <x:c r="W772" t="str">
        <x:v>N/A</x:v>
      </x:c>
      <x:c r="X772" t="str">
        <x:v>0</x:v>
      </x:c>
      <x:c r="Y772" t="str">
        <x:v>0</x:v>
      </x:c>
      <x:c r="Z772" t="str">
        <x:v>0</x:v>
      </x:c>
      <x:c r="AA772" t="str">
        <x:v>0</x:v>
      </x:c>
      <x:c r="AB772" t="str">
        <x:v>N/A</x:v>
      </x:c>
      <x:c r="AC772" t="str">
        <x:v>N/A</x:v>
      </x:c>
      <x:c r="AD772" t="str">
        <x:v>N/A</x:v>
      </x:c>
      <x:c r="AE772" t="str">
        <x:v>N/A</x:v>
      </x:c>
    </x:row>
    <x:row r="773">
      <x:c r="A773" t="str">
        <x:v>51</x:v>
      </x:c>
      <x:c r="B773" t="str">
        <x:v>26824</x:v>
      </x:c>
      <x:c r="C773" t="str">
        <x:v>1</x:v>
      </x:c>
      <x:c r="D773" t="str">
        <x:v>986505</x:v>
      </x:c>
      <x:c r="E773" t="str">
        <x:v>T A 1100X50X9 RT RL55 PET BCO TXT (STD)</x:v>
      </x:c>
      <x:c r="F773" t="str"/>
      <x:c r="G773" t="str"/>
      <x:c r="H773" t="str"/>
      <x:c r="I773" t="str">
        <x:v>ESMALTE</x:v>
      </x:c>
      <x:c r="J773" t="str">
        <x:v>BRANCO CARRARA</x:v>
      </x:c>
      <x:c r="K773" t="str">
        <x:v>0</x:v>
      </x:c>
      <x:c r="L773" t="str">
        <x:v>123</x:v>
      </x:c>
      <x:c r="M773" t="str">
        <x:v>0</x:v>
      </x:c>
      <x:c r="N773" t="str"/>
      <x:c r="O773" t="str"/>
      <x:c r="P773" t="str">
        <x:v>Liberada Para Producao</x:v>
      </x:c>
      <x:c r="Q773" t="str">
        <x:v>609582</x:v>
      </x:c>
      <x:c r="R773" t="str">
        <x:v>0</x:v>
      </x:c>
      <x:c r="S773" t="str"/>
      <x:c r="T773" t="str"/>
      <x:c r="U773" t="str"/>
      <x:c r="V773" t="str"/>
      <x:c r="W773" t="str">
        <x:v>N/A</x:v>
      </x:c>
      <x:c r="X773" t="str">
        <x:v>0</x:v>
      </x:c>
      <x:c r="Y773" t="str">
        <x:v>0</x:v>
      </x:c>
      <x:c r="Z773" t="str">
        <x:v>0</x:v>
      </x:c>
      <x:c r="AA773" t="str">
        <x:v>0</x:v>
      </x:c>
      <x:c r="AB773" t="str">
        <x:v>N/A</x:v>
      </x:c>
      <x:c r="AC773" t="str">
        <x:v>N/A</x:v>
      </x:c>
      <x:c r="AD773" t="str">
        <x:v>N/A</x:v>
      </x:c>
      <x:c r="AE773" t="str">
        <x:v>N/A</x:v>
      </x:c>
    </x:row>
    <x:row r="774">
      <x:c r="A774" t="str">
        <x:v>51</x:v>
      </x:c>
      <x:c r="B774" t="str">
        <x:v>26824</x:v>
      </x:c>
      <x:c r="C774" t="str">
        <x:v>1</x:v>
      </x:c>
      <x:c r="D774" t="str">
        <x:v>2010600020</x:v>
      </x:c>
      <x:c r="E774" t="str">
        <x:v>M CJ MDF STD PET TXT BCO 2110X110X30 42X</x:v>
      </x:c>
      <x:c r="F774" t="str"/>
      <x:c r="G774" t="str"/>
      <x:c r="H774" t="str"/>
      <x:c r="I774" t="str">
        <x:v>ESMALTE</x:v>
      </x:c>
      <x:c r="J774" t="str">
        <x:v>BRANCO CARRARA</x:v>
      </x:c>
      <x:c r="K774" t="str">
        <x:v>0</x:v>
      </x:c>
      <x:c r="L774" t="str">
        <x:v>246</x:v>
      </x:c>
      <x:c r="M774" t="str">
        <x:v>1,713</x:v>
      </x:c>
      <x:c r="N774" t="str"/>
      <x:c r="O774" t="str"/>
      <x:c r="P774" t="str">
        <x:v>Liberada Para Producao</x:v>
      </x:c>
      <x:c r="Q774" t="str">
        <x:v>609583</x:v>
      </x:c>
      <x:c r="R774" t="str">
        <x:v>0</x:v>
      </x:c>
      <x:c r="S774" t="str">
        <x:v>1500</x:v>
      </x:c>
      <x:c r="T774" t="str">
        <x:v>PERNA DE BATENTE PREMIUM(SEMIA</x:v>
      </x:c>
      <x:c r="U774" t="str"/>
      <x:c r="V774" t="str"/>
      <x:c r="W774" t="str">
        <x:v>N/A</x:v>
      </x:c>
      <x:c r="X774" t="str">
        <x:v>N/A</x:v>
      </x:c>
      <x:c r="Y774" t="str">
        <x:v>N/A</x:v>
      </x:c>
      <x:c r="Z774" t="str">
        <x:v>0</x:v>
      </x:c>
      <x:c r="AA774" t="str">
        <x:v>0</x:v>
      </x:c>
      <x:c r="AB774" t="str">
        <x:v>N/A</x:v>
      </x:c>
      <x:c r="AC774" t="str">
        <x:v>N/A</x:v>
      </x:c>
      <x:c r="AD774" t="str">
        <x:v>N/A</x:v>
      </x:c>
      <x:c r="AE774" t="str">
        <x:v>N/A</x:v>
      </x:c>
    </x:row>
    <x:row r="775">
      <x:c r="A775" t="str">
        <x:v>51</x:v>
      </x:c>
      <x:c r="B775" t="str">
        <x:v>26824</x:v>
      </x:c>
      <x:c r="C775" t="str">
        <x:v>1</x:v>
      </x:c>
      <x:c r="D775" t="str">
        <x:v>2010600021</x:v>
      </x:c>
      <x:c r="E775" t="str">
        <x:v>M CJ MDF STD PET TXT BCO 647X110X30 42X1</x:v>
      </x:c>
      <x:c r="F775" t="str"/>
      <x:c r="G775" t="str"/>
      <x:c r="H775" t="str"/>
      <x:c r="I775" t="str">
        <x:v>ESMALTE</x:v>
      </x:c>
      <x:c r="J775" t="str">
        <x:v>BRANCO CARRARA</x:v>
      </x:c>
      <x:c r="K775" t="str">
        <x:v>0</x:v>
      </x:c>
      <x:c r="L775" t="str">
        <x:v>123</x:v>
      </x:c>
      <x:c r="M775" t="str">
        <x:v>0</x:v>
      </x:c>
      <x:c r="N775" t="str"/>
      <x:c r="O775" t="str"/>
      <x:c r="P775" t="str">
        <x:v>Liberada Para Producao</x:v>
      </x:c>
      <x:c r="Q775" t="str">
        <x:v>609584</x:v>
      </x:c>
      <x:c r="R775" t="str">
        <x:v>0</x:v>
      </x:c>
      <x:c r="S775" t="str">
        <x:v>1501</x:v>
      </x:c>
      <x:c r="T775" t="str">
        <x:v>TRAV. BAT. 680 PET/PVC(SEMI)</x:v>
      </x:c>
      <x:c r="U775" t="str"/>
      <x:c r="V775" t="str"/>
      <x:c r="W775" t="str">
        <x:v>N/A</x:v>
      </x:c>
      <x:c r="X775" t="str">
        <x:v>N/A</x:v>
      </x:c>
      <x:c r="Y775" t="str">
        <x:v>N/A</x:v>
      </x:c>
      <x:c r="Z775" t="str">
        <x:v>0</x:v>
      </x:c>
      <x:c r="AA775" t="str">
        <x:v>0</x:v>
      </x:c>
      <x:c r="AB775" t="str">
        <x:v>N/A</x:v>
      </x:c>
      <x:c r="AC775" t="str">
        <x:v>N/A</x:v>
      </x:c>
      <x:c r="AD775" t="str">
        <x:v>N/A</x:v>
      </x:c>
      <x:c r="AE775" t="str">
        <x:v>N/A</x:v>
      </x:c>
    </x:row>
    <x:row r="776">
      <x:c r="A776" t="str">
        <x:v>51</x:v>
      </x:c>
      <x:c r="B776" t="str">
        <x:v>26824</x:v>
      </x:c>
      <x:c r="C776" t="str">
        <x:v>1</x:v>
      </x:c>
      <x:c r="D776" t="str">
        <x:v>3040300046</x:v>
      </x:c>
      <x:c r="E776" t="str">
        <x:v>FO POR SMT HDF 3 COL RU 2100X600X35 ESM</x:v>
      </x:c>
      <x:c r="F776" t="str"/>
      <x:c r="G776" t="str"/>
      <x:c r="H776" t="str"/>
      <x:c r="I776" t="str">
        <x:v>ESMALTE</x:v>
      </x:c>
      <x:c r="J776" t="str">
        <x:v>BRANCO CARRARA</x:v>
      </x:c>
      <x:c r="K776" t="str">
        <x:v>0</x:v>
      </x:c>
      <x:c r="L776" t="str">
        <x:v>123</x:v>
      </x:c>
      <x:c r="M776" t="str">
        <x:v>5,424</x:v>
      </x:c>
      <x:c r="N776" t="str"/>
      <x:c r="O776" t="str"/>
      <x:c r="P776" t="str">
        <x:v>Liberada Para Producao</x:v>
      </x:c>
      <x:c r="Q776" t="str">
        <x:v>609585</x:v>
      </x:c>
      <x:c r="R776" t="str">
        <x:v>66,67</x:v>
      </x:c>
      <x:c r="S776" t="str">
        <x:v>11</x:v>
      </x:c>
      <x:c r="T776" t="str">
        <x:v>PORTA LINHA SMART</x:v>
      </x:c>
      <x:c r="U776" t="str"/>
      <x:c r="V776" t="str"/>
      <x:c r="W776" t="str">
        <x:v>N/A</x:v>
      </x:c>
      <x:c r="X776" t="str">
        <x:v>100</x:v>
      </x:c>
      <x:c r="Y776" t="str">
        <x:v>N/A</x:v>
      </x:c>
      <x:c r="Z776" t="str">
        <x:v>N/A</x:v>
      </x:c>
      <x:c r="AA776" t="str">
        <x:v>N/A</x:v>
      </x:c>
      <x:c r="AB776" t="str">
        <x:v>100</x:v>
      </x:c>
      <x:c r="AC776" t="str">
        <x:v>N/A</x:v>
      </x:c>
      <x:c r="AD776" t="str">
        <x:v>0</x:v>
      </x:c>
      <x:c r="AE776" t="str">
        <x:v>N/A</x:v>
      </x:c>
    </x:row>
    <x:row r="777">
      <x:c r="A777" t="str">
        <x:v>51</x:v>
      </x:c>
      <x:c r="B777" t="str">
        <x:v>26824</x:v>
      </x:c>
      <x:c r="C777" t="str">
        <x:v>2</x:v>
      </x:c>
      <x:c r="D777" t="str">
        <x:v>956369</x:v>
      </x:c>
      <x:c r="E777" t="str">
        <x:v>2250X50X9 RTO RL55 PET BCO TXT MPMV(STD)</x:v>
      </x:c>
      <x:c r="F777" t="str"/>
      <x:c r="G777" t="str"/>
      <x:c r="H777" t="str"/>
      <x:c r="I777" t="str">
        <x:v>ESMALTE</x:v>
      </x:c>
      <x:c r="J777" t="str">
        <x:v>BRANCO</x:v>
      </x:c>
      <x:c r="K777" t="str">
        <x:v>0</x:v>
      </x:c>
      <x:c r="L777" t="str">
        <x:v>362</x:v>
      </x:c>
      <x:c r="M777" t="str">
        <x:v>0</x:v>
      </x:c>
      <x:c r="N777" t="str"/>
      <x:c r="O777" t="str"/>
      <x:c r="P777" t="str">
        <x:v>Liberada Para Producao</x:v>
      </x:c>
      <x:c r="Q777" t="str">
        <x:v>609587</x:v>
      </x:c>
      <x:c r="R777" t="str">
        <x:v>0</x:v>
      </x:c>
      <x:c r="S777" t="str"/>
      <x:c r="T777" t="str"/>
      <x:c r="U777" t="str"/>
      <x:c r="V777" t="str"/>
      <x:c r="W777" t="str">
        <x:v>N/A</x:v>
      </x:c>
      <x:c r="X777" t="str">
        <x:v>0</x:v>
      </x:c>
      <x:c r="Y777" t="str">
        <x:v>0</x:v>
      </x:c>
      <x:c r="Z777" t="str">
        <x:v>0</x:v>
      </x:c>
      <x:c r="AA777" t="str">
        <x:v>N/A</x:v>
      </x:c>
      <x:c r="AB777" t="str">
        <x:v>N/A</x:v>
      </x:c>
      <x:c r="AC777" t="str">
        <x:v>N/A</x:v>
      </x:c>
      <x:c r="AD777" t="str">
        <x:v>N/A</x:v>
      </x:c>
      <x:c r="AE777" t="str">
        <x:v>N/A</x:v>
      </x:c>
    </x:row>
    <x:row r="778">
      <x:c r="A778" t="str">
        <x:v>51</x:v>
      </x:c>
      <x:c r="B778" t="str">
        <x:v>26824</x:v>
      </x:c>
      <x:c r="C778" t="str">
        <x:v>2</x:v>
      </x:c>
      <x:c r="D778" t="str">
        <x:v>956374</x:v>
      </x:c>
      <x:c r="E778" t="str">
        <x:v>2250X50X9 RTO LME PET BCO TXT MPMV(STD)</x:v>
      </x:c>
      <x:c r="F778" t="str"/>
      <x:c r="G778" t="str"/>
      <x:c r="H778" t="str"/>
      <x:c r="I778" t="str">
        <x:v>ESMALTE</x:v>
      </x:c>
      <x:c r="J778" t="str">
        <x:v>BRANCO</x:v>
      </x:c>
      <x:c r="K778" t="str">
        <x:v>0</x:v>
      </x:c>
      <x:c r="L778" t="str">
        <x:v>362</x:v>
      </x:c>
      <x:c r="M778" t="str">
        <x:v>0</x:v>
      </x:c>
      <x:c r="N778" t="str"/>
      <x:c r="O778" t="str"/>
      <x:c r="P778" t="str">
        <x:v>Liberada Para Producao</x:v>
      </x:c>
      <x:c r="Q778" t="str">
        <x:v>609588</x:v>
      </x:c>
      <x:c r="R778" t="str">
        <x:v>0</x:v>
      </x:c>
      <x:c r="S778" t="str"/>
      <x:c r="T778" t="str"/>
      <x:c r="U778" t="str"/>
      <x:c r="V778" t="str"/>
      <x:c r="W778" t="str">
        <x:v>N/A</x:v>
      </x:c>
      <x:c r="X778" t="str">
        <x:v>0</x:v>
      </x:c>
      <x:c r="Y778" t="str">
        <x:v>0</x:v>
      </x:c>
      <x:c r="Z778" t="str">
        <x:v>0</x:v>
      </x:c>
      <x:c r="AA778" t="str">
        <x:v>N/A</x:v>
      </x:c>
      <x:c r="AB778" t="str">
        <x:v>N/A</x:v>
      </x:c>
      <x:c r="AC778" t="str">
        <x:v>N/A</x:v>
      </x:c>
      <x:c r="AD778" t="str">
        <x:v>N/A</x:v>
      </x:c>
      <x:c r="AE778" t="str">
        <x:v>N/A</x:v>
      </x:c>
    </x:row>
    <x:row r="779">
      <x:c r="A779" t="str">
        <x:v>51</x:v>
      </x:c>
      <x:c r="B779" t="str">
        <x:v>26824</x:v>
      </x:c>
      <x:c r="C779" t="str">
        <x:v>2</x:v>
      </x:c>
      <x:c r="D779" t="str">
        <x:v>985577</x:v>
      </x:c>
      <x:c r="E779" t="str">
        <x:v>T A 1100X50X9 RTO LME PET BCO TXT (STD)</x:v>
      </x:c>
      <x:c r="F779" t="str"/>
      <x:c r="G779" t="str"/>
      <x:c r="H779" t="str"/>
      <x:c r="I779" t="str">
        <x:v>ESMALTE</x:v>
      </x:c>
      <x:c r="J779" t="str">
        <x:v>BRANCO</x:v>
      </x:c>
      <x:c r="K779" t="str">
        <x:v>0</x:v>
      </x:c>
      <x:c r="L779" t="str">
        <x:v>181</x:v>
      </x:c>
      <x:c r="M779" t="str">
        <x:v>0</x:v>
      </x:c>
      <x:c r="N779" t="str"/>
      <x:c r="O779" t="str"/>
      <x:c r="P779" t="str">
        <x:v>Liberada Para Producao</x:v>
      </x:c>
      <x:c r="Q779" t="str">
        <x:v>609589</x:v>
      </x:c>
      <x:c r="R779" t="str">
        <x:v>0</x:v>
      </x:c>
      <x:c r="S779" t="str"/>
      <x:c r="T779" t="str"/>
      <x:c r="U779" t="str"/>
      <x:c r="V779" t="str"/>
      <x:c r="W779" t="str">
        <x:v>N/A</x:v>
      </x:c>
      <x:c r="X779" t="str">
        <x:v>0</x:v>
      </x:c>
      <x:c r="Y779" t="str">
        <x:v>0</x:v>
      </x:c>
      <x:c r="Z779" t="str">
        <x:v>0</x:v>
      </x:c>
      <x:c r="AA779" t="str">
        <x:v>0</x:v>
      </x:c>
      <x:c r="AB779" t="str">
        <x:v>N/A</x:v>
      </x:c>
      <x:c r="AC779" t="str">
        <x:v>N/A</x:v>
      </x:c>
      <x:c r="AD779" t="str">
        <x:v>N/A</x:v>
      </x:c>
      <x:c r="AE779" t="str">
        <x:v>N/A</x:v>
      </x:c>
    </x:row>
    <x:row r="780">
      <x:c r="A780" t="str">
        <x:v>51</x:v>
      </x:c>
      <x:c r="B780" t="str">
        <x:v>26824</x:v>
      </x:c>
      <x:c r="C780" t="str">
        <x:v>2</x:v>
      </x:c>
      <x:c r="D780" t="str">
        <x:v>986505</x:v>
      </x:c>
      <x:c r="E780" t="str">
        <x:v>T A 1100X50X9 RT RL55 PET BCO TXT (STD)</x:v>
      </x:c>
      <x:c r="F780" t="str"/>
      <x:c r="G780" t="str"/>
      <x:c r="H780" t="str"/>
      <x:c r="I780" t="str">
        <x:v>ESMALTE</x:v>
      </x:c>
      <x:c r="J780" t="str">
        <x:v>BRANCO</x:v>
      </x:c>
      <x:c r="K780" t="str">
        <x:v>0</x:v>
      </x:c>
      <x:c r="L780" t="str">
        <x:v>181</x:v>
      </x:c>
      <x:c r="M780" t="str">
        <x:v>0</x:v>
      </x:c>
      <x:c r="N780" t="str"/>
      <x:c r="O780" t="str"/>
      <x:c r="P780" t="str">
        <x:v>Liberada Para Producao</x:v>
      </x:c>
      <x:c r="Q780" t="str">
        <x:v>609590</x:v>
      </x:c>
      <x:c r="R780" t="str">
        <x:v>0</x:v>
      </x:c>
      <x:c r="S780" t="str"/>
      <x:c r="T780" t="str"/>
      <x:c r="U780" t="str"/>
      <x:c r="V780" t="str"/>
      <x:c r="W780" t="str">
        <x:v>N/A</x:v>
      </x:c>
      <x:c r="X780" t="str">
        <x:v>0</x:v>
      </x:c>
      <x:c r="Y780" t="str">
        <x:v>0</x:v>
      </x:c>
      <x:c r="Z780" t="str">
        <x:v>0</x:v>
      </x:c>
      <x:c r="AA780" t="str">
        <x:v>0</x:v>
      </x:c>
      <x:c r="AB780" t="str">
        <x:v>N/A</x:v>
      </x:c>
      <x:c r="AC780" t="str">
        <x:v>N/A</x:v>
      </x:c>
      <x:c r="AD780" t="str">
        <x:v>N/A</x:v>
      </x:c>
      <x:c r="AE780" t="str">
        <x:v>N/A</x:v>
      </x:c>
    </x:row>
    <x:row r="781">
      <x:c r="A781" t="str">
        <x:v>51</x:v>
      </x:c>
      <x:c r="B781" t="str">
        <x:v>26824</x:v>
      </x:c>
      <x:c r="C781" t="str">
        <x:v>2</x:v>
      </x:c>
      <x:c r="D781" t="str">
        <x:v>2010600195</x:v>
      </x:c>
      <x:c r="E781" t="str">
        <x:v>M P MDF STD PET TXT BCO 2110X70X30 42X10</x:v>
      </x:c>
      <x:c r="F781" t="str"/>
      <x:c r="G781" t="str"/>
      <x:c r="H781" t="str"/>
      <x:c r="I781" t="str">
        <x:v>ESMALTE</x:v>
      </x:c>
      <x:c r="J781" t="str">
        <x:v>BRANCO</x:v>
      </x:c>
      <x:c r="K781" t="str">
        <x:v>0</x:v>
      </x:c>
      <x:c r="L781" t="str">
        <x:v>362</x:v>
      </x:c>
      <x:c r="M781" t="str">
        <x:v>1,604</x:v>
      </x:c>
      <x:c r="N781" t="str"/>
      <x:c r="O781" t="str"/>
      <x:c r="P781" t="str">
        <x:v>Liberada Para Producao</x:v>
      </x:c>
      <x:c r="Q781" t="str">
        <x:v>609591</x:v>
      </x:c>
      <x:c r="R781" t="str">
        <x:v>0</x:v>
      </x:c>
      <x:c r="S781" t="str">
        <x:v>1500</x:v>
      </x:c>
      <x:c r="T781" t="str">
        <x:v>PERNA DE BATENTE PREMIUM(SEMIA</x:v>
      </x:c>
      <x:c r="U781" t="str"/>
      <x:c r="V781" t="str"/>
      <x:c r="W781" t="str">
        <x:v>N/A</x:v>
      </x:c>
      <x:c r="X781" t="str">
        <x:v>N/A</x:v>
      </x:c>
      <x:c r="Y781" t="str">
        <x:v>N/A</x:v>
      </x:c>
      <x:c r="Z781" t="str">
        <x:v>0</x:v>
      </x:c>
      <x:c r="AA781" t="str">
        <x:v>0</x:v>
      </x:c>
      <x:c r="AB781" t="str">
        <x:v>N/A</x:v>
      </x:c>
      <x:c r="AC781" t="str">
        <x:v>N/A</x:v>
      </x:c>
      <x:c r="AD781" t="str">
        <x:v>N/A</x:v>
      </x:c>
      <x:c r="AE781" t="str">
        <x:v>N/A</x:v>
      </x:c>
    </x:row>
    <x:row r="782">
      <x:c r="A782" t="str">
        <x:v>51</x:v>
      </x:c>
      <x:c r="B782" t="str">
        <x:v>26824</x:v>
      </x:c>
      <x:c r="C782" t="str">
        <x:v>2</x:v>
      </x:c>
      <x:c r="D782" t="str">
        <x:v>2010600196</x:v>
      </x:c>
      <x:c r="E782" t="str">
        <x:v>M T MDF STD PET TXT BCO 747X70X30 42X10</x:v>
      </x:c>
      <x:c r="F782" t="str"/>
      <x:c r="G782" t="str"/>
      <x:c r="H782" t="str"/>
      <x:c r="I782" t="str">
        <x:v>ESMALTE</x:v>
      </x:c>
      <x:c r="J782" t="str">
        <x:v>BRANCO</x:v>
      </x:c>
      <x:c r="K782" t="str">
        <x:v>0</x:v>
      </x:c>
      <x:c r="L782" t="str">
        <x:v>181</x:v>
      </x:c>
      <x:c r="M782" t="str">
        <x:v>0,284</x:v>
      </x:c>
      <x:c r="N782" t="str"/>
      <x:c r="O782" t="str"/>
      <x:c r="P782" t="str">
        <x:v>Liberada Para Producao</x:v>
      </x:c>
      <x:c r="Q782" t="str">
        <x:v>609592</x:v>
      </x:c>
      <x:c r="R782" t="str">
        <x:v>0</x:v>
      </x:c>
      <x:c r="S782" t="str">
        <x:v>1502</x:v>
      </x:c>
      <x:c r="T782" t="str">
        <x:v>TV.BAT. 680-1100 PET/PVC(SEMI)</x:v>
      </x:c>
      <x:c r="U782" t="str"/>
      <x:c r="V782" t="str"/>
      <x:c r="W782" t="str">
        <x:v>N/A</x:v>
      </x:c>
      <x:c r="X782" t="str">
        <x:v>N/A</x:v>
      </x:c>
      <x:c r="Y782" t="str">
        <x:v>N/A</x:v>
      </x:c>
      <x:c r="Z782" t="str">
        <x:v>0</x:v>
      </x:c>
      <x:c r="AA782" t="str">
        <x:v>0</x:v>
      </x:c>
      <x:c r="AB782" t="str">
        <x:v>N/A</x:v>
      </x:c>
      <x:c r="AC782" t="str">
        <x:v>N/A</x:v>
      </x:c>
      <x:c r="AD782" t="str">
        <x:v>N/A</x:v>
      </x:c>
      <x:c r="AE782" t="str">
        <x:v>N/A</x:v>
      </x:c>
    </x:row>
    <x:row r="783">
      <x:c r="A783" t="str">
        <x:v>51</x:v>
      </x:c>
      <x:c r="B783" t="str">
        <x:v>26824</x:v>
      </x:c>
      <x:c r="C783" t="str">
        <x:v>2</x:v>
      </x:c>
      <x:c r="D783" t="str">
        <x:v>3040300041</x:v>
      </x:c>
      <x:c r="E783" t="str">
        <x:v>FO POR SMT HDF 3 COL ESM BCO RU 2100X700</x:v>
      </x:c>
      <x:c r="F783" t="str"/>
      <x:c r="G783" t="str"/>
      <x:c r="H783" t="str"/>
      <x:c r="I783" t="str">
        <x:v>ESMALTE</x:v>
      </x:c>
      <x:c r="J783" t="str">
        <x:v>BRANCO</x:v>
      </x:c>
      <x:c r="K783" t="str">
        <x:v>0</x:v>
      </x:c>
      <x:c r="L783" t="str">
        <x:v>181</x:v>
      </x:c>
      <x:c r="M783" t="str">
        <x:v>9,312</x:v>
      </x:c>
      <x:c r="N783" t="str"/>
      <x:c r="O783" t="str"/>
      <x:c r="P783" t="str">
        <x:v>Liberada Para Producao</x:v>
      </x:c>
      <x:c r="Q783" t="str">
        <x:v>609593</x:v>
      </x:c>
      <x:c r="R783" t="str">
        <x:v>54,14</x:v>
      </x:c>
      <x:c r="S783" t="str">
        <x:v>11</x:v>
      </x:c>
      <x:c r="T783" t="str">
        <x:v>PORTA LINHA SMART</x:v>
      </x:c>
      <x:c r="U783" t="str"/>
      <x:c r="V783" t="str"/>
      <x:c r="W783" t="str">
        <x:v>N/A</x:v>
      </x:c>
      <x:c r="X783" t="str">
        <x:v>100</x:v>
      </x:c>
      <x:c r="Y783" t="str">
        <x:v>N/A</x:v>
      </x:c>
      <x:c r="Z783" t="str">
        <x:v>N/A</x:v>
      </x:c>
      <x:c r="AA783" t="str">
        <x:v>N/A</x:v>
      </x:c>
      <x:c r="AB783" t="str">
        <x:v>62,43</x:v>
      </x:c>
      <x:c r="AC783" t="str">
        <x:v>N/A</x:v>
      </x:c>
      <x:c r="AD783" t="str">
        <x:v>0</x:v>
      </x:c>
      <x:c r="AE783" t="str">
        <x:v>N/A</x:v>
      </x:c>
    </x:row>
    <x:row r="784">
      <x:c r="A784" t="str">
        <x:v>51</x:v>
      </x:c>
      <x:c r="B784" t="str">
        <x:v>26824</x:v>
      </x:c>
      <x:c r="C784" t="str">
        <x:v>3</x:v>
      </x:c>
      <x:c r="D784" t="str">
        <x:v>956374</x:v>
      </x:c>
      <x:c r="E784" t="str">
        <x:v>2250X50X9 RTO LME PET BCO TXT MPMV(STD)</x:v>
      </x:c>
      <x:c r="F784" t="str"/>
      <x:c r="G784" t="str"/>
      <x:c r="H784" t="str"/>
      <x:c r="I784" t="str">
        <x:v>ESMALTE</x:v>
      </x:c>
      <x:c r="J784" t="str">
        <x:v>BRANCO CARRARA</x:v>
      </x:c>
      <x:c r="K784" t="str">
        <x:v>0</x:v>
      </x:c>
      <x:c r="L784" t="str">
        <x:v>10</x:v>
      </x:c>
      <x:c r="M784" t="str">
        <x:v>0</x:v>
      </x:c>
      <x:c r="N784" t="str"/>
      <x:c r="O784" t="str"/>
      <x:c r="P784" t="str">
        <x:v>Liberada Para Producao</x:v>
      </x:c>
      <x:c r="Q784" t="str">
        <x:v>609595</x:v>
      </x:c>
      <x:c r="R784" t="str">
        <x:v>0</x:v>
      </x:c>
      <x:c r="S784" t="str"/>
      <x:c r="T784" t="str"/>
      <x:c r="U784" t="str"/>
      <x:c r="V784" t="str"/>
      <x:c r="W784" t="str">
        <x:v>N/A</x:v>
      </x:c>
      <x:c r="X784" t="str">
        <x:v>0</x:v>
      </x:c>
      <x:c r="Y784" t="str">
        <x:v>0</x:v>
      </x:c>
      <x:c r="Z784" t="str">
        <x:v>0</x:v>
      </x:c>
      <x:c r="AA784" t="str">
        <x:v>N/A</x:v>
      </x:c>
      <x:c r="AB784" t="str">
        <x:v>N/A</x:v>
      </x:c>
      <x:c r="AC784" t="str">
        <x:v>N/A</x:v>
      </x:c>
      <x:c r="AD784" t="str">
        <x:v>N/A</x:v>
      </x:c>
      <x:c r="AE784" t="str">
        <x:v>N/A</x:v>
      </x:c>
    </x:row>
    <x:row r="785">
      <x:c r="A785" t="str">
        <x:v>51</x:v>
      </x:c>
      <x:c r="B785" t="str">
        <x:v>26824</x:v>
      </x:c>
      <x:c r="C785" t="str">
        <x:v>3</x:v>
      </x:c>
      <x:c r="D785" t="str">
        <x:v>956400</x:v>
      </x:c>
      <x:c r="E785" t="str">
        <x:v>2250X50X9 RTO RL80 PET BCO TXT MPMV(STD)</x:v>
      </x:c>
      <x:c r="F785" t="str"/>
      <x:c r="G785" t="str"/>
      <x:c r="H785" t="str"/>
      <x:c r="I785" t="str">
        <x:v>ESMALTE</x:v>
      </x:c>
      <x:c r="J785" t="str">
        <x:v>BRANCO CARRARA</x:v>
      </x:c>
      <x:c r="K785" t="str">
        <x:v>0</x:v>
      </x:c>
      <x:c r="L785" t="str">
        <x:v>10</x:v>
      </x:c>
      <x:c r="M785" t="str">
        <x:v>0</x:v>
      </x:c>
      <x:c r="N785" t="str"/>
      <x:c r="O785" t="str"/>
      <x:c r="P785" t="str">
        <x:v>Liberada Para Producao</x:v>
      </x:c>
      <x:c r="Q785" t="str">
        <x:v>609596</x:v>
      </x:c>
      <x:c r="R785" t="str">
        <x:v>0</x:v>
      </x:c>
      <x:c r="S785" t="str"/>
      <x:c r="T785" t="str"/>
      <x:c r="U785" t="str"/>
      <x:c r="V785" t="str"/>
      <x:c r="W785" t="str">
        <x:v>N/A</x:v>
      </x:c>
      <x:c r="X785" t="str">
        <x:v>0</x:v>
      </x:c>
      <x:c r="Y785" t="str">
        <x:v>0</x:v>
      </x:c>
      <x:c r="Z785" t="str">
        <x:v>0</x:v>
      </x:c>
      <x:c r="AA785" t="str">
        <x:v>N/A</x:v>
      </x:c>
      <x:c r="AB785" t="str">
        <x:v>N/A</x:v>
      </x:c>
      <x:c r="AC785" t="str">
        <x:v>N/A</x:v>
      </x:c>
      <x:c r="AD785" t="str">
        <x:v>N/A</x:v>
      </x:c>
      <x:c r="AE785" t="str">
        <x:v>N/A</x:v>
      </x:c>
    </x:row>
    <x:row r="786">
      <x:c r="A786" t="str">
        <x:v>51</x:v>
      </x:c>
      <x:c r="B786" t="str">
        <x:v>26824</x:v>
      </x:c>
      <x:c r="C786" t="str">
        <x:v>3</x:v>
      </x:c>
      <x:c r="D786" t="str">
        <x:v>985576</x:v>
      </x:c>
      <x:c r="E786" t="str">
        <x:v>T A 1100X50X9 RT RL80 PET BCO TXT (STD)</x:v>
      </x:c>
      <x:c r="F786" t="str"/>
      <x:c r="G786" t="str"/>
      <x:c r="H786" t="str"/>
      <x:c r="I786" t="str">
        <x:v>ESMALTE</x:v>
      </x:c>
      <x:c r="J786" t="str">
        <x:v>BRANCO CARRARA</x:v>
      </x:c>
      <x:c r="K786" t="str">
        <x:v>0</x:v>
      </x:c>
      <x:c r="L786" t="str">
        <x:v>5</x:v>
      </x:c>
      <x:c r="M786" t="str">
        <x:v>0</x:v>
      </x:c>
      <x:c r="N786" t="str"/>
      <x:c r="O786" t="str"/>
      <x:c r="P786" t="str">
        <x:v>Liberada Para Producao</x:v>
      </x:c>
      <x:c r="Q786" t="str">
        <x:v>609597</x:v>
      </x:c>
      <x:c r="R786" t="str">
        <x:v>0</x:v>
      </x:c>
      <x:c r="S786" t="str"/>
      <x:c r="T786" t="str"/>
      <x:c r="U786" t="str"/>
      <x:c r="V786" t="str"/>
      <x:c r="W786" t="str">
        <x:v>N/A</x:v>
      </x:c>
      <x:c r="X786" t="str">
        <x:v>0</x:v>
      </x:c>
      <x:c r="Y786" t="str">
        <x:v>0</x:v>
      </x:c>
      <x:c r="Z786" t="str">
        <x:v>0</x:v>
      </x:c>
      <x:c r="AA786" t="str">
        <x:v>0</x:v>
      </x:c>
      <x:c r="AB786" t="str">
        <x:v>N/A</x:v>
      </x:c>
      <x:c r="AC786" t="str">
        <x:v>N/A</x:v>
      </x:c>
      <x:c r="AD786" t="str">
        <x:v>N/A</x:v>
      </x:c>
      <x:c r="AE786" t="str">
        <x:v>N/A</x:v>
      </x:c>
    </x:row>
    <x:row r="787">
      <x:c r="A787" t="str">
        <x:v>51</x:v>
      </x:c>
      <x:c r="B787" t="str">
        <x:v>26824</x:v>
      </x:c>
      <x:c r="C787" t="str">
        <x:v>3</x:v>
      </x:c>
      <x:c r="D787" t="str">
        <x:v>985577</x:v>
      </x:c>
      <x:c r="E787" t="str">
        <x:v>T A 1100X50X9 RTO LME PET BCO TXT (STD)</x:v>
      </x:c>
      <x:c r="F787" t="str"/>
      <x:c r="G787" t="str"/>
      <x:c r="H787" t="str"/>
      <x:c r="I787" t="str">
        <x:v>ESMALTE</x:v>
      </x:c>
      <x:c r="J787" t="str">
        <x:v>BRANCO CARRARA</x:v>
      </x:c>
      <x:c r="K787" t="str">
        <x:v>0</x:v>
      </x:c>
      <x:c r="L787" t="str">
        <x:v>5</x:v>
      </x:c>
      <x:c r="M787" t="str">
        <x:v>0</x:v>
      </x:c>
      <x:c r="N787" t="str"/>
      <x:c r="O787" t="str"/>
      <x:c r="P787" t="str">
        <x:v>Liberada Para Producao</x:v>
      </x:c>
      <x:c r="Q787" t="str">
        <x:v>609598</x:v>
      </x:c>
      <x:c r="R787" t="str">
        <x:v>0</x:v>
      </x:c>
      <x:c r="S787" t="str"/>
      <x:c r="T787" t="str"/>
      <x:c r="U787" t="str"/>
      <x:c r="V787" t="str"/>
      <x:c r="W787" t="str">
        <x:v>N/A</x:v>
      </x:c>
      <x:c r="X787" t="str">
        <x:v>0</x:v>
      </x:c>
      <x:c r="Y787" t="str">
        <x:v>0</x:v>
      </x:c>
      <x:c r="Z787" t="str">
        <x:v>0</x:v>
      </x:c>
      <x:c r="AA787" t="str">
        <x:v>0</x:v>
      </x:c>
      <x:c r="AB787" t="str">
        <x:v>N/A</x:v>
      </x:c>
      <x:c r="AC787" t="str">
        <x:v>N/A</x:v>
      </x:c>
      <x:c r="AD787" t="str">
        <x:v>N/A</x:v>
      </x:c>
      <x:c r="AE787" t="str">
        <x:v>N/A</x:v>
      </x:c>
    </x:row>
    <x:row r="788">
      <x:c r="A788" t="str">
        <x:v>51</x:v>
      </x:c>
      <x:c r="B788" t="str">
        <x:v>26824</x:v>
      </x:c>
      <x:c r="C788" t="str">
        <x:v>3</x:v>
      </x:c>
      <x:c r="D788" t="str">
        <x:v>2010600026</x:v>
      </x:c>
      <x:c r="E788" t="str">
        <x:v>M P MDF STD PET TXT BCO 2110X90X30 42X10</x:v>
      </x:c>
      <x:c r="F788" t="str"/>
      <x:c r="G788" t="str"/>
      <x:c r="H788" t="str"/>
      <x:c r="I788" t="str">
        <x:v>ESMALTE</x:v>
      </x:c>
      <x:c r="J788" t="str">
        <x:v>BRANCO CARRARA</x:v>
      </x:c>
      <x:c r="K788" t="str">
        <x:v>0</x:v>
      </x:c>
      <x:c r="L788" t="str">
        <x:v>10</x:v>
      </x:c>
      <x:c r="M788" t="str">
        <x:v>0,057</x:v>
      </x:c>
      <x:c r="N788" t="str"/>
      <x:c r="O788" t="str"/>
      <x:c r="P788" t="str">
        <x:v>Liberada Para Producao</x:v>
      </x:c>
      <x:c r="Q788" t="str">
        <x:v>609599</x:v>
      </x:c>
      <x:c r="R788" t="str">
        <x:v>0</x:v>
      </x:c>
      <x:c r="S788" t="str">
        <x:v>1500</x:v>
      </x:c>
      <x:c r="T788" t="str">
        <x:v>PERNA DE BATENTE PREMIUM(SEMIA</x:v>
      </x:c>
      <x:c r="U788" t="str"/>
      <x:c r="V788" t="str"/>
      <x:c r="W788" t="str">
        <x:v>N/A</x:v>
      </x:c>
      <x:c r="X788" t="str">
        <x:v>N/A</x:v>
      </x:c>
      <x:c r="Y788" t="str">
        <x:v>N/A</x:v>
      </x:c>
      <x:c r="Z788" t="str">
        <x:v>0</x:v>
      </x:c>
      <x:c r="AA788" t="str">
        <x:v>0</x:v>
      </x:c>
      <x:c r="AB788" t="str">
        <x:v>N/A</x:v>
      </x:c>
      <x:c r="AC788" t="str">
        <x:v>N/A</x:v>
      </x:c>
      <x:c r="AD788" t="str">
        <x:v>N/A</x:v>
      </x:c>
      <x:c r="AE788" t="str">
        <x:v>N/A</x:v>
      </x:c>
    </x:row>
    <x:row r="789">
      <x:c r="A789" t="str">
        <x:v>51</x:v>
      </x:c>
      <x:c r="B789" t="str">
        <x:v>26824</x:v>
      </x:c>
      <x:c r="C789" t="str">
        <x:v>3</x:v>
      </x:c>
      <x:c r="D789" t="str">
        <x:v>2010600199</x:v>
      </x:c>
      <x:c r="E789" t="str">
        <x:v>M T MDF STD PET TXT BCO 847X90X30 42X10</x:v>
      </x:c>
      <x:c r="F789" t="str"/>
      <x:c r="G789" t="str"/>
      <x:c r="H789" t="str"/>
      <x:c r="I789" t="str">
        <x:v>ESMALTE</x:v>
      </x:c>
      <x:c r="J789" t="str">
        <x:v>BRANCO CARRARA</x:v>
      </x:c>
      <x:c r="K789" t="str">
        <x:v>0</x:v>
      </x:c>
      <x:c r="L789" t="str">
        <x:v>5</x:v>
      </x:c>
      <x:c r="M789" t="str">
        <x:v>0,011</x:v>
      </x:c>
      <x:c r="N789" t="str"/>
      <x:c r="O789" t="str"/>
      <x:c r="P789" t="str">
        <x:v>Liberada Para Producao</x:v>
      </x:c>
      <x:c r="Q789" t="str">
        <x:v>609600</x:v>
      </x:c>
      <x:c r="R789" t="str">
        <x:v>0</x:v>
      </x:c>
      <x:c r="S789" t="str">
        <x:v>1502</x:v>
      </x:c>
      <x:c r="T789" t="str">
        <x:v>TV.BAT. 680-1100 PET/PVC(SEMI)</x:v>
      </x:c>
      <x:c r="U789" t="str"/>
      <x:c r="V789" t="str"/>
      <x:c r="W789" t="str">
        <x:v>N/A</x:v>
      </x:c>
      <x:c r="X789" t="str">
        <x:v>N/A</x:v>
      </x:c>
      <x:c r="Y789" t="str">
        <x:v>N/A</x:v>
      </x:c>
      <x:c r="Z789" t="str">
        <x:v>0</x:v>
      </x:c>
      <x:c r="AA789" t="str">
        <x:v>0</x:v>
      </x:c>
      <x:c r="AB789" t="str">
        <x:v>N/A</x:v>
      </x:c>
      <x:c r="AC789" t="str">
        <x:v>N/A</x:v>
      </x:c>
      <x:c r="AD789" t="str">
        <x:v>N/A</x:v>
      </x:c>
      <x:c r="AE789" t="str">
        <x:v>N/A</x:v>
      </x:c>
    </x:row>
    <x:row r="790">
      <x:c r="A790" t="str">
        <x:v>51</x:v>
      </x:c>
      <x:c r="B790" t="str">
        <x:v>26824</x:v>
      </x:c>
      <x:c r="C790" t="str">
        <x:v>3</x:v>
      </x:c>
      <x:c r="D790" t="str">
        <x:v>3040300297</x:v>
      </x:c>
      <x:c r="E790" t="str">
        <x:v>FO POR SMT HDF 3 COL RU 2100X800X35 ESM</x:v>
      </x:c>
      <x:c r="F790" t="str"/>
      <x:c r="G790" t="str"/>
      <x:c r="H790" t="str"/>
      <x:c r="I790" t="str">
        <x:v>ESMALTE</x:v>
      </x:c>
      <x:c r="J790" t="str">
        <x:v>BRANCO CARRARA</x:v>
      </x:c>
      <x:c r="K790" t="str">
        <x:v>0</x:v>
      </x:c>
      <x:c r="L790" t="str">
        <x:v>5</x:v>
      </x:c>
      <x:c r="M790" t="str">
        <x:v>0,294</x:v>
      </x:c>
      <x:c r="N790" t="str"/>
      <x:c r="O790" t="str"/>
      <x:c r="P790" t="str">
        <x:v>Liberada Para Producao</x:v>
      </x:c>
      <x:c r="Q790" t="str">
        <x:v>609601</x:v>
      </x:c>
      <x:c r="R790" t="str">
        <x:v>66,67</x:v>
      </x:c>
      <x:c r="S790" t="str">
        <x:v>11</x:v>
      </x:c>
      <x:c r="T790" t="str">
        <x:v>PORTA LINHA SMART</x:v>
      </x:c>
      <x:c r="U790" t="str"/>
      <x:c r="V790" t="str"/>
      <x:c r="W790" t="str">
        <x:v>N/A</x:v>
      </x:c>
      <x:c r="X790" t="str">
        <x:v>100</x:v>
      </x:c>
      <x:c r="Y790" t="str">
        <x:v>N/A</x:v>
      </x:c>
      <x:c r="Z790" t="str">
        <x:v>N/A</x:v>
      </x:c>
      <x:c r="AA790" t="str">
        <x:v>N/A</x:v>
      </x:c>
      <x:c r="AB790" t="str">
        <x:v>100</x:v>
      </x:c>
      <x:c r="AC790" t="str">
        <x:v>N/A</x:v>
      </x:c>
      <x:c r="AD790" t="str">
        <x:v>0</x:v>
      </x:c>
      <x:c r="AE790" t="str">
        <x:v>N/A</x:v>
      </x:c>
    </x:row>
    <x:row r="791">
      <x:c r="A791" t="str">
        <x:v>51</x:v>
      </x:c>
      <x:c r="B791" t="str">
        <x:v>26824</x:v>
      </x:c>
      <x:c r="C791" t="str">
        <x:v>4</x:v>
      </x:c>
      <x:c r="D791" t="str">
        <x:v>956374</x:v>
      </x:c>
      <x:c r="E791" t="str">
        <x:v>2250X50X9 RTO LME PET BCO TXT MPMV(STD)</x:v>
      </x:c>
      <x:c r="F791" t="str"/>
      <x:c r="G791" t="str"/>
      <x:c r="H791" t="str"/>
      <x:c r="I791" t="str">
        <x:v>ESMALTE</x:v>
      </x:c>
      <x:c r="J791" t="str">
        <x:v>BRANCO</x:v>
      </x:c>
      <x:c r="K791" t="str">
        <x:v>0</x:v>
      </x:c>
      <x:c r="L791" t="str">
        <x:v>84</x:v>
      </x:c>
      <x:c r="M791" t="str">
        <x:v>0</x:v>
      </x:c>
      <x:c r="N791" t="str"/>
      <x:c r="O791" t="str"/>
      <x:c r="P791" t="str">
        <x:v>Liberada Para Producao</x:v>
      </x:c>
      <x:c r="Q791" t="str">
        <x:v>609603</x:v>
      </x:c>
      <x:c r="R791" t="str">
        <x:v>0</x:v>
      </x:c>
      <x:c r="S791" t="str"/>
      <x:c r="T791" t="str"/>
      <x:c r="U791" t="str"/>
      <x:c r="V791" t="str"/>
      <x:c r="W791" t="str">
        <x:v>N/A</x:v>
      </x:c>
      <x:c r="X791" t="str">
        <x:v>0</x:v>
      </x:c>
      <x:c r="Y791" t="str">
        <x:v>0</x:v>
      </x:c>
      <x:c r="Z791" t="str">
        <x:v>0</x:v>
      </x:c>
      <x:c r="AA791" t="str">
        <x:v>N/A</x:v>
      </x:c>
      <x:c r="AB791" t="str">
        <x:v>N/A</x:v>
      </x:c>
      <x:c r="AC791" t="str">
        <x:v>N/A</x:v>
      </x:c>
      <x:c r="AD791" t="str">
        <x:v>N/A</x:v>
      </x:c>
      <x:c r="AE791" t="str">
        <x:v>N/A</x:v>
      </x:c>
    </x:row>
    <x:row r="792">
      <x:c r="A792" t="str">
        <x:v>51</x:v>
      </x:c>
      <x:c r="B792" t="str">
        <x:v>26824</x:v>
      </x:c>
      <x:c r="C792" t="str">
        <x:v>4</x:v>
      </x:c>
      <x:c r="D792" t="str">
        <x:v>956400</x:v>
      </x:c>
      <x:c r="E792" t="str">
        <x:v>2250X50X9 RTO RL80 PET BCO TXT MPMV(STD)</x:v>
      </x:c>
      <x:c r="F792" t="str"/>
      <x:c r="G792" t="str"/>
      <x:c r="H792" t="str"/>
      <x:c r="I792" t="str">
        <x:v>ESMALTE</x:v>
      </x:c>
      <x:c r="J792" t="str">
        <x:v>BRANCO</x:v>
      </x:c>
      <x:c r="K792" t="str">
        <x:v>0</x:v>
      </x:c>
      <x:c r="L792" t="str">
        <x:v>84</x:v>
      </x:c>
      <x:c r="M792" t="str">
        <x:v>0</x:v>
      </x:c>
      <x:c r="N792" t="str"/>
      <x:c r="O792" t="str"/>
      <x:c r="P792" t="str">
        <x:v>Liberada Para Producao</x:v>
      </x:c>
      <x:c r="Q792" t="str">
        <x:v>609604</x:v>
      </x:c>
      <x:c r="R792" t="str">
        <x:v>0</x:v>
      </x:c>
      <x:c r="S792" t="str"/>
      <x:c r="T792" t="str"/>
      <x:c r="U792" t="str"/>
      <x:c r="V792" t="str"/>
      <x:c r="W792" t="str">
        <x:v>N/A</x:v>
      </x:c>
      <x:c r="X792" t="str">
        <x:v>0</x:v>
      </x:c>
      <x:c r="Y792" t="str">
        <x:v>0</x:v>
      </x:c>
      <x:c r="Z792" t="str">
        <x:v>0</x:v>
      </x:c>
      <x:c r="AA792" t="str">
        <x:v>N/A</x:v>
      </x:c>
      <x:c r="AB792" t="str">
        <x:v>N/A</x:v>
      </x:c>
      <x:c r="AC792" t="str">
        <x:v>N/A</x:v>
      </x:c>
      <x:c r="AD792" t="str">
        <x:v>N/A</x:v>
      </x:c>
      <x:c r="AE792" t="str">
        <x:v>N/A</x:v>
      </x:c>
    </x:row>
    <x:row r="793">
      <x:c r="A793" t="str">
        <x:v>51</x:v>
      </x:c>
      <x:c r="B793" t="str">
        <x:v>26824</x:v>
      </x:c>
      <x:c r="C793" t="str">
        <x:v>4</x:v>
      </x:c>
      <x:c r="D793" t="str">
        <x:v>985576</x:v>
      </x:c>
      <x:c r="E793" t="str">
        <x:v>T A 1100X50X9 RT RL80 PET BCO TXT (STD)</x:v>
      </x:c>
      <x:c r="F793" t="str"/>
      <x:c r="G793" t="str"/>
      <x:c r="H793" t="str"/>
      <x:c r="I793" t="str">
        <x:v>ESMALTE</x:v>
      </x:c>
      <x:c r="J793" t="str">
        <x:v>BRANCO</x:v>
      </x:c>
      <x:c r="K793" t="str">
        <x:v>0</x:v>
      </x:c>
      <x:c r="L793" t="str">
        <x:v>42</x:v>
      </x:c>
      <x:c r="M793" t="str">
        <x:v>0</x:v>
      </x:c>
      <x:c r="N793" t="str"/>
      <x:c r="O793" t="str"/>
      <x:c r="P793" t="str">
        <x:v>Liberada Para Producao</x:v>
      </x:c>
      <x:c r="Q793" t="str">
        <x:v>609605</x:v>
      </x:c>
      <x:c r="R793" t="str">
        <x:v>0</x:v>
      </x:c>
      <x:c r="S793" t="str"/>
      <x:c r="T793" t="str"/>
      <x:c r="U793" t="str"/>
      <x:c r="V793" t="str"/>
      <x:c r="W793" t="str">
        <x:v>N/A</x:v>
      </x:c>
      <x:c r="X793" t="str">
        <x:v>0</x:v>
      </x:c>
      <x:c r="Y793" t="str">
        <x:v>0</x:v>
      </x:c>
      <x:c r="Z793" t="str">
        <x:v>0</x:v>
      </x:c>
      <x:c r="AA793" t="str">
        <x:v>0</x:v>
      </x:c>
      <x:c r="AB793" t="str">
        <x:v>N/A</x:v>
      </x:c>
      <x:c r="AC793" t="str">
        <x:v>N/A</x:v>
      </x:c>
      <x:c r="AD793" t="str">
        <x:v>N/A</x:v>
      </x:c>
      <x:c r="AE793" t="str">
        <x:v>N/A</x:v>
      </x:c>
    </x:row>
    <x:row r="794">
      <x:c r="A794" t="str">
        <x:v>51</x:v>
      </x:c>
      <x:c r="B794" t="str">
        <x:v>26824</x:v>
      </x:c>
      <x:c r="C794" t="str">
        <x:v>4</x:v>
      </x:c>
      <x:c r="D794" t="str">
        <x:v>985577</x:v>
      </x:c>
      <x:c r="E794" t="str">
        <x:v>T A 1100X50X9 RTO LME PET BCO TXT (STD)</x:v>
      </x:c>
      <x:c r="F794" t="str"/>
      <x:c r="G794" t="str"/>
      <x:c r="H794" t="str"/>
      <x:c r="I794" t="str">
        <x:v>ESMALTE</x:v>
      </x:c>
      <x:c r="J794" t="str">
        <x:v>BRANCO</x:v>
      </x:c>
      <x:c r="K794" t="str">
        <x:v>0</x:v>
      </x:c>
      <x:c r="L794" t="str">
        <x:v>42</x:v>
      </x:c>
      <x:c r="M794" t="str">
        <x:v>0</x:v>
      </x:c>
      <x:c r="N794" t="str"/>
      <x:c r="O794" t="str"/>
      <x:c r="P794" t="str">
        <x:v>Liberada Para Producao</x:v>
      </x:c>
      <x:c r="Q794" t="str">
        <x:v>609606</x:v>
      </x:c>
      <x:c r="R794" t="str">
        <x:v>0</x:v>
      </x:c>
      <x:c r="S794" t="str"/>
      <x:c r="T794" t="str"/>
      <x:c r="U794" t="str"/>
      <x:c r="V794" t="str"/>
      <x:c r="W794" t="str">
        <x:v>N/A</x:v>
      </x:c>
      <x:c r="X794" t="str">
        <x:v>0</x:v>
      </x:c>
      <x:c r="Y794" t="str">
        <x:v>0</x:v>
      </x:c>
      <x:c r="Z794" t="str">
        <x:v>0</x:v>
      </x:c>
      <x:c r="AA794" t="str">
        <x:v>0</x:v>
      </x:c>
      <x:c r="AB794" t="str">
        <x:v>N/A</x:v>
      </x:c>
      <x:c r="AC794" t="str">
        <x:v>N/A</x:v>
      </x:c>
      <x:c r="AD794" t="str">
        <x:v>N/A</x:v>
      </x:c>
      <x:c r="AE794" t="str">
        <x:v>N/A</x:v>
      </x:c>
    </x:row>
    <x:row r="795">
      <x:c r="A795" t="str">
        <x:v>51</x:v>
      </x:c>
      <x:c r="B795" t="str">
        <x:v>26824</x:v>
      </x:c>
      <x:c r="C795" t="str">
        <x:v>4</x:v>
      </x:c>
      <x:c r="D795" t="str">
        <x:v>2010600026</x:v>
      </x:c>
      <x:c r="E795" t="str">
        <x:v>M P MDF STD PET TXT BCO 2110X90X30 42X10</x:v>
      </x:c>
      <x:c r="F795" t="str"/>
      <x:c r="G795" t="str"/>
      <x:c r="H795" t="str"/>
      <x:c r="I795" t="str">
        <x:v>ESMALTE</x:v>
      </x:c>
      <x:c r="J795" t="str">
        <x:v>BRANCO</x:v>
      </x:c>
      <x:c r="K795" t="str">
        <x:v>0</x:v>
      </x:c>
      <x:c r="L795" t="str">
        <x:v>84</x:v>
      </x:c>
      <x:c r="M795" t="str">
        <x:v>0,479</x:v>
      </x:c>
      <x:c r="N795" t="str"/>
      <x:c r="O795" t="str"/>
      <x:c r="P795" t="str">
        <x:v>Liberada Para Producao</x:v>
      </x:c>
      <x:c r="Q795" t="str">
        <x:v>609607</x:v>
      </x:c>
      <x:c r="R795" t="str">
        <x:v>0</x:v>
      </x:c>
      <x:c r="S795" t="str">
        <x:v>1500</x:v>
      </x:c>
      <x:c r="T795" t="str">
        <x:v>PERNA DE BATENTE PREMIUM(SEMIA</x:v>
      </x:c>
      <x:c r="U795" t="str"/>
      <x:c r="V795" t="str"/>
      <x:c r="W795" t="str">
        <x:v>N/A</x:v>
      </x:c>
      <x:c r="X795" t="str">
        <x:v>N/A</x:v>
      </x:c>
      <x:c r="Y795" t="str">
        <x:v>N/A</x:v>
      </x:c>
      <x:c r="Z795" t="str">
        <x:v>0</x:v>
      </x:c>
      <x:c r="AA795" t="str">
        <x:v>0</x:v>
      </x:c>
      <x:c r="AB795" t="str">
        <x:v>N/A</x:v>
      </x:c>
      <x:c r="AC795" t="str">
        <x:v>N/A</x:v>
      </x:c>
      <x:c r="AD795" t="str">
        <x:v>N/A</x:v>
      </x:c>
      <x:c r="AE795" t="str">
        <x:v>N/A</x:v>
      </x:c>
    </x:row>
    <x:row r="796">
      <x:c r="A796" t="str">
        <x:v>51</x:v>
      </x:c>
      <x:c r="B796" t="str">
        <x:v>26824</x:v>
      </x:c>
      <x:c r="C796" t="str">
        <x:v>4</x:v>
      </x:c>
      <x:c r="D796" t="str">
        <x:v>2010600199</x:v>
      </x:c>
      <x:c r="E796" t="str">
        <x:v>M T MDF STD PET TXT BCO 847X90X30 42X10</x:v>
      </x:c>
      <x:c r="F796" t="str"/>
      <x:c r="G796" t="str"/>
      <x:c r="H796" t="str"/>
      <x:c r="I796" t="str">
        <x:v>ESMALTE</x:v>
      </x:c>
      <x:c r="J796" t="str">
        <x:v>BRANCO</x:v>
      </x:c>
      <x:c r="K796" t="str">
        <x:v>0</x:v>
      </x:c>
      <x:c r="L796" t="str">
        <x:v>42</x:v>
      </x:c>
      <x:c r="M796" t="str">
        <x:v>0,096</x:v>
      </x:c>
      <x:c r="N796" t="str"/>
      <x:c r="O796" t="str"/>
      <x:c r="P796" t="str">
        <x:v>Liberada Para Producao</x:v>
      </x:c>
      <x:c r="Q796" t="str">
        <x:v>609608</x:v>
      </x:c>
      <x:c r="R796" t="str">
        <x:v>0</x:v>
      </x:c>
      <x:c r="S796" t="str">
        <x:v>1502</x:v>
      </x:c>
      <x:c r="T796" t="str">
        <x:v>TV.BAT. 680-1100 PET/PVC(SEMI)</x:v>
      </x:c>
      <x:c r="U796" t="str"/>
      <x:c r="V796" t="str"/>
      <x:c r="W796" t="str">
        <x:v>N/A</x:v>
      </x:c>
      <x:c r="X796" t="str">
        <x:v>N/A</x:v>
      </x:c>
      <x:c r="Y796" t="str">
        <x:v>N/A</x:v>
      </x:c>
      <x:c r="Z796" t="str">
        <x:v>0</x:v>
      </x:c>
      <x:c r="AA796" t="str">
        <x:v>0</x:v>
      </x:c>
      <x:c r="AB796" t="str">
        <x:v>N/A</x:v>
      </x:c>
      <x:c r="AC796" t="str">
        <x:v>N/A</x:v>
      </x:c>
      <x:c r="AD796" t="str">
        <x:v>N/A</x:v>
      </x:c>
      <x:c r="AE796" t="str">
        <x:v>N/A</x:v>
      </x:c>
    </x:row>
    <x:row r="797">
      <x:c r="A797" t="str">
        <x:v>51</x:v>
      </x:c>
      <x:c r="B797" t="str">
        <x:v>26824</x:v>
      </x:c>
      <x:c r="C797" t="str">
        <x:v>4</x:v>
      </x:c>
      <x:c r="D797" t="str">
        <x:v>3041400095</x:v>
      </x:c>
      <x:c r="E797" t="str">
        <x:v>FO POR SMT HDF 3 S GD ESM BCO RU 2100X80</x:v>
      </x:c>
      <x:c r="F797" t="str"/>
      <x:c r="G797" t="str"/>
      <x:c r="H797" t="str"/>
      <x:c r="I797" t="str">
        <x:v>ESMALTE</x:v>
      </x:c>
      <x:c r="J797" t="str">
        <x:v>BRANCO</x:v>
      </x:c>
      <x:c r="K797" t="str">
        <x:v>0</x:v>
      </x:c>
      <x:c r="L797" t="str">
        <x:v>42</x:v>
      </x:c>
      <x:c r="M797" t="str">
        <x:v>2,47</x:v>
      </x:c>
      <x:c r="N797" t="str"/>
      <x:c r="O797" t="str"/>
      <x:c r="P797" t="str">
        <x:v>Liberada Para Producao</x:v>
      </x:c>
      <x:c r="Q797" t="str">
        <x:v>609609</x:v>
      </x:c>
      <x:c r="R797" t="str">
        <x:v>33,33</x:v>
      </x:c>
      <x:c r="S797" t="str">
        <x:v>11</x:v>
      </x:c>
      <x:c r="T797" t="str">
        <x:v>PORTA LINHA SMART</x:v>
      </x:c>
      <x:c r="U797" t="str"/>
      <x:c r="V797" t="str"/>
      <x:c r="W797" t="str">
        <x:v>N/A</x:v>
      </x:c>
      <x:c r="X797" t="str">
        <x:v>100</x:v>
      </x:c>
      <x:c r="Y797" t="str">
        <x:v>N/A</x:v>
      </x:c>
      <x:c r="Z797" t="str">
        <x:v>N/A</x:v>
      </x:c>
      <x:c r="AA797" t="str">
        <x:v>N/A</x:v>
      </x:c>
      <x:c r="AB797" t="str">
        <x:v>0</x:v>
      </x:c>
      <x:c r="AC797" t="str">
        <x:v>N/A</x:v>
      </x:c>
      <x:c r="AD797" t="str">
        <x:v>0</x:v>
      </x:c>
      <x:c r="AE797" t="str">
        <x:v>N/A</x:v>
      </x:c>
    </x:row>
    <x:row r="798">
      <x:c r="A798" t="str">
        <x:v>51</x:v>
      </x:c>
      <x:c r="B798" t="str">
        <x:v>26824</x:v>
      </x:c>
      <x:c r="C798" t="str">
        <x:v>5</x:v>
      </x:c>
      <x:c r="D798" t="str">
        <x:v>956369</x:v>
      </x:c>
      <x:c r="E798" t="str">
        <x:v>2250X50X9 RTO RL55 PET BCO TXT MPMV(STD)</x:v>
      </x:c>
      <x:c r="F798" t="str"/>
      <x:c r="G798" t="str"/>
      <x:c r="H798" t="str"/>
      <x:c r="I798" t="str">
        <x:v>ESMALTE</x:v>
      </x:c>
      <x:c r="J798" t="str">
        <x:v>BRANCO</x:v>
      </x:c>
      <x:c r="K798" t="str">
        <x:v>0</x:v>
      </x:c>
      <x:c r="L798" t="str">
        <x:v>42</x:v>
      </x:c>
      <x:c r="M798" t="str">
        <x:v>0</x:v>
      </x:c>
      <x:c r="N798" t="str"/>
      <x:c r="O798" t="str"/>
      <x:c r="P798" t="str">
        <x:v>Liberada Para Producao</x:v>
      </x:c>
      <x:c r="Q798" t="str">
        <x:v>609611</x:v>
      </x:c>
      <x:c r="R798" t="str">
        <x:v>0</x:v>
      </x:c>
      <x:c r="S798" t="str"/>
      <x:c r="T798" t="str"/>
      <x:c r="U798" t="str"/>
      <x:c r="V798" t="str"/>
      <x:c r="W798" t="str">
        <x:v>N/A</x:v>
      </x:c>
      <x:c r="X798" t="str">
        <x:v>0</x:v>
      </x:c>
      <x:c r="Y798" t="str">
        <x:v>0</x:v>
      </x:c>
      <x:c r="Z798" t="str">
        <x:v>0</x:v>
      </x:c>
      <x:c r="AA798" t="str">
        <x:v>N/A</x:v>
      </x:c>
      <x:c r="AB798" t="str">
        <x:v>N/A</x:v>
      </x:c>
      <x:c r="AC798" t="str">
        <x:v>N/A</x:v>
      </x:c>
      <x:c r="AD798" t="str">
        <x:v>N/A</x:v>
      </x:c>
      <x:c r="AE798" t="str">
        <x:v>N/A</x:v>
      </x:c>
    </x:row>
    <x:row r="799">
      <x:c r="A799" t="str">
        <x:v>51</x:v>
      </x:c>
      <x:c r="B799" t="str">
        <x:v>26824</x:v>
      </x:c>
      <x:c r="C799" t="str">
        <x:v>5</x:v>
      </x:c>
      <x:c r="D799" t="str">
        <x:v>956374</x:v>
      </x:c>
      <x:c r="E799" t="str">
        <x:v>2250X50X9 RTO LME PET BCO TXT MPMV(STD)</x:v>
      </x:c>
      <x:c r="F799" t="str"/>
      <x:c r="G799" t="str"/>
      <x:c r="H799" t="str"/>
      <x:c r="I799" t="str">
        <x:v>ESMALTE</x:v>
      </x:c>
      <x:c r="J799" t="str">
        <x:v>BRANCO</x:v>
      </x:c>
      <x:c r="K799" t="str">
        <x:v>0</x:v>
      </x:c>
      <x:c r="L799" t="str">
        <x:v>42</x:v>
      </x:c>
      <x:c r="M799" t="str">
        <x:v>0</x:v>
      </x:c>
      <x:c r="N799" t="str"/>
      <x:c r="O799" t="str"/>
      <x:c r="P799" t="str">
        <x:v>Liberada Para Producao</x:v>
      </x:c>
      <x:c r="Q799" t="str">
        <x:v>609612</x:v>
      </x:c>
      <x:c r="R799" t="str">
        <x:v>0</x:v>
      </x:c>
      <x:c r="S799" t="str"/>
      <x:c r="T799" t="str"/>
      <x:c r="U799" t="str"/>
      <x:c r="V799" t="str"/>
      <x:c r="W799" t="str">
        <x:v>N/A</x:v>
      </x:c>
      <x:c r="X799" t="str">
        <x:v>0</x:v>
      </x:c>
      <x:c r="Y799" t="str">
        <x:v>0</x:v>
      </x:c>
      <x:c r="Z799" t="str">
        <x:v>0</x:v>
      </x:c>
      <x:c r="AA799" t="str">
        <x:v>N/A</x:v>
      </x:c>
      <x:c r="AB799" t="str">
        <x:v>N/A</x:v>
      </x:c>
      <x:c r="AC799" t="str">
        <x:v>N/A</x:v>
      </x:c>
      <x:c r="AD799" t="str">
        <x:v>N/A</x:v>
      </x:c>
      <x:c r="AE799" t="str">
        <x:v>N/A</x:v>
      </x:c>
    </x:row>
    <x:row r="800">
      <x:c r="A800" t="str">
        <x:v>51</x:v>
      </x:c>
      <x:c r="B800" t="str">
        <x:v>26824</x:v>
      </x:c>
      <x:c r="C800" t="str">
        <x:v>5</x:v>
      </x:c>
      <x:c r="D800" t="str">
        <x:v>985577</x:v>
      </x:c>
      <x:c r="E800" t="str">
        <x:v>T A 1100X50X9 RTO LME PET BCO TXT (STD)</x:v>
      </x:c>
      <x:c r="F800" t="str"/>
      <x:c r="G800" t="str"/>
      <x:c r="H800" t="str"/>
      <x:c r="I800" t="str">
        <x:v>ESMALTE</x:v>
      </x:c>
      <x:c r="J800" t="str">
        <x:v>BRANCO</x:v>
      </x:c>
      <x:c r="K800" t="str">
        <x:v>0</x:v>
      </x:c>
      <x:c r="L800" t="str">
        <x:v>21</x:v>
      </x:c>
      <x:c r="M800" t="str">
        <x:v>0</x:v>
      </x:c>
      <x:c r="N800" t="str"/>
      <x:c r="O800" t="str"/>
      <x:c r="P800" t="str">
        <x:v>Liberada Para Producao</x:v>
      </x:c>
      <x:c r="Q800" t="str">
        <x:v>609613</x:v>
      </x:c>
      <x:c r="R800" t="str">
        <x:v>0</x:v>
      </x:c>
      <x:c r="S800" t="str"/>
      <x:c r="T800" t="str"/>
      <x:c r="U800" t="str"/>
      <x:c r="V800" t="str"/>
      <x:c r="W800" t="str">
        <x:v>N/A</x:v>
      </x:c>
      <x:c r="X800" t="str">
        <x:v>0</x:v>
      </x:c>
      <x:c r="Y800" t="str">
        <x:v>0</x:v>
      </x:c>
      <x:c r="Z800" t="str">
        <x:v>0</x:v>
      </x:c>
      <x:c r="AA800" t="str">
        <x:v>0</x:v>
      </x:c>
      <x:c r="AB800" t="str">
        <x:v>N/A</x:v>
      </x:c>
      <x:c r="AC800" t="str">
        <x:v>N/A</x:v>
      </x:c>
      <x:c r="AD800" t="str">
        <x:v>N/A</x:v>
      </x:c>
      <x:c r="AE800" t="str">
        <x:v>N/A</x:v>
      </x:c>
    </x:row>
    <x:row r="801">
      <x:c r="A801" t="str">
        <x:v>51</x:v>
      </x:c>
      <x:c r="B801" t="str">
        <x:v>26824</x:v>
      </x:c>
      <x:c r="C801" t="str">
        <x:v>5</x:v>
      </x:c>
      <x:c r="D801" t="str">
        <x:v>986505</x:v>
      </x:c>
      <x:c r="E801" t="str">
        <x:v>T A 1100X50X9 RT RL55 PET BCO TXT (STD)</x:v>
      </x:c>
      <x:c r="F801" t="str"/>
      <x:c r="G801" t="str"/>
      <x:c r="H801" t="str"/>
      <x:c r="I801" t="str">
        <x:v>ESMALTE</x:v>
      </x:c>
      <x:c r="J801" t="str">
        <x:v>BRANCO</x:v>
      </x:c>
      <x:c r="K801" t="str">
        <x:v>0</x:v>
      </x:c>
      <x:c r="L801" t="str">
        <x:v>21</x:v>
      </x:c>
      <x:c r="M801" t="str">
        <x:v>0</x:v>
      </x:c>
      <x:c r="N801" t="str"/>
      <x:c r="O801" t="str"/>
      <x:c r="P801" t="str">
        <x:v>Liberada Para Producao</x:v>
      </x:c>
      <x:c r="Q801" t="str">
        <x:v>609614</x:v>
      </x:c>
      <x:c r="R801" t="str">
        <x:v>0</x:v>
      </x:c>
      <x:c r="S801" t="str"/>
      <x:c r="T801" t="str"/>
      <x:c r="U801" t="str"/>
      <x:c r="V801" t="str"/>
      <x:c r="W801" t="str">
        <x:v>N/A</x:v>
      </x:c>
      <x:c r="X801" t="str">
        <x:v>0</x:v>
      </x:c>
      <x:c r="Y801" t="str">
        <x:v>0</x:v>
      </x:c>
      <x:c r="Z801" t="str">
        <x:v>0</x:v>
      </x:c>
      <x:c r="AA801" t="str">
        <x:v>0</x:v>
      </x:c>
      <x:c r="AB801" t="str">
        <x:v>N/A</x:v>
      </x:c>
      <x:c r="AC801" t="str">
        <x:v>N/A</x:v>
      </x:c>
      <x:c r="AD801" t="str">
        <x:v>N/A</x:v>
      </x:c>
      <x:c r="AE801" t="str">
        <x:v>N/A</x:v>
      </x:c>
    </x:row>
    <x:row r="802">
      <x:c r="A802" t="str">
        <x:v>51</x:v>
      </x:c>
      <x:c r="B802" t="str">
        <x:v>26824</x:v>
      </x:c>
      <x:c r="C802" t="str">
        <x:v>5</x:v>
      </x:c>
      <x:c r="D802" t="str">
        <x:v>2010600026</x:v>
      </x:c>
      <x:c r="E802" t="str">
        <x:v>M P MDF STD PET TXT BCO 2110X90X30 42X10</x:v>
      </x:c>
      <x:c r="F802" t="str"/>
      <x:c r="G802" t="str"/>
      <x:c r="H802" t="str"/>
      <x:c r="I802" t="str">
        <x:v>ESMALTE</x:v>
      </x:c>
      <x:c r="J802" t="str">
        <x:v>BRANCO</x:v>
      </x:c>
      <x:c r="K802" t="str">
        <x:v>0</x:v>
      </x:c>
      <x:c r="L802" t="str">
        <x:v>42</x:v>
      </x:c>
      <x:c r="M802" t="str">
        <x:v>0,239</x:v>
      </x:c>
      <x:c r="N802" t="str"/>
      <x:c r="O802" t="str"/>
      <x:c r="P802" t="str">
        <x:v>Liberada Para Producao</x:v>
      </x:c>
      <x:c r="Q802" t="str">
        <x:v>609615</x:v>
      </x:c>
      <x:c r="R802" t="str">
        <x:v>0</x:v>
      </x:c>
      <x:c r="S802" t="str">
        <x:v>1500</x:v>
      </x:c>
      <x:c r="T802" t="str">
        <x:v>PERNA DE BATENTE PREMIUM(SEMIA</x:v>
      </x:c>
      <x:c r="U802" t="str"/>
      <x:c r="V802" t="str"/>
      <x:c r="W802" t="str">
        <x:v>N/A</x:v>
      </x:c>
      <x:c r="X802" t="str">
        <x:v>N/A</x:v>
      </x:c>
      <x:c r="Y802" t="str">
        <x:v>N/A</x:v>
      </x:c>
      <x:c r="Z802" t="str">
        <x:v>0</x:v>
      </x:c>
      <x:c r="AA802" t="str">
        <x:v>0</x:v>
      </x:c>
      <x:c r="AB802" t="str">
        <x:v>N/A</x:v>
      </x:c>
      <x:c r="AC802" t="str">
        <x:v>N/A</x:v>
      </x:c>
      <x:c r="AD802" t="str">
        <x:v>N/A</x:v>
      </x:c>
      <x:c r="AE802" t="str">
        <x:v>N/A</x:v>
      </x:c>
    </x:row>
    <x:row r="803">
      <x:c r="A803" t="str">
        <x:v>51</x:v>
      </x:c>
      <x:c r="B803" t="str">
        <x:v>26824</x:v>
      </x:c>
      <x:c r="C803" t="str">
        <x:v>5</x:v>
      </x:c>
      <x:c r="D803" t="str">
        <x:v>2010600199</x:v>
      </x:c>
      <x:c r="E803" t="str">
        <x:v>M T MDF STD PET TXT BCO 847X90X30 42X10</x:v>
      </x:c>
      <x:c r="F803" t="str"/>
      <x:c r="G803" t="str"/>
      <x:c r="H803" t="str"/>
      <x:c r="I803" t="str">
        <x:v>ESMALTE</x:v>
      </x:c>
      <x:c r="J803" t="str">
        <x:v>BRANCO</x:v>
      </x:c>
      <x:c r="K803" t="str">
        <x:v>0</x:v>
      </x:c>
      <x:c r="L803" t="str">
        <x:v>21</x:v>
      </x:c>
      <x:c r="M803" t="str">
        <x:v>0,048</x:v>
      </x:c>
      <x:c r="N803" t="str"/>
      <x:c r="O803" t="str"/>
      <x:c r="P803" t="str">
        <x:v>Liberada Para Producao</x:v>
      </x:c>
      <x:c r="Q803" t="str">
        <x:v>609616</x:v>
      </x:c>
      <x:c r="R803" t="str">
        <x:v>0</x:v>
      </x:c>
      <x:c r="S803" t="str">
        <x:v>1502</x:v>
      </x:c>
      <x:c r="T803" t="str">
        <x:v>TV.BAT. 680-1100 PET/PVC(SEMI)</x:v>
      </x:c>
      <x:c r="U803" t="str"/>
      <x:c r="V803" t="str"/>
      <x:c r="W803" t="str">
        <x:v>N/A</x:v>
      </x:c>
      <x:c r="X803" t="str">
        <x:v>N/A</x:v>
      </x:c>
      <x:c r="Y803" t="str">
        <x:v>N/A</x:v>
      </x:c>
      <x:c r="Z803" t="str">
        <x:v>0</x:v>
      </x:c>
      <x:c r="AA803" t="str">
        <x:v>0</x:v>
      </x:c>
      <x:c r="AB803" t="str">
        <x:v>N/A</x:v>
      </x:c>
      <x:c r="AC803" t="str">
        <x:v>N/A</x:v>
      </x:c>
      <x:c r="AD803" t="str">
        <x:v>N/A</x:v>
      </x:c>
      <x:c r="AE803" t="str">
        <x:v>N/A</x:v>
      </x:c>
    </x:row>
    <x:row r="804">
      <x:c r="A804" t="str">
        <x:v>51</x:v>
      </x:c>
      <x:c r="B804" t="str">
        <x:v>26824</x:v>
      </x:c>
      <x:c r="C804" t="str">
        <x:v>5</x:v>
      </x:c>
      <x:c r="D804" t="str">
        <x:v>3041400095</x:v>
      </x:c>
      <x:c r="E804" t="str">
        <x:v>FO POR SMT HDF 3 S GD ESM BCO RU 2100X80</x:v>
      </x:c>
      <x:c r="F804" t="str"/>
      <x:c r="G804" t="str"/>
      <x:c r="H804" t="str"/>
      <x:c r="I804" t="str">
        <x:v>ESMALTE</x:v>
      </x:c>
      <x:c r="J804" t="str">
        <x:v>BRANCO</x:v>
      </x:c>
      <x:c r="K804" t="str">
        <x:v>0</x:v>
      </x:c>
      <x:c r="L804" t="str">
        <x:v>21</x:v>
      </x:c>
      <x:c r="M804" t="str">
        <x:v>1,235</x:v>
      </x:c>
      <x:c r="N804" t="str"/>
      <x:c r="O804" t="str"/>
      <x:c r="P804" t="str">
        <x:v>Liberada Para Producao</x:v>
      </x:c>
      <x:c r="Q804" t="str">
        <x:v>609617</x:v>
      </x:c>
      <x:c r="R804" t="str">
        <x:v>33,33</x:v>
      </x:c>
      <x:c r="S804" t="str">
        <x:v>11</x:v>
      </x:c>
      <x:c r="T804" t="str">
        <x:v>PORTA LINHA SMART</x:v>
      </x:c>
      <x:c r="U804" t="str"/>
      <x:c r="V804" t="str"/>
      <x:c r="W804" t="str">
        <x:v>N/A</x:v>
      </x:c>
      <x:c r="X804" t="str">
        <x:v>100</x:v>
      </x:c>
      <x:c r="Y804" t="str">
        <x:v>N/A</x:v>
      </x:c>
      <x:c r="Z804" t="str">
        <x:v>N/A</x:v>
      </x:c>
      <x:c r="AA804" t="str">
        <x:v>N/A</x:v>
      </x:c>
      <x:c r="AB804" t="str">
        <x:v>0</x:v>
      </x:c>
      <x:c r="AC804" t="str">
        <x:v>N/A</x:v>
      </x:c>
      <x:c r="AD804" t="str">
        <x:v>0</x:v>
      </x:c>
      <x:c r="AE804" t="str">
        <x:v>N/A</x:v>
      </x:c>
    </x:row>
    <x:row r="805">
      <x:c r="A805" t="str">
        <x:v>51</x:v>
      </x:c>
      <x:c r="B805" t="str">
        <x:v>26824</x:v>
      </x:c>
      <x:c r="C805" t="str">
        <x:v>6</x:v>
      </x:c>
      <x:c r="D805" t="str">
        <x:v>956374</x:v>
      </x:c>
      <x:c r="E805" t="str">
        <x:v>2250X50X9 RTO LME PET BCO TXT MPMV(STD)</x:v>
      </x:c>
      <x:c r="F805" t="str"/>
      <x:c r="G805" t="str"/>
      <x:c r="H805" t="str"/>
      <x:c r="I805" t="str">
        <x:v>ESMALTE</x:v>
      </x:c>
      <x:c r="J805" t="str">
        <x:v>BRANCO</x:v>
      </x:c>
      <x:c r="K805" t="str">
        <x:v>0</x:v>
      </x:c>
      <x:c r="L805" t="str">
        <x:v>4</x:v>
      </x:c>
      <x:c r="M805" t="str">
        <x:v>0</x:v>
      </x:c>
      <x:c r="N805" t="str"/>
      <x:c r="O805" t="str"/>
      <x:c r="P805" t="str">
        <x:v>Liberada Para Producao</x:v>
      </x:c>
      <x:c r="Q805" t="str">
        <x:v>609619</x:v>
      </x:c>
      <x:c r="R805" t="str">
        <x:v>0</x:v>
      </x:c>
      <x:c r="S805" t="str"/>
      <x:c r="T805" t="str"/>
      <x:c r="U805" t="str"/>
      <x:c r="V805" t="str"/>
      <x:c r="W805" t="str">
        <x:v>N/A</x:v>
      </x:c>
      <x:c r="X805" t="str">
        <x:v>0</x:v>
      </x:c>
      <x:c r="Y805" t="str">
        <x:v>0</x:v>
      </x:c>
      <x:c r="Z805" t="str">
        <x:v>0</x:v>
      </x:c>
      <x:c r="AA805" t="str">
        <x:v>N/A</x:v>
      </x:c>
      <x:c r="AB805" t="str">
        <x:v>N/A</x:v>
      </x:c>
      <x:c r="AC805" t="str">
        <x:v>N/A</x:v>
      </x:c>
      <x:c r="AD805" t="str">
        <x:v>N/A</x:v>
      </x:c>
      <x:c r="AE805" t="str">
        <x:v>N/A</x:v>
      </x:c>
    </x:row>
    <x:row r="806">
      <x:c r="A806" t="str">
        <x:v>51</x:v>
      </x:c>
      <x:c r="B806" t="str">
        <x:v>26824</x:v>
      </x:c>
      <x:c r="C806" t="str">
        <x:v>6</x:v>
      </x:c>
      <x:c r="D806" t="str">
        <x:v>956400</x:v>
      </x:c>
      <x:c r="E806" t="str">
        <x:v>2250X50X9 RTO RL80 PET BCO TXT MPMV(STD)</x:v>
      </x:c>
      <x:c r="F806" t="str"/>
      <x:c r="G806" t="str"/>
      <x:c r="H806" t="str"/>
      <x:c r="I806" t="str">
        <x:v>ESMALTE</x:v>
      </x:c>
      <x:c r="J806" t="str">
        <x:v>BRANCO</x:v>
      </x:c>
      <x:c r="K806" t="str">
        <x:v>0</x:v>
      </x:c>
      <x:c r="L806" t="str">
        <x:v>4</x:v>
      </x:c>
      <x:c r="M806" t="str">
        <x:v>0</x:v>
      </x:c>
      <x:c r="N806" t="str"/>
      <x:c r="O806" t="str"/>
      <x:c r="P806" t="str">
        <x:v>Liberada Para Producao</x:v>
      </x:c>
      <x:c r="Q806" t="str">
        <x:v>609620</x:v>
      </x:c>
      <x:c r="R806" t="str">
        <x:v>0</x:v>
      </x:c>
      <x:c r="S806" t="str"/>
      <x:c r="T806" t="str"/>
      <x:c r="U806" t="str"/>
      <x:c r="V806" t="str"/>
      <x:c r="W806" t="str">
        <x:v>N/A</x:v>
      </x:c>
      <x:c r="X806" t="str">
        <x:v>0</x:v>
      </x:c>
      <x:c r="Y806" t="str">
        <x:v>0</x:v>
      </x:c>
      <x:c r="Z806" t="str">
        <x:v>0</x:v>
      </x:c>
      <x:c r="AA806" t="str">
        <x:v>N/A</x:v>
      </x:c>
      <x:c r="AB806" t="str">
        <x:v>N/A</x:v>
      </x:c>
      <x:c r="AC806" t="str">
        <x:v>N/A</x:v>
      </x:c>
      <x:c r="AD806" t="str">
        <x:v>N/A</x:v>
      </x:c>
      <x:c r="AE806" t="str">
        <x:v>N/A</x:v>
      </x:c>
    </x:row>
    <x:row r="807">
      <x:c r="A807" t="str">
        <x:v>51</x:v>
      </x:c>
      <x:c r="B807" t="str">
        <x:v>26824</x:v>
      </x:c>
      <x:c r="C807" t="str">
        <x:v>6</x:v>
      </x:c>
      <x:c r="D807" t="str">
        <x:v>985576</x:v>
      </x:c>
      <x:c r="E807" t="str">
        <x:v>T A 1100X50X9 RT RL80 PET BCO TXT (STD)</x:v>
      </x:c>
      <x:c r="F807" t="str"/>
      <x:c r="G807" t="str"/>
      <x:c r="H807" t="str"/>
      <x:c r="I807" t="str">
        <x:v>ESMALTE</x:v>
      </x:c>
      <x:c r="J807" t="str">
        <x:v>BRANCO</x:v>
      </x:c>
      <x:c r="K807" t="str">
        <x:v>0</x:v>
      </x:c>
      <x:c r="L807" t="str">
        <x:v>2</x:v>
      </x:c>
      <x:c r="M807" t="str">
        <x:v>0</x:v>
      </x:c>
      <x:c r="N807" t="str"/>
      <x:c r="O807" t="str"/>
      <x:c r="P807" t="str">
        <x:v>Liberada Para Producao</x:v>
      </x:c>
      <x:c r="Q807" t="str">
        <x:v>609621</x:v>
      </x:c>
      <x:c r="R807" t="str">
        <x:v>0</x:v>
      </x:c>
      <x:c r="S807" t="str"/>
      <x:c r="T807" t="str"/>
      <x:c r="U807" t="str"/>
      <x:c r="V807" t="str"/>
      <x:c r="W807" t="str">
        <x:v>N/A</x:v>
      </x:c>
      <x:c r="X807" t="str">
        <x:v>0</x:v>
      </x:c>
      <x:c r="Y807" t="str">
        <x:v>0</x:v>
      </x:c>
      <x:c r="Z807" t="str">
        <x:v>0</x:v>
      </x:c>
      <x:c r="AA807" t="str">
        <x:v>0</x:v>
      </x:c>
      <x:c r="AB807" t="str">
        <x:v>N/A</x:v>
      </x:c>
      <x:c r="AC807" t="str">
        <x:v>N/A</x:v>
      </x:c>
      <x:c r="AD807" t="str">
        <x:v>N/A</x:v>
      </x:c>
      <x:c r="AE807" t="str">
        <x:v>N/A</x:v>
      </x:c>
    </x:row>
    <x:row r="808">
      <x:c r="A808" t="str">
        <x:v>51</x:v>
      </x:c>
      <x:c r="B808" t="str">
        <x:v>26824</x:v>
      </x:c>
      <x:c r="C808" t="str">
        <x:v>6</x:v>
      </x:c>
      <x:c r="D808" t="str">
        <x:v>985577</x:v>
      </x:c>
      <x:c r="E808" t="str">
        <x:v>T A 1100X50X9 RTO LME PET BCO TXT (STD)</x:v>
      </x:c>
      <x:c r="F808" t="str"/>
      <x:c r="G808" t="str"/>
      <x:c r="H808" t="str"/>
      <x:c r="I808" t="str">
        <x:v>ESMALTE</x:v>
      </x:c>
      <x:c r="J808" t="str">
        <x:v>BRANCO</x:v>
      </x:c>
      <x:c r="K808" t="str">
        <x:v>0</x:v>
      </x:c>
      <x:c r="L808" t="str">
        <x:v>2</x:v>
      </x:c>
      <x:c r="M808" t="str">
        <x:v>0</x:v>
      </x:c>
      <x:c r="N808" t="str"/>
      <x:c r="O808" t="str"/>
      <x:c r="P808" t="str">
        <x:v>Liberada Para Producao</x:v>
      </x:c>
      <x:c r="Q808" t="str">
        <x:v>609622</x:v>
      </x:c>
      <x:c r="R808" t="str">
        <x:v>0</x:v>
      </x:c>
      <x:c r="S808" t="str"/>
      <x:c r="T808" t="str"/>
      <x:c r="U808" t="str"/>
      <x:c r="V808" t="str"/>
      <x:c r="W808" t="str">
        <x:v>N/A</x:v>
      </x:c>
      <x:c r="X808" t="str">
        <x:v>0</x:v>
      </x:c>
      <x:c r="Y808" t="str">
        <x:v>0</x:v>
      </x:c>
      <x:c r="Z808" t="str">
        <x:v>0</x:v>
      </x:c>
      <x:c r="AA808" t="str">
        <x:v>0</x:v>
      </x:c>
      <x:c r="AB808" t="str">
        <x:v>N/A</x:v>
      </x:c>
      <x:c r="AC808" t="str">
        <x:v>N/A</x:v>
      </x:c>
      <x:c r="AD808" t="str">
        <x:v>N/A</x:v>
      </x:c>
      <x:c r="AE808" t="str">
        <x:v>N/A</x:v>
      </x:c>
    </x:row>
    <x:row r="809">
      <x:c r="A809" t="str">
        <x:v>51</x:v>
      </x:c>
      <x:c r="B809" t="str">
        <x:v>26824</x:v>
      </x:c>
      <x:c r="C809" t="str">
        <x:v>6</x:v>
      </x:c>
      <x:c r="D809" t="str">
        <x:v>2010600026</x:v>
      </x:c>
      <x:c r="E809" t="str">
        <x:v>M P MDF STD PET TXT BCO 2110X90X30 42X10</x:v>
      </x:c>
      <x:c r="F809" t="str"/>
      <x:c r="G809" t="str"/>
      <x:c r="H809" t="str"/>
      <x:c r="I809" t="str">
        <x:v>ESMALTE</x:v>
      </x:c>
      <x:c r="J809" t="str">
        <x:v>BRANCO</x:v>
      </x:c>
      <x:c r="K809" t="str">
        <x:v>0</x:v>
      </x:c>
      <x:c r="L809" t="str">
        <x:v>4</x:v>
      </x:c>
      <x:c r="M809" t="str">
        <x:v>0,023</x:v>
      </x:c>
      <x:c r="N809" t="str"/>
      <x:c r="O809" t="str"/>
      <x:c r="P809" t="str">
        <x:v>Liberada Para Producao</x:v>
      </x:c>
      <x:c r="Q809" t="str">
        <x:v>609623</x:v>
      </x:c>
      <x:c r="R809" t="str">
        <x:v>0</x:v>
      </x:c>
      <x:c r="S809" t="str">
        <x:v>1500</x:v>
      </x:c>
      <x:c r="T809" t="str">
        <x:v>PERNA DE BATENTE PREMIUM(SEMIA</x:v>
      </x:c>
      <x:c r="U809" t="str"/>
      <x:c r="V809" t="str"/>
      <x:c r="W809" t="str">
        <x:v>N/A</x:v>
      </x:c>
      <x:c r="X809" t="str">
        <x:v>N/A</x:v>
      </x:c>
      <x:c r="Y809" t="str">
        <x:v>N/A</x:v>
      </x:c>
      <x:c r="Z809" t="str">
        <x:v>0</x:v>
      </x:c>
      <x:c r="AA809" t="str">
        <x:v>0</x:v>
      </x:c>
      <x:c r="AB809" t="str">
        <x:v>N/A</x:v>
      </x:c>
      <x:c r="AC809" t="str">
        <x:v>N/A</x:v>
      </x:c>
      <x:c r="AD809" t="str">
        <x:v>N/A</x:v>
      </x:c>
      <x:c r="AE809" t="str">
        <x:v>N/A</x:v>
      </x:c>
    </x:row>
    <x:row r="810">
      <x:c r="A810" t="str">
        <x:v>51</x:v>
      </x:c>
      <x:c r="B810" t="str">
        <x:v>26824</x:v>
      </x:c>
      <x:c r="C810" t="str">
        <x:v>6</x:v>
      </x:c>
      <x:c r="D810" t="str">
        <x:v>2010600034</x:v>
      </x:c>
      <x:c r="E810" t="str">
        <x:v>M T MDF STD PET TXT BCO 947X90X30 42X10</x:v>
      </x:c>
      <x:c r="F810" t="str"/>
      <x:c r="G810" t="str"/>
      <x:c r="H810" t="str"/>
      <x:c r="I810" t="str">
        <x:v>ESMALTE</x:v>
      </x:c>
      <x:c r="J810" t="str">
        <x:v>BRANCO</x:v>
      </x:c>
      <x:c r="K810" t="str">
        <x:v>0</x:v>
      </x:c>
      <x:c r="L810" t="str">
        <x:v>2</x:v>
      </x:c>
      <x:c r="M810" t="str">
        <x:v>0</x:v>
      </x:c>
      <x:c r="N810" t="str"/>
      <x:c r="O810" t="str"/>
      <x:c r="P810" t="str">
        <x:v>Liberada Para Producao</x:v>
      </x:c>
      <x:c r="Q810" t="str">
        <x:v>609624</x:v>
      </x:c>
      <x:c r="R810" t="str">
        <x:v>0</x:v>
      </x:c>
      <x:c r="S810" t="str">
        <x:v>1502</x:v>
      </x:c>
      <x:c r="T810" t="str">
        <x:v>TV.BAT. 680-1100 PET/PVC(SEMI)</x:v>
      </x:c>
      <x:c r="U810" t="str"/>
      <x:c r="V810" t="str"/>
      <x:c r="W810" t="str">
        <x:v>N/A</x:v>
      </x:c>
      <x:c r="X810" t="str">
        <x:v>N/A</x:v>
      </x:c>
      <x:c r="Y810" t="str">
        <x:v>N/A</x:v>
      </x:c>
      <x:c r="Z810" t="str">
        <x:v>0</x:v>
      </x:c>
      <x:c r="AA810" t="str">
        <x:v>0</x:v>
      </x:c>
      <x:c r="AB810" t="str">
        <x:v>N/A</x:v>
      </x:c>
      <x:c r="AC810" t="str">
        <x:v>N/A</x:v>
      </x:c>
      <x:c r="AD810" t="str">
        <x:v>N/A</x:v>
      </x:c>
      <x:c r="AE810" t="str">
        <x:v>N/A</x:v>
      </x:c>
    </x:row>
    <x:row r="811">
      <x:c r="A811" t="str">
        <x:v>51</x:v>
      </x:c>
      <x:c r="B811" t="str">
        <x:v>26824</x:v>
      </x:c>
      <x:c r="C811" t="str">
        <x:v>6</x:v>
      </x:c>
      <x:c r="D811" t="str">
        <x:v>3041400092</x:v>
      </x:c>
      <x:c r="E811" t="str">
        <x:v>FO POR SMT HDF 3 S GD ESM BCO RU 2100X90</x:v>
      </x:c>
      <x:c r="F811" t="str"/>
      <x:c r="G811" t="str"/>
      <x:c r="H811" t="str"/>
      <x:c r="I811" t="str">
        <x:v>ESMALTE</x:v>
      </x:c>
      <x:c r="J811" t="str">
        <x:v>BRANCO</x:v>
      </x:c>
      <x:c r="K811" t="str">
        <x:v>0</x:v>
      </x:c>
      <x:c r="L811" t="str">
        <x:v>2</x:v>
      </x:c>
      <x:c r="M811" t="str">
        <x:v>0,132</x:v>
      </x:c>
      <x:c r="N811" t="str"/>
      <x:c r="O811" t="str"/>
      <x:c r="P811" t="str">
        <x:v>Liberada Para Producao</x:v>
      </x:c>
      <x:c r="Q811" t="str">
        <x:v>609625</x:v>
      </x:c>
      <x:c r="R811" t="str">
        <x:v>0</x:v>
      </x:c>
      <x:c r="S811" t="str">
        <x:v>11</x:v>
      </x:c>
      <x:c r="T811" t="str">
        <x:v>PORTA LINHA SMART</x:v>
      </x:c>
      <x:c r="U811" t="str"/>
      <x:c r="V811" t="str"/>
      <x:c r="W811" t="str">
        <x:v>N/A</x:v>
      </x:c>
      <x:c r="X811" t="str">
        <x:v>0</x:v>
      </x:c>
      <x:c r="Y811" t="str">
        <x:v>N/A</x:v>
      </x:c>
      <x:c r="Z811" t="str">
        <x:v>N/A</x:v>
      </x:c>
      <x:c r="AA811" t="str">
        <x:v>N/A</x:v>
      </x:c>
      <x:c r="AB811" t="str">
        <x:v>0</x:v>
      </x:c>
      <x:c r="AC811" t="str">
        <x:v>N/A</x:v>
      </x:c>
      <x:c r="AD811" t="str">
        <x:v>0</x:v>
      </x:c>
      <x:c r="AE811" t="str">
        <x:v>N/A</x:v>
      </x:c>
    </x:row>
    <x:row r="812">
      <x:c r="A812" t="str">
        <x:v>51</x:v>
      </x:c>
      <x:c r="B812" t="str">
        <x:v>26825</x:v>
      </x:c>
      <x:c r="C812" t="str">
        <x:v>1</x:v>
      </x:c>
      <x:c r="D812" t="str">
        <x:v>3051500142</x:v>
      </x:c>
      <x:c r="E812" t="str">
        <x:v>FO P COR S BD HDF 3 ESM BCO CAR 2100X105</x:v>
      </x:c>
      <x:c r="F812" t="str">
        <x:v>LISA</x:v>
      </x:c>
      <x:c r="G812" t="str"/>
      <x:c r="H812" t="str"/>
      <x:c r="I812" t="str">
        <x:v>ESMALTE</x:v>
      </x:c>
      <x:c r="J812" t="str">
        <x:v>BRANCO CARRARA</x:v>
      </x:c>
      <x:c r="K812" t="str">
        <x:v>0</x:v>
      </x:c>
      <x:c r="L812" t="str">
        <x:v>32</x:v>
      </x:c>
      <x:c r="M812" t="str">
        <x:v>2,47</x:v>
      </x:c>
      <x:c r="N812" t="str"/>
      <x:c r="O812" t="str"/>
      <x:c r="P812" t="str">
        <x:v>Liberada Para Producao</x:v>
      </x:c>
      <x:c r="Q812" t="str">
        <x:v>609042</x:v>
      </x:c>
      <x:c r="R812" t="str">
        <x:v>16,67</x:v>
      </x:c>
      <x:c r="S812" t="str">
        <x:v>1</x:v>
      </x:c>
      <x:c r="T812" t="str">
        <x:v>PORTA LINHA PREMIUM</x:v>
      </x:c>
      <x:c r="U812" t="str">
        <x:v>BORDA 2 LADOS</x:v>
      </x:c>
      <x:c r="V812" t="str"/>
      <x:c r="W812" t="str">
        <x:v>N/A</x:v>
      </x:c>
      <x:c r="X812" t="str">
        <x:v>50</x:v>
      </x:c>
      <x:c r="Y812" t="str">
        <x:v>N/A</x:v>
      </x:c>
      <x:c r="Z812" t="str">
        <x:v>N/A</x:v>
      </x:c>
      <x:c r="AA812" t="str">
        <x:v>N/A</x:v>
      </x:c>
      <x:c r="AB812" t="str">
        <x:v>0</x:v>
      </x:c>
      <x:c r="AC812" t="str">
        <x:v>N/A</x:v>
      </x:c>
      <x:c r="AD812" t="str">
        <x:v>0</x:v>
      </x:c>
      <x:c r="AE812" t="str">
        <x:v>N/A</x:v>
      </x:c>
    </x:row>
    <x:row r="813">
      <x:c r="A813" t="str">
        <x:v>51</x:v>
      </x:c>
      <x:c r="B813" t="str">
        <x:v>26739</x:v>
      </x:c>
      <x:c r="C813" t="str">
        <x:v>2</x:v>
      </x:c>
      <x:c r="D813" t="str">
        <x:v>2010701226</x:v>
      </x:c>
      <x:c r="E813" t="str">
        <x:v>M ULTRA PVC R BCO 2130X170X30 S/REB R2L</x:v>
      </x:c>
      <x:c r="F813" t="str">
        <x:v>MDF ULTRA</x:v>
      </x:c>
      <x:c r="G813" t="str">
        <x:v>S/CANAL</x:v>
      </x:c>
      <x:c r="H813" t="str">
        <x:v>S/REB</x:v>
      </x:c>
      <x:c r="I813" t="str">
        <x:v>RECOBERTO PVC RENOLIT</x:v>
      </x:c>
      <x:c r="J813" t="str">
        <x:v>BRANCO</x:v>
      </x:c>
      <x:c r="K813" t="str">
        <x:v>0</x:v>
      </x:c>
      <x:c r="L813" t="str">
        <x:v>32</x:v>
      </x:c>
      <x:c r="M813" t="str">
        <x:v>0,348</x:v>
      </x:c>
      <x:c r="N813" t="str"/>
      <x:c r="O813" t="str"/>
      <x:c r="P813" t="str">
        <x:v>Liberada Para Producao</x:v>
      </x:c>
      <x:c r="Q813" t="str">
        <x:v>609628</x:v>
      </x:c>
      <x:c r="R813" t="str">
        <x:v>66,67</x:v>
      </x:c>
      <x:c r="S813" t="str">
        <x:v>1500</x:v>
      </x:c>
      <x:c r="T813" t="str">
        <x:v>PERNA DE BATENTE PREMIUM(SEMIA</x:v>
      </x:c>
      <x:c r="U813" t="str"/>
      <x:c r="V813" t="str"/>
      <x:c r="W813" t="str">
        <x:v>100</x:v>
      </x:c>
      <x:c r="X813" t="str">
        <x:v>100</x:v>
      </x:c>
      <x:c r="Y813" t="str">
        <x:v>N/A</x:v>
      </x:c>
      <x:c r="Z813" t="str">
        <x:v>0</x:v>
      </x:c>
      <x:c r="AA813" t="str">
        <x:v>N/A</x:v>
      </x:c>
      <x:c r="AB813" t="str">
        <x:v>N/A</x:v>
      </x:c>
      <x:c r="AC813" t="str">
        <x:v>N/A</x:v>
      </x:c>
      <x:c r="AD813" t="str">
        <x:v>N/A</x:v>
      </x:c>
      <x:c r="AE813" t="str">
        <x:v>N/A</x:v>
      </x:c>
    </x:row>
    <x:row r="814">
      <x:c r="A814" t="str">
        <x:v>51</x:v>
      </x:c>
      <x:c r="B814" t="str">
        <x:v>26825</x:v>
      </x:c>
      <x:c r="C814" t="str">
        <x:v>2</x:v>
      </x:c>
      <x:c r="D814" t="str">
        <x:v>2010701244</x:v>
      </x:c>
      <x:c r="E814" t="str">
        <x:v>M ULTRA PET BCO CAR 1100X110X30 S/REB RG</x:v>
      </x:c>
      <x:c r="F814" t="str">
        <x:v>MDF ULTRA</x:v>
      </x:c>
      <x:c r="G814" t="str">
        <x:v>S/CANAL</x:v>
      </x:c>
      <x:c r="H814" t="str">
        <x:v>S/REB</x:v>
      </x:c>
      <x:c r="I814" t="str">
        <x:v>RECOBERTO PET</x:v>
      </x:c>
      <x:c r="J814" t="str">
        <x:v>BRANCO CARRARA</x:v>
      </x:c>
      <x:c r="K814" t="str">
        <x:v>0</x:v>
      </x:c>
      <x:c r="L814" t="str">
        <x:v>32</x:v>
      </x:c>
      <x:c r="M814" t="str">
        <x:v>0,116</x:v>
      </x:c>
      <x:c r="N814" t="str"/>
      <x:c r="O814" t="str"/>
      <x:c r="P814" t="str">
        <x:v>Liberada Para Producao</x:v>
      </x:c>
      <x:c r="Q814" t="str">
        <x:v>609045</x:v>
      </x:c>
      <x:c r="R814" t="str">
        <x:v>33,33</x:v>
      </x:c>
      <x:c r="S814" t="str">
        <x:v>1553</x:v>
      </x:c>
      <x:c r="T814" t="str">
        <x:v>TV.BAT.1100-2200 PRM CORR(SEMI</x:v>
      </x:c>
      <x:c r="U814" t="str"/>
      <x:c r="V814" t="str"/>
      <x:c r="W814" t="str">
        <x:v>N/A</x:v>
      </x:c>
      <x:c r="X814" t="str">
        <x:v>100</x:v>
      </x:c>
      <x:c r="Y814" t="str">
        <x:v>N/A</x:v>
      </x:c>
      <x:c r="Z814" t="str">
        <x:v>0</x:v>
      </x:c>
      <x:c r="AA814" t="str">
        <x:v>0</x:v>
      </x:c>
      <x:c r="AB814" t="str">
        <x:v>N/A</x:v>
      </x:c>
      <x:c r="AC814" t="str">
        <x:v>N/A</x:v>
      </x:c>
      <x:c r="AD814" t="str">
        <x:v>N/A</x:v>
      </x:c>
      <x:c r="AE814" t="str">
        <x:v>N/A</x:v>
      </x:c>
    </x:row>
    <x:row r="815">
      <x:c r="A815" t="str">
        <x:v>51</x:v>
      </x:c>
      <x:c r="B815" t="str">
        <x:v>26825</x:v>
      </x:c>
      <x:c r="C815" t="str">
        <x:v>3</x:v>
      </x:c>
      <x:c r="D815" t="str">
        <x:v>675619</x:v>
      </x:c>
      <x:c r="E815" t="str">
        <x:v>PERNA KIT ULTRA  KIT DE CORRER EM MDF ULTRA</x:v>
      </x:c>
      <x:c r="F815" t="str"/>
      <x:c r="G815" t="str"/>
      <x:c r="H815" t="str"/>
      <x:c r="I815" t="str">
        <x:v>RECOBERTO PET</x:v>
      </x:c>
      <x:c r="J815" t="str">
        <x:v>BRANCO CARRARA</x:v>
      </x:c>
      <x:c r="K815" t="str">
        <x:v>0</x:v>
      </x:c>
      <x:c r="L815" t="str">
        <x:v>64</x:v>
      </x:c>
      <x:c r="M815" t="str">
        <x:v>0,348</x:v>
      </x:c>
      <x:c r="N815" t="str"/>
      <x:c r="O815" t="str"/>
      <x:c r="P815" t="str">
        <x:v>Liberada Para Producao</x:v>
      </x:c>
      <x:c r="Q815" t="str">
        <x:v>609047</x:v>
      </x:c>
      <x:c r="R815" t="str">
        <x:v>0</x:v>
      </x:c>
      <x:c r="S815" t="str"/>
      <x:c r="T815" t="str"/>
      <x:c r="U815" t="str"/>
      <x:c r="V815" t="str"/>
      <x:c r="W815" t="str">
        <x:v>0</x:v>
      </x:c>
      <x:c r="X815" t="str">
        <x:v>0</x:v>
      </x:c>
      <x:c r="Y815" t="str">
        <x:v>0</x:v>
      </x:c>
      <x:c r="Z815" t="str">
        <x:v>0</x:v>
      </x:c>
      <x:c r="AA815" t="str">
        <x:v>0</x:v>
      </x:c>
      <x:c r="AB815" t="str">
        <x:v>N/A</x:v>
      </x:c>
      <x:c r="AC815" t="str">
        <x:v>N/A</x:v>
      </x:c>
      <x:c r="AD815" t="str">
        <x:v>N/A</x:v>
      </x:c>
      <x:c r="AE815" t="str">
        <x:v>N/A</x:v>
      </x:c>
    </x:row>
    <x:row r="816">
      <x:c r="A816" t="str">
        <x:v>51</x:v>
      </x:c>
      <x:c r="B816" t="str">
        <x:v>26825</x:v>
      </x:c>
      <x:c r="C816" t="str">
        <x:v>3</x:v>
      </x:c>
      <x:c r="D816" t="str">
        <x:v>962738</x:v>
      </x:c>
      <x:c r="E816" t="str">
        <x:v> KIT DE CORRER EM MDF ULTRA</x:v>
      </x:c>
      <x:c r="F816" t="str"/>
      <x:c r="G816" t="str"/>
      <x:c r="H816" t="str"/>
      <x:c r="I816" t="str">
        <x:v>RECOBERTO PET</x:v>
      </x:c>
      <x:c r="J816" t="str">
        <x:v>BRANCO CARRARA</x:v>
      </x:c>
      <x:c r="K816" t="str">
        <x:v>0</x:v>
      </x:c>
      <x:c r="L816" t="str">
        <x:v>32</x:v>
      </x:c>
      <x:c r="M816" t="str">
        <x:v>0</x:v>
      </x:c>
      <x:c r="N816" t="str"/>
      <x:c r="O816" t="str"/>
      <x:c r="P816" t="str">
        <x:v>Liberada Para Producao</x:v>
      </x:c>
      <x:c r="Q816" t="str">
        <x:v>609048</x:v>
      </x:c>
      <x:c r="R816" t="str">
        <x:v>33,33</x:v>
      </x:c>
      <x:c r="S816" t="str"/>
      <x:c r="T816" t="str"/>
      <x:c r="U816" t="str"/>
      <x:c r="V816" t="str"/>
      <x:c r="W816" t="str">
        <x:v>N/A</x:v>
      </x:c>
      <x:c r="X816" t="str">
        <x:v>100</x:v>
      </x:c>
      <x:c r="Y816" t="str">
        <x:v>0</x:v>
      </x:c>
      <x:c r="Z816" t="str">
        <x:v>0</x:v>
      </x:c>
      <x:c r="AA816" t="str">
        <x:v>N/A</x:v>
      </x:c>
      <x:c r="AB816" t="str">
        <x:v>N/A</x:v>
      </x:c>
      <x:c r="AC816" t="str">
        <x:v>N/A</x:v>
      </x:c>
      <x:c r="AD816" t="str">
        <x:v>N/A</x:v>
      </x:c>
      <x:c r="AE816" t="str">
        <x:v>N/A</x:v>
      </x:c>
    </x:row>
    <x:row r="817">
      <x:c r="A817" t="str">
        <x:v>51</x:v>
      </x:c>
      <x:c r="B817" t="str">
        <x:v>26825</x:v>
      </x:c>
      <x:c r="C817" t="str">
        <x:v>3</x:v>
      </x:c>
      <x:c r="D817" t="str">
        <x:v>962739</x:v>
      </x:c>
      <x:c r="E817" t="str">
        <x:v>AL KIT L MEN ULT  KIT DE CORRER EM MDF ULTRA</x:v>
      </x:c>
      <x:c r="F817" t="str"/>
      <x:c r="G817" t="str"/>
      <x:c r="H817" t="str"/>
      <x:c r="I817" t="str">
        <x:v>RECOBERTO PET</x:v>
      </x:c>
      <x:c r="J817" t="str">
        <x:v>BRANCO CARRARA</x:v>
      </x:c>
      <x:c r="K817" t="str">
        <x:v>0</x:v>
      </x:c>
      <x:c r="L817" t="str">
        <x:v>96</x:v>
      </x:c>
      <x:c r="M817" t="str">
        <x:v>0,095</x:v>
      </x:c>
      <x:c r="N817" t="str"/>
      <x:c r="O817" t="str"/>
      <x:c r="P817" t="str">
        <x:v>Liberada Para Producao</x:v>
      </x:c>
      <x:c r="Q817" t="str">
        <x:v>609049</x:v>
      </x:c>
      <x:c r="R817" t="str">
        <x:v>0</x:v>
      </x:c>
      <x:c r="S817" t="str"/>
      <x:c r="T817" t="str"/>
      <x:c r="U817" t="str"/>
      <x:c r="V817" t="str"/>
      <x:c r="W817" t="str">
        <x:v>N/A</x:v>
      </x:c>
      <x:c r="X817" t="str">
        <x:v>0</x:v>
      </x:c>
      <x:c r="Y817" t="str">
        <x:v>0</x:v>
      </x:c>
      <x:c r="Z817" t="str">
        <x:v>0</x:v>
      </x:c>
      <x:c r="AA817" t="str">
        <x:v>N/A</x:v>
      </x:c>
      <x:c r="AB817" t="str">
        <x:v>N/A</x:v>
      </x:c>
      <x:c r="AC817" t="str">
        <x:v>N/A</x:v>
      </x:c>
      <x:c r="AD817" t="str">
        <x:v>N/A</x:v>
      </x:c>
      <x:c r="AE817" t="str">
        <x:v>N/A</x:v>
      </x:c>
    </x:row>
    <x:row r="818">
      <x:c r="A818" t="str">
        <x:v>51</x:v>
      </x:c>
      <x:c r="B818" t="str">
        <x:v>26825</x:v>
      </x:c>
      <x:c r="C818" t="str">
        <x:v>3</x:v>
      </x:c>
      <x:c r="D818" t="str">
        <x:v>987029</x:v>
      </x:c>
      <x:c r="E818" t="str">
        <x:v>SUP TRILHO ULTRA  KIT DE CORRER EM MDF ULTRA</x:v>
      </x:c>
      <x:c r="F818" t="str"/>
      <x:c r="G818" t="str"/>
      <x:c r="H818" t="str"/>
      <x:c r="I818" t="str">
        <x:v>RECOBERTO PET</x:v>
      </x:c>
      <x:c r="J818" t="str">
        <x:v>BRANCO CARRARA</x:v>
      </x:c>
      <x:c r="K818" t="str">
        <x:v>0</x:v>
      </x:c>
      <x:c r="L818" t="str">
        <x:v>32</x:v>
      </x:c>
      <x:c r="M818" t="str">
        <x:v>0,174</x:v>
      </x:c>
      <x:c r="N818" t="str"/>
      <x:c r="O818" t="str"/>
      <x:c r="P818" t="str">
        <x:v>Liberada Para Producao</x:v>
      </x:c>
      <x:c r="Q818" t="str">
        <x:v>609050</x:v>
      </x:c>
      <x:c r="R818" t="str">
        <x:v>0</x:v>
      </x:c>
      <x:c r="S818" t="str"/>
      <x:c r="T818" t="str"/>
      <x:c r="U818" t="str"/>
      <x:c r="V818" t="str"/>
      <x:c r="W818" t="str">
        <x:v>0</x:v>
      </x:c>
      <x:c r="X818" t="str">
        <x:v>0</x:v>
      </x:c>
      <x:c r="Y818" t="str">
        <x:v>0</x:v>
      </x:c>
      <x:c r="Z818" t="str">
        <x:v>0</x:v>
      </x:c>
      <x:c r="AA818" t="str">
        <x:v>N/A</x:v>
      </x:c>
      <x:c r="AB818" t="str">
        <x:v>N/A</x:v>
      </x:c>
      <x:c r="AC818" t="str">
        <x:v>N/A</x:v>
      </x:c>
      <x:c r="AD818" t="str">
        <x:v>N/A</x:v>
      </x:c>
      <x:c r="AE818" t="str">
        <x:v>N/A</x:v>
      </x:c>
    </x:row>
    <x:row r="819">
      <x:c r="A819" t="str">
        <x:v>51</x:v>
      </x:c>
      <x:c r="B819" t="str">
        <x:v>26825</x:v>
      </x:c>
      <x:c r="C819" t="str">
        <x:v>3</x:v>
      </x:c>
      <x:c r="D819" t="str">
        <x:v>1000076</x:v>
      </x:c>
      <x:c r="E819" t="str">
        <x:v> KIT DE CORRER EM MDF ULTRA</x:v>
      </x:c>
      <x:c r="F819" t="str"/>
      <x:c r="G819" t="str"/>
      <x:c r="H819" t="str"/>
      <x:c r="I819" t="str">
        <x:v>RECOBERTO PET</x:v>
      </x:c>
      <x:c r="J819" t="str">
        <x:v>BRANCO CARRARA</x:v>
      </x:c>
      <x:c r="K819" t="str">
        <x:v>0</x:v>
      </x:c>
      <x:c r="L819" t="str">
        <x:v>32</x:v>
      </x:c>
      <x:c r="M819" t="str">
        <x:v>0</x:v>
      </x:c>
      <x:c r="N819" t="str"/>
      <x:c r="O819" t="str"/>
      <x:c r="P819" t="str">
        <x:v>Liberada Para Producao</x:v>
      </x:c>
      <x:c r="Q819" t="str">
        <x:v>609051</x:v>
      </x:c>
      <x:c r="R819" t="str">
        <x:v>0</x:v>
      </x:c>
      <x:c r="S819" t="str"/>
      <x:c r="T819" t="str"/>
      <x:c r="U819" t="str"/>
      <x:c r="V819" t="str"/>
      <x:c r="W819" t="str">
        <x:v>N/A</x:v>
      </x:c>
      <x:c r="X819" t="str">
        <x:v>N/A</x:v>
      </x:c>
      <x:c r="Y819" t="str">
        <x:v>N/A</x:v>
      </x:c>
      <x:c r="Z819" t="str">
        <x:v>N/A</x:v>
      </x:c>
      <x:c r="AA819" t="str">
        <x:v>N/A</x:v>
      </x:c>
      <x:c r="AB819" t="str">
        <x:v>N/A</x:v>
      </x:c>
      <x:c r="AC819" t="str">
        <x:v>N/A</x:v>
      </x:c>
      <x:c r="AD819" t="str">
        <x:v>0</x:v>
      </x:c>
      <x:c r="AE819" t="str">
        <x:v>N/A</x:v>
      </x:c>
    </x:row>
    <x:row r="820">
      <x:c r="A820" t="str">
        <x:v>51</x:v>
      </x:c>
      <x:c r="B820" t="str">
        <x:v>26825</x:v>
      </x:c>
      <x:c r="C820" t="str">
        <x:v>4</x:v>
      </x:c>
      <x:c r="D820" t="str">
        <x:v>2020700645</x:v>
      </x:c>
      <x:c r="E820" t="str">
        <x:v>A ULTRA PET BCO CAR 2200X60X9 RG(55) RTO</x:v>
      </x:c>
      <x:c r="F820" t="str">
        <x:v>REG 2L(MAIOR 55MM)</x:v>
      </x:c>
      <x:c r="G820" t="str"/>
      <x:c r="H820" t="str"/>
      <x:c r="I820" t="str">
        <x:v>RECOBERTO PET</x:v>
      </x:c>
      <x:c r="J820" t="str">
        <x:v>BRANCO CARRARA</x:v>
      </x:c>
      <x:c r="K820" t="str">
        <x:v>0</x:v>
      </x:c>
      <x:c r="L820" t="str">
        <x:v>64</x:v>
      </x:c>
      <x:c r="M820" t="str">
        <x:v>0</x:v>
      </x:c>
      <x:c r="N820" t="str"/>
      <x:c r="O820" t="str"/>
      <x:c r="P820" t="str">
        <x:v>Liberada Para Producao</x:v>
      </x:c>
      <x:c r="Q820" t="str">
        <x:v>609053</x:v>
      </x:c>
      <x:c r="R820" t="str">
        <x:v>0</x:v>
      </x:c>
      <x:c r="S820" t="str">
        <x:v>2001</x:v>
      </x:c>
      <x:c r="T820" t="str">
        <x:v>PERNA ALIZAR RG 55 (SEMI)</x:v>
      </x:c>
      <x:c r="U820" t="str"/>
      <x:c r="V820" t="str"/>
      <x:c r="W820" t="str">
        <x:v>N/A</x:v>
      </x:c>
      <x:c r="X820" t="str">
        <x:v>0</x:v>
      </x:c>
      <x:c r="Y820" t="str">
        <x:v>0</x:v>
      </x:c>
      <x:c r="Z820" t="str">
        <x:v>0</x:v>
      </x:c>
      <x:c r="AA820" t="str">
        <x:v>N/A</x:v>
      </x:c>
      <x:c r="AB820" t="str">
        <x:v>N/A</x:v>
      </x:c>
      <x:c r="AC820" t="str">
        <x:v>N/A</x:v>
      </x:c>
      <x:c r="AD820" t="str">
        <x:v>N/A</x:v>
      </x:c>
      <x:c r="AE820" t="str">
        <x:v>N/A</x:v>
      </x:c>
    </x:row>
    <x:row r="821">
      <x:c r="A821" t="str">
        <x:v>51</x:v>
      </x:c>
      <x:c r="B821" t="str">
        <x:v>26825</x:v>
      </x:c>
      <x:c r="C821" t="str">
        <x:v>4</x:v>
      </x:c>
      <x:c r="D821" t="str">
        <x:v>2020700646</x:v>
      </x:c>
      <x:c r="E821" t="str">
        <x:v>A ULTRA PET BCO CAR 2200X60X9 RG(ME) RTO</x:v>
      </x:c>
      <x:c r="F821" t="str">
        <x:v>REG 2L(MAIOR 55MM)</x:v>
      </x:c>
      <x:c r="G821" t="str"/>
      <x:c r="H821" t="str"/>
      <x:c r="I821" t="str">
        <x:v>RECOBERTO PET</x:v>
      </x:c>
      <x:c r="J821" t="str">
        <x:v>BRANCO CARRARA</x:v>
      </x:c>
      <x:c r="K821" t="str">
        <x:v>0</x:v>
      </x:c>
      <x:c r="L821" t="str">
        <x:v>64</x:v>
      </x:c>
      <x:c r="M821" t="str">
        <x:v>0</x:v>
      </x:c>
      <x:c r="N821" t="str"/>
      <x:c r="O821" t="str"/>
      <x:c r="P821" t="str">
        <x:v>Liberada Para Producao</x:v>
      </x:c>
      <x:c r="Q821" t="str">
        <x:v>609054</x:v>
      </x:c>
      <x:c r="R821" t="str">
        <x:v>0</x:v>
      </x:c>
      <x:c r="S821" t="str">
        <x:v>2003</x:v>
      </x:c>
      <x:c r="T821" t="str">
        <x:v>PERNA ALIZAR L MENOR  (SEMI)</x:v>
      </x:c>
      <x:c r="U821" t="str"/>
      <x:c r="V821" t="str"/>
      <x:c r="W821" t="str">
        <x:v>N/A</x:v>
      </x:c>
      <x:c r="X821" t="str">
        <x:v>0</x:v>
      </x:c>
      <x:c r="Y821" t="str">
        <x:v>0</x:v>
      </x:c>
      <x:c r="Z821" t="str">
        <x:v>0</x:v>
      </x:c>
      <x:c r="AA821" t="str">
        <x:v>N/A</x:v>
      </x:c>
      <x:c r="AB821" t="str">
        <x:v>N/A</x:v>
      </x:c>
      <x:c r="AC821" t="str">
        <x:v>N/A</x:v>
      </x:c>
      <x:c r="AD821" t="str">
        <x:v>N/A</x:v>
      </x:c>
      <x:c r="AE821" t="str">
        <x:v>N/A</x:v>
      </x:c>
    </x:row>
    <x:row r="822">
      <x:c r="A822" t="str">
        <x:v>51</x:v>
      </x:c>
      <x:c r="B822" t="str">
        <x:v>26825</x:v>
      </x:c>
      <x:c r="C822" t="str">
        <x:v>4</x:v>
      </x:c>
      <x:c r="D822" t="str">
        <x:v>2020700647</x:v>
      </x:c>
      <x:c r="E822" t="str">
        <x:v>A ULTRA PET BCO CAR 1200X60X9 RG(55) RTO</x:v>
      </x:c>
      <x:c r="F822" t="str">
        <x:v>REG 2L(MAIOR 55MM)</x:v>
      </x:c>
      <x:c r="G822" t="str"/>
      <x:c r="H822" t="str"/>
      <x:c r="I822" t="str">
        <x:v>RECOBERTO PET</x:v>
      </x:c>
      <x:c r="J822" t="str">
        <x:v>BRANCO CARRARA</x:v>
      </x:c>
      <x:c r="K822" t="str">
        <x:v>0</x:v>
      </x:c>
      <x:c r="L822" t="str">
        <x:v>32</x:v>
      </x:c>
      <x:c r="M822" t="str">
        <x:v>0</x:v>
      </x:c>
      <x:c r="N822" t="str"/>
      <x:c r="O822" t="str"/>
      <x:c r="P822" t="str">
        <x:v>Liberada Para Producao</x:v>
      </x:c>
      <x:c r="Q822" t="str">
        <x:v>609055</x:v>
      </x:c>
      <x:c r="R822" t="str">
        <x:v>0</x:v>
      </x:c>
      <x:c r="S822" t="str">
        <x:v>2005</x:v>
      </x:c>
      <x:c r="T822" t="str">
        <x:v>TRAVESSA ALIZAR RG 55 (SEMI)</x:v>
      </x:c>
      <x:c r="U822" t="str"/>
      <x:c r="V822" t="str"/>
      <x:c r="W822" t="str">
        <x:v>N/A</x:v>
      </x:c>
      <x:c r="X822" t="str">
        <x:v>0</x:v>
      </x:c>
      <x:c r="Y822" t="str">
        <x:v>N/A</x:v>
      </x:c>
      <x:c r="Z822" t="str">
        <x:v>0</x:v>
      </x:c>
      <x:c r="AA822" t="str">
        <x:v>0</x:v>
      </x:c>
      <x:c r="AB822" t="str">
        <x:v>N/A</x:v>
      </x:c>
      <x:c r="AC822" t="str">
        <x:v>N/A</x:v>
      </x:c>
      <x:c r="AD822" t="str">
        <x:v>N/A</x:v>
      </x:c>
      <x:c r="AE822" t="str">
        <x:v>N/A</x:v>
      </x:c>
    </x:row>
    <x:row r="823">
      <x:c r="A823" t="str">
        <x:v>51</x:v>
      </x:c>
      <x:c r="B823" t="str">
        <x:v>26825</x:v>
      </x:c>
      <x:c r="C823" t="str">
        <x:v>4</x:v>
      </x:c>
      <x:c r="D823" t="str">
        <x:v>2020700648</x:v>
      </x:c>
      <x:c r="E823" t="str">
        <x:v>A ULTRA PET BCO CAR 1200X60X9 RG(ME) RTO</x:v>
      </x:c>
      <x:c r="F823" t="str">
        <x:v>REG 2L(MAIOR 55MM)</x:v>
      </x:c>
      <x:c r="G823" t="str"/>
      <x:c r="H823" t="str"/>
      <x:c r="I823" t="str">
        <x:v>RECOBERTO PET</x:v>
      </x:c>
      <x:c r="J823" t="str">
        <x:v>BRANCO CARRARA</x:v>
      </x:c>
      <x:c r="K823" t="str">
        <x:v>0</x:v>
      </x:c>
      <x:c r="L823" t="str">
        <x:v>32</x:v>
      </x:c>
      <x:c r="M823" t="str">
        <x:v>0</x:v>
      </x:c>
      <x:c r="N823" t="str"/>
      <x:c r="O823" t="str"/>
      <x:c r="P823" t="str">
        <x:v>Liberada Para Producao</x:v>
      </x:c>
      <x:c r="Q823" t="str">
        <x:v>609056</x:v>
      </x:c>
      <x:c r="R823" t="str">
        <x:v>0</x:v>
      </x:c>
      <x:c r="S823" t="str">
        <x:v>2007</x:v>
      </x:c>
      <x:c r="T823" t="str">
        <x:v>TRAVESS ALIZAR L MENOR  (SEMI)</x:v>
      </x:c>
      <x:c r="U823" t="str"/>
      <x:c r="V823" t="str"/>
      <x:c r="W823" t="str">
        <x:v>N/A</x:v>
      </x:c>
      <x:c r="X823" t="str">
        <x:v>0</x:v>
      </x:c>
      <x:c r="Y823" t="str">
        <x:v>N/A</x:v>
      </x:c>
      <x:c r="Z823" t="str">
        <x:v>0</x:v>
      </x:c>
      <x:c r="AA823" t="str">
        <x:v>0</x:v>
      </x:c>
      <x:c r="AB823" t="str">
        <x:v>N/A</x:v>
      </x:c>
      <x:c r="AC823" t="str">
        <x:v>N/A</x:v>
      </x:c>
      <x:c r="AD823" t="str">
        <x:v>N/A</x:v>
      </x:c>
      <x:c r="AE823" t="str">
        <x:v>N/A</x:v>
      </x:c>
    </x:row>
    <x:row r="824">
      <x:c r="A824" t="str">
        <x:v>51</x:v>
      </x:c>
      <x:c r="B824" t="str">
        <x:v>26826</x:v>
      </x:c>
      <x:c r="C824" t="str">
        <x:v>1</x:v>
      </x:c>
      <x:c r="D824" t="str">
        <x:v>3050300062</x:v>
      </x:c>
      <x:c r="E824" t="str">
        <x:v>FO P COR SMT HDF 3 COL B2 L 2100X620X35</x:v>
      </x:c>
      <x:c r="F824" t="str">
        <x:v>LISA</x:v>
      </x:c>
      <x:c r="G824" t="str"/>
      <x:c r="H824" t="str"/>
      <x:c r="I824" t="str">
        <x:v>ESMALTE</x:v>
      </x:c>
      <x:c r="J824" t="str">
        <x:v>BRANCO CARRARA</x:v>
      </x:c>
      <x:c r="K824" t="str">
        <x:v>0</x:v>
      </x:c>
      <x:c r="L824" t="str">
        <x:v>62</x:v>
      </x:c>
      <x:c r="M824" t="str">
        <x:v>2,825</x:v>
      </x:c>
      <x:c r="N824" t="str"/>
      <x:c r="O824" t="str"/>
      <x:c r="P824" t="str">
        <x:v>Liberada Para Producao</x:v>
      </x:c>
      <x:c r="Q824" t="str">
        <x:v>610305</x:v>
      </x:c>
      <x:c r="R824" t="str">
        <x:v>33,33</x:v>
      </x:c>
      <x:c r="S824" t="str">
        <x:v>11</x:v>
      </x:c>
      <x:c r="T824" t="str">
        <x:v>PORTA LINHA SMART</x:v>
      </x:c>
      <x:c r="U824" t="str">
        <x:v>BORDA 2 LADOS</x:v>
      </x:c>
      <x:c r="V824" t="str"/>
      <x:c r="W824" t="str">
        <x:v>N/A</x:v>
      </x:c>
      <x:c r="X824" t="str">
        <x:v>50</x:v>
      </x:c>
      <x:c r="Y824" t="str">
        <x:v>N/A</x:v>
      </x:c>
      <x:c r="Z824" t="str">
        <x:v>N/A</x:v>
      </x:c>
      <x:c r="AA824" t="str">
        <x:v>N/A</x:v>
      </x:c>
      <x:c r="AB824" t="str">
        <x:v>50</x:v>
      </x:c>
      <x:c r="AC824" t="str">
        <x:v>N/A</x:v>
      </x:c>
      <x:c r="AD824" t="str">
        <x:v>0</x:v>
      </x:c>
      <x:c r="AE824" t="str">
        <x:v>N/A</x:v>
      </x:c>
    </x:row>
    <x:row r="825">
      <x:c r="A825" t="str">
        <x:v>51</x:v>
      </x:c>
      <x:c r="B825" t="str">
        <x:v>26750</x:v>
      </x:c>
      <x:c r="C825" t="str">
        <x:v>2</x:v>
      </x:c>
      <x:c r="D825" t="str">
        <x:v>2010701226</x:v>
      </x:c>
      <x:c r="E825" t="str">
        <x:v>M ULTRA PVC R BCO 2130X170X30 S/REB R2L</x:v>
      </x:c>
      <x:c r="F825" t="str">
        <x:v>MDF ULTRA</x:v>
      </x:c>
      <x:c r="G825" t="str">
        <x:v>S/CANAL</x:v>
      </x:c>
      <x:c r="H825" t="str">
        <x:v>S/REB</x:v>
      </x:c>
      <x:c r="I825" t="str">
        <x:v>RECOBERTO PVC RENOLIT</x:v>
      </x:c>
      <x:c r="J825" t="str">
        <x:v>BRANCO</x:v>
      </x:c>
      <x:c r="K825" t="str">
        <x:v>0</x:v>
      </x:c>
      <x:c r="L825" t="str">
        <x:v>18</x:v>
      </x:c>
      <x:c r="M825" t="str">
        <x:v>0,196</x:v>
      </x:c>
      <x:c r="N825" t="str"/>
      <x:c r="O825" t="str"/>
      <x:c r="P825" t="str">
        <x:v>Liberada Para Producao</x:v>
      </x:c>
      <x:c r="Q825" t="str">
        <x:v>609788</x:v>
      </x:c>
      <x:c r="R825" t="str">
        <x:v>66,67</x:v>
      </x:c>
      <x:c r="S825" t="str">
        <x:v>1500</x:v>
      </x:c>
      <x:c r="T825" t="str">
        <x:v>PERNA DE BATENTE PREMIUM(SEMIA</x:v>
      </x:c>
      <x:c r="U825" t="str"/>
      <x:c r="V825" t="str"/>
      <x:c r="W825" t="str">
        <x:v>100</x:v>
      </x:c>
      <x:c r="X825" t="str">
        <x:v>100</x:v>
      </x:c>
      <x:c r="Y825" t="str">
        <x:v>N/A</x:v>
      </x:c>
      <x:c r="Z825" t="str">
        <x:v>0</x:v>
      </x:c>
      <x:c r="AA825" t="str">
        <x:v>N/A</x:v>
      </x:c>
      <x:c r="AB825" t="str">
        <x:v>N/A</x:v>
      </x:c>
      <x:c r="AC825" t="str">
        <x:v>N/A</x:v>
      </x:c>
      <x:c r="AD825" t="str">
        <x:v>N/A</x:v>
      </x:c>
      <x:c r="AE825" t="str">
        <x:v>N/A</x:v>
      </x:c>
    </x:row>
    <x:row r="826">
      <x:c r="A826" t="str">
        <x:v>51</x:v>
      </x:c>
      <x:c r="B826" t="str">
        <x:v>26826</x:v>
      </x:c>
      <x:c r="C826" t="str">
        <x:v>2</x:v>
      </x:c>
      <x:c r="D826" t="str">
        <x:v>2010600173</x:v>
      </x:c>
      <x:c r="E826" t="str">
        <x:v>M T MDF STD PET TXT BCO 1000X110X30 S/RE</x:v>
      </x:c>
      <x:c r="F826" t="str">
        <x:v>MDF STD</x:v>
      </x:c>
      <x:c r="G826" t="str">
        <x:v>S/CANAL</x:v>
      </x:c>
      <x:c r="H826" t="str">
        <x:v>S/REB</x:v>
      </x:c>
      <x:c r="I826" t="str">
        <x:v>RECOBERTO PET TXT</x:v>
      </x:c>
      <x:c r="J826" t="str">
        <x:v>BRANCO</x:v>
      </x:c>
      <x:c r="K826" t="str">
        <x:v>0</x:v>
      </x:c>
      <x:c r="L826" t="str">
        <x:v>62</x:v>
      </x:c>
      <x:c r="M826" t="str">
        <x:v>0,205</x:v>
      </x:c>
      <x:c r="N826" t="str"/>
      <x:c r="O826" t="str"/>
      <x:c r="P826" t="str">
        <x:v>Liberada Para Producao</x:v>
      </x:c>
      <x:c r="Q826" t="str">
        <x:v>609060</x:v>
      </x:c>
      <x:c r="R826" t="str">
        <x:v>0</x:v>
      </x:c>
      <x:c r="S826" t="str">
        <x:v>1552</x:v>
      </x:c>
      <x:c r="T826" t="str">
        <x:v>TV.BAT. 680-1100 PET/PVC(SEMI)</x:v>
      </x:c>
      <x:c r="U826" t="str"/>
      <x:c r="V826" t="str"/>
      <x:c r="W826" t="str">
        <x:v>N/A</x:v>
      </x:c>
      <x:c r="X826" t="str">
        <x:v>N/A</x:v>
      </x:c>
      <x:c r="Y826" t="str">
        <x:v>N/A</x:v>
      </x:c>
      <x:c r="Z826" t="str">
        <x:v>0</x:v>
      </x:c>
      <x:c r="AA826" t="str">
        <x:v>0</x:v>
      </x:c>
      <x:c r="AB826" t="str">
        <x:v>N/A</x:v>
      </x:c>
      <x:c r="AC826" t="str">
        <x:v>N/A</x:v>
      </x:c>
      <x:c r="AD826" t="str">
        <x:v>N/A</x:v>
      </x:c>
      <x:c r="AE826" t="str">
        <x:v>N/A</x:v>
      </x:c>
    </x:row>
    <x:row r="827">
      <x:c r="A827" t="str">
        <x:v>51</x:v>
      </x:c>
      <x:c r="B827" t="str">
        <x:v>26826</x:v>
      </x:c>
      <x:c r="C827" t="str">
        <x:v>3</x:v>
      </x:c>
      <x:c r="D827" t="str">
        <x:v>3050300049</x:v>
      </x:c>
      <x:c r="E827" t="str">
        <x:v>FO P COR SMT HDF 3 COL B2 L 2100X800X35</x:v>
      </x:c>
      <x:c r="F827" t="str">
        <x:v>LISA</x:v>
      </x:c>
      <x:c r="G827" t="str">
        <x:v>C/USINAGEM COMPLETA</x:v>
      </x:c>
      <x:c r="H827" t="str"/>
      <x:c r="I827" t="str">
        <x:v>ESMALTE</x:v>
      </x:c>
      <x:c r="J827" t="str">
        <x:v>BRANCO CARRARA</x:v>
      </x:c>
      <x:c r="K827" t="str">
        <x:v>0</x:v>
      </x:c>
      <x:c r="L827" t="str">
        <x:v>53</x:v>
      </x:c>
      <x:c r="M827" t="str">
        <x:v>3,116</x:v>
      </x:c>
      <x:c r="N827" t="str"/>
      <x:c r="O827" t="str"/>
      <x:c r="P827" t="str">
        <x:v>Liberada Para Producao</x:v>
      </x:c>
      <x:c r="Q827" t="str">
        <x:v>609061</x:v>
      </x:c>
      <x:c r="R827" t="str">
        <x:v>66,67</x:v>
      </x:c>
      <x:c r="S827" t="str">
        <x:v>11</x:v>
      </x:c>
      <x:c r="T827" t="str">
        <x:v>PORTA LINHA SMART</x:v>
      </x:c>
      <x:c r="U827" t="str">
        <x:v>BORDA 2 LADOS</x:v>
      </x:c>
      <x:c r="V827" t="str"/>
      <x:c r="W827" t="str">
        <x:v>N/A</x:v>
      </x:c>
      <x:c r="X827" t="str">
        <x:v>100</x:v>
      </x:c>
      <x:c r="Y827" t="str">
        <x:v>N/A</x:v>
      </x:c>
      <x:c r="Z827" t="str">
        <x:v>N/A</x:v>
      </x:c>
      <x:c r="AA827" t="str">
        <x:v>N/A</x:v>
      </x:c>
      <x:c r="AB827" t="str">
        <x:v>100</x:v>
      </x:c>
      <x:c r="AC827" t="str">
        <x:v>N/A</x:v>
      </x:c>
      <x:c r="AD827" t="str">
        <x:v>0</x:v>
      </x:c>
      <x:c r="AE827" t="str">
        <x:v>N/A</x:v>
      </x:c>
    </x:row>
    <x:row r="828">
      <x:c r="A828" t="str">
        <x:v>51</x:v>
      </x:c>
      <x:c r="B828" t="str">
        <x:v>26750</x:v>
      </x:c>
      <x:c r="C828" t="str">
        <x:v>3</x:v>
      </x:c>
      <x:c r="D828" t="str">
        <x:v>2010701231</x:v>
      </x:c>
      <x:c r="E828" t="str">
        <x:v>M ULTRA PVC R BCO 2130X190X30 S/REB R2L</x:v>
      </x:c>
      <x:c r="F828" t="str">
        <x:v>MDF ULTRA</x:v>
      </x:c>
      <x:c r="G828" t="str">
        <x:v>S/CANAL</x:v>
      </x:c>
      <x:c r="H828" t="str">
        <x:v>S/REB</x:v>
      </x:c>
      <x:c r="I828" t="str">
        <x:v>RECOBERTO PVC RENOLIT</x:v>
      </x:c>
      <x:c r="J828" t="str">
        <x:v>BRANCO</x:v>
      </x:c>
      <x:c r="K828" t="str">
        <x:v>0</x:v>
      </x:c>
      <x:c r="L828" t="str">
        <x:v>4</x:v>
      </x:c>
      <x:c r="M828" t="str">
        <x:v>0,049</x:v>
      </x:c>
      <x:c r="N828" t="str"/>
      <x:c r="O828" t="str"/>
      <x:c r="P828" t="str">
        <x:v>Liberada Para Producao</x:v>
      </x:c>
      <x:c r="Q828" t="str">
        <x:v>609791</x:v>
      </x:c>
      <x:c r="R828" t="str">
        <x:v>66,67</x:v>
      </x:c>
      <x:c r="S828" t="str">
        <x:v>1500</x:v>
      </x:c>
      <x:c r="T828" t="str">
        <x:v>PERNA DE BATENTE PREMIUM(SEMIA</x:v>
      </x:c>
      <x:c r="U828" t="str"/>
      <x:c r="V828" t="str"/>
      <x:c r="W828" t="str">
        <x:v>100</x:v>
      </x:c>
      <x:c r="X828" t="str">
        <x:v>100</x:v>
      </x:c>
      <x:c r="Y828" t="str">
        <x:v>N/A</x:v>
      </x:c>
      <x:c r="Z828" t="str">
        <x:v>0</x:v>
      </x:c>
      <x:c r="AA828" t="str">
        <x:v>N/A</x:v>
      </x:c>
      <x:c r="AB828" t="str">
        <x:v>N/A</x:v>
      </x:c>
      <x:c r="AC828" t="str">
        <x:v>N/A</x:v>
      </x:c>
      <x:c r="AD828" t="str">
        <x:v>N/A</x:v>
      </x:c>
      <x:c r="AE828" t="str">
        <x:v>N/A</x:v>
      </x:c>
    </x:row>
    <x:row r="829">
      <x:c r="A829" t="str">
        <x:v>51</x:v>
      </x:c>
      <x:c r="B829" t="str">
        <x:v>26826</x:v>
      </x:c>
      <x:c r="C829" t="str">
        <x:v>4</x:v>
      </x:c>
      <x:c r="D829" t="str">
        <x:v>2010600536</x:v>
      </x:c>
      <x:c r="E829" t="str">
        <x:v>M STD PET TXT BCO 1000X70X30 S/REB RG 1</x:v>
      </x:c>
      <x:c r="F829" t="str">
        <x:v>MDF STD</x:v>
      </x:c>
      <x:c r="G829" t="str">
        <x:v>S/CANAL</x:v>
      </x:c>
      <x:c r="H829" t="str">
        <x:v>S/REB</x:v>
      </x:c>
      <x:c r="I829" t="str">
        <x:v>RECOBERTO PET TXT</x:v>
      </x:c>
      <x:c r="J829" t="str">
        <x:v>BRANCO</x:v>
      </x:c>
      <x:c r="K829" t="str">
        <x:v>0</x:v>
      </x:c>
      <x:c r="L829" t="str">
        <x:v>53</x:v>
      </x:c>
      <x:c r="M829" t="str">
        <x:v>0,111</x:v>
      </x:c>
      <x:c r="N829" t="str"/>
      <x:c r="O829" t="str"/>
      <x:c r="P829" t="str">
        <x:v>Liberada Para Producao</x:v>
      </x:c>
      <x:c r="Q829" t="str">
        <x:v>609064</x:v>
      </x:c>
      <x:c r="R829" t="str">
        <x:v>0</x:v>
      </x:c>
      <x:c r="S829" t="str">
        <x:v>1552</x:v>
      </x:c>
      <x:c r="T829" t="str">
        <x:v>TV.BAT. 680-1100 PET/PVC(SEMI)</x:v>
      </x:c>
      <x:c r="U829" t="str"/>
      <x:c r="V829" t="str"/>
      <x:c r="W829" t="str">
        <x:v>N/A</x:v>
      </x:c>
      <x:c r="X829" t="str">
        <x:v>N/A</x:v>
      </x:c>
      <x:c r="Y829" t="str">
        <x:v>N/A</x:v>
      </x:c>
      <x:c r="Z829" t="str">
        <x:v>0</x:v>
      </x:c>
      <x:c r="AA829" t="str">
        <x:v>0</x:v>
      </x:c>
      <x:c r="AB829" t="str">
        <x:v>N/A</x:v>
      </x:c>
      <x:c r="AC829" t="str">
        <x:v>N/A</x:v>
      </x:c>
      <x:c r="AD829" t="str">
        <x:v>N/A</x:v>
      </x:c>
      <x:c r="AE829" t="str">
        <x:v>N/A</x:v>
      </x:c>
    </x:row>
    <x:row r="830">
      <x:c r="A830" t="str">
        <x:v>51</x:v>
      </x:c>
      <x:c r="B830" t="str">
        <x:v>26826</x:v>
      </x:c>
      <x:c r="C830" t="str">
        <x:v>5</x:v>
      </x:c>
      <x:c r="D830" t="str">
        <x:v>985572</x:v>
      </x:c>
      <x:c r="E830" t="str">
        <x:v>PERNA KIT STD  KIT DE CORRER EM MDF</x:v>
      </x:c>
      <x:c r="F830" t="str"/>
      <x:c r="G830" t="str"/>
      <x:c r="H830" t="str"/>
      <x:c r="I830" t="str">
        <x:v>RECOBERTO PET TXT</x:v>
      </x:c>
      <x:c r="J830" t="str">
        <x:v>BRANCO</x:v>
      </x:c>
      <x:c r="K830" t="str">
        <x:v>0</x:v>
      </x:c>
      <x:c r="L830" t="str">
        <x:v>230</x:v>
      </x:c>
      <x:c r="M830" t="str">
        <x:v>1,252</x:v>
      </x:c>
      <x:c r="N830" t="str"/>
      <x:c r="O830" t="str"/>
      <x:c r="P830" t="str">
        <x:v>Liberada Para Producao</x:v>
      </x:c>
      <x:c r="Q830" t="str">
        <x:v>609066</x:v>
      </x:c>
      <x:c r="R830" t="str">
        <x:v>0</x:v>
      </x:c>
      <x:c r="S830" t="str"/>
      <x:c r="T830" t="str"/>
      <x:c r="U830" t="str"/>
      <x:c r="V830" t="str"/>
      <x:c r="W830" t="str">
        <x:v>0</x:v>
      </x:c>
      <x:c r="X830" t="str">
        <x:v>0</x:v>
      </x:c>
      <x:c r="Y830" t="str">
        <x:v>0</x:v>
      </x:c>
      <x:c r="Z830" t="str">
        <x:v>0</x:v>
      </x:c>
      <x:c r="AA830" t="str">
        <x:v>0</x:v>
      </x:c>
      <x:c r="AB830" t="str">
        <x:v>0</x:v>
      </x:c>
      <x:c r="AC830" t="str">
        <x:v>N/A</x:v>
      </x:c>
      <x:c r="AD830" t="str">
        <x:v>N/A</x:v>
      </x:c>
      <x:c r="AE830" t="str">
        <x:v>N/A</x:v>
      </x:c>
    </x:row>
    <x:row r="831">
      <x:c r="A831" t="str">
        <x:v>51</x:v>
      </x:c>
      <x:c r="B831" t="str">
        <x:v>26826</x:v>
      </x:c>
      <x:c r="C831" t="str">
        <x:v>5</x:v>
      </x:c>
      <x:c r="D831" t="str">
        <x:v>985573</x:v>
      </x:c>
      <x:c r="E831" t="str">
        <x:v> KIT DE CORRER EM MDF</x:v>
      </x:c>
      <x:c r="F831" t="str"/>
      <x:c r="G831" t="str"/>
      <x:c r="H831" t="str"/>
      <x:c r="I831" t="str">
        <x:v>RECOBERTO PET TXT</x:v>
      </x:c>
      <x:c r="J831" t="str">
        <x:v>BRANCO</x:v>
      </x:c>
      <x:c r="K831" t="str">
        <x:v>0</x:v>
      </x:c>
      <x:c r="L831" t="str">
        <x:v>115</x:v>
      </x:c>
      <x:c r="M831" t="str">
        <x:v>0</x:v>
      </x:c>
      <x:c r="N831" t="str"/>
      <x:c r="O831" t="str"/>
      <x:c r="P831" t="str">
        <x:v>Liberada Para Producao</x:v>
      </x:c>
      <x:c r="Q831" t="str">
        <x:v>609067</x:v>
      </x:c>
      <x:c r="R831" t="str">
        <x:v>0</x:v>
      </x:c>
      <x:c r="S831" t="str"/>
      <x:c r="T831" t="str"/>
      <x:c r="U831" t="str"/>
      <x:c r="V831" t="str"/>
      <x:c r="W831" t="str">
        <x:v>N/A</x:v>
      </x:c>
      <x:c r="X831" t="str">
        <x:v>0</x:v>
      </x:c>
      <x:c r="Y831" t="str">
        <x:v>0</x:v>
      </x:c>
      <x:c r="Z831" t="str">
        <x:v>0</x:v>
      </x:c>
      <x:c r="AA831" t="str">
        <x:v>N/A</x:v>
      </x:c>
      <x:c r="AB831" t="str">
        <x:v>N/A</x:v>
      </x:c>
      <x:c r="AC831" t="str">
        <x:v>N/A</x:v>
      </x:c>
      <x:c r="AD831" t="str">
        <x:v>N/A</x:v>
      </x:c>
      <x:c r="AE831" t="str">
        <x:v>N/A</x:v>
      </x:c>
    </x:row>
    <x:row r="832">
      <x:c r="A832" t="str">
        <x:v>51</x:v>
      </x:c>
      <x:c r="B832" t="str">
        <x:v>26826</x:v>
      </x:c>
      <x:c r="C832" t="str">
        <x:v>5</x:v>
      </x:c>
      <x:c r="D832" t="str">
        <x:v>985574</x:v>
      </x:c>
      <x:c r="E832" t="str">
        <x:v>AL KIT L MEN STD  KIT DE CORRER EM MDF</x:v>
      </x:c>
      <x:c r="F832" t="str"/>
      <x:c r="G832" t="str"/>
      <x:c r="H832" t="str"/>
      <x:c r="I832" t="str">
        <x:v>RECOBERTO PET TXT</x:v>
      </x:c>
      <x:c r="J832" t="str">
        <x:v>BRANCO</x:v>
      </x:c>
      <x:c r="K832" t="str">
        <x:v>0</x:v>
      </x:c>
      <x:c r="L832" t="str">
        <x:v>345</x:v>
      </x:c>
      <x:c r="M832" t="str">
        <x:v>0,342</x:v>
      </x:c>
      <x:c r="N832" t="str"/>
      <x:c r="O832" t="str"/>
      <x:c r="P832" t="str">
        <x:v>Liberada Para Producao</x:v>
      </x:c>
      <x:c r="Q832" t="str">
        <x:v>609068</x:v>
      </x:c>
      <x:c r="R832" t="str">
        <x:v>0</x:v>
      </x:c>
      <x:c r="S832" t="str"/>
      <x:c r="T832" t="str"/>
      <x:c r="U832" t="str"/>
      <x:c r="V832" t="str"/>
      <x:c r="W832" t="str">
        <x:v>N/A</x:v>
      </x:c>
      <x:c r="X832" t="str">
        <x:v>0</x:v>
      </x:c>
      <x:c r="Y832" t="str">
        <x:v>0</x:v>
      </x:c>
      <x:c r="Z832" t="str">
        <x:v>0</x:v>
      </x:c>
      <x:c r="AA832" t="str">
        <x:v>N/A</x:v>
      </x:c>
      <x:c r="AB832" t="str">
        <x:v>N/A</x:v>
      </x:c>
      <x:c r="AC832" t="str">
        <x:v>N/A</x:v>
      </x:c>
      <x:c r="AD832" t="str">
        <x:v>N/A</x:v>
      </x:c>
      <x:c r="AE832" t="str">
        <x:v>N/A</x:v>
      </x:c>
    </x:row>
    <x:row r="833">
      <x:c r="A833" t="str">
        <x:v>51</x:v>
      </x:c>
      <x:c r="B833" t="str">
        <x:v>26826</x:v>
      </x:c>
      <x:c r="C833" t="str">
        <x:v>5</x:v>
      </x:c>
      <x:c r="D833" t="str">
        <x:v>988095</x:v>
      </x:c>
      <x:c r="E833" t="str">
        <x:v>SUP KIT STD  KIT DE CORRER EM MDF</x:v>
      </x:c>
      <x:c r="F833" t="str"/>
      <x:c r="G833" t="str"/>
      <x:c r="H833" t="str"/>
      <x:c r="I833" t="str">
        <x:v>RECOBERTO PET TXT</x:v>
      </x:c>
      <x:c r="J833" t="str">
        <x:v>BRANCO</x:v>
      </x:c>
      <x:c r="K833" t="str">
        <x:v>0</x:v>
      </x:c>
      <x:c r="L833" t="str">
        <x:v>115</x:v>
      </x:c>
      <x:c r="M833" t="str">
        <x:v>0,626</x:v>
      </x:c>
      <x:c r="N833" t="str"/>
      <x:c r="O833" t="str"/>
      <x:c r="P833" t="str">
        <x:v>Liberada Para Producao</x:v>
      </x:c>
      <x:c r="Q833" t="str">
        <x:v>609069</x:v>
      </x:c>
      <x:c r="R833" t="str">
        <x:v>0</x:v>
      </x:c>
      <x:c r="S833" t="str"/>
      <x:c r="T833" t="str"/>
      <x:c r="U833" t="str"/>
      <x:c r="V833" t="str"/>
      <x:c r="W833" t="str">
        <x:v>0</x:v>
      </x:c>
      <x:c r="X833" t="str">
        <x:v>0</x:v>
      </x:c>
      <x:c r="Y833" t="str">
        <x:v>0</x:v>
      </x:c>
      <x:c r="Z833" t="str">
        <x:v>0</x:v>
      </x:c>
      <x:c r="AA833" t="str">
        <x:v>N/A</x:v>
      </x:c>
      <x:c r="AB833" t="str">
        <x:v>0</x:v>
      </x:c>
      <x:c r="AC833" t="str">
        <x:v>N/A</x:v>
      </x:c>
      <x:c r="AD833" t="str">
        <x:v>N/A</x:v>
      </x:c>
      <x:c r="AE833" t="str">
        <x:v>N/A</x:v>
      </x:c>
    </x:row>
    <x:row r="834">
      <x:c r="A834" t="str">
        <x:v>51</x:v>
      </x:c>
      <x:c r="B834" t="str">
        <x:v>26826</x:v>
      </x:c>
      <x:c r="C834" t="str">
        <x:v>5</x:v>
      </x:c>
      <x:c r="D834" t="str">
        <x:v>1000076</x:v>
      </x:c>
      <x:c r="E834" t="str">
        <x:v> KIT DE CORRER EM MDF</x:v>
      </x:c>
      <x:c r="F834" t="str"/>
      <x:c r="G834" t="str"/>
      <x:c r="H834" t="str"/>
      <x:c r="I834" t="str">
        <x:v>RECOBERTO PET TXT</x:v>
      </x:c>
      <x:c r="J834" t="str">
        <x:v>BRANCO</x:v>
      </x:c>
      <x:c r="K834" t="str">
        <x:v>0</x:v>
      </x:c>
      <x:c r="L834" t="str">
        <x:v>115</x:v>
      </x:c>
      <x:c r="M834" t="str">
        <x:v>0</x:v>
      </x:c>
      <x:c r="N834" t="str"/>
      <x:c r="O834" t="str"/>
      <x:c r="P834" t="str">
        <x:v>Liberada Para Producao</x:v>
      </x:c>
      <x:c r="Q834" t="str">
        <x:v>609070</x:v>
      </x:c>
      <x:c r="R834" t="str">
        <x:v>0</x:v>
      </x:c>
      <x:c r="S834" t="str"/>
      <x:c r="T834" t="str"/>
      <x:c r="U834" t="str"/>
      <x:c r="V834" t="str"/>
      <x:c r="W834" t="str">
        <x:v>N/A</x:v>
      </x:c>
      <x:c r="X834" t="str">
        <x:v>N/A</x:v>
      </x:c>
      <x:c r="Y834" t="str">
        <x:v>N/A</x:v>
      </x:c>
      <x:c r="Z834" t="str">
        <x:v>N/A</x:v>
      </x:c>
      <x:c r="AA834" t="str">
        <x:v>N/A</x:v>
      </x:c>
      <x:c r="AB834" t="str">
        <x:v>N/A</x:v>
      </x:c>
      <x:c r="AC834" t="str">
        <x:v>N/A</x:v>
      </x:c>
      <x:c r="AD834" t="str">
        <x:v>0</x:v>
      </x:c>
      <x:c r="AE834" t="str">
        <x:v>N/A</x:v>
      </x:c>
    </x:row>
    <x:row r="835">
      <x:c r="A835" t="str">
        <x:v>51</x:v>
      </x:c>
      <x:c r="B835" t="str">
        <x:v>26826</x:v>
      </x:c>
      <x:c r="C835" t="str">
        <x:v>6</x:v>
      </x:c>
      <x:c r="D835" t="str">
        <x:v>956369</x:v>
      </x:c>
      <x:c r="E835" t="str">
        <x:v>2250X50X9 RTO RL55 PET BCO TXT MPMV(STD)</x:v>
      </x:c>
      <x:c r="F835" t="str">
        <x:v>REG 2L(MAIOR 55MM)</x:v>
      </x:c>
      <x:c r="G835" t="str"/>
      <x:c r="H835" t="str"/>
      <x:c r="I835" t="str">
        <x:v>RECOBERTO PET TXT</x:v>
      </x:c>
      <x:c r="J835" t="str">
        <x:v>BRANCO</x:v>
      </x:c>
      <x:c r="K835" t="str">
        <x:v>0</x:v>
      </x:c>
      <x:c r="L835" t="str">
        <x:v>230</x:v>
      </x:c>
      <x:c r="M835" t="str">
        <x:v>0</x:v>
      </x:c>
      <x:c r="N835" t="str"/>
      <x:c r="O835" t="str"/>
      <x:c r="P835" t="str">
        <x:v>Liberada Para Producao</x:v>
      </x:c>
      <x:c r="Q835" t="str">
        <x:v>609072</x:v>
      </x:c>
      <x:c r="R835" t="str">
        <x:v>0</x:v>
      </x:c>
      <x:c r="S835" t="str"/>
      <x:c r="T835" t="str"/>
      <x:c r="U835" t="str"/>
      <x:c r="V835" t="str"/>
      <x:c r="W835" t="str">
        <x:v>N/A</x:v>
      </x:c>
      <x:c r="X835" t="str">
        <x:v>0</x:v>
      </x:c>
      <x:c r="Y835" t="str">
        <x:v>0</x:v>
      </x:c>
      <x:c r="Z835" t="str">
        <x:v>0</x:v>
      </x:c>
      <x:c r="AA835" t="str">
        <x:v>N/A</x:v>
      </x:c>
      <x:c r="AB835" t="str">
        <x:v>N/A</x:v>
      </x:c>
      <x:c r="AC835" t="str">
        <x:v>N/A</x:v>
      </x:c>
      <x:c r="AD835" t="str">
        <x:v>N/A</x:v>
      </x:c>
      <x:c r="AE835" t="str">
        <x:v>N/A</x:v>
      </x:c>
    </x:row>
    <x:row r="836">
      <x:c r="A836" t="str">
        <x:v>51</x:v>
      </x:c>
      <x:c r="B836" t="str">
        <x:v>26826</x:v>
      </x:c>
      <x:c r="C836" t="str">
        <x:v>6</x:v>
      </x:c>
      <x:c r="D836" t="str">
        <x:v>956374</x:v>
      </x:c>
      <x:c r="E836" t="str">
        <x:v>2250X50X9 RTO LME PET BCO TXT MPMV(STD)</x:v>
      </x:c>
      <x:c r="F836" t="str">
        <x:v>REG 2L(MAIOR 55MM)</x:v>
      </x:c>
      <x:c r="G836" t="str"/>
      <x:c r="H836" t="str"/>
      <x:c r="I836" t="str">
        <x:v>RECOBERTO PET TXT</x:v>
      </x:c>
      <x:c r="J836" t="str">
        <x:v>BRANCO</x:v>
      </x:c>
      <x:c r="K836" t="str">
        <x:v>0</x:v>
      </x:c>
      <x:c r="L836" t="str">
        <x:v>230</x:v>
      </x:c>
      <x:c r="M836" t="str">
        <x:v>0</x:v>
      </x:c>
      <x:c r="N836" t="str"/>
      <x:c r="O836" t="str"/>
      <x:c r="P836" t="str">
        <x:v>Liberada Para Producao</x:v>
      </x:c>
      <x:c r="Q836" t="str">
        <x:v>609073</x:v>
      </x:c>
      <x:c r="R836" t="str">
        <x:v>0</x:v>
      </x:c>
      <x:c r="S836" t="str"/>
      <x:c r="T836" t="str"/>
      <x:c r="U836" t="str"/>
      <x:c r="V836" t="str"/>
      <x:c r="W836" t="str">
        <x:v>N/A</x:v>
      </x:c>
      <x:c r="X836" t="str">
        <x:v>0</x:v>
      </x:c>
      <x:c r="Y836" t="str">
        <x:v>0</x:v>
      </x:c>
      <x:c r="Z836" t="str">
        <x:v>0</x:v>
      </x:c>
      <x:c r="AA836" t="str">
        <x:v>N/A</x:v>
      </x:c>
      <x:c r="AB836" t="str">
        <x:v>N/A</x:v>
      </x:c>
      <x:c r="AC836" t="str">
        <x:v>N/A</x:v>
      </x:c>
      <x:c r="AD836" t="str">
        <x:v>N/A</x:v>
      </x:c>
      <x:c r="AE836" t="str">
        <x:v>N/A</x:v>
      </x:c>
    </x:row>
    <x:row r="837">
      <x:c r="A837" t="str">
        <x:v>51</x:v>
      </x:c>
      <x:c r="B837" t="str">
        <x:v>26826</x:v>
      </x:c>
      <x:c r="C837" t="str">
        <x:v>6</x:v>
      </x:c>
      <x:c r="D837" t="str">
        <x:v>985577</x:v>
      </x:c>
      <x:c r="E837" t="str">
        <x:v>T A 1100X50X9 RTO LME PET BCO TXT (STD)</x:v>
      </x:c>
      <x:c r="F837" t="str">
        <x:v>REG 2L(MAIOR 55MM)</x:v>
      </x:c>
      <x:c r="G837" t="str"/>
      <x:c r="H837" t="str"/>
      <x:c r="I837" t="str">
        <x:v>RECOBERTO PET TXT</x:v>
      </x:c>
      <x:c r="J837" t="str">
        <x:v>BRANCO</x:v>
      </x:c>
      <x:c r="K837" t="str">
        <x:v>0</x:v>
      </x:c>
      <x:c r="L837" t="str">
        <x:v>115</x:v>
      </x:c>
      <x:c r="M837" t="str">
        <x:v>0</x:v>
      </x:c>
      <x:c r="N837" t="str"/>
      <x:c r="O837" t="str"/>
      <x:c r="P837" t="str">
        <x:v>Liberada Para Producao</x:v>
      </x:c>
      <x:c r="Q837" t="str">
        <x:v>609074</x:v>
      </x:c>
      <x:c r="R837" t="str">
        <x:v>0</x:v>
      </x:c>
      <x:c r="S837" t="str"/>
      <x:c r="T837" t="str"/>
      <x:c r="U837" t="str"/>
      <x:c r="V837" t="str"/>
      <x:c r="W837" t="str">
        <x:v>N/A</x:v>
      </x:c>
      <x:c r="X837" t="str">
        <x:v>0</x:v>
      </x:c>
      <x:c r="Y837" t="str">
        <x:v>0</x:v>
      </x:c>
      <x:c r="Z837" t="str">
        <x:v>0</x:v>
      </x:c>
      <x:c r="AA837" t="str">
        <x:v>0</x:v>
      </x:c>
      <x:c r="AB837" t="str">
        <x:v>N/A</x:v>
      </x:c>
      <x:c r="AC837" t="str">
        <x:v>N/A</x:v>
      </x:c>
      <x:c r="AD837" t="str">
        <x:v>N/A</x:v>
      </x:c>
      <x:c r="AE837" t="str">
        <x:v>N/A</x:v>
      </x:c>
    </x:row>
    <x:row r="838">
      <x:c r="A838" t="str">
        <x:v>51</x:v>
      </x:c>
      <x:c r="B838" t="str">
        <x:v>26826</x:v>
      </x:c>
      <x:c r="C838" t="str">
        <x:v>6</x:v>
      </x:c>
      <x:c r="D838" t="str">
        <x:v>986505</x:v>
      </x:c>
      <x:c r="E838" t="str">
        <x:v>T A 1100X50X9 RT RL55 PET BCO TXT (STD)</x:v>
      </x:c>
      <x:c r="F838" t="str">
        <x:v>REG 2L(MAIOR 55MM)</x:v>
      </x:c>
      <x:c r="G838" t="str"/>
      <x:c r="H838" t="str"/>
      <x:c r="I838" t="str">
        <x:v>RECOBERTO PET TXT</x:v>
      </x:c>
      <x:c r="J838" t="str">
        <x:v>BRANCO</x:v>
      </x:c>
      <x:c r="K838" t="str">
        <x:v>0</x:v>
      </x:c>
      <x:c r="L838" t="str">
        <x:v>115</x:v>
      </x:c>
      <x:c r="M838" t="str">
        <x:v>0</x:v>
      </x:c>
      <x:c r="N838" t="str"/>
      <x:c r="O838" t="str"/>
      <x:c r="P838" t="str">
        <x:v>Liberada Para Producao</x:v>
      </x:c>
      <x:c r="Q838" t="str">
        <x:v>609075</x:v>
      </x:c>
      <x:c r="R838" t="str">
        <x:v>0</x:v>
      </x:c>
      <x:c r="S838" t="str"/>
      <x:c r="T838" t="str"/>
      <x:c r="U838" t="str"/>
      <x:c r="V838" t="str"/>
      <x:c r="W838" t="str">
        <x:v>N/A</x:v>
      </x:c>
      <x:c r="X838" t="str">
        <x:v>0</x:v>
      </x:c>
      <x:c r="Y838" t="str">
        <x:v>0</x:v>
      </x:c>
      <x:c r="Z838" t="str">
        <x:v>0</x:v>
      </x:c>
      <x:c r="AA838" t="str">
        <x:v>0</x:v>
      </x:c>
      <x:c r="AB838" t="str">
        <x:v>N/A</x:v>
      </x:c>
      <x:c r="AC838" t="str">
        <x:v>N/A</x:v>
      </x:c>
      <x:c r="AD838" t="str">
        <x:v>N/A</x:v>
      </x:c>
      <x:c r="AE838" t="str">
        <x:v>N/A</x:v>
      </x:c>
    </x:row>
    <x:row r="839">
      <x:c r="A839" t="str"/>
      <x:c r="B839" t="str"/>
      <x:c r="C839" t="str"/>
      <x:c r="D839" t="str"/>
      <x:c r="E839" t="str"/>
      <x:c r="F839" t="str"/>
      <x:c r="G839" t="str"/>
      <x:c r="H839" t="str"/>
      <x:c r="I839" t="str"/>
      <x:c r="J839" t="str"/>
      <x:c r="K839" t="str"/>
      <x:c r="L839" t="str"/>
      <x:c r="M839" t="str">
        <x:v>238,363</x:v>
      </x:c>
      <x:c r="N839" t="str"/>
      <x:c r="O839" t="str"/>
      <x:c r="P839" t="str"/>
      <x:c r="Q839" t="str"/>
      <x:c r="R839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t="str"/>
      <x:c r="AD839" t="str"/>
      <x:c r="AE839" t="str"/>
    </x:row>
    <x:row r="840">
      <x:c r="A840" t="str"/>
      <x:c r="B840" t="str"/>
      <x:c r="C840" t="str"/>
      <x:c r="D840" t="str"/>
      <x:c r="E840" t="str"/>
      <x:c r="F840" t="str"/>
      <x:c r="G840" t="str"/>
      <x:c r="H840" t="str"/>
      <x:c r="I840" t="str"/>
      <x:c r="J840" t="str"/>
      <x:c r="K840" t="str"/>
      <x:c r="L840" t="str"/>
      <x:c r="M840" t="str"/>
      <x:c r="N840" t="str"/>
      <x:c r="O840" t="str"/>
      <x:c r="P840" t="str"/>
      <x:c r="Q840" t="str"/>
      <x:c r="R840" t="str"/>
      <x:c r="S840" t="str"/>
      <x:c r="T840" t="str"/>
      <x:c r="U840" t="str"/>
      <x:c r="V840" t="str"/>
      <x:c r="W840" t="str"/>
      <x:c r="X840" t="str"/>
      <x:c r="Y840" t="str"/>
      <x:c r="Z840" t="str"/>
      <x:c r="AA840" t="str"/>
      <x:c r="AB840" t="str"/>
      <x:c r="AC840" t="str"/>
      <x:c r="AD840" t="str"/>
      <x:c r="AE840" t="str"/>
    </x:row>
    <x:row r="841">
      <x:c r="A841" t="str"/>
      <x:c r="B841" t="str"/>
      <x:c r="C841" t="str"/>
      <x:c r="D841" t="str"/>
      <x:c r="E841" t="str"/>
      <x:c r="F841" t="str"/>
      <x:c r="G841" t="str"/>
      <x:c r="H841" t="str"/>
      <x:c r="I841" t="str"/>
      <x:c r="J841" t="str"/>
      <x:c r="K841" t="str"/>
      <x:c r="L841" t="str"/>
      <x:c r="M841" t="str"/>
      <x:c r="N841" t="str"/>
      <x:c r="O841" t="str"/>
      <x:c r="P841" t="str"/>
      <x:c r="Q841" t="str"/>
      <x:c r="R841" t="str"/>
      <x:c r="S841" t="str"/>
      <x:c r="T841" t="str"/>
      <x:c r="U841" t="str"/>
      <x:c r="V841" t="str"/>
      <x:c r="W841" t="str"/>
      <x:c r="X841" t="str"/>
      <x:c r="Y841" t="str"/>
      <x:c r="Z841" t="str"/>
      <x:c r="AA841" t="str"/>
      <x:c r="AB841" t="str"/>
      <x:c r="AC841" t="str"/>
      <x:c r="AD841" t="str"/>
      <x:c r="AE841" t="str"/>
    </x:row>
    <x:row r="842">
      <x:c r="A842" t="str"/>
      <x:c r="B842" t="str"/>
      <x:c r="C842" t="str"/>
      <x:c r="D842" t="str"/>
      <x:c r="E842" t="str"/>
      <x:c r="F842" t="str"/>
      <x:c r="G842" t="str"/>
      <x:c r="H842" t="str"/>
      <x:c r="I842" t="str"/>
      <x:c r="J842" t="str"/>
      <x:c r="K842" t="str"/>
      <x:c r="L842" t="str">
        <x:v>1500</x:v>
      </x:c>
      <x:c r="M842" t="str"/>
      <x:c r="N842" t="str"/>
      <x:c r="O842" t="str"/>
      <x:c r="P842" t="str"/>
      <x:c r="Q842" t="str"/>
      <x:c r="R842" t="str"/>
      <x:c r="S842" t="str"/>
      <x:c r="T842" t="str"/>
      <x:c r="U842" t="str"/>
      <x:c r="V842" t="str"/>
      <x:c r="W842" t="str"/>
      <x:c r="X842" t="str"/>
      <x:c r="Y842" t="str"/>
      <x:c r="Z842" t="str"/>
      <x:c r="AA842" t="str"/>
      <x:c r="AB842" t="str"/>
      <x:c r="AC842" t="str"/>
      <x:c r="AD842" t="str"/>
      <x:c r="AE84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PREPARAÇÃO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PREPARAÇÃO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26809</x:v>
      </x:c>
      <x:c r="C5" s="218" t="str">
        <x:v>9</x:v>
      </x:c>
      <x:c r="D5" s="218" t="str">
        <x:v>609948</x:v>
      </x:c>
      <x:c r="E5" s="218" t="str">
        <x:v>2010701240</x:v>
      </x:c>
      <x:c r="F5" s="218" t="str">
        <x:v>BATENTE</x:v>
      </x:c>
      <x:c r="G5" s="184" t="str">
        <x:v>M ULTRA PET CAP M 2130X290X30 S/REB R2L</x:v>
      </x:c>
      <x:c r="H5" s="184" t="str">
        <x:v>MDF ULTRA</x:v>
      </x:c>
      <x:c r="I5" s="184" t="str">
        <x:v>S/CANAL</x:v>
      </x:c>
      <x:c r="J5" s="184" t="str">
        <x:v>S/REB</x:v>
      </x:c>
      <x:c r="K5" s="184" t="str">
        <x:v>RECOBERTO PET</x:v>
      </x:c>
      <x:c r="L5" s="184" t="str">
        <x:v>CAPUCCINO MARCHE</x:v>
      </x:c>
      <x:c r="M5" s="205" t="n">
        <x:v>2</x:v>
      </x:c>
      <x:c r="N5" s="205" t="n">
        <x:v>2130</x:v>
      </x:c>
      <x:c r="O5" s="205" t="n">
        <x:v>290</x:v>
      </x:c>
      <x:c r="P5" s="205" t="n">
        <x:v>30</x:v>
      </x:c>
      <x:c r="Q5" s="206" t="n">
        <x:v>0.037</x:v>
      </x:c>
      <x:c r="R5" s="207" t="str"/>
      <x:c r="S5" s="207" t="str"/>
      <x:c r="T5" s="207" t="str"/>
      <x:c r="U5" s="207" t="n">
        <x:v>2</x:v>
      </x:c>
      <x:c r="V5" s="208" t="n">
        <x:f>MAX(0,M5-U5)</x:f>
        <x:v>0</x:v>
      </x:c>
      <x:c r="W5" s="209" t="n">
        <x:f>IFERROR(U5/M5,0)</x:f>
        <x:v>1</x:v>
      </x:c>
      <x:c r="X5" s="201" t="str">
        <x:f>IF(U5=0,"Não iniciado",IF(U5&gt;=M5,"Concluído","Parcial"))</x:f>
        <x:v>Concluído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26809</x:v>
      </x:c>
      <x:c r="C6" s="220" t="str">
        <x:v>2</x:v>
      </x:c>
      <x:c r="D6" s="220" t="str">
        <x:v>609931</x:v>
      </x:c>
      <x:c r="E6" s="220" t="str">
        <x:v>2010701238</x:v>
      </x:c>
      <x:c r="F6" s="220" t="str">
        <x:v>BATENTE</x:v>
      </x:c>
      <x:c r="G6" s="190" t="str">
        <x:v>M ULTRA PET CAP M 2110X270X30 42X10 R2L</x:v>
      </x:c>
      <x:c r="H6" s="190" t="str">
        <x:v>MDF ULTRA</x:v>
      </x:c>
      <x:c r="I6" s="190" t="str">
        <x:v>C/BORRACHA I APLICADA</x:v>
      </x:c>
      <x:c r="J6" s="190" t="str">
        <x:v>C/REB 42X10</x:v>
      </x:c>
      <x:c r="K6" s="190" t="str">
        <x:v>RECOBERTO PET</x:v>
      </x:c>
      <x:c r="L6" s="190" t="str">
        <x:v>CAPUCCINO MARCHE</x:v>
      </x:c>
      <x:c r="M6" s="210" t="n">
        <x:v>2</x:v>
      </x:c>
      <x:c r="N6" s="210" t="n">
        <x:v>2110</x:v>
      </x:c>
      <x:c r="O6" s="210" t="n">
        <x:v>270</x:v>
      </x:c>
      <x:c r="P6" s="210" t="n">
        <x:v>30</x:v>
      </x:c>
      <x:c r="Q6" s="211" t="n">
        <x:v>0.034</x:v>
      </x:c>
      <x:c r="R6" s="207" t="str"/>
      <x:c r="S6" s="207" t="str"/>
      <x:c r="T6" s="207" t="str"/>
      <x:c r="U6" s="207" t="n">
        <x:v>2</x:v>
      </x:c>
      <x:c r="V6" s="208" t="n">
        <x:f>MAX(0,M6-U6)</x:f>
        <x:v>0</x:v>
      </x:c>
      <x:c r="W6" s="209" t="n">
        <x:f>IFERROR(U6/M6,0)</x:f>
        <x:v>1</x:v>
      </x:c>
      <x:c r="X6" s="201" t="str">
        <x:f>IF(U6=0,"Não iniciado",IF(U6&gt;=M6,"Concluído","Parcial"))</x:f>
        <x:v>Concluído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26809</x:v>
      </x:c>
      <x:c r="C7" s="218" t="str">
        <x:v>7</x:v>
      </x:c>
      <x:c r="D7" s="218" t="str">
        <x:v>609944</x:v>
      </x:c>
      <x:c r="E7" s="218" t="str">
        <x:v>2010701238</x:v>
      </x:c>
      <x:c r="F7" s="218" t="str">
        <x:v>BATENTE</x:v>
      </x:c>
      <x:c r="G7" s="184" t="str">
        <x:v>M ULTRA PET CAP M 2110X270X30 42X10 R2L</x:v>
      </x:c>
      <x:c r="H7" s="184" t="str">
        <x:v>MDF ULTRA</x:v>
      </x:c>
      <x:c r="I7" s="184" t="str">
        <x:v>C/BORRACHA I APLICADA</x:v>
      </x:c>
      <x:c r="J7" s="184" t="str">
        <x:v>C/REB 42X10</x:v>
      </x:c>
      <x:c r="K7" s="184" t="str">
        <x:v>RECOBERTO PET</x:v>
      </x:c>
      <x:c r="L7" s="184" t="str">
        <x:v>CAPUCCINO MARCHE</x:v>
      </x:c>
      <x:c r="M7" s="205" t="n">
        <x:v>2</x:v>
      </x:c>
      <x:c r="N7" s="205" t="n">
        <x:v>2110</x:v>
      </x:c>
      <x:c r="O7" s="205" t="n">
        <x:v>270</x:v>
      </x:c>
      <x:c r="P7" s="205" t="n">
        <x:v>30</x:v>
      </x:c>
      <x:c r="Q7" s="206" t="n">
        <x:v>0.034</x:v>
      </x:c>
      <x:c r="R7" s="207" t="str"/>
      <x:c r="S7" s="207" t="str"/>
      <x:c r="T7" s="207" t="str"/>
      <x:c r="U7" s="207" t="n">
        <x:v>2</x:v>
      </x:c>
      <x:c r="V7" s="208" t="n">
        <x:f>MAX(0,M7-U7)</x:f>
        <x:v>0</x:v>
      </x:c>
      <x:c r="W7" s="209" t="n">
        <x:f>IFERROR(U7/M7,0)</x:f>
        <x:v>1</x:v>
      </x:c>
      <x:c r="X7" s="201" t="str">
        <x:f>IF(U7=0,"Não iniciado",IF(U7&gt;=M7,"Concluído","Parcial"))</x:f>
        <x:v>Concluído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26809</x:v>
      </x:c>
      <x:c r="C8" s="220" t="str">
        <x:v>7</x:v>
      </x:c>
      <x:c r="D8" s="220" t="str">
        <x:v>609945</x:v>
      </x:c>
      <x:c r="E8" s="220" t="str">
        <x:v>2010701239</x:v>
      </x:c>
      <x:c r="F8" s="220" t="str">
        <x:v>BATENTE</x:v>
      </x:c>
      <x:c r="G8" s="190" t="str">
        <x:v>M ULTRA PET CAP M 947X270X30 42X10 R2L M</x:v>
      </x:c>
      <x:c r="H8" s="190" t="str">
        <x:v>MDF ULTRA</x:v>
      </x:c>
      <x:c r="I8" s="190" t="str">
        <x:v>C/BORRACHA I APLICADA</x:v>
      </x:c>
      <x:c r="J8" s="190" t="str">
        <x:v>C/REB 42X10</x:v>
      </x:c>
      <x:c r="K8" s="190" t="str">
        <x:v>RECOBERTO PET</x:v>
      </x:c>
      <x:c r="L8" s="190" t="str">
        <x:v>CAPUCCINO MARCHE</x:v>
      </x:c>
      <x:c r="M8" s="210" t="n">
        <x:v>1</x:v>
      </x:c>
      <x:c r="N8" s="210" t="n">
        <x:v>947</x:v>
      </x:c>
      <x:c r="O8" s="210" t="n">
        <x:v>270</x:v>
      </x:c>
      <x:c r="P8" s="210" t="n">
        <x:v>30</x:v>
      </x:c>
      <x:c r="Q8" s="211" t="n">
        <x:v>0.008</x:v>
      </x:c>
      <x:c r="R8" s="207" t="str"/>
      <x:c r="S8" s="207" t="str"/>
      <x:c r="T8" s="207" t="str"/>
      <x:c r="U8" s="207" t="n">
        <x:v>1</x:v>
      </x:c>
      <x:c r="V8" s="208" t="n">
        <x:f>MAX(0,M8-U8)</x:f>
        <x:v>0</x:v>
      </x:c>
      <x:c r="W8" s="209" t="n">
        <x:f>IFERROR(U8/M8,0)</x:f>
        <x:v>1</x:v>
      </x:c>
      <x:c r="X8" s="201" t="str">
        <x:f>IF(U8=0,"Não iniciado",IF(U8&gt;=M8,"Concluído","Parcial"))</x:f>
        <x:v>Concluído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26809</x:v>
      </x:c>
      <x:c r="C9" s="218" t="str">
        <x:v>2</x:v>
      </x:c>
      <x:c r="D9" s="218" t="str">
        <x:v>609932</x:v>
      </x:c>
      <x:c r="E9" s="218" t="str">
        <x:v>2010701242</x:v>
      </x:c>
      <x:c r="F9" s="218" t="str">
        <x:v>BATENTE</x:v>
      </x:c>
      <x:c r="G9" s="184" t="str">
        <x:v>M ULTRA PET CAP M 747X270X30 42X10 R2L M</x:v>
      </x:c>
      <x:c r="H9" s="184" t="str">
        <x:v>MDF ULTRA</x:v>
      </x:c>
      <x:c r="I9" s="184" t="str">
        <x:v>C/BORRACHA I APLICADA</x:v>
      </x:c>
      <x:c r="J9" s="184" t="str">
        <x:v>C/REB 42X10</x:v>
      </x:c>
      <x:c r="K9" s="184" t="str">
        <x:v>RECOBERTO PET</x:v>
      </x:c>
      <x:c r="L9" s="184" t="str">
        <x:v>CAPUCCINO MARCHE</x:v>
      </x:c>
      <x:c r="M9" s="205" t="n">
        <x:v>1</x:v>
      </x:c>
      <x:c r="N9" s="205" t="n">
        <x:v>747</x:v>
      </x:c>
      <x:c r="O9" s="205" t="n">
        <x:v>270</x:v>
      </x:c>
      <x:c r="P9" s="205" t="n">
        <x:v>30</x:v>
      </x:c>
      <x:c r="Q9" s="206" t="n">
        <x:v>0.006</x:v>
      </x:c>
      <x:c r="R9" s="207" t="str"/>
      <x:c r="S9" s="207" t="str"/>
      <x:c r="T9" s="207" t="str"/>
      <x:c r="U9" s="207" t="n">
        <x:v>1</x:v>
      </x:c>
      <x:c r="V9" s="208" t="n">
        <x:f>MAX(0,M9-U9)</x:f>
        <x:v>0</x:v>
      </x:c>
      <x:c r="W9" s="209" t="n">
        <x:f>IFERROR(U9/M9,0)</x:f>
        <x:v>1</x:v>
      </x:c>
      <x:c r="X9" s="201" t="str">
        <x:f>IF(U9=0,"Não iniciado",IF(U9&gt;=M9,"Concluído","Parcial"))</x:f>
        <x:v>Concluído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26809</x:v>
      </x:c>
      <x:c r="C10" s="220" t="str">
        <x:v>6</x:v>
      </x:c>
      <x:c r="D10" s="220" t="str">
        <x:v>609941</x:v>
      </x:c>
      <x:c r="E10" s="220" t="str">
        <x:v>2010701236</x:v>
      </x:c>
      <x:c r="F10" s="220" t="str">
        <x:v>BATENTE</x:v>
      </x:c>
      <x:c r="G10" s="190" t="str">
        <x:v>M ULTRA PET CAP M 2110X250X30 42X10 R2L</x:v>
      </x:c>
      <x:c r="H10" s="190" t="str">
        <x:v>MDF ULTRA</x:v>
      </x:c>
      <x:c r="I10" s="190" t="str">
        <x:v>C/BORRACHA I APLICADA</x:v>
      </x:c>
      <x:c r="J10" s="190" t="str">
        <x:v>C/REB 42X10</x:v>
      </x:c>
      <x:c r="K10" s="190" t="str">
        <x:v>RECOBERTO PET</x:v>
      </x:c>
      <x:c r="L10" s="190" t="str">
        <x:v>CAPUCCINO MARCHE</x:v>
      </x:c>
      <x:c r="M10" s="210" t="n">
        <x:v>6</x:v>
      </x:c>
      <x:c r="N10" s="210" t="n">
        <x:v>2110</x:v>
      </x:c>
      <x:c r="O10" s="210" t="n">
        <x:v>250</x:v>
      </x:c>
      <x:c r="P10" s="210" t="n">
        <x:v>30</x:v>
      </x:c>
      <x:c r="Q10" s="211" t="n">
        <x:v>0.095</x:v>
      </x:c>
      <x:c r="R10" s="207" t="str"/>
      <x:c r="S10" s="207" t="str"/>
      <x:c r="T10" s="207" t="str"/>
      <x:c r="U10" s="207" t="n">
        <x:v>6</x:v>
      </x:c>
      <x:c r="V10" s="208" t="n">
        <x:f>MAX(0,M10-U10)</x:f>
        <x:v>0</x:v>
      </x:c>
      <x:c r="W10" s="209" t="n">
        <x:f>IFERROR(U10/M10,0)</x:f>
        <x:v>1</x:v>
      </x:c>
      <x:c r="X10" s="201" t="str">
        <x:f>IF(U10=0,"Não iniciado",IF(U10&gt;=M10,"Concluído","Parcial"))</x:f>
        <x:v>Concluído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26809</x:v>
      </x:c>
      <x:c r="C11" s="218" t="str">
        <x:v>6</x:v>
      </x:c>
      <x:c r="D11" s="218" t="str">
        <x:v>609942</x:v>
      </x:c>
      <x:c r="E11" s="218" t="str">
        <x:v>2010701237</x:v>
      </x:c>
      <x:c r="F11" s="218" t="str">
        <x:v>BATENTE</x:v>
      </x:c>
      <x:c r="G11" s="184" t="str">
        <x:v>M ULTRA PET CAP M 947X250X30 42X10 R2L M</x:v>
      </x:c>
      <x:c r="H11" s="184" t="str">
        <x:v>MDF ULTRA</x:v>
      </x:c>
      <x:c r="I11" s="184" t="str">
        <x:v>C/BORRACHA I APLICADA</x:v>
      </x:c>
      <x:c r="J11" s="184" t="str">
        <x:v>C/REB 42X10</x:v>
      </x:c>
      <x:c r="K11" s="184" t="str">
        <x:v>RECOBERTO PET</x:v>
      </x:c>
      <x:c r="L11" s="184" t="str">
        <x:v>CAPUCCINO MARCHE</x:v>
      </x:c>
      <x:c r="M11" s="205" t="n">
        <x:v>3</x:v>
      </x:c>
      <x:c r="N11" s="205" t="n">
        <x:v>947</x:v>
      </x:c>
      <x:c r="O11" s="205" t="n">
        <x:v>250</x:v>
      </x:c>
      <x:c r="P11" s="205" t="n">
        <x:v>30</x:v>
      </x:c>
      <x:c r="Q11" s="206" t="n">
        <x:v>0.021</x:v>
      </x:c>
      <x:c r="R11" s="207" t="str"/>
      <x:c r="S11" s="207" t="str"/>
      <x:c r="T11" s="207" t="str"/>
      <x:c r="U11" s="207" t="n">
        <x:v>3</x:v>
      </x:c>
      <x:c r="V11" s="208" t="n">
        <x:f>MAX(0,M11-U11)</x:f>
        <x:v>0</x:v>
      </x:c>
      <x:c r="W11" s="209" t="n">
        <x:f>IFERROR(U11/M11,0)</x:f>
        <x:v>1</x:v>
      </x:c>
      <x:c r="X11" s="201" t="str">
        <x:f>IF(U11=0,"Não iniciado",IF(U11&gt;=M11,"Concluído","Parcial"))</x:f>
        <x:v>Concluído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26750</x:v>
      </x:c>
      <x:c r="C12" s="220" t="str">
        <x:v>3</x:v>
      </x:c>
      <x:c r="D12" s="220" t="str">
        <x:v>609791</x:v>
      </x:c>
      <x:c r="E12" s="220" t="str">
        <x:v>2010701231</x:v>
      </x:c>
      <x:c r="F12" s="220" t="str">
        <x:v>BATENTE</x:v>
      </x:c>
      <x:c r="G12" s="190" t="str">
        <x:v>M ULTRA PVC R BCO 2130X190X30 S/REB R2L</x:v>
      </x:c>
      <x:c r="H12" s="190" t="str">
        <x:v>MDF ULTRA</x:v>
      </x:c>
      <x:c r="I12" s="190" t="str">
        <x:v>S/CANAL</x:v>
      </x:c>
      <x:c r="J12" s="190" t="str">
        <x:v>S/REB</x:v>
      </x:c>
      <x:c r="K12" s="190" t="str">
        <x:v>RECOBERTO PVC RENOLIT</x:v>
      </x:c>
      <x:c r="L12" s="190" t="str">
        <x:v>BRANCO</x:v>
      </x:c>
      <x:c r="M12" s="210" t="n">
        <x:v>4</x:v>
      </x:c>
      <x:c r="N12" s="210" t="n">
        <x:v>2130</x:v>
      </x:c>
      <x:c r="O12" s="210" t="n">
        <x:v>190</x:v>
      </x:c>
      <x:c r="P12" s="210" t="n">
        <x:v>30</x:v>
      </x:c>
      <x:c r="Q12" s="211" t="n">
        <x:v>0.049</x:v>
      </x:c>
      <x:c r="R12" s="207" t="str"/>
      <x:c r="S12" s="207" t="str"/>
      <x:c r="T12" s="207" t="str"/>
      <x:c r="U12" s="207" t="n">
        <x:v>4</x:v>
      </x:c>
      <x:c r="V12" s="208" t="n">
        <x:f>MAX(0,M12-U12)</x:f>
        <x:v>0</x:v>
      </x:c>
      <x:c r="W12" s="209" t="n">
        <x:f>IFERROR(U12/M12,0)</x:f>
        <x:v>1</x:v>
      </x:c>
      <x:c r="X12" s="201" t="str">
        <x:f>IF(U12=0,"Não iniciado",IF(U12&gt;=M12,"Concluído","Parcial"))</x:f>
        <x:v>Concluído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26739</x:v>
      </x:c>
      <x:c r="C13" s="218" t="str">
        <x:v>2</x:v>
      </x:c>
      <x:c r="D13" s="218" t="str">
        <x:v>609628</x:v>
      </x:c>
      <x:c r="E13" s="218" t="str">
        <x:v>2010701226</x:v>
      </x:c>
      <x:c r="F13" s="218" t="str">
        <x:v>BATENTE</x:v>
      </x:c>
      <x:c r="G13" s="184" t="str">
        <x:v>M ULTRA PVC R BCO 2130X170X30 S/REB R2L</x:v>
      </x:c>
      <x:c r="H13" s="184" t="str">
        <x:v>MDF ULTRA</x:v>
      </x:c>
      <x:c r="I13" s="184" t="str">
        <x:v>S/CANAL</x:v>
      </x:c>
      <x:c r="J13" s="184" t="str">
        <x:v>S/REB</x:v>
      </x:c>
      <x:c r="K13" s="184" t="str">
        <x:v>RECOBERTO PVC RENOLIT</x:v>
      </x:c>
      <x:c r="L13" s="184" t="str">
        <x:v>BRANCO</x:v>
      </x:c>
      <x:c r="M13" s="205" t="n">
        <x:v>32</x:v>
      </x:c>
      <x:c r="N13" s="205" t="n">
        <x:v>2130</x:v>
      </x:c>
      <x:c r="O13" s="205" t="n">
        <x:v>170</x:v>
      </x:c>
      <x:c r="P13" s="205" t="n">
        <x:v>30</x:v>
      </x:c>
      <x:c r="Q13" s="206" t="n">
        <x:v>0.348</x:v>
      </x:c>
      <x:c r="R13" s="207" t="str"/>
      <x:c r="S13" s="207" t="str"/>
      <x:c r="T13" s="207" t="str"/>
      <x:c r="U13" s="207" t="n">
        <x:v>32</x:v>
      </x:c>
      <x:c r="V13" s="208" t="n">
        <x:f>MAX(0,M13-U13)</x:f>
        <x:v>0</x:v>
      </x:c>
      <x:c r="W13" s="209" t="n">
        <x:f>IFERROR(U13/M13,0)</x:f>
        <x:v>1</x:v>
      </x:c>
      <x:c r="X13" s="201" t="str">
        <x:f>IF(U13=0,"Não iniciado",IF(U13&gt;=M13,"Concluído","Parcial"))</x:f>
        <x:v>Concluído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26750</x:v>
      </x:c>
      <x:c r="C14" s="220" t="str">
        <x:v>2</x:v>
      </x:c>
      <x:c r="D14" s="220" t="str">
        <x:v>609788</x:v>
      </x:c>
      <x:c r="E14" s="220" t="str">
        <x:v>2010701226</x:v>
      </x:c>
      <x:c r="F14" s="220" t="str">
        <x:v>BATENTE</x:v>
      </x:c>
      <x:c r="G14" s="190" t="str">
        <x:v>M ULTRA PVC R BCO 2130X170X30 S/REB R2L</x:v>
      </x:c>
      <x:c r="H14" s="190" t="str">
        <x:v>MDF ULTRA</x:v>
      </x:c>
      <x:c r="I14" s="190" t="str">
        <x:v>S/CANAL</x:v>
      </x:c>
      <x:c r="J14" s="190" t="str">
        <x:v>S/REB</x:v>
      </x:c>
      <x:c r="K14" s="190" t="str">
        <x:v>RECOBERTO PVC RENOLIT</x:v>
      </x:c>
      <x:c r="L14" s="190" t="str">
        <x:v>BRANCO</x:v>
      </x:c>
      <x:c r="M14" s="210" t="n">
        <x:v>18</x:v>
      </x:c>
      <x:c r="N14" s="210" t="n">
        <x:v>2130</x:v>
      </x:c>
      <x:c r="O14" s="210" t="n">
        <x:v>170</x:v>
      </x:c>
      <x:c r="P14" s="210" t="n">
        <x:v>30</x:v>
      </x:c>
      <x:c r="Q14" s="211" t="n">
        <x:v>0.196</x:v>
      </x:c>
      <x:c r="R14" s="207" t="str"/>
      <x:c r="S14" s="207" t="str"/>
      <x:c r="T14" s="207" t="str"/>
      <x:c r="U14" s="207" t="n">
        <x:v>18</x:v>
      </x:c>
      <x:c r="V14" s="208" t="n">
        <x:f>MAX(0,M14-U14)</x:f>
        <x:v>0</x:v>
      </x:c>
      <x:c r="W14" s="209" t="n">
        <x:f>IFERROR(U14/M14,0)</x:f>
        <x:v>1</x:v>
      </x:c>
      <x:c r="X14" s="201" t="str">
        <x:f>IF(U14=0,"Não iniciado",IF(U14&gt;=M14,"Concluído","Parcial"))</x:f>
        <x:v>Concluído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26744</x:v>
      </x:c>
      <x:c r="C15" s="218" t="str">
        <x:v>5</x:v>
      </x:c>
      <x:c r="D15" s="218" t="str">
        <x:v>610015</x:v>
      </x:c>
      <x:c r="E15" s="218" t="str">
        <x:v>675290</x:v>
      </x:c>
      <x:c r="F15" s="218" t="str">
        <x:v>BATENTE</x:v>
      </x:c>
      <x:c r="G15" s="184" t="str">
        <x:v>2130x130x30 S/REB R2L PET BCO (PREMIUM)</x:v>
      </x:c>
      <x:c r="H15" s="184" t="str">
        <x:v>MAD D/PINUS</x:v>
      </x:c>
      <x:c r="I15" s="184" t="str">
        <x:v>S/CANAL</x:v>
      </x:c>
      <x:c r="J15" s="184" t="str">
        <x:v>S/REB</x:v>
      </x:c>
      <x:c r="K15" s="184" t="str">
        <x:v>RECOBERTO PET</x:v>
      </x:c>
      <x:c r="L15" s="184" t="str">
        <x:v>BRANCO CARRARA</x:v>
      </x:c>
      <x:c r="M15" s="205" t="n">
        <x:v>4</x:v>
      </x:c>
      <x:c r="N15" s="205" t="n">
        <x:v>2130</x:v>
      </x:c>
      <x:c r="O15" s="205" t="n">
        <x:v>130</x:v>
      </x:c>
      <x:c r="P15" s="205" t="n">
        <x:v>30</x:v>
      </x:c>
      <x:c r="Q15" s="206" t="n">
        <x:v>0</x:v>
      </x:c>
      <x:c r="R15" s="207" t="str"/>
      <x:c r="S15" s="207" t="str"/>
      <x:c r="T15" s="207" t="str"/>
      <x:c r="U15" s="207" t="n">
        <x:v>4</x:v>
      </x:c>
      <x:c r="V15" s="208" t="n">
        <x:f>MAX(0,M15-U15)</x:f>
        <x:v>0</x:v>
      </x:c>
      <x:c r="W15" s="209" t="n">
        <x:f>IFERROR(U15/M15,0)</x:f>
        <x:v>1</x:v>
      </x:c>
      <x:c r="X15" s="201" t="str">
        <x:f>IF(U15=0,"Não iniciado",IF(U15&gt;=M15,"Concluído","Parcial"))</x:f>
        <x:v>Concluído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26744</x:v>
      </x:c>
      <x:c r="C16" s="220" t="str">
        <x:v>5</x:v>
      </x:c>
      <x:c r="D16" s="220" t="str">
        <x:v>610016</x:v>
      </x:c>
      <x:c r="E16" s="220" t="str">
        <x:v>676650</x:v>
      </x:c>
      <x:c r="F16" s="220" t="str">
        <x:v>BATENTE</x:v>
      </x:c>
      <x:c r="G16" s="190" t="str">
        <x:v>1000x130x30 S/REB R1L(MA) PET BCO (REC)</x:v>
      </x:c>
      <x:c r="H16" s="190" t="str">
        <x:v>MAD D/PINUS</x:v>
      </x:c>
      <x:c r="I16" s="190" t="str">
        <x:v>S/CANAL</x:v>
      </x:c>
      <x:c r="J16" s="190" t="str">
        <x:v>S/REB</x:v>
      </x:c>
      <x:c r="K16" s="190" t="str">
        <x:v>RECOBERTO PET</x:v>
      </x:c>
      <x:c r="L16" s="190" t="str">
        <x:v>BRANCO CARRARA</x:v>
      </x:c>
      <x:c r="M16" s="210" t="n">
        <x:v>2</x:v>
      </x:c>
      <x:c r="N16" s="210" t="n">
        <x:v>1000</x:v>
      </x:c>
      <x:c r="O16" s="210" t="n">
        <x:v>130</x:v>
      </x:c>
      <x:c r="P16" s="210" t="n">
        <x:v>30</x:v>
      </x:c>
      <x:c r="Q16" s="211" t="n">
        <x:v>0</x:v>
      </x:c>
      <x:c r="R16" s="207" t="str"/>
      <x:c r="S16" s="207" t="str"/>
      <x:c r="T16" s="207" t="str"/>
      <x:c r="U16" s="207" t="n">
        <x:v>2</x:v>
      </x:c>
      <x:c r="V16" s="208" t="n">
        <x:f>MAX(0,M16-U16)</x:f>
        <x:v>0</x:v>
      </x:c>
      <x:c r="W16" s="209" t="n">
        <x:f>IFERROR(U16/M16,0)</x:f>
        <x:v>1</x:v>
      </x:c>
      <x:c r="X16" s="201" t="str">
        <x:f>IF(U16=0,"Não iniciado",IF(U16&gt;=M16,"Concluído","Parcial"))</x:f>
        <x:v>Concluído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26825</x:v>
      </x:c>
      <x:c r="C17" s="218" t="str">
        <x:v>2</x:v>
      </x:c>
      <x:c r="D17" s="218" t="str">
        <x:v>609044</x:v>
      </x:c>
      <x:c r="E17" s="218" t="str">
        <x:v>2010701243</x:v>
      </x:c>
      <x:c r="F17" s="218" t="str">
        <x:v>BATENTE</x:v>
      </x:c>
      <x:c r="G17" s="184" t="str">
        <x:v>M ULTRA PET BCO CAR 2130X110X30 S/REB R2</x:v>
      </x:c>
      <x:c r="H17" s="184" t="str">
        <x:v>MDF ULTRA</x:v>
      </x:c>
      <x:c r="I17" s="184" t="str">
        <x:v>S/CANAL</x:v>
      </x:c>
      <x:c r="J17" s="184" t="str">
        <x:v>S/REB</x:v>
      </x:c>
      <x:c r="K17" s="184" t="str">
        <x:v>RECOBERTO PET</x:v>
      </x:c>
      <x:c r="L17" s="184" t="str">
        <x:v>BRANCO CARRARA</x:v>
      </x:c>
      <x:c r="M17" s="205" t="n">
        <x:v>64</x:v>
      </x:c>
      <x:c r="N17" s="205" t="n">
        <x:v>2130</x:v>
      </x:c>
      <x:c r="O17" s="205" t="n">
        <x:v>110</x:v>
      </x:c>
      <x:c r="P17" s="205" t="n">
        <x:v>30</x:v>
      </x:c>
      <x:c r="Q17" s="206" t="n">
        <x:v>0.45</x:v>
      </x:c>
      <x:c r="R17" s="207" t="str"/>
      <x:c r="S17" s="207" t="str"/>
      <x:c r="T17" s="207" t="str"/>
      <x:c r="U17" s="207" t="n">
        <x:v>64</x:v>
      </x:c>
      <x:c r="V17" s="208" t="n">
        <x:f>MAX(0,M17-U17)</x:f>
        <x:v>0</x:v>
      </x:c>
      <x:c r="W17" s="209" t="n">
        <x:f>IFERROR(U17/M17,0)</x:f>
        <x:v>1</x:v>
      </x:c>
      <x:c r="X17" s="201" t="str">
        <x:f>IF(U17=0,"Não iniciado",IF(U17&gt;=M17,"Concluído","Parcial"))</x:f>
        <x:v>Concluído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26520</x:v>
      </x:c>
      <x:c r="C18" s="220" t="str">
        <x:v>8</x:v>
      </x:c>
      <x:c r="D18" s="220" t="str">
        <x:v>610112</x:v>
      </x:c>
      <x:c r="E18" s="220" t="str">
        <x:v>2010701222</x:v>
      </x:c>
      <x:c r="F18" s="220" t="str">
        <x:v>BATENTE</x:v>
      </x:c>
      <x:c r="G18" s="190" t="str">
        <x:v>M ULTRA PET C RA 2130X110X30 S/REB R2L M</x:v>
      </x:c>
      <x:c r="H18" s="190" t="str">
        <x:v>MDF ULTRA</x:v>
      </x:c>
      <x:c r="I18" s="190" t="str">
        <x:v>S/CANAL</x:v>
      </x:c>
      <x:c r="J18" s="190" t="str">
        <x:v>S/REB</x:v>
      </x:c>
      <x:c r="K18" s="190" t="str">
        <x:v>RECOBERTO PET</x:v>
      </x:c>
      <x:c r="L18" s="190" t="str">
        <x:v>CURUPIXA RAVENNA</x:v>
      </x:c>
      <x:c r="M18" s="210" t="n">
        <x:v>2</x:v>
      </x:c>
      <x:c r="N18" s="210" t="n">
        <x:v>2130</x:v>
      </x:c>
      <x:c r="O18" s="210" t="n">
        <x:v>110</x:v>
      </x:c>
      <x:c r="P18" s="210" t="n">
        <x:v>30</x:v>
      </x:c>
      <x:c r="Q18" s="211" t="n">
        <x:v>0.014</x:v>
      </x:c>
      <x:c r="R18" s="207" t="str"/>
      <x:c r="S18" s="207" t="str"/>
      <x:c r="T18" s="207" t="str"/>
      <x:c r="U18" s="207" t="n">
        <x:v>2</x:v>
      </x:c>
      <x:c r="V18" s="208" t="n">
        <x:f>MAX(0,M18-U18)</x:f>
        <x:v>0</x:v>
      </x:c>
      <x:c r="W18" s="209" t="n">
        <x:f>IFERROR(U18/M18,0)</x:f>
        <x:v>1</x:v>
      </x:c>
      <x:c r="X18" s="201" t="str">
        <x:f>IF(U18=0,"Não iniciado",IF(U18&gt;=M18,"Concluído","Parcial"))</x:f>
        <x:v>Concluído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26520</x:v>
      </x:c>
      <x:c r="C19" s="218" t="str">
        <x:v>11</x:v>
      </x:c>
      <x:c r="D19" s="218" t="str">
        <x:v>610128</x:v>
      </x:c>
      <x:c r="E19" s="218" t="str">
        <x:v>2010701218</x:v>
      </x:c>
      <x:c r="F19" s="218" t="str">
        <x:v>BATENTE</x:v>
      </x:c>
      <x:c r="G19" s="184" t="str">
        <x:v>M ULTRA PET C RA 2110X110X30 42X10 R2L M</x:v>
      </x:c>
      <x:c r="H19" s="184" t="str"/>
      <x:c r="I19" s="184" t="str"/>
      <x:c r="J19" s="184" t="str"/>
      <x:c r="K19" s="184" t="str">
        <x:v>RECOBERTO PET</x:v>
      </x:c>
      <x:c r="L19" s="184" t="str">
        <x:v>CURUPIXA RAVENNA</x:v>
      </x:c>
      <x:c r="M19" s="205" t="n">
        <x:v>6</x:v>
      </x:c>
      <x:c r="N19" s="205" t="n">
        <x:v>2110</x:v>
      </x:c>
      <x:c r="O19" s="205" t="n">
        <x:v>110</x:v>
      </x:c>
      <x:c r="P19" s="205" t="n">
        <x:v>30</x:v>
      </x:c>
      <x:c r="Q19" s="206" t="n">
        <x:v>0.042</x:v>
      </x:c>
      <x:c r="R19" s="207" t="str"/>
      <x:c r="S19" s="207" t="str"/>
      <x:c r="T19" s="207" t="str"/>
      <x:c r="U19" s="207" t="n">
        <x:v>0</x:v>
      </x:c>
      <x:c r="V19" s="208" t="n">
        <x:f>MAX(0,M19-U19)</x:f>
        <x:v>6</x:v>
      </x:c>
      <x:c r="W19" s="209" t="n">
        <x:f>IFERROR(U19/M19,0)</x:f>
        <x:v>0</x:v>
      </x:c>
      <x:c r="X19" s="201" t="str">
        <x:f>IF(U19=0,"Não iniciado",IF(U19&gt;=M19,"Concluído","Parcial"))</x:f>
        <x:v>Não iniciado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26520</x:v>
      </x:c>
      <x:c r="C20" s="220" t="str">
        <x:v>8</x:v>
      </x:c>
      <x:c r="D20" s="220" t="str">
        <x:v>610113</x:v>
      </x:c>
      <x:c r="E20" s="220" t="str">
        <x:v>2010701223</x:v>
      </x:c>
      <x:c r="F20" s="220" t="str">
        <x:v>BATENTE</x:v>
      </x:c>
      <x:c r="G20" s="190" t="str">
        <x:v>M ULTRA PET C RA 1000X110X30 S/REB RG 1</x:v>
      </x:c>
      <x:c r="H20" s="190" t="str">
        <x:v>MDF ULTRA</x:v>
      </x:c>
      <x:c r="I20" s="190" t="str">
        <x:v>S/CANAL</x:v>
      </x:c>
      <x:c r="J20" s="190" t="str">
        <x:v>S/REB</x:v>
      </x:c>
      <x:c r="K20" s="190" t="str">
        <x:v>RECOBERTO PET</x:v>
      </x:c>
      <x:c r="L20" s="190" t="str">
        <x:v>CURUPIXA RAVENNA</x:v>
      </x:c>
      <x:c r="M20" s="210" t="n">
        <x:v>1</x:v>
      </x:c>
      <x:c r="N20" s="210" t="n">
        <x:v>1000</x:v>
      </x:c>
      <x:c r="O20" s="210" t="n">
        <x:v>110</x:v>
      </x:c>
      <x:c r="P20" s="210" t="n">
        <x:v>30</x:v>
      </x:c>
      <x:c r="Q20" s="211" t="n">
        <x:v>0.003</x:v>
      </x:c>
      <x:c r="R20" s="207" t="str"/>
      <x:c r="S20" s="207" t="str"/>
      <x:c r="T20" s="207" t="str"/>
      <x:c r="U20" s="207" t="n">
        <x:v>1</x:v>
      </x:c>
      <x:c r="V20" s="208" t="n">
        <x:f>MAX(0,M20-U20)</x:f>
        <x:v>0</x:v>
      </x:c>
      <x:c r="W20" s="209" t="n">
        <x:f>IFERROR(U20/M20,0)</x:f>
        <x:v>1</x:v>
      </x:c>
      <x:c r="X20" s="201" t="str">
        <x:f>IF(U20=0,"Não iniciado",IF(U20&gt;=M20,"Concluído","Parcial"))</x:f>
        <x:v>Concluído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26739</x:v>
      </x:c>
      <x:c r="C21" s="218" t="str">
        <x:v>14</x:v>
      </x:c>
      <x:c r="D21" s="218" t="str">
        <x:v>609681</x:v>
      </x:c>
      <x:c r="E21" s="218" t="str">
        <x:v>2010700372</x:v>
      </x:c>
      <x:c r="F21" s="218" t="str">
        <x:v>BATENTE</x:v>
      </x:c>
      <x:c r="G21" s="184" t="str">
        <x:v>M P ULTRA PET BCO CAR 2130X90X30 S/REB R</x:v>
      </x:c>
      <x:c r="H21" s="184" t="str">
        <x:v>MDF ULTRA</x:v>
      </x:c>
      <x:c r="I21" s="184" t="str">
        <x:v>S/CANAL</x:v>
      </x:c>
      <x:c r="J21" s="184" t="str">
        <x:v>S/REB</x:v>
      </x:c>
      <x:c r="K21" s="184" t="str">
        <x:v>RECOBERTO PET</x:v>
      </x:c>
      <x:c r="L21" s="184" t="str">
        <x:v>BRANCO CARRARA</x:v>
      </x:c>
      <x:c r="M21" s="205" t="n">
        <x:v>14</x:v>
      </x:c>
      <x:c r="N21" s="205" t="n">
        <x:v>2130</x:v>
      </x:c>
      <x:c r="O21" s="205" t="n">
        <x:v>90</x:v>
      </x:c>
      <x:c r="P21" s="205" t="n">
        <x:v>30</x:v>
      </x:c>
      <x:c r="Q21" s="206" t="n">
        <x:v>0.081</x:v>
      </x:c>
      <x:c r="R21" s="207" t="str"/>
      <x:c r="S21" s="207" t="str"/>
      <x:c r="T21" s="207" t="str"/>
      <x:c r="U21" s="207" t="n">
        <x:v>14</x:v>
      </x:c>
      <x:c r="V21" s="208" t="n">
        <x:f>MAX(0,M21-U21)</x:f>
        <x:v>0</x:v>
      </x:c>
      <x:c r="W21" s="209" t="n">
        <x:f>IFERROR(U21/M21,0)</x:f>
        <x:v>1</x:v>
      </x:c>
      <x:c r="X21" s="201" t="str">
        <x:f>IF(U21=0,"Não iniciado",IF(U21&gt;=M21,"Concluído","Parcial"))</x:f>
        <x:v>Concluído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26750</x:v>
      </x:c>
      <x:c r="C22" s="220" t="str">
        <x:v>17</x:v>
      </x:c>
      <x:c r="D22" s="220" t="str">
        <x:v>609854</x:v>
      </x:c>
      <x:c r="E22" s="220" t="str">
        <x:v>2010700372</x:v>
      </x:c>
      <x:c r="F22" s="220" t="str">
        <x:v>BATENTE</x:v>
      </x:c>
      <x:c r="G22" s="190" t="str">
        <x:v>M P ULTRA PET BCO CAR 2130X90X30 S/REB R</x:v>
      </x:c>
      <x:c r="H22" s="190" t="str">
        <x:v>MDF ULTRA</x:v>
      </x:c>
      <x:c r="I22" s="190" t="str">
        <x:v>S/CANAL</x:v>
      </x:c>
      <x:c r="J22" s="190" t="str">
        <x:v>S/REB</x:v>
      </x:c>
      <x:c r="K22" s="190" t="str">
        <x:v>RECOBERTO PET</x:v>
      </x:c>
      <x:c r="L22" s="190" t="str">
        <x:v>BRANCO CARRARA</x:v>
      </x:c>
      <x:c r="M22" s="210" t="n">
        <x:v>14</x:v>
      </x:c>
      <x:c r="N22" s="210" t="n">
        <x:v>2130</x:v>
      </x:c>
      <x:c r="O22" s="210" t="n">
        <x:v>90</x:v>
      </x:c>
      <x:c r="P22" s="210" t="n">
        <x:v>30</x:v>
      </x:c>
      <x:c r="Q22" s="211" t="n">
        <x:v>0.081</x:v>
      </x:c>
      <x:c r="R22" s="207" t="str"/>
      <x:c r="S22" s="207" t="str"/>
      <x:c r="T22" s="207" t="str"/>
      <x:c r="U22" s="207" t="n">
        <x:v>14</x:v>
      </x:c>
      <x:c r="V22" s="208" t="n">
        <x:f>MAX(0,M22-U22)</x:f>
        <x:v>0</x:v>
      </x:c>
      <x:c r="W22" s="209" t="n">
        <x:f>IFERROR(U22/M22,0)</x:f>
        <x:v>1</x:v>
      </x:c>
      <x:c r="X22" s="201" t="str">
        <x:f>IF(U22=0,"Não iniciado",IF(U22&gt;=M22,"Concluído","Parcial"))</x:f>
        <x:v>Concluído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26739</x:v>
      </x:c>
      <x:c r="C23" s="218" t="str">
        <x:v>14</x:v>
      </x:c>
      <x:c r="D23" s="218" t="str">
        <x:v>609680</x:v>
      </x:c>
      <x:c r="E23" s="218" t="str">
        <x:v>2010700216</x:v>
      </x:c>
      <x:c r="F23" s="218" t="str">
        <x:v>BATENTE</x:v>
      </x:c>
      <x:c r="G23" s="184" t="str">
        <x:v>M T ULTRA PET BCO CAR 1000X90X30 S/REB R</x:v>
      </x:c>
      <x:c r="H23" s="184" t="str">
        <x:v>MDF ULTRA</x:v>
      </x:c>
      <x:c r="I23" s="184" t="str">
        <x:v>S/CANAL</x:v>
      </x:c>
      <x:c r="J23" s="184" t="str">
        <x:v>S/REB</x:v>
      </x:c>
      <x:c r="K23" s="184" t="str">
        <x:v>RECOBERTO PET</x:v>
      </x:c>
      <x:c r="L23" s="184" t="str">
        <x:v>BRANCO CARRARA</x:v>
      </x:c>
      <x:c r="M23" s="205" t="n">
        <x:v>7</x:v>
      </x:c>
      <x:c r="N23" s="205" t="n">
        <x:v>1000</x:v>
      </x:c>
      <x:c r="O23" s="205" t="n">
        <x:v>90</x:v>
      </x:c>
      <x:c r="P23" s="205" t="n">
        <x:v>30</x:v>
      </x:c>
      <x:c r="Q23" s="206" t="n">
        <x:v>0.019</x:v>
      </x:c>
      <x:c r="R23" s="207" t="str"/>
      <x:c r="S23" s="207" t="str"/>
      <x:c r="T23" s="207" t="str"/>
      <x:c r="U23" s="207" t="n">
        <x:v>7</x:v>
      </x:c>
      <x:c r="V23" s="208" t="n">
        <x:f>MAX(0,M23-U23)</x:f>
        <x:v>0</x:v>
      </x:c>
      <x:c r="W23" s="209" t="n">
        <x:f>IFERROR(U23/M23,0)</x:f>
        <x:v>1</x:v>
      </x:c>
      <x:c r="X23" s="201" t="str">
        <x:f>IF(U23=0,"Não iniciado",IF(U23&gt;=M23,"Concluído","Parcial"))</x:f>
        <x:v>Concluído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26750</x:v>
      </x:c>
      <x:c r="C24" s="220" t="str">
        <x:v>17</x:v>
      </x:c>
      <x:c r="D24" s="220" t="str">
        <x:v>609853</x:v>
      </x:c>
      <x:c r="E24" s="220" t="str">
        <x:v>2010700216</x:v>
      </x:c>
      <x:c r="F24" s="220" t="str">
        <x:v>BATENTE</x:v>
      </x:c>
      <x:c r="G24" s="190" t="str">
        <x:v>M T ULTRA PET BCO CAR 1000X90X30 S/REB R</x:v>
      </x:c>
      <x:c r="H24" s="190" t="str">
        <x:v>MDF ULTRA</x:v>
      </x:c>
      <x:c r="I24" s="190" t="str">
        <x:v>S/CANAL</x:v>
      </x:c>
      <x:c r="J24" s="190" t="str">
        <x:v>S/REB</x:v>
      </x:c>
      <x:c r="K24" s="190" t="str">
        <x:v>RECOBERTO PET</x:v>
      </x:c>
      <x:c r="L24" s="190" t="str">
        <x:v>BRANCO CARRARA</x:v>
      </x:c>
      <x:c r="M24" s="210" t="n">
        <x:v>7</x:v>
      </x:c>
      <x:c r="N24" s="210" t="n">
        <x:v>1000</x:v>
      </x:c>
      <x:c r="O24" s="210" t="n">
        <x:v>90</x:v>
      </x:c>
      <x:c r="P24" s="210" t="n">
        <x:v>30</x:v>
      </x:c>
      <x:c r="Q24" s="211" t="n">
        <x:v>0.019</x:v>
      </x:c>
      <x:c r="R24" s="207" t="str"/>
      <x:c r="S24" s="207" t="str"/>
      <x:c r="T24" s="207" t="str"/>
      <x:c r="U24" s="207" t="n">
        <x:v>7</x:v>
      </x:c>
      <x:c r="V24" s="208" t="n">
        <x:f>MAX(0,M24-U24)</x:f>
        <x:v>0</x:v>
      </x:c>
      <x:c r="W24" s="209" t="n">
        <x:f>IFERROR(U24/M24,0)</x:f>
        <x:v>1</x:v>
      </x:c>
      <x:c r="X24" s="201" t="str">
        <x:f>IF(U24=0,"Não iniciado",IF(U24&gt;=M24,"Concluído","Parcial"))</x:f>
        <x:v>Concluído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26739</x:v>
      </x:c>
      <x:c r="C25" s="218" t="str">
        <x:v>8</x:v>
      </x:c>
      <x:c r="D25" s="218" t="str">
        <x:v>609643</x:v>
      </x:c>
      <x:c r="E25" s="218" t="str">
        <x:v>2010701021</x:v>
      </x:c>
      <x:c r="F25" s="218" t="str">
        <x:v>BATENTE</x:v>
      </x:c>
      <x:c r="G25" s="184" t="str">
        <x:v>M ULTRA PET BCO CAR 2110X80X30 42X10 R2L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36</x:v>
      </x:c>
      <x:c r="N25" s="205" t="n">
        <x:v>2110</x:v>
      </x:c>
      <x:c r="O25" s="205" t="n">
        <x:v>80</x:v>
      </x:c>
      <x:c r="P25" s="205" t="n">
        <x:v>30</x:v>
      </x:c>
      <x:c r="Q25" s="206" t="n">
        <x:v>36</x:v>
      </x:c>
      <x:c r="R25" s="207" t="str"/>
      <x:c r="S25" s="207" t="str"/>
      <x:c r="T25" s="207" t="str"/>
      <x:c r="U25" s="207" t="n">
        <x:v>36</x:v>
      </x:c>
      <x:c r="V25" s="208" t="n">
        <x:f>MAX(0,M25-U25)</x:f>
        <x:v>0</x:v>
      </x:c>
      <x:c r="W25" s="209" t="n">
        <x:f>IFERROR(U25/M25,0)</x:f>
        <x:v>1</x:v>
      </x:c>
      <x:c r="X25" s="201" t="str">
        <x:f>IF(U25=0,"Não iniciado",IF(U25&gt;=M25,"Concluído","Parcial"))</x:f>
        <x:v>Concluído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26739</x:v>
      </x:c>
      <x:c r="C26" s="220" t="str">
        <x:v>17</x:v>
      </x:c>
      <x:c r="D26" s="220" t="str">
        <x:v>609699</x:v>
      </x:c>
      <x:c r="E26" s="220" t="str">
        <x:v>2010701021</x:v>
      </x:c>
      <x:c r="F26" s="220" t="str">
        <x:v>BATENTE</x:v>
      </x:c>
      <x:c r="G26" s="190" t="str">
        <x:v>M ULTRA PET BCO CAR 2110X80X30 42X10 R2L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18</x:v>
      </x:c>
      <x:c r="N26" s="210" t="n">
        <x:v>2110</x:v>
      </x:c>
      <x:c r="O26" s="210" t="n">
        <x:v>80</x:v>
      </x:c>
      <x:c r="P26" s="210" t="n">
        <x:v>30</x:v>
      </x:c>
      <x:c r="Q26" s="211" t="n">
        <x:v>18</x:v>
      </x:c>
      <x:c r="R26" s="207" t="str"/>
      <x:c r="S26" s="207" t="str"/>
      <x:c r="T26" s="207" t="str"/>
      <x:c r="U26" s="207" t="n">
        <x:v>18</x:v>
      </x:c>
      <x:c r="V26" s="208" t="n">
        <x:f>MAX(0,M26-U26)</x:f>
        <x:v>0</x:v>
      </x:c>
      <x:c r="W26" s="209" t="n">
        <x:f>IFERROR(U26/M26,0)</x:f>
        <x:v>1</x:v>
      </x:c>
      <x:c r="X26" s="201" t="str">
        <x:f>IF(U26=0,"Não iniciado",IF(U26&gt;=M26,"Concluído","Parcial"))</x:f>
        <x:v>Concluído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26739</x:v>
      </x:c>
      <x:c r="C27" s="218" t="str">
        <x:v>23</x:v>
      </x:c>
      <x:c r="D27" s="218" t="str">
        <x:v>609749</x:v>
      </x:c>
      <x:c r="E27" s="218" t="str">
        <x:v>2010701021</x:v>
      </x:c>
      <x:c r="F27" s="218" t="str">
        <x:v>BATENTE</x:v>
      </x:c>
      <x:c r="G27" s="184" t="str">
        <x:v>M ULTRA PET BCO CAR 2110X80X30 42X10 R2L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2</x:v>
      </x:c>
      <x:c r="N27" s="205" t="n">
        <x:v>2110</x:v>
      </x:c>
      <x:c r="O27" s="205" t="n">
        <x:v>80</x:v>
      </x:c>
      <x:c r="P27" s="205" t="n">
        <x:v>30</x:v>
      </x:c>
      <x:c r="Q27" s="206" t="n">
        <x:v>2</x:v>
      </x:c>
      <x:c r="R27" s="207" t="str"/>
      <x:c r="S27" s="207" t="str"/>
      <x:c r="T27" s="207" t="str"/>
      <x:c r="U27" s="207" t="n">
        <x:v>2</x:v>
      </x:c>
      <x:c r="V27" s="208" t="n">
        <x:f>MAX(0,M27-U27)</x:f>
        <x:v>0</x:v>
      </x:c>
      <x:c r="W27" s="209" t="n">
        <x:f>IFERROR(U27/M27,0)</x:f>
        <x:v>1</x:v>
      </x:c>
      <x:c r="X27" s="201" t="str">
        <x:f>IF(U27=0,"Não iniciado",IF(U27&gt;=M27,"Concluído","Parcial"))</x:f>
        <x:v>Concluído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26750</x:v>
      </x:c>
      <x:c r="C28" s="220" t="str">
        <x:v>11</x:v>
      </x:c>
      <x:c r="D28" s="220" t="str">
        <x:v>609816</x:v>
      </x:c>
      <x:c r="E28" s="220" t="str">
        <x:v>2010701021</x:v>
      </x:c>
      <x:c r="F28" s="220" t="str">
        <x:v>BATENTE</x:v>
      </x:c>
      <x:c r="G28" s="190" t="str">
        <x:v>M ULTRA PET BCO CAR 2110X80X30 42X10 R2L</x:v>
      </x:c>
      <x:c r="H28" s="190" t="str"/>
      <x:c r="I28" s="190" t="str"/>
      <x:c r="J28" s="190" t="str"/>
      <x:c r="K28" s="190" t="str">
        <x:v>ESMALTE</x:v>
      </x:c>
      <x:c r="L28" s="190" t="str">
        <x:v>BRANCO CARRARA</x:v>
      </x:c>
      <x:c r="M28" s="210" t="n">
        <x:v>24</x:v>
      </x:c>
      <x:c r="N28" s="210" t="n">
        <x:v>2110</x:v>
      </x:c>
      <x:c r="O28" s="210" t="n">
        <x:v>80</x:v>
      </x:c>
      <x:c r="P28" s="210" t="n">
        <x:v>30</x:v>
      </x:c>
      <x:c r="Q28" s="211" t="n">
        <x:v>0.122</x:v>
      </x:c>
      <x:c r="R28" s="207" t="str"/>
      <x:c r="S28" s="207" t="str"/>
      <x:c r="T28" s="207" t="str"/>
      <x:c r="U28" s="207" t="n">
        <x:v>24</x:v>
      </x:c>
      <x:c r="V28" s="208" t="n">
        <x:f>MAX(0,M28-U28)</x:f>
        <x:v>0</x:v>
      </x:c>
      <x:c r="W28" s="209" t="n">
        <x:f>IFERROR(U28/M28,0)</x:f>
        <x:v>1</x:v>
      </x:c>
      <x:c r="X28" s="201" t="str">
        <x:f>IF(U28=0,"Não iniciado",IF(U28&gt;=M28,"Concluído","Parcial"))</x:f>
        <x:v>Concluído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26750</x:v>
      </x:c>
      <x:c r="C29" s="218" t="str">
        <x:v>20</x:v>
      </x:c>
      <x:c r="D29" s="218" t="str">
        <x:v>609872</x:v>
      </x:c>
      <x:c r="E29" s="218" t="str">
        <x:v>2010701021</x:v>
      </x:c>
      <x:c r="F29" s="218" t="str">
        <x:v>BATENTE</x:v>
      </x:c>
      <x:c r="G29" s="184" t="str">
        <x:v>M ULTRA PET BCO CAR 2110X80X30 42X10 R2L</x:v>
      </x:c>
      <x:c r="H29" s="184" t="str"/>
      <x:c r="I29" s="184" t="str"/>
      <x:c r="J29" s="184" t="str"/>
      <x:c r="K29" s="184" t="str">
        <x:v>ESMALTE</x:v>
      </x:c>
      <x:c r="L29" s="184" t="str">
        <x:v>BRANCO CARRARA</x:v>
      </x:c>
      <x:c r="M29" s="205" t="n">
        <x:v>18</x:v>
      </x:c>
      <x:c r="N29" s="205" t="n">
        <x:v>2110</x:v>
      </x:c>
      <x:c r="O29" s="205" t="n">
        <x:v>80</x:v>
      </x:c>
      <x:c r="P29" s="205" t="n">
        <x:v>30</x:v>
      </x:c>
      <x:c r="Q29" s="206" t="n">
        <x:v>0.091</x:v>
      </x:c>
      <x:c r="R29" s="207" t="str"/>
      <x:c r="S29" s="207" t="str"/>
      <x:c r="T29" s="207" t="str"/>
      <x:c r="U29" s="207" t="n">
        <x:v>18</x:v>
      </x:c>
      <x:c r="V29" s="208" t="n">
        <x:f>MAX(0,M29-U29)</x:f>
        <x:v>0</x:v>
      </x:c>
      <x:c r="W29" s="209" t="n">
        <x:f>IFERROR(U29/M29,0)</x:f>
        <x:v>1</x:v>
      </x:c>
      <x:c r="X29" s="201" t="str">
        <x:f>IF(U29=0,"Não iniciado",IF(U29&gt;=M29,"Concluído","Parcial"))</x:f>
        <x:v>Concluído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26739</x:v>
      </x:c>
      <x:c r="C30" s="220" t="str">
        <x:v>8</x:v>
      </x:c>
      <x:c r="D30" s="220" t="str">
        <x:v>609644</x:v>
      </x:c>
      <x:c r="E30" s="220" t="str">
        <x:v>2010701245</x:v>
      </x:c>
      <x:c r="F30" s="220" t="str">
        <x:v>BATENTE</x:v>
      </x:c>
      <x:c r="G30" s="190" t="str">
        <x:v>M ULTRA PET BCO CAR 767X80X30 42X10 R2L</x:v>
      </x:c>
      <x:c r="H30" s="190" t="str"/>
      <x:c r="I30" s="190" t="str"/>
      <x:c r="J30" s="190" t="str"/>
      <x:c r="K30" s="190" t="str">
        <x:v>ESMALTE</x:v>
      </x:c>
      <x:c r="L30" s="190" t="str">
        <x:v>BRANCO CARRARA</x:v>
      </x:c>
      <x:c r="M30" s="210" t="n">
        <x:v>18</x:v>
      </x:c>
      <x:c r="N30" s="210" t="n">
        <x:v>767</x:v>
      </x:c>
      <x:c r="O30" s="210" t="n">
        <x:v>80</x:v>
      </x:c>
      <x:c r="P30" s="210" t="n">
        <x:v>30</x:v>
      </x:c>
      <x:c r="Q30" s="211" t="n">
        <x:v>18</x:v>
      </x:c>
      <x:c r="R30" s="207" t="str"/>
      <x:c r="S30" s="207" t="str"/>
      <x:c r="T30" s="207" t="str"/>
      <x:c r="U30" s="207" t="n">
        <x:v>18</x:v>
      </x:c>
      <x:c r="V30" s="208" t="n">
        <x:f>MAX(0,M30-U30)</x:f>
        <x:v>0</x:v>
      </x:c>
      <x:c r="W30" s="209" t="n">
        <x:f>IFERROR(U30/M30,0)</x:f>
        <x:v>1</x:v>
      </x:c>
      <x:c r="X30" s="201" t="str">
        <x:f>IF(U30=0,"Não iniciado",IF(U30&gt;=M30,"Concluído","Parcial"))</x:f>
        <x:v>Concluído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26750</x:v>
      </x:c>
      <x:c r="C31" s="218" t="str">
        <x:v>11</x:v>
      </x:c>
      <x:c r="D31" s="218" t="str">
        <x:v>609817</x:v>
      </x:c>
      <x:c r="E31" s="218" t="str">
        <x:v>2010701245</x:v>
      </x:c>
      <x:c r="F31" s="218" t="str">
        <x:v>BATENTE</x:v>
      </x:c>
      <x:c r="G31" s="184" t="str">
        <x:v>M ULTRA PET BCO CAR 767X80X30 42X10 R2L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12</x:v>
      </x:c>
      <x:c r="N31" s="205" t="n">
        <x:v>767</x:v>
      </x:c>
      <x:c r="O31" s="205" t="n">
        <x:v>80</x:v>
      </x:c>
      <x:c r="P31" s="205" t="n">
        <x:v>30</x:v>
      </x:c>
      <x:c r="Q31" s="206" t="n">
        <x:v>0.022</x:v>
      </x:c>
      <x:c r="R31" s="207" t="str"/>
      <x:c r="S31" s="207" t="str"/>
      <x:c r="T31" s="207" t="str"/>
      <x:c r="U31" s="207" t="n">
        <x:v>12</x:v>
      </x:c>
      <x:c r="V31" s="208" t="n">
        <x:f>MAX(0,M31-U31)</x:f>
        <x:v>0</x:v>
      </x:c>
      <x:c r="W31" s="209" t="n">
        <x:f>IFERROR(U31/M31,0)</x:f>
        <x:v>1</x:v>
      </x:c>
      <x:c r="X31" s="201" t="str">
        <x:f>IF(U31=0,"Não iniciado",IF(U31&gt;=M31,"Concluído","Parcial"))</x:f>
        <x:v>Concluído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26739</x:v>
      </x:c>
      <x:c r="C32" s="220" t="str">
        <x:v>17</x:v>
      </x:c>
      <x:c r="D32" s="220" t="str">
        <x:v>609700</x:v>
      </x:c>
      <x:c r="E32" s="220" t="str">
        <x:v>2010701246</x:v>
      </x:c>
      <x:c r="F32" s="220" t="str">
        <x:v>BATENTE</x:v>
      </x:c>
      <x:c r="G32" s="190" t="str">
        <x:v>M ULTRA PET BCO CAR 667X80X30 42X10 R2L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9</x:v>
      </x:c>
      <x:c r="N32" s="210" t="n">
        <x:v>667</x:v>
      </x:c>
      <x:c r="O32" s="210" t="n">
        <x:v>80</x:v>
      </x:c>
      <x:c r="P32" s="210" t="n">
        <x:v>30</x:v>
      </x:c>
      <x:c r="Q32" s="211" t="n">
        <x:v>3</x:v>
      </x:c>
      <x:c r="R32" s="207" t="str"/>
      <x:c r="S32" s="207" t="str"/>
      <x:c r="T32" s="207" t="str"/>
      <x:c r="U32" s="207" t="n">
        <x:v>9</x:v>
      </x:c>
      <x:c r="V32" s="208" t="n">
        <x:f>MAX(0,M32-U32)</x:f>
        <x:v>0</x:v>
      </x:c>
      <x:c r="W32" s="209" t="n">
        <x:f>IFERROR(U32/M32,0)</x:f>
        <x:v>1</x:v>
      </x:c>
      <x:c r="X32" s="201" t="str">
        <x:f>IF(U32=0,"Não iniciado",IF(U32&gt;=M32,"Concluído","Parcial"))</x:f>
        <x:v>Concluído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26739</x:v>
      </x:c>
      <x:c r="C33" s="218" t="str">
        <x:v>23</x:v>
      </x:c>
      <x:c r="D33" s="218" t="str">
        <x:v>609750</x:v>
      </x:c>
      <x:c r="E33" s="218" t="str">
        <x:v>2010701246</x:v>
      </x:c>
      <x:c r="F33" s="218" t="str">
        <x:v>BATENTE</x:v>
      </x:c>
      <x:c r="G33" s="184" t="str">
        <x:v>M ULTRA PET BCO CAR 667X80X30 42X10 R2L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1</x:v>
      </x:c>
      <x:c r="N33" s="205" t="n">
        <x:v>667</x:v>
      </x:c>
      <x:c r="O33" s="205" t="n">
        <x:v>80</x:v>
      </x:c>
      <x:c r="P33" s="205" t="n">
        <x:v>30</x:v>
      </x:c>
      <x:c r="Q33" s="206" t="n">
        <x:v>0.5</x:v>
      </x:c>
      <x:c r="R33" s="207" t="str"/>
      <x:c r="S33" s="207" t="str"/>
      <x:c r="T33" s="207" t="str"/>
      <x:c r="U33" s="207" t="n">
        <x:v>1</x:v>
      </x:c>
      <x:c r="V33" s="208" t="n">
        <x:f>MAX(0,M33-U33)</x:f>
        <x:v>0</x:v>
      </x:c>
      <x:c r="W33" s="209" t="n">
        <x:f>IFERROR(U33/M33,0)</x:f>
        <x:v>1</x:v>
      </x:c>
      <x:c r="X33" s="201" t="str">
        <x:f>IF(U33=0,"Não iniciado",IF(U33&gt;=M33,"Concluído","Parcial"))</x:f>
        <x:v>Concluído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26750</x:v>
      </x:c>
      <x:c r="C34" s="220" t="str">
        <x:v>20</x:v>
      </x:c>
      <x:c r="D34" s="220" t="str">
        <x:v>609873</x:v>
      </x:c>
      <x:c r="E34" s="220" t="str">
        <x:v>2010701246</x:v>
      </x:c>
      <x:c r="F34" s="220" t="str">
        <x:v>BATENTE</x:v>
      </x:c>
      <x:c r="G34" s="190" t="str">
        <x:v>M ULTRA PET BCO CAR 667X80X30 42X10 R2L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9</x:v>
      </x:c>
      <x:c r="N34" s="210" t="n">
        <x:v>667</x:v>
      </x:c>
      <x:c r="O34" s="210" t="n">
        <x:v>80</x:v>
      </x:c>
      <x:c r="P34" s="210" t="n">
        <x:v>30</x:v>
      </x:c>
      <x:c r="Q34" s="211" t="n">
        <x:v>0.014</x:v>
      </x:c>
      <x:c r="R34" s="207" t="str"/>
      <x:c r="S34" s="207" t="str"/>
      <x:c r="T34" s="207" t="str"/>
      <x:c r="U34" s="207" t="n">
        <x:v>9</x:v>
      </x:c>
      <x:c r="V34" s="208" t="n">
        <x:f>MAX(0,M34-U34)</x:f>
        <x:v>0</x:v>
      </x:c>
      <x:c r="W34" s="209" t="n">
        <x:f>IFERROR(U34/M34,0)</x:f>
        <x:v>1</x:v>
      </x:c>
      <x:c r="X34" s="201" t="str">
        <x:f>IF(U34=0,"Não iniciado",IF(U34&gt;=M34,"Concluído","Parcial"))</x:f>
        <x:v>Concluído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26520</x:v>
      </x:c>
      <x:c r="C35" s="218" t="str">
        <x:v>6</x:v>
      </x:c>
      <x:c r="D35" s="218" t="str">
        <x:v>610107</x:v>
      </x:c>
      <x:c r="E35" s="218" t="str">
        <x:v>2010700125</x:v>
      </x:c>
      <x:c r="F35" s="218" t="str">
        <x:v>BATENTE</x:v>
      </x:c>
      <x:c r="G35" s="184" t="str">
        <x:v>M P ULTRA PET CI VE 2110X70X30 42X10 R2L</x:v>
      </x:c>
      <x:c r="H35" s="184" t="str"/>
      <x:c r="I35" s="184" t="str"/>
      <x:c r="J35" s="184" t="str"/>
      <x:c r="K35" s="184" t="str">
        <x:v>RECOBERTO PET</x:v>
      </x:c>
      <x:c r="L35" s="184" t="str">
        <x:v>CINZA VERONA</x:v>
      </x:c>
      <x:c r="M35" s="205" t="n">
        <x:v>2</x:v>
      </x:c>
      <x:c r="N35" s="205" t="n">
        <x:v>2110</x:v>
      </x:c>
      <x:c r="O35" s="205" t="n">
        <x:v>70</x:v>
      </x:c>
      <x:c r="P35" s="205" t="n">
        <x:v>30</x:v>
      </x:c>
      <x:c r="Q35" s="206" t="n">
        <x:v>0.009</x:v>
      </x:c>
      <x:c r="R35" s="207" t="str"/>
      <x:c r="S35" s="207" t="str"/>
      <x:c r="T35" s="207" t="str"/>
      <x:c r="U35" s="207" t="n">
        <x:v>2</x:v>
      </x:c>
      <x:c r="V35" s="208" t="n">
        <x:f>MAX(0,M35-U35)</x:f>
        <x:v>0</x:v>
      </x:c>
      <x:c r="W35" s="209" t="n">
        <x:f>IFERROR(U35/M35,0)</x:f>
        <x:v>1</x:v>
      </x:c>
      <x:c r="X35" s="201" t="str">
        <x:f>IF(U35=0,"Não iniciado",IF(U35&gt;=M35,"Concluído","Parcial"))</x:f>
        <x:v>Concluído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26520</x:v>
      </x:c>
      <x:c r="C36" s="220" t="str">
        <x:v>6</x:v>
      </x:c>
      <x:c r="D36" s="220" t="str">
        <x:v>610108</x:v>
      </x:c>
      <x:c r="E36" s="220" t="str">
        <x:v>2010701217</x:v>
      </x:c>
      <x:c r="F36" s="220" t="str">
        <x:v>BATENTE</x:v>
      </x:c>
      <x:c r="G36" s="190" t="str">
        <x:v>M ULTRA PET CI VE 647X70X30 42X10 R2L ME</x:v>
      </x:c>
      <x:c r="H36" s="190" t="str"/>
      <x:c r="I36" s="190" t="str"/>
      <x:c r="J36" s="190" t="str"/>
      <x:c r="K36" s="190" t="str">
        <x:v>RECOBERTO PET</x:v>
      </x:c>
      <x:c r="L36" s="190" t="str">
        <x:v>CINZA VERONA</x:v>
      </x:c>
      <x:c r="M36" s="210" t="n">
        <x:v>1</x:v>
      </x:c>
      <x:c r="N36" s="210" t="n">
        <x:v>647</x:v>
      </x:c>
      <x:c r="O36" s="210" t="n">
        <x:v>70</x:v>
      </x:c>
      <x:c r="P36" s="210" t="n">
        <x:v>30</x:v>
      </x:c>
      <x:c r="Q36" s="211" t="n">
        <x:v>0.001</x:v>
      </x:c>
      <x:c r="R36" s="207" t="str"/>
      <x:c r="S36" s="207" t="str"/>
      <x:c r="T36" s="207" t="str"/>
      <x:c r="U36" s="207" t="n">
        <x:v>1</x:v>
      </x:c>
      <x:c r="V36" s="208" t="n">
        <x:f>MAX(0,M36-U36)</x:f>
        <x:v>0</x:v>
      </x:c>
      <x:c r="W36" s="209" t="n">
        <x:f>IFERROR(U36/M36,0)</x:f>
        <x:v>1</x:v>
      </x:c>
      <x:c r="X36" s="201" t="str">
        <x:f>IF(U36=0,"Não iniciado",IF(U36&gt;=M36,"Concluído","Parcial"))</x:f>
        <x:v>Concluído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26750</x:v>
      </x:c>
      <x:c r="C37" s="218" t="str">
        <x:v>9</x:v>
      </x:c>
      <x:c r="D37" s="218" t="str">
        <x:v>609802</x:v>
      </x:c>
      <x:c r="E37" s="218" t="str">
        <x:v>961470</x:v>
      </x:c>
      <x:c r="F37" s="218" t="str">
        <x:v>BAGUETE</x:v>
      </x:c>
      <x:c r="G37" s="184" t="str">
        <x:v>BAG 2200X40X14 RTO BTA. PVC REN BCO</x:v>
      </x:c>
      <x:c r="H37" s="184" t="str"/>
      <x:c r="I37" s="184" t="str"/>
      <x:c r="J37" s="184" t="str"/>
      <x:c r="K37" s="184" t="str">
        <x:v>RECOBERTO PVC RENOLIT</x:v>
      </x:c>
      <x:c r="L37" s="184" t="str">
        <x:v>BRANCO</x:v>
      </x:c>
      <x:c r="M37" s="205" t="n">
        <x:v>25</x:v>
      </x:c>
      <x:c r="N37" s="205" t="n">
        <x:v>2200</x:v>
      </x:c>
      <x:c r="O37" s="205" t="n">
        <x:v>40</x:v>
      </x:c>
      <x:c r="P37" s="205" t="n">
        <x:v>14</x:v>
      </x:c>
      <x:c r="Q37" s="206" t="n">
        <x:v>0.031</x:v>
      </x:c>
      <x:c r="R37" s="207" t="str"/>
      <x:c r="S37" s="207" t="str"/>
      <x:c r="T37" s="207" t="str"/>
      <x:c r="U37" s="207" t="n">
        <x:v>0</x:v>
      </x:c>
      <x:c r="V37" s="208" t="n">
        <x:f>MAX(0,M37-U37)</x:f>
        <x:v>25</x:v>
      </x:c>
      <x:c r="W37" s="209" t="n">
        <x:f>IFERROR(U37/M37,0)</x:f>
        <x:v>0</x:v>
      </x:c>
      <x:c r="X37" s="201" t="str">
        <x:f>IF(U37=0,"Não iniciado",IF(U37&gt;=M37,"Concluído","Parcial"))</x:f>
        <x:v>Não iniciado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26826</x:v>
      </x:c>
      <x:c r="C38" s="220" t="str">
        <x:v>5</x:v>
      </x:c>
      <x:c r="D38" s="220" t="str">
        <x:v>609066</x:v>
      </x:c>
      <x:c r="E38" s="220" t="str">
        <x:v>985572</x:v>
      </x:c>
      <x:c r="F38" s="220" t="str">
        <x:v>KIT DE CORRER</x:v>
      </x:c>
      <x:c r="G38" s="190" t="str">
        <x:v>PERNA KIT STD  KIT DE CORRER EM MDF</x:v>
      </x:c>
      <x:c r="H38" s="190" t="str"/>
      <x:c r="I38" s="190" t="str"/>
      <x:c r="J38" s="190" t="str"/>
      <x:c r="K38" s="190" t="str">
        <x:v>RECOBERTO PET TXT</x:v>
      </x:c>
      <x:c r="L38" s="190" t="str">
        <x:v>BRANCO</x:v>
      </x:c>
      <x:c r="M38" s="210" t="n">
        <x:v>230</x:v>
      </x:c>
      <x:c r="N38" s="210" t="str"/>
      <x:c r="O38" s="210" t="str"/>
      <x:c r="P38" s="210" t="str"/>
      <x:c r="Q38" s="211" t="n">
        <x:v>1.252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230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26826</x:v>
      </x:c>
      <x:c r="C39" s="218" t="str">
        <x:v>5</x:v>
      </x:c>
      <x:c r="D39" s="218" t="str">
        <x:v>609069</x:v>
      </x:c>
      <x:c r="E39" s="218" t="str">
        <x:v>988095</x:v>
      </x:c>
      <x:c r="F39" s="218" t="str">
        <x:v>KIT DE CORRER</x:v>
      </x:c>
      <x:c r="G39" s="184" t="str">
        <x:v>SUP KIT STD  KIT DE CORRER EM MDF</x:v>
      </x:c>
      <x:c r="H39" s="184" t="str"/>
      <x:c r="I39" s="184" t="str"/>
      <x:c r="J39" s="184" t="str"/>
      <x:c r="K39" s="184" t="str">
        <x:v>RECOBERTO PET TXT</x:v>
      </x:c>
      <x:c r="L39" s="184" t="str">
        <x:v>BRANCO</x:v>
      </x:c>
      <x:c r="M39" s="205" t="n">
        <x:v>115</x:v>
      </x:c>
      <x:c r="N39" s="205" t="str"/>
      <x:c r="O39" s="205" t="str"/>
      <x:c r="P39" s="205" t="str"/>
      <x:c r="Q39" s="206" t="n">
        <x:v>0.626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115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26739</x:v>
      </x:c>
      <x:c r="C40" s="220" t="str">
        <x:v>16</x:v>
      </x:c>
      <x:c r="D40" s="220" t="str">
        <x:v>609689</x:v>
      </x:c>
      <x:c r="E40" s="220" t="str">
        <x:v>2010700829</x:v>
      </x:c>
      <x:c r="F40" s="220" t="str">
        <x:v>KIT DE CORRER</x:v>
      </x:c>
      <x:c r="G40" s="190" t="str">
        <x:v>P K COR ULTRA PET BCO CAR  KIT DE CORRER EM MDF ULTRA</x:v>
      </x:c>
      <x:c r="H40" s="190" t="str"/>
      <x:c r="I40" s="190" t="str"/>
      <x:c r="J40" s="190" t="str"/>
      <x:c r="K40" s="190" t="str">
        <x:v>RECOBERTO PET</x:v>
      </x:c>
      <x:c r="L40" s="190" t="str">
        <x:v>BRANCO CARRARA</x:v>
      </x:c>
      <x:c r="M40" s="210" t="n">
        <x:v>14</x:v>
      </x:c>
      <x:c r="N40" s="210" t="str"/>
      <x:c r="O40" s="210" t="str"/>
      <x:c r="P40" s="210" t="str"/>
      <x:c r="Q40" s="211" t="n">
        <x:v>0.076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14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26739</x:v>
      </x:c>
      <x:c r="C41" s="218" t="str">
        <x:v>16</x:v>
      </x:c>
      <x:c r="D41" s="218" t="str">
        <x:v>609690</x:v>
      </x:c>
      <x:c r="E41" s="218" t="str">
        <x:v>2010700830</x:v>
      </x:c>
      <x:c r="F41" s="218" t="str">
        <x:v>KIT DE CORRER</x:v>
      </x:c>
      <x:c r="G41" s="184" t="str">
        <x:v>S K COR ULTRA PET BCO CAR  KIT DE CORRER EM MDF ULTRA</x:v>
      </x:c>
      <x:c r="H41" s="184" t="str"/>
      <x:c r="I41" s="184" t="str"/>
      <x:c r="J41" s="184" t="str"/>
      <x:c r="K41" s="184" t="str">
        <x:v>RECOBERTO PET</x:v>
      </x:c>
      <x:c r="L41" s="184" t="str">
        <x:v>BRANCO CARRARA</x:v>
      </x:c>
      <x:c r="M41" s="205" t="n">
        <x:v>7</x:v>
      </x:c>
      <x:c r="N41" s="205" t="str"/>
      <x:c r="O41" s="205" t="str"/>
      <x:c r="P41" s="205" t="str"/>
      <x:c r="Q41" s="206" t="n">
        <x:v>0.038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7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26747</x:v>
      </x:c>
      <x:c r="C42" s="220" t="str">
        <x:v>12</x:v>
      </x:c>
      <x:c r="D42" s="220" t="str">
        <x:v>609023</x:v>
      </x:c>
      <x:c r="E42" s="220" t="str">
        <x:v>675619</x:v>
      </x:c>
      <x:c r="F42" s="220" t="str">
        <x:v>KIT DE CORRER</x:v>
      </x:c>
      <x:c r="G42" s="190" t="str">
        <x:v>PERNA KIT ULTRA  KIT DE CORRER EM MDF ULTRA</x:v>
      </x:c>
      <x:c r="H42" s="190" t="str"/>
      <x:c r="I42" s="190" t="str"/>
      <x:c r="J42" s="190" t="str"/>
      <x:c r="K42" s="190" t="str">
        <x:v>RECOBERTO PET</x:v>
      </x:c>
      <x:c r="L42" s="190" t="str">
        <x:v>BRANCO CARRARA</x:v>
      </x:c>
      <x:c r="M42" s="210" t="n">
        <x:v>4</x:v>
      </x:c>
      <x:c r="N42" s="210" t="str"/>
      <x:c r="O42" s="210" t="str"/>
      <x:c r="P42" s="210" t="str"/>
      <x:c r="Q42" s="211" t="n">
        <x:v>0.022</x:v>
      </x:c>
      <x:c r="R42" s="207" t="str"/>
      <x:c r="S42" s="207" t="str"/>
      <x:c r="T42" s="207" t="str"/>
      <x:c r="U42" s="207" t="n">
        <x:v>0</x:v>
      </x:c>
      <x:c r="V42" s="208" t="n">
        <x:f>MAX(0,M42-U42)</x:f>
        <x:v>4</x:v>
      </x:c>
      <x:c r="W42" s="209" t="n">
        <x:f>IFERROR(U42/M42,0)</x:f>
        <x:v>0</x:v>
      </x:c>
      <x:c r="X42" s="201" t="str">
        <x:f>IF(U42=0,"Não iniciado",IF(U42&gt;=M42,"Concluído","Parcial"))</x:f>
        <x:v>Não iniciado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26747</x:v>
      </x:c>
      <x:c r="C43" s="218" t="str">
        <x:v>12</x:v>
      </x:c>
      <x:c r="D43" s="218" t="str">
        <x:v>609026</x:v>
      </x:c>
      <x:c r="E43" s="218" t="str">
        <x:v>987029</x:v>
      </x:c>
      <x:c r="F43" s="218" t="str">
        <x:v>KIT DE CORRER</x:v>
      </x:c>
      <x:c r="G43" s="184" t="str">
        <x:v>SUP TRILHO ULTRA  KIT DE CORRER EM MDF ULTRA</x:v>
      </x:c>
      <x:c r="H43" s="184" t="str"/>
      <x:c r="I43" s="184" t="str"/>
      <x:c r="J43" s="184" t="str"/>
      <x:c r="K43" s="184" t="str">
        <x:v>RECOBERTO PET</x:v>
      </x:c>
      <x:c r="L43" s="184" t="str">
        <x:v>BRANCO CARRARA</x:v>
      </x:c>
      <x:c r="M43" s="205" t="n">
        <x:v>2</x:v>
      </x:c>
      <x:c r="N43" s="205" t="str"/>
      <x:c r="O43" s="205" t="str"/>
      <x:c r="P43" s="205" t="str"/>
      <x:c r="Q43" s="206" t="n">
        <x:v>0.011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2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26750</x:v>
      </x:c>
      <x:c r="C44" s="220" t="str">
        <x:v>19</x:v>
      </x:c>
      <x:c r="D44" s="220" t="str">
        <x:v>609862</x:v>
      </x:c>
      <x:c r="E44" s="220" t="str">
        <x:v>2010700829</x:v>
      </x:c>
      <x:c r="F44" s="220" t="str">
        <x:v>KIT DE CORRER</x:v>
      </x:c>
      <x:c r="G44" s="190" t="str">
        <x:v>P K COR ULTRA PET BCO CAR  KIT DE CORRER EM MDF ULTRA</x:v>
      </x:c>
      <x:c r="H44" s="190" t="str"/>
      <x:c r="I44" s="190" t="str"/>
      <x:c r="J44" s="190" t="str"/>
      <x:c r="K44" s="190" t="str">
        <x:v>RECOBERTO PET</x:v>
      </x:c>
      <x:c r="L44" s="190" t="str">
        <x:v>BRANCO CARRARA</x:v>
      </x:c>
      <x:c r="M44" s="210" t="n">
        <x:v>14</x:v>
      </x:c>
      <x:c r="N44" s="210" t="str"/>
      <x:c r="O44" s="210" t="str"/>
      <x:c r="P44" s="210" t="str"/>
      <x:c r="Q44" s="211" t="n">
        <x:v>0.076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14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26750</x:v>
      </x:c>
      <x:c r="C45" s="218" t="str">
        <x:v>19</x:v>
      </x:c>
      <x:c r="D45" s="218" t="str">
        <x:v>609863</x:v>
      </x:c>
      <x:c r="E45" s="218" t="str">
        <x:v>2010700830</x:v>
      </x:c>
      <x:c r="F45" s="218" t="str">
        <x:v>KIT DE CORRER</x:v>
      </x:c>
      <x:c r="G45" s="184" t="str">
        <x:v>S K COR ULTRA PET BCO CAR  KIT DE CORRER EM MDF ULTRA</x:v>
      </x:c>
      <x:c r="H45" s="184" t="str"/>
      <x:c r="I45" s="184" t="str"/>
      <x:c r="J45" s="184" t="str"/>
      <x:c r="K45" s="184" t="str">
        <x:v>RECOBERTO PET</x:v>
      </x:c>
      <x:c r="L45" s="184" t="str">
        <x:v>BRANCO CARRARA</x:v>
      </x:c>
      <x:c r="M45" s="205" t="n">
        <x:v>7</x:v>
      </x:c>
      <x:c r="N45" s="205" t="str"/>
      <x:c r="O45" s="205" t="str"/>
      <x:c r="P45" s="205" t="str"/>
      <x:c r="Q45" s="206" t="n">
        <x:v>0.038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7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26808</x:v>
      </x:c>
      <x:c r="C46" s="220" t="str">
        <x:v>13</x:v>
      </x:c>
      <x:c r="D46" s="220" t="str">
        <x:v>610182</x:v>
      </x:c>
      <x:c r="E46" s="220" t="str">
        <x:v>961608</x:v>
      </x:c>
      <x:c r="F46" s="220" t="str">
        <x:v>KIT DE CORRER</x:v>
      </x:c>
      <x:c r="G46" s="190" t="str">
        <x:v> KIT DE CORRER EM MADEIRA DE PINUS</x:v>
      </x:c>
      <x:c r="H46" s="190" t="str"/>
      <x:c r="I46" s="190" t="str"/>
      <x:c r="J46" s="190" t="str"/>
      <x:c r="K46" s="190" t="str">
        <x:v>RECOBERTO PET</x:v>
      </x:c>
      <x:c r="L46" s="190" t="str">
        <x:v>BRANCO CARRARA</x:v>
      </x:c>
      <x:c r="M46" s="210" t="n">
        <x:v>2</x:v>
      </x:c>
      <x:c r="N46" s="210" t="str"/>
      <x:c r="O46" s="210" t="str"/>
      <x:c r="P46" s="210" t="str"/>
      <x:c r="Q46" s="211" t="n">
        <x:v>0</x:v>
      </x:c>
      <x:c r="R46" s="207" t="str"/>
      <x:c r="S46" s="207" t="str"/>
      <x:c r="T46" s="207" t="str"/>
      <x:c r="U46" s="207" t="n">
        <x:v>2</x:v>
      </x:c>
      <x:c r="V46" s="208" t="n">
        <x:f>MAX(0,M46-U46)</x:f>
        <x:v>0</x:v>
      </x:c>
      <x:c r="W46" s="209" t="n">
        <x:f>IFERROR(U46/M46,0)</x:f>
        <x:v>1</x:v>
      </x:c>
      <x:c r="X46" s="201" t="str">
        <x:f>IF(U46=0,"Não iniciado",IF(U46&gt;=M46,"Concluído","Parcial"))</x:f>
        <x:v>Concluído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26808</x:v>
      </x:c>
      <x:c r="C47" s="218" t="str">
        <x:v>13</x:v>
      </x:c>
      <x:c r="D47" s="218" t="str">
        <x:v>610183</x:v>
      </x:c>
      <x:c r="E47" s="218" t="str">
        <x:v>961775</x:v>
      </x:c>
      <x:c r="F47" s="218" t="str">
        <x:v>KIT DE CORRER</x:v>
      </x:c>
      <x:c r="G47" s="184" t="str">
        <x:v> KIT DE CORRER EM MADEIRA DE PINUS</x:v>
      </x:c>
      <x:c r="H47" s="184" t="str"/>
      <x:c r="I47" s="184" t="str"/>
      <x:c r="J47" s="184" t="str"/>
      <x:c r="K47" s="184" t="str">
        <x:v>RECOBERTO PET</x:v>
      </x:c>
      <x:c r="L47" s="184" t="str">
        <x:v>BRANCO CARRARA</x:v>
      </x:c>
      <x:c r="M47" s="205" t="n">
        <x:v>2</x:v>
      </x:c>
      <x:c r="N47" s="205" t="str"/>
      <x:c r="O47" s="205" t="str"/>
      <x:c r="P47" s="205" t="str"/>
      <x:c r="Q47" s="206" t="n">
        <x:v>0.014</x:v>
      </x:c>
      <x:c r="R47" s="207" t="str"/>
      <x:c r="S47" s="207" t="str"/>
      <x:c r="T47" s="207" t="str"/>
      <x:c r="U47" s="207" t="n">
        <x:v>2</x:v>
      </x:c>
      <x:c r="V47" s="208" t="n">
        <x:f>MAX(0,M47-U47)</x:f>
        <x:v>0</x:v>
      </x:c>
      <x:c r="W47" s="209" t="n">
        <x:f>IFERROR(U47/M47,0)</x:f>
        <x:v>1</x:v>
      </x:c>
      <x:c r="X47" s="201" t="str">
        <x:f>IF(U47=0,"Não iniciado",IF(U47&gt;=M47,"Concluído","Parcial"))</x:f>
        <x:v>Concluído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26808</x:v>
      </x:c>
      <x:c r="C48" s="220" t="str">
        <x:v>13</x:v>
      </x:c>
      <x:c r="D48" s="220" t="str">
        <x:v>610185</x:v>
      </x:c>
      <x:c r="E48" s="220" t="str">
        <x:v>984045</x:v>
      </x:c>
      <x:c r="F48" s="220" t="str">
        <x:v>KIT DE CORRER</x:v>
      </x:c>
      <x:c r="G48" s="190" t="str">
        <x:v> KIT DE CORRER EM MADEIRA DE PINUS</x:v>
      </x:c>
      <x:c r="H48" s="190" t="str"/>
      <x:c r="I48" s="190" t="str"/>
      <x:c r="J48" s="190" t="str"/>
      <x:c r="K48" s="190" t="str">
        <x:v>RECOBERTO PET</x:v>
      </x:c>
      <x:c r="L48" s="190" t="str">
        <x:v>BRANCO CARRARA</x:v>
      </x:c>
      <x:c r="M48" s="210" t="n">
        <x:v>2</x:v>
      </x:c>
      <x:c r="N48" s="210" t="str"/>
      <x:c r="O48" s="210" t="str"/>
      <x:c r="P48" s="210" t="str"/>
      <x:c r="Q48" s="211" t="n">
        <x:v>0.005</x:v>
      </x:c>
      <x:c r="R48" s="207" t="str"/>
      <x:c r="S48" s="207" t="str"/>
      <x:c r="T48" s="207" t="str"/>
      <x:c r="U48" s="207" t="n">
        <x:v>2</x:v>
      </x:c>
      <x:c r="V48" s="208" t="n">
        <x:f>MAX(0,M48-U48)</x:f>
        <x:v>0</x:v>
      </x:c>
      <x:c r="W48" s="209" t="n">
        <x:f>IFERROR(U48/M48,0)</x:f>
        <x:v>1</x:v>
      </x:c>
      <x:c r="X48" s="201" t="str">
        <x:f>IF(U48=0,"Não iniciado",IF(U48&gt;=M48,"Concluído","Parcial"))</x:f>
        <x:v>Concluído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26808</x:v>
      </x:c>
      <x:c r="C49" s="218" t="str">
        <x:v>13</x:v>
      </x:c>
      <x:c r="D49" s="218" t="str">
        <x:v>610186</x:v>
      </x:c>
      <x:c r="E49" s="218" t="str">
        <x:v>984047</x:v>
      </x:c>
      <x:c r="F49" s="218" t="str">
        <x:v>KIT DE CORRER</x:v>
      </x:c>
      <x:c r="G49" s="184" t="str">
        <x:v> KIT DE CORRER EM MADEIRA DE PINUS</x:v>
      </x:c>
      <x:c r="H49" s="184" t="str"/>
      <x:c r="I49" s="184" t="str"/>
      <x:c r="J49" s="184" t="str"/>
      <x:c r="K49" s="184" t="str">
        <x:v>RECOBERTO PET</x:v>
      </x:c>
      <x:c r="L49" s="184" t="str">
        <x:v>BRANCO CARRARA</x:v>
      </x:c>
      <x:c r="M49" s="205" t="n">
        <x:v>2</x:v>
      </x:c>
      <x:c r="N49" s="205" t="str"/>
      <x:c r="O49" s="205" t="str"/>
      <x:c r="P49" s="205" t="str"/>
      <x:c r="Q49" s="206" t="n">
        <x:v>0.006</x:v>
      </x:c>
      <x:c r="R49" s="207" t="str"/>
      <x:c r="S49" s="207" t="str"/>
      <x:c r="T49" s="207" t="str"/>
      <x:c r="U49" s="207" t="n">
        <x:v>2</x:v>
      </x:c>
      <x:c r="V49" s="208" t="n">
        <x:f>MAX(0,M49-U49)</x:f>
        <x:v>0</x:v>
      </x:c>
      <x:c r="W49" s="209" t="n">
        <x:f>IFERROR(U49/M49,0)</x:f>
        <x:v>1</x:v>
      </x:c>
      <x:c r="X49" s="201" t="str">
        <x:f>IF(U49=0,"Não iniciado",IF(U49&gt;=M49,"Concluído","Parcial"))</x:f>
        <x:v>Concluído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26825</x:v>
      </x:c>
      <x:c r="C50" s="220" t="str">
        <x:v>3</x:v>
      </x:c>
      <x:c r="D50" s="220" t="str">
        <x:v>609047</x:v>
      </x:c>
      <x:c r="E50" s="220" t="str">
        <x:v>675619</x:v>
      </x:c>
      <x:c r="F50" s="220" t="str">
        <x:v>KIT DE CORRER</x:v>
      </x:c>
      <x:c r="G50" s="190" t="str">
        <x:v>PERNA KIT ULTRA  KIT DE CORRER EM MDF ULTRA</x:v>
      </x:c>
      <x:c r="H50" s="190" t="str"/>
      <x:c r="I50" s="190" t="str"/>
      <x:c r="J50" s="190" t="str"/>
      <x:c r="K50" s="190" t="str">
        <x:v>RECOBERTO PET</x:v>
      </x:c>
      <x:c r="L50" s="190" t="str">
        <x:v>BRANCO CARRARA</x:v>
      </x:c>
      <x:c r="M50" s="210" t="n">
        <x:v>64</x:v>
      </x:c>
      <x:c r="N50" s="210" t="str"/>
      <x:c r="O50" s="210" t="str"/>
      <x:c r="P50" s="210" t="str"/>
      <x:c r="Q50" s="211" t="n">
        <x:v>0.348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64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26825</x:v>
      </x:c>
      <x:c r="C51" s="218" t="str">
        <x:v>3</x:v>
      </x:c>
      <x:c r="D51" s="218" t="str">
        <x:v>609050</x:v>
      </x:c>
      <x:c r="E51" s="218" t="str">
        <x:v>987029</x:v>
      </x:c>
      <x:c r="F51" s="218" t="str">
        <x:v>KIT DE CORRER</x:v>
      </x:c>
      <x:c r="G51" s="184" t="str">
        <x:v>SUP TRILHO ULTRA  KIT DE CORRER EM MDF ULTRA</x:v>
      </x:c>
      <x:c r="H51" s="184" t="str"/>
      <x:c r="I51" s="184" t="str"/>
      <x:c r="J51" s="184" t="str"/>
      <x:c r="K51" s="184" t="str">
        <x:v>RECOBERTO PET</x:v>
      </x:c>
      <x:c r="L51" s="184" t="str">
        <x:v>BRANCO CARRARA</x:v>
      </x:c>
      <x:c r="M51" s="205" t="n">
        <x:v>32</x:v>
      </x:c>
      <x:c r="N51" s="205" t="str"/>
      <x:c r="O51" s="205" t="str"/>
      <x:c r="P51" s="205" t="str"/>
      <x:c r="Q51" s="206" t="n">
        <x:v>0.174</x:v>
      </x:c>
      <x:c r="R51" s="207" t="str"/>
      <x:c r="S51" s="207" t="str"/>
      <x:c r="T51" s="207" t="str"/>
      <x:c r="U51" s="207" t="n">
        <x:v>0</x:v>
      </x:c>
      <x:c r="V51" s="208" t="n">
        <x:f>MAX(0,M51-U51)</x:f>
        <x:v>32</x:v>
      </x:c>
      <x:c r="W51" s="209" t="n">
        <x:f>IFERROR(U51/M51,0)</x:f>
        <x:v>0</x:v>
      </x:c>
      <x:c r="X51" s="201" t="str">
        <x:f>IF(U51=0,"Não iniciado",IF(U51&gt;=M51,"Concluído","Parcial"))</x:f>
        <x:v>Não iniciado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26520</x:v>
      </x:c>
      <x:c r="C52" s="220" t="str">
        <x:v>10</x:v>
      </x:c>
      <x:c r="D52" s="220" t="str">
        <x:v>610165</x:v>
      </x:c>
      <x:c r="E52" s="220" t="str">
        <x:v>2010701224</x:v>
      </x:c>
      <x:c r="F52" s="220" t="str">
        <x:v>KIT DE CORRER</x:v>
      </x:c>
      <x:c r="G52" s="190" t="str">
        <x:v>P K COR ULTRA PET C RA  KIT DE CORRER EM MDF ULTRA</x:v>
      </x:c>
      <x:c r="H52" s="190" t="str"/>
      <x:c r="I52" s="190" t="str"/>
      <x:c r="J52" s="190" t="str"/>
      <x:c r="K52" s="190" t="str">
        <x:v>RECOBERTO PET</x:v>
      </x:c>
      <x:c r="L52" s="190" t="str">
        <x:v>CURUPIXA RAVENNA</x:v>
      </x:c>
      <x:c r="M52" s="210" t="n">
        <x:v>2</x:v>
      </x:c>
      <x:c r="N52" s="210" t="str"/>
      <x:c r="O52" s="210" t="str"/>
      <x:c r="P52" s="210" t="str"/>
      <x:c r="Q52" s="211" t="n">
        <x:v>0.011</x:v>
      </x:c>
      <x:c r="R52" s="207" t="str"/>
      <x:c r="S52" s="207" t="str"/>
      <x:c r="T52" s="207" t="str"/>
      <x:c r="U52" s="207" t="n">
        <x:v>0</x:v>
      </x:c>
      <x:c r="V52" s="208" t="n">
        <x:f>MAX(0,M52-U52)</x:f>
        <x:v>2</x:v>
      </x:c>
      <x:c r="W52" s="209" t="n">
        <x:f>IFERROR(U52/M52,0)</x:f>
        <x:v>0</x:v>
      </x:c>
      <x:c r="X52" s="201" t="str">
        <x:f>IF(U52=0,"Não iniciado",IF(U52&gt;=M52,"Concluído","Parcial"))</x:f>
        <x:v>Não iniciado</x:v>
      </x:c>
      <x:c r="Y52" s="199" t="str"/>
      <x:c r="Z52" s="188" t="str">
        <x:v>Normal</x:v>
      </x:c>
    </x:row>
    <x:row r="53" ht="22" customHeight="1">
      <x:c r="A53" s="221" t="n">
        <x:v>49</x:v>
      </x:c>
      <x:c r="B53" s="222" t="str">
        <x:v>26520</x:v>
      </x:c>
      <x:c r="C53" s="222" t="str">
        <x:v>10</x:v>
      </x:c>
      <x:c r="D53" s="222" t="str">
        <x:v>610166</x:v>
      </x:c>
      <x:c r="E53" s="222" t="str">
        <x:v>2010701225</x:v>
      </x:c>
      <x:c r="F53" s="222" t="str">
        <x:v>KIT DE CORRER</x:v>
      </x:c>
      <x:c r="G53" s="194" t="str">
        <x:v>S K COR ULTRA PET C RA  KIT DE CORRER EM MDF ULTRA</x:v>
      </x:c>
      <x:c r="H53" s="194" t="str"/>
      <x:c r="I53" s="194" t="str"/>
      <x:c r="J53" s="194" t="str"/>
      <x:c r="K53" s="194" t="str">
        <x:v>RECOBERTO PET</x:v>
      </x:c>
      <x:c r="L53" s="194" t="str">
        <x:v>CURUPIXA RAVENNA</x:v>
      </x:c>
      <x:c r="M53" s="212" t="n">
        <x:v>1</x:v>
      </x:c>
      <x:c r="N53" s="212" t="str"/>
      <x:c r="O53" s="212" t="str"/>
      <x:c r="P53" s="212" t="str"/>
      <x:c r="Q53" s="213" t="n">
        <x:v>0.005</x:v>
      </x:c>
      <x:c r="R53" s="214" t="str"/>
      <x:c r="S53" s="214" t="str"/>
      <x:c r="T53" s="214" t="str"/>
      <x:c r="U53" s="214" t="n">
        <x:v>0</x:v>
      </x:c>
      <x:c r="V53" s="215" t="n">
        <x:f>MAX(0,M53-U53)</x:f>
        <x:v>1</x:v>
      </x:c>
      <x:c r="W53" s="216" t="n">
        <x:f>IFERROR(U53/M53,0)</x:f>
        <x:v>0</x:v>
      </x:c>
      <x:c r="X53" s="203" t="str">
        <x:f>IF(U53=0,"Não iniciado",IF(U53&gt;=M53,"Concluído","Parcial"))</x:f>
        <x:v>Não iniciado</x:v>
      </x:c>
      <x:c r="Y53" s="200" t="str"/>
      <x:c r="Z53" s="198" t="str">
        <x:v>Normal</x:v>
      </x:c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  <x:c r="V54" s="84"/>
      <x:c r="W54" s="84"/>
      <x:c r="X54" s="84"/>
      <x:c r="Y54" s="84"/>
      <x:c r="Z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  <x:c r="V55" s="84"/>
      <x:c r="W55" s="84"/>
      <x:c r="X55" s="84"/>
      <x:c r="Y55" s="84"/>
      <x:c r="Z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  <x:c r="V56" s="84"/>
      <x:c r="W56" s="84"/>
      <x:c r="X56" s="84"/>
      <x:c r="Y56" s="84"/>
      <x:c r="Z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  <x:c r="V57" s="84"/>
      <x:c r="W57" s="84"/>
      <x:c r="X57" s="84"/>
      <x:c r="Y57" s="84"/>
      <x:c r="Z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  <x:c r="V58" s="84"/>
      <x:c r="W58" s="84"/>
      <x:c r="X58" s="84"/>
      <x:c r="Y58" s="84"/>
      <x:c r="Z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  <x:c r="V59" s="84"/>
      <x:c r="W59" s="84"/>
      <x:c r="X59" s="84"/>
      <x:c r="Y59" s="84"/>
      <x:c r="Z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84"/>
      <x:c r="W60" s="84"/>
      <x:c r="X60" s="84"/>
      <x:c r="Y60" s="84"/>
      <x:c r="Z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  <x:c r="V61" s="84"/>
      <x:c r="W61" s="84"/>
      <x:c r="X61" s="84"/>
      <x:c r="Y61" s="84"/>
      <x:c r="Z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  <x:c r="V62" s="84"/>
      <x:c r="W62" s="84"/>
      <x:c r="X62" s="84"/>
      <x:c r="Y62" s="84"/>
      <x:c r="Z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  <x:c r="V63" s="84"/>
      <x:c r="W63" s="84"/>
      <x:c r="X63" s="84"/>
      <x:c r="Y63" s="84"/>
      <x:c r="Z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  <x:c r="V64" s="84"/>
      <x:c r="W64" s="84"/>
      <x:c r="X64" s="84"/>
      <x:c r="Y64" s="84"/>
      <x:c r="Z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  <x:c r="V65" s="84"/>
      <x:c r="W65" s="84"/>
      <x:c r="X65" s="84"/>
      <x:c r="Y65" s="84"/>
      <x:c r="Z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  <x:c r="V66" s="84"/>
      <x:c r="W66" s="84"/>
      <x:c r="X66" s="84"/>
      <x:c r="Y66" s="84"/>
      <x:c r="Z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  <x:c r="V67" s="84"/>
      <x:c r="W67" s="84"/>
      <x:c r="X67" s="84"/>
      <x:c r="Y67" s="84"/>
      <x:c r="Z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  <x:c r="V68" s="84"/>
      <x:c r="W68" s="84"/>
      <x:c r="X68" s="84"/>
      <x:c r="Y68" s="84"/>
      <x:c r="Z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  <x:c r="V69" s="84"/>
      <x:c r="W69" s="84"/>
      <x:c r="X69" s="84"/>
      <x:c r="Y69" s="84"/>
      <x:c r="Z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  <x:c r="V70" s="84"/>
      <x:c r="W70" s="84"/>
      <x:c r="X70" s="84"/>
      <x:c r="Y70" s="84"/>
      <x:c r="Z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  <x:c r="V71" s="84"/>
      <x:c r="W71" s="84"/>
      <x:c r="X71" s="84"/>
      <x:c r="Y71" s="84"/>
      <x:c r="Z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  <x:c r="V72" s="84"/>
      <x:c r="W72" s="84"/>
      <x:c r="X72" s="84"/>
      <x:c r="Y72" s="84"/>
      <x:c r="Z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  <x:c r="V73" s="84"/>
      <x:c r="W73" s="84"/>
      <x:c r="X73" s="84"/>
      <x:c r="Y73" s="84"/>
      <x:c r="Z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  <x:c r="V74" s="84"/>
      <x:c r="W74" s="84"/>
      <x:c r="X74" s="84"/>
      <x:c r="Y74" s="84"/>
      <x:c r="Z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84"/>
      <x:c r="W75" s="84"/>
      <x:c r="X75" s="84"/>
      <x:c r="Y75" s="84"/>
      <x:c r="Z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  <x:c r="V76" s="84"/>
      <x:c r="W76" s="84"/>
      <x:c r="X76" s="84"/>
      <x:c r="Y76" s="84"/>
      <x:c r="Z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  <x:c r="V77" s="84"/>
      <x:c r="W77" s="84"/>
      <x:c r="X77" s="84"/>
      <x:c r="Y77" s="84"/>
      <x:c r="Z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  <x:c r="V78" s="84"/>
      <x:c r="W78" s="84"/>
      <x:c r="X78" s="84"/>
      <x:c r="Y78" s="84"/>
      <x:c r="Z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  <x:c r="V79" s="84"/>
      <x:c r="W79" s="84"/>
      <x:c r="X79" s="84"/>
      <x:c r="Y79" s="84"/>
      <x:c r="Z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  <x:c r="V80" s="84"/>
      <x:c r="W80" s="84"/>
      <x:c r="X80" s="84"/>
      <x:c r="Y80" s="84"/>
      <x:c r="Z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  <x:c r="V81" s="84"/>
      <x:c r="W81" s="84"/>
      <x:c r="X81" s="84"/>
      <x:c r="Y81" s="84"/>
      <x:c r="Z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  <x:c r="V82" s="84"/>
      <x:c r="W82" s="84"/>
      <x:c r="X82" s="84"/>
      <x:c r="Y82" s="84"/>
      <x:c r="Z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  <x:c r="V83" s="84"/>
      <x:c r="W83" s="84"/>
      <x:c r="X83" s="84"/>
      <x:c r="Y83" s="84"/>
      <x:c r="Z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  <x:c r="V84" s="84"/>
      <x:c r="W84" s="84"/>
      <x:c r="X84" s="84"/>
      <x:c r="Y84" s="84"/>
      <x:c r="Z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  <x:c r="V85" s="84"/>
      <x:c r="W85" s="84"/>
      <x:c r="X85" s="84"/>
      <x:c r="Y85" s="84"/>
      <x:c r="Z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  <x:c r="V86" s="84"/>
      <x:c r="W86" s="84"/>
      <x:c r="X86" s="84"/>
      <x:c r="Y86" s="84"/>
      <x:c r="Z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  <x:c r="V87" s="84"/>
      <x:c r="W87" s="84"/>
      <x:c r="X87" s="84"/>
      <x:c r="Y87" s="84"/>
      <x:c r="Z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  <x:c r="V88" s="84"/>
      <x:c r="W88" s="84"/>
      <x:c r="X88" s="84"/>
      <x:c r="Y88" s="84"/>
      <x:c r="Z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  <x:c r="V89" s="84"/>
      <x:c r="W89" s="84"/>
      <x:c r="X89" s="84"/>
      <x:c r="Y89" s="84"/>
      <x:c r="Z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  <x:c r="V90" s="84"/>
      <x:c r="W90" s="84"/>
      <x:c r="X90" s="84"/>
      <x:c r="Y90" s="84"/>
      <x:c r="Z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  <x:c r="V91" s="84"/>
      <x:c r="W91" s="84"/>
      <x:c r="X91" s="84"/>
      <x:c r="Y91" s="84"/>
      <x:c r="Z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  <x:c r="V92" s="84"/>
      <x:c r="W92" s="84"/>
      <x:c r="X92" s="84"/>
      <x:c r="Y92" s="84"/>
      <x:c r="Z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  <x:c r="V93" s="84"/>
      <x:c r="W93" s="84"/>
      <x:c r="X93" s="84"/>
      <x:c r="Y93" s="84"/>
      <x:c r="Z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  <x:c r="V94" s="84"/>
      <x:c r="W94" s="84"/>
      <x:c r="X94" s="84"/>
      <x:c r="Y94" s="84"/>
      <x:c r="Z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  <x:c r="V95" s="84"/>
      <x:c r="W95" s="84"/>
      <x:c r="X95" s="84"/>
      <x:c r="Y95" s="84"/>
      <x:c r="Z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  <x:c r="V96" s="84"/>
      <x:c r="W96" s="84"/>
      <x:c r="X96" s="84"/>
      <x:c r="Y96" s="84"/>
      <x:c r="Z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  <x:c r="V97" s="84"/>
      <x:c r="W97" s="84"/>
      <x:c r="X97" s="84"/>
      <x:c r="Y97" s="84"/>
      <x:c r="Z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  <x:c r="V98" s="84"/>
      <x:c r="W98" s="84"/>
      <x:c r="X98" s="84"/>
      <x:c r="Y98" s="84"/>
      <x:c r="Z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  <x:c r="V99" s="84"/>
      <x:c r="W99" s="84"/>
      <x:c r="X99" s="84"/>
      <x:c r="Y99" s="84"/>
      <x:c r="Z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  <x:c r="V100" s="84"/>
      <x:c r="W100" s="84"/>
      <x:c r="X100" s="84"/>
      <x:c r="Y100" s="84"/>
      <x:c r="Z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  <x:c r="V101" s="84"/>
      <x:c r="W101" s="84"/>
      <x:c r="X101" s="84"/>
      <x:c r="Y101" s="84"/>
      <x:c r="Z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  <x:c r="V102" s="84"/>
      <x:c r="W102" s="84"/>
      <x:c r="X102" s="84"/>
      <x:c r="Y102" s="84"/>
      <x:c r="Z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  <x:c r="V103" s="84"/>
      <x:c r="W103" s="84"/>
      <x:c r="X103" s="84"/>
      <x:c r="Y103" s="84"/>
      <x:c r="Z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  <x:c r="V104" s="84"/>
      <x:c r="W104" s="84"/>
      <x:c r="X104" s="84"/>
      <x:c r="Y104" s="84"/>
      <x:c r="Z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  <x:c r="V105" s="84"/>
      <x:c r="W105" s="84"/>
      <x:c r="X105" s="84"/>
      <x:c r="Y105" s="84"/>
      <x:c r="Z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  <x:c r="V106" s="84"/>
      <x:c r="W106" s="84"/>
      <x:c r="X106" s="84"/>
      <x:c r="Y106" s="84"/>
      <x:c r="Z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  <x:c r="V107" s="84"/>
      <x:c r="W107" s="84"/>
      <x:c r="X107" s="84"/>
      <x:c r="Y107" s="84"/>
      <x:c r="Z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  <x:c r="V108" s="84"/>
      <x:c r="W108" s="84"/>
      <x:c r="X108" s="84"/>
      <x:c r="Y108" s="84"/>
      <x:c r="Z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  <x:c r="V109" s="84"/>
      <x:c r="W109" s="84"/>
      <x:c r="X109" s="84"/>
      <x:c r="Y109" s="84"/>
      <x:c r="Z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  <x:c r="V110" s="84"/>
      <x:c r="W110" s="84"/>
      <x:c r="X110" s="84"/>
      <x:c r="Y110" s="84"/>
      <x:c r="Z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  <x:c r="M111" s="84"/>
      <x:c r="N111" s="84"/>
      <x:c r="O111" s="84"/>
      <x:c r="P111" s="84"/>
      <x:c r="Q111" s="84"/>
      <x:c r="R111" s="84"/>
      <x:c r="S111" s="84"/>
      <x:c r="T111" s="84"/>
      <x:c r="U111" s="84"/>
      <x:c r="V111" s="84"/>
      <x:c r="W111" s="84"/>
      <x:c r="X111" s="84"/>
      <x:c r="Y111" s="84"/>
      <x:c r="Z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  <x:c r="M112" s="84"/>
      <x:c r="N112" s="84"/>
      <x:c r="O112" s="84"/>
      <x:c r="P112" s="84"/>
      <x:c r="Q112" s="84"/>
      <x:c r="R112" s="84"/>
      <x:c r="S112" s="84"/>
      <x:c r="T112" s="84"/>
      <x:c r="U112" s="84"/>
      <x:c r="V112" s="84"/>
      <x:c r="W112" s="84"/>
      <x:c r="X112" s="84"/>
      <x:c r="Y112" s="84"/>
      <x:c r="Z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  <x:c r="M113" s="84"/>
      <x:c r="N113" s="84"/>
      <x:c r="O113" s="84"/>
      <x:c r="P113" s="84"/>
      <x:c r="Q113" s="84"/>
      <x:c r="R113" s="84"/>
      <x:c r="S113" s="84"/>
      <x:c r="T113" s="84"/>
      <x:c r="U113" s="84"/>
      <x:c r="V113" s="84"/>
      <x:c r="W113" s="84"/>
      <x:c r="X113" s="84"/>
      <x:c r="Y113" s="84"/>
      <x:c r="Z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  <x:c r="M114" s="84"/>
      <x:c r="N114" s="84"/>
      <x:c r="O114" s="84"/>
      <x:c r="P114" s="84"/>
      <x:c r="Q114" s="84"/>
      <x:c r="R114" s="84"/>
      <x:c r="S114" s="84"/>
      <x:c r="T114" s="84"/>
      <x:c r="U114" s="84"/>
      <x:c r="V114" s="84"/>
      <x:c r="W114" s="84"/>
      <x:c r="X114" s="84"/>
      <x:c r="Y114" s="84"/>
      <x:c r="Z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  <x:c r="M115" s="84"/>
      <x:c r="N115" s="84"/>
      <x:c r="O115" s="84"/>
      <x:c r="P115" s="84"/>
      <x:c r="Q115" s="84"/>
      <x:c r="R115" s="84"/>
      <x:c r="S115" s="84"/>
      <x:c r="T115" s="84"/>
      <x:c r="U115" s="84"/>
      <x:c r="V115" s="84"/>
      <x:c r="W115" s="84"/>
      <x:c r="X115" s="84"/>
      <x:c r="Y115" s="84"/>
      <x:c r="Z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  <x:c r="M116" s="84"/>
      <x:c r="N116" s="84"/>
      <x:c r="O116" s="84"/>
      <x:c r="P116" s="84"/>
      <x:c r="Q116" s="84"/>
      <x:c r="R116" s="84"/>
      <x:c r="S116" s="84"/>
      <x:c r="T116" s="84"/>
      <x:c r="U116" s="84"/>
      <x:c r="V116" s="84"/>
      <x:c r="W116" s="84"/>
      <x:c r="X116" s="84"/>
      <x:c r="Y116" s="84"/>
      <x:c r="Z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  <x:c r="M117" s="84"/>
      <x:c r="N117" s="84"/>
      <x:c r="O117" s="84"/>
      <x:c r="P117" s="84"/>
      <x:c r="Q117" s="84"/>
      <x:c r="R117" s="84"/>
      <x:c r="S117" s="84"/>
      <x:c r="T117" s="84"/>
      <x:c r="U117" s="84"/>
      <x:c r="V117" s="84"/>
      <x:c r="W117" s="84"/>
      <x:c r="X117" s="84"/>
      <x:c r="Y117" s="84"/>
      <x:c r="Z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  <x:c r="M118" s="84"/>
      <x:c r="N118" s="84"/>
      <x:c r="O118" s="84"/>
      <x:c r="P118" s="84"/>
      <x:c r="Q118" s="84"/>
      <x:c r="R118" s="84"/>
      <x:c r="S118" s="84"/>
      <x:c r="T118" s="84"/>
      <x:c r="U118" s="84"/>
      <x:c r="V118" s="84"/>
      <x:c r="W118" s="84"/>
      <x:c r="X118" s="84"/>
      <x:c r="Y118" s="84"/>
      <x:c r="Z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  <x:c r="M119" s="84"/>
      <x:c r="N119" s="84"/>
      <x:c r="O119" s="84"/>
      <x:c r="P119" s="84"/>
      <x:c r="Q119" s="84"/>
      <x:c r="R119" s="84"/>
      <x:c r="S119" s="84"/>
      <x:c r="T119" s="84"/>
      <x:c r="U119" s="84"/>
      <x:c r="V119" s="84"/>
      <x:c r="W119" s="84"/>
      <x:c r="X119" s="84"/>
      <x:c r="Y119" s="84"/>
      <x:c r="Z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  <x:c r="M120" s="84"/>
      <x:c r="N120" s="84"/>
      <x:c r="O120" s="84"/>
      <x:c r="P120" s="84"/>
      <x:c r="Q120" s="84"/>
      <x:c r="R120" s="84"/>
      <x:c r="S120" s="84"/>
      <x:c r="T120" s="84"/>
      <x:c r="U120" s="84"/>
      <x:c r="V120" s="84"/>
      <x:c r="W120" s="84"/>
      <x:c r="X120" s="84"/>
      <x:c r="Y120" s="84"/>
      <x:c r="Z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  <x:c r="M121" s="84"/>
      <x:c r="N121" s="84"/>
      <x:c r="O121" s="84"/>
      <x:c r="P121" s="84"/>
      <x:c r="Q121" s="84"/>
      <x:c r="R121" s="84"/>
      <x:c r="S121" s="84"/>
      <x:c r="T121" s="84"/>
      <x:c r="U121" s="84"/>
      <x:c r="V121" s="84"/>
      <x:c r="W121" s="84"/>
      <x:c r="X121" s="84"/>
      <x:c r="Y121" s="84"/>
      <x:c r="Z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  <x:c r="M122" s="84"/>
      <x:c r="N122" s="84"/>
      <x:c r="O122" s="84"/>
      <x:c r="P122" s="84"/>
      <x:c r="Q122" s="84"/>
      <x:c r="R122" s="84"/>
      <x:c r="S122" s="84"/>
      <x:c r="T122" s="84"/>
      <x:c r="U122" s="84"/>
      <x:c r="V122" s="84"/>
      <x:c r="W122" s="84"/>
      <x:c r="X122" s="84"/>
      <x:c r="Y122" s="84"/>
      <x:c r="Z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  <x:c r="M123" s="84"/>
      <x:c r="N123" s="84"/>
      <x:c r="O123" s="84"/>
      <x:c r="P123" s="84"/>
      <x:c r="Q123" s="84"/>
      <x:c r="R123" s="84"/>
      <x:c r="S123" s="84"/>
      <x:c r="T123" s="84"/>
      <x:c r="U123" s="84"/>
      <x:c r="V123" s="84"/>
      <x:c r="W123" s="84"/>
      <x:c r="X123" s="84"/>
      <x:c r="Y123" s="84"/>
      <x:c r="Z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  <x:c r="M124" s="84"/>
      <x:c r="N124" s="84"/>
      <x:c r="O124" s="84"/>
      <x:c r="P124" s="84"/>
      <x:c r="Q124" s="84"/>
      <x:c r="R124" s="84"/>
      <x:c r="S124" s="84"/>
      <x:c r="T124" s="84"/>
      <x:c r="U124" s="84"/>
      <x:c r="V124" s="84"/>
      <x:c r="W124" s="84"/>
      <x:c r="X124" s="84"/>
      <x:c r="Y124" s="84"/>
      <x:c r="Z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  <x:c r="S125" s="84"/>
      <x:c r="T125" s="84"/>
      <x:c r="U125" s="84"/>
      <x:c r="V125" s="84"/>
      <x:c r="W125" s="84"/>
      <x:c r="X125" s="84"/>
      <x:c r="Y125" s="84"/>
      <x:c r="Z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  <x:c r="M126" s="84"/>
      <x:c r="N126" s="84"/>
      <x:c r="O126" s="84"/>
      <x:c r="P126" s="84"/>
      <x:c r="Q126" s="84"/>
      <x:c r="R126" s="84"/>
      <x:c r="S126" s="84"/>
      <x:c r="T126" s="84"/>
      <x:c r="U126" s="84"/>
      <x:c r="V126" s="84"/>
      <x:c r="W126" s="84"/>
      <x:c r="X126" s="84"/>
      <x:c r="Y126" s="84"/>
      <x:c r="Z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  <x:c r="M127" s="84"/>
      <x:c r="N127" s="84"/>
      <x:c r="O127" s="84"/>
      <x:c r="P127" s="84"/>
      <x:c r="Q127" s="84"/>
      <x:c r="R127" s="84"/>
      <x:c r="S127" s="84"/>
      <x:c r="T127" s="84"/>
      <x:c r="U127" s="84"/>
      <x:c r="V127" s="84"/>
      <x:c r="W127" s="84"/>
      <x:c r="X127" s="84"/>
      <x:c r="Y127" s="84"/>
      <x:c r="Z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  <x:c r="M128" s="84"/>
      <x:c r="N128" s="84"/>
      <x:c r="O128" s="84"/>
      <x:c r="P128" s="84"/>
      <x:c r="Q128" s="84"/>
      <x:c r="R128" s="84"/>
      <x:c r="S128" s="84"/>
      <x:c r="T128" s="84"/>
      <x:c r="U128" s="84"/>
      <x:c r="V128" s="84"/>
      <x:c r="W128" s="84"/>
      <x:c r="X128" s="84"/>
      <x:c r="Y128" s="84"/>
      <x:c r="Z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  <x:c r="M129" s="84"/>
      <x:c r="N129" s="84"/>
      <x:c r="O129" s="84"/>
      <x:c r="P129" s="84"/>
      <x:c r="Q129" s="84"/>
      <x:c r="R129" s="84"/>
      <x:c r="S129" s="84"/>
      <x:c r="T129" s="84"/>
      <x:c r="U129" s="84"/>
      <x:c r="V129" s="84"/>
      <x:c r="W129" s="84"/>
      <x:c r="X129" s="84"/>
      <x:c r="Y129" s="84"/>
      <x:c r="Z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  <x:c r="M130" s="84"/>
      <x:c r="N130" s="84"/>
      <x:c r="O130" s="84"/>
      <x:c r="P130" s="84"/>
      <x:c r="Q130" s="84"/>
      <x:c r="R130" s="84"/>
      <x:c r="S130" s="84"/>
      <x:c r="T130" s="84"/>
      <x:c r="U130" s="84"/>
      <x:c r="V130" s="84"/>
      <x:c r="W130" s="84"/>
      <x:c r="X130" s="84"/>
      <x:c r="Y130" s="84"/>
      <x:c r="Z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  <x:c r="M131" s="84"/>
      <x:c r="N131" s="84"/>
      <x:c r="O131" s="84"/>
      <x:c r="P131" s="84"/>
      <x:c r="Q131" s="84"/>
      <x:c r="R131" s="84"/>
      <x:c r="S131" s="84"/>
      <x:c r="T131" s="84"/>
      <x:c r="U131" s="84"/>
      <x:c r="V131" s="84"/>
      <x:c r="W131" s="84"/>
      <x:c r="X131" s="84"/>
      <x:c r="Y131" s="84"/>
      <x:c r="Z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  <x:c r="M132" s="84"/>
      <x:c r="N132" s="84"/>
      <x:c r="O132" s="84"/>
      <x:c r="P132" s="84"/>
      <x:c r="Q132" s="84"/>
      <x:c r="R132" s="84"/>
      <x:c r="S132" s="84"/>
      <x:c r="T132" s="84"/>
      <x:c r="U132" s="84"/>
      <x:c r="V132" s="84"/>
      <x:c r="W132" s="84"/>
      <x:c r="X132" s="84"/>
      <x:c r="Y132" s="84"/>
      <x:c r="Z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  <x:c r="M133" s="84"/>
      <x:c r="N133" s="84"/>
      <x:c r="O133" s="84"/>
      <x:c r="P133" s="84"/>
      <x:c r="Q133" s="84"/>
      <x:c r="R133" s="84"/>
      <x:c r="S133" s="84"/>
      <x:c r="T133" s="84"/>
      <x:c r="U133" s="84"/>
      <x:c r="V133" s="84"/>
      <x:c r="W133" s="84"/>
      <x:c r="X133" s="84"/>
      <x:c r="Y133" s="84"/>
      <x:c r="Z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  <x:c r="M134" s="84"/>
      <x:c r="N134" s="84"/>
      <x:c r="O134" s="84"/>
      <x:c r="P134" s="84"/>
      <x:c r="Q134" s="84"/>
      <x:c r="R134" s="84"/>
      <x:c r="S134" s="84"/>
      <x:c r="T134" s="84"/>
      <x:c r="U134" s="84"/>
      <x:c r="V134" s="84"/>
      <x:c r="W134" s="84"/>
      <x:c r="X134" s="84"/>
      <x:c r="Y134" s="84"/>
      <x:c r="Z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84"/>
      <x:c r="W135" s="84"/>
      <x:c r="X135" s="84"/>
      <x:c r="Y135" s="84"/>
      <x:c r="Z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  <x:c r="M136" s="84"/>
      <x:c r="N136" s="84"/>
      <x:c r="O136" s="84"/>
      <x:c r="P136" s="84"/>
      <x:c r="Q136" s="84"/>
      <x:c r="R136" s="84"/>
      <x:c r="S136" s="84"/>
      <x:c r="T136" s="84"/>
      <x:c r="U136" s="84"/>
      <x:c r="V136" s="84"/>
      <x:c r="W136" s="84"/>
      <x:c r="X136" s="84"/>
      <x:c r="Y136" s="84"/>
      <x:c r="Z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  <x:c r="M137" s="84"/>
      <x:c r="N137" s="84"/>
      <x:c r="O137" s="84"/>
      <x:c r="P137" s="84"/>
      <x:c r="Q137" s="84"/>
      <x:c r="R137" s="84"/>
      <x:c r="S137" s="84"/>
      <x:c r="T137" s="84"/>
      <x:c r="U137" s="84"/>
      <x:c r="V137" s="84"/>
      <x:c r="W137" s="84"/>
      <x:c r="X137" s="84"/>
      <x:c r="Y137" s="84"/>
      <x:c r="Z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  <x:c r="M138" s="84"/>
      <x:c r="N138" s="84"/>
      <x:c r="O138" s="84"/>
      <x:c r="P138" s="84"/>
      <x:c r="Q138" s="84"/>
      <x:c r="R138" s="84"/>
      <x:c r="S138" s="84"/>
      <x:c r="T138" s="84"/>
      <x:c r="U138" s="84"/>
      <x:c r="V138" s="84"/>
      <x:c r="W138" s="84"/>
      <x:c r="X138" s="84"/>
      <x:c r="Y138" s="84"/>
      <x:c r="Z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  <x:c r="M139" s="84"/>
      <x:c r="N139" s="84"/>
      <x:c r="O139" s="84"/>
      <x:c r="P139" s="84"/>
      <x:c r="Q139" s="84"/>
      <x:c r="R139" s="84"/>
      <x:c r="S139" s="84"/>
      <x:c r="T139" s="84"/>
      <x:c r="U139" s="84"/>
      <x:c r="V139" s="84"/>
      <x:c r="W139" s="84"/>
      <x:c r="X139" s="84"/>
      <x:c r="Y139" s="84"/>
      <x:c r="Z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  <x:c r="M140" s="84"/>
      <x:c r="N140" s="84"/>
      <x:c r="O140" s="84"/>
      <x:c r="P140" s="84"/>
      <x:c r="Q140" s="84"/>
      <x:c r="R140" s="84"/>
      <x:c r="S140" s="84"/>
      <x:c r="T140" s="84"/>
      <x:c r="U140" s="84"/>
      <x:c r="V140" s="84"/>
      <x:c r="W140" s="84"/>
      <x:c r="X140" s="84"/>
      <x:c r="Y140" s="84"/>
      <x:c r="Z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  <x:c r="M141" s="84"/>
      <x:c r="N141" s="84"/>
      <x:c r="O141" s="84"/>
      <x:c r="P141" s="84"/>
      <x:c r="Q141" s="84"/>
      <x:c r="R141" s="84"/>
      <x:c r="S141" s="84"/>
      <x:c r="T141" s="84"/>
      <x:c r="U141" s="84"/>
      <x:c r="V141" s="84"/>
      <x:c r="W141" s="84"/>
      <x:c r="X141" s="84"/>
      <x:c r="Y141" s="84"/>
      <x:c r="Z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  <x:c r="M142" s="84"/>
      <x:c r="N142" s="84"/>
      <x:c r="O142" s="84"/>
      <x:c r="P142" s="84"/>
      <x:c r="Q142" s="84"/>
      <x:c r="R142" s="84"/>
      <x:c r="S142" s="84"/>
      <x:c r="T142" s="84"/>
      <x:c r="U142" s="84"/>
      <x:c r="V142" s="84"/>
      <x:c r="W142" s="84"/>
      <x:c r="X142" s="84"/>
      <x:c r="Y142" s="84"/>
      <x:c r="Z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  <x:c r="M143" s="84"/>
      <x:c r="N143" s="84"/>
      <x:c r="O143" s="84"/>
      <x:c r="P143" s="84"/>
      <x:c r="Q143" s="84"/>
      <x:c r="R143" s="84"/>
      <x:c r="S143" s="84"/>
      <x:c r="T143" s="84"/>
      <x:c r="U143" s="84"/>
      <x:c r="V143" s="84"/>
      <x:c r="W143" s="84"/>
      <x:c r="X143" s="84"/>
      <x:c r="Y143" s="84"/>
      <x:c r="Z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  <x:c r="M144" s="84"/>
      <x:c r="N144" s="84"/>
      <x:c r="O144" s="84"/>
      <x:c r="P144" s="84"/>
      <x:c r="Q144" s="84"/>
      <x:c r="R144" s="84"/>
      <x:c r="S144" s="84"/>
      <x:c r="T144" s="84"/>
      <x:c r="U144" s="84"/>
      <x:c r="V144" s="84"/>
      <x:c r="W144" s="84"/>
      <x:c r="X144" s="84"/>
      <x:c r="Y144" s="84"/>
      <x:c r="Z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  <x:c r="M145" s="84"/>
      <x:c r="N145" s="84"/>
      <x:c r="O145" s="84"/>
      <x:c r="P145" s="84"/>
      <x:c r="Q145" s="84"/>
      <x:c r="R145" s="84"/>
      <x:c r="S145" s="84"/>
      <x:c r="T145" s="84"/>
      <x:c r="U145" s="84"/>
      <x:c r="V145" s="84"/>
      <x:c r="W145" s="84"/>
      <x:c r="X145" s="84"/>
      <x:c r="Y145" s="84"/>
      <x:c r="Z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  <x:c r="M146" s="84"/>
      <x:c r="N146" s="84"/>
      <x:c r="O146" s="84"/>
      <x:c r="P146" s="84"/>
      <x:c r="Q146" s="84"/>
      <x:c r="R146" s="84"/>
      <x:c r="S146" s="84"/>
      <x:c r="T146" s="84"/>
      <x:c r="U146" s="84"/>
      <x:c r="V146" s="84"/>
      <x:c r="W146" s="84"/>
      <x:c r="X146" s="84"/>
      <x:c r="Y146" s="84"/>
      <x:c r="Z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  <x:c r="M147" s="84"/>
      <x:c r="N147" s="84"/>
      <x:c r="O147" s="84"/>
      <x:c r="P147" s="84"/>
      <x:c r="Q147" s="84"/>
      <x:c r="R147" s="84"/>
      <x:c r="S147" s="84"/>
      <x:c r="T147" s="84"/>
      <x:c r="U147" s="84"/>
      <x:c r="V147" s="84"/>
      <x:c r="W147" s="84"/>
      <x:c r="X147" s="84"/>
      <x:c r="Y147" s="84"/>
      <x:c r="Z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  <x:c r="M148" s="84"/>
      <x:c r="N148" s="84"/>
      <x:c r="O148" s="84"/>
      <x:c r="P148" s="84"/>
      <x:c r="Q148" s="84"/>
      <x:c r="R148" s="84"/>
      <x:c r="S148" s="84"/>
      <x:c r="T148" s="84"/>
      <x:c r="U148" s="84"/>
      <x:c r="V148" s="84"/>
      <x:c r="W148" s="84"/>
      <x:c r="X148" s="84"/>
      <x:c r="Y148" s="84"/>
      <x:c r="Z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  <x:c r="M149" s="84"/>
      <x:c r="N149" s="84"/>
      <x:c r="O149" s="84"/>
      <x:c r="P149" s="84"/>
      <x:c r="Q149" s="84"/>
      <x:c r="R149" s="84"/>
      <x:c r="S149" s="84"/>
      <x:c r="T149" s="84"/>
      <x:c r="U149" s="84"/>
      <x:c r="V149" s="84"/>
      <x:c r="W149" s="84"/>
      <x:c r="X149" s="84"/>
      <x:c r="Y149" s="84"/>
      <x:c r="Z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  <x:c r="M150" s="84"/>
      <x:c r="N150" s="84"/>
      <x:c r="O150" s="84"/>
      <x:c r="P150" s="84"/>
      <x:c r="Q150" s="84"/>
      <x:c r="R150" s="84"/>
      <x:c r="S150" s="84"/>
      <x:c r="T150" s="84"/>
      <x:c r="U150" s="84"/>
      <x:c r="V150" s="84"/>
      <x:c r="W150" s="84"/>
      <x:c r="X150" s="84"/>
      <x:c r="Y150" s="84"/>
      <x:c r="Z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84"/>
      <x:c r="U151" s="84"/>
      <x:c r="V151" s="84"/>
      <x:c r="W151" s="84"/>
      <x:c r="X151" s="84"/>
      <x:c r="Y151" s="84"/>
      <x:c r="Z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84"/>
      <x:c r="U152" s="84"/>
      <x:c r="V152" s="84"/>
      <x:c r="W152" s="84"/>
      <x:c r="X152" s="84"/>
      <x:c r="Y152" s="84"/>
      <x:c r="Z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84"/>
      <x:c r="U153" s="84"/>
      <x:c r="V153" s="84"/>
      <x:c r="W153" s="84"/>
      <x:c r="X153" s="84"/>
      <x:c r="Y153" s="84"/>
      <x:c r="Z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84"/>
      <x:c r="U154" s="84"/>
      <x:c r="V154" s="84"/>
      <x:c r="W154" s="84"/>
      <x:c r="X154" s="84"/>
      <x:c r="Y154" s="84"/>
      <x:c r="Z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84"/>
      <x:c r="U155" s="84"/>
      <x:c r="V155" s="84"/>
      <x:c r="W155" s="84"/>
      <x:c r="X155" s="84"/>
      <x:c r="Y155" s="84"/>
      <x:c r="Z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84"/>
      <x:c r="W156" s="84"/>
      <x:c r="X156" s="84"/>
      <x:c r="Y156" s="84"/>
      <x:c r="Z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84"/>
      <x:c r="U157" s="84"/>
      <x:c r="V157" s="84"/>
      <x:c r="W157" s="84"/>
      <x:c r="X157" s="84"/>
      <x:c r="Y157" s="84"/>
      <x:c r="Z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84"/>
      <x:c r="U158" s="84"/>
      <x:c r="V158" s="84"/>
      <x:c r="W158" s="84"/>
      <x:c r="X158" s="84"/>
      <x:c r="Y158" s="84"/>
      <x:c r="Z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84"/>
      <x:c r="U159" s="84"/>
      <x:c r="V159" s="84"/>
      <x:c r="W159" s="84"/>
      <x:c r="X159" s="84"/>
      <x:c r="Y159" s="84"/>
      <x:c r="Z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84"/>
      <x:c r="U160" s="84"/>
      <x:c r="V160" s="84"/>
      <x:c r="W160" s="84"/>
      <x:c r="X160" s="84"/>
      <x:c r="Y160" s="84"/>
      <x:c r="Z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84"/>
      <x:c r="U161" s="84"/>
      <x:c r="V161" s="84"/>
      <x:c r="W161" s="84"/>
      <x:c r="X161" s="84"/>
      <x:c r="Y161" s="84"/>
      <x:c r="Z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84"/>
      <x:c r="U162" s="84"/>
      <x:c r="V162" s="84"/>
      <x:c r="W162" s="84"/>
      <x:c r="X162" s="84"/>
      <x:c r="Y162" s="84"/>
      <x:c r="Z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84"/>
      <x:c r="U164" s="84"/>
      <x:c r="V164" s="84"/>
      <x:c r="W164" s="84"/>
      <x:c r="X164" s="84"/>
      <x:c r="Y164" s="84"/>
      <x:c r="Z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84"/>
      <x:c r="U165" s="84"/>
      <x:c r="V165" s="84"/>
      <x:c r="W165" s="84"/>
      <x:c r="X165" s="84"/>
      <x:c r="Y165" s="84"/>
      <x:c r="Z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84"/>
      <x:c r="U166" s="84"/>
      <x:c r="V166" s="84"/>
      <x:c r="W166" s="84"/>
      <x:c r="X166" s="84"/>
      <x:c r="Y166" s="84"/>
      <x:c r="Z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84"/>
      <x:c r="U167" s="84"/>
      <x:c r="V167" s="84"/>
      <x:c r="W167" s="84"/>
      <x:c r="X167" s="84"/>
      <x:c r="Y167" s="84"/>
      <x:c r="Z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84"/>
      <x:c r="U168" s="84"/>
      <x:c r="V168" s="84"/>
      <x:c r="W168" s="84"/>
      <x:c r="X168" s="84"/>
      <x:c r="Y168" s="84"/>
      <x:c r="Z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84"/>
      <x:c r="U169" s="84"/>
      <x:c r="V169" s="84"/>
      <x:c r="W169" s="84"/>
      <x:c r="X169" s="84"/>
      <x:c r="Y169" s="84"/>
      <x:c r="Z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84"/>
      <x:c r="U170" s="84"/>
      <x:c r="V170" s="84"/>
      <x:c r="W170" s="84"/>
      <x:c r="X170" s="84"/>
      <x:c r="Y170" s="84"/>
      <x:c r="Z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84"/>
      <x:c r="U171" s="84"/>
      <x:c r="V171" s="84"/>
      <x:c r="W171" s="84"/>
      <x:c r="X171" s="84"/>
      <x:c r="Y171" s="84"/>
      <x:c r="Z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84"/>
      <x:c r="U172" s="84"/>
      <x:c r="V172" s="84"/>
      <x:c r="W172" s="84"/>
      <x:c r="X172" s="84"/>
      <x:c r="Y172" s="84"/>
      <x:c r="Z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84"/>
      <x:c r="U173" s="84"/>
      <x:c r="V173" s="84"/>
      <x:c r="W173" s="84"/>
      <x:c r="X173" s="84"/>
      <x:c r="Y173" s="84"/>
      <x:c r="Z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84"/>
      <x:c r="U174" s="84"/>
      <x:c r="V174" s="84"/>
      <x:c r="W174" s="84"/>
      <x:c r="X174" s="84"/>
      <x:c r="Y174" s="84"/>
      <x:c r="Z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84"/>
      <x:c r="U175" s="84"/>
      <x:c r="V175" s="84"/>
      <x:c r="W175" s="84"/>
      <x:c r="X175" s="84"/>
      <x:c r="Y175" s="84"/>
      <x:c r="Z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84"/>
      <x:c r="U176" s="84"/>
      <x:c r="V176" s="84"/>
      <x:c r="W176" s="84"/>
      <x:c r="X176" s="84"/>
      <x:c r="Y176" s="84"/>
      <x:c r="Z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84"/>
      <x:c r="U177" s="84"/>
      <x:c r="V177" s="84"/>
      <x:c r="W177" s="84"/>
      <x:c r="X177" s="84"/>
      <x:c r="Y177" s="84"/>
      <x:c r="Z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84"/>
      <x:c r="U178" s="84"/>
      <x:c r="V178" s="84"/>
      <x:c r="W178" s="84"/>
      <x:c r="X178" s="84"/>
      <x:c r="Y178" s="84"/>
      <x:c r="Z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84"/>
      <x:c r="U179" s="84"/>
      <x:c r="V179" s="84"/>
      <x:c r="W179" s="84"/>
      <x:c r="X179" s="84"/>
      <x:c r="Y179" s="84"/>
      <x:c r="Z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84"/>
      <x:c r="W180" s="84"/>
      <x:c r="X180" s="84"/>
      <x:c r="Y180" s="84"/>
      <x:c r="Z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84"/>
      <x:c r="U181" s="84"/>
      <x:c r="V181" s="84"/>
      <x:c r="W181" s="84"/>
      <x:c r="X181" s="84"/>
      <x:c r="Y181" s="84"/>
      <x:c r="Z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84"/>
      <x:c r="U182" s="84"/>
      <x:c r="V182" s="84"/>
      <x:c r="W182" s="84"/>
      <x:c r="X182" s="84"/>
      <x:c r="Y182" s="84"/>
      <x:c r="Z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84"/>
      <x:c r="U183" s="84"/>
      <x:c r="V183" s="84"/>
      <x:c r="W183" s="84"/>
      <x:c r="X183" s="84"/>
      <x:c r="Y183" s="84"/>
      <x:c r="Z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84"/>
      <x:c r="U184" s="84"/>
      <x:c r="V184" s="84"/>
      <x:c r="W184" s="84"/>
      <x:c r="X184" s="84"/>
      <x:c r="Y184" s="84"/>
      <x:c r="Z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84"/>
      <x:c r="U185" s="84"/>
      <x:c r="V185" s="84"/>
      <x:c r="W185" s="84"/>
      <x:c r="X185" s="84"/>
      <x:c r="Y185" s="84"/>
      <x:c r="Z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84"/>
      <x:c r="U186" s="84"/>
      <x:c r="V186" s="84"/>
      <x:c r="W186" s="84"/>
      <x:c r="X186" s="84"/>
      <x:c r="Y186" s="84"/>
      <x:c r="Z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84"/>
      <x:c r="U187" s="84"/>
      <x:c r="V187" s="84"/>
      <x:c r="W187" s="84"/>
      <x:c r="X187" s="84"/>
      <x:c r="Y187" s="84"/>
      <x:c r="Z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84"/>
      <x:c r="U188" s="84"/>
      <x:c r="V188" s="84"/>
      <x:c r="W188" s="84"/>
      <x:c r="X188" s="84"/>
      <x:c r="Y188" s="84"/>
      <x:c r="Z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84"/>
      <x:c r="U189" s="84"/>
      <x:c r="V189" s="84"/>
      <x:c r="W189" s="84"/>
      <x:c r="X189" s="84"/>
      <x:c r="Y189" s="84"/>
      <x:c r="Z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84"/>
      <x:c r="U190" s="84"/>
      <x:c r="V190" s="84"/>
      <x:c r="W190" s="84"/>
      <x:c r="X190" s="84"/>
      <x:c r="Y190" s="84"/>
      <x:c r="Z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84"/>
      <x:c r="U191" s="84"/>
      <x:c r="V191" s="84"/>
      <x:c r="W191" s="84"/>
      <x:c r="X191" s="84"/>
      <x:c r="Y191" s="84"/>
      <x:c r="Z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84"/>
      <x:c r="U192" s="84"/>
      <x:c r="V192" s="84"/>
      <x:c r="W192" s="84"/>
      <x:c r="X192" s="84"/>
      <x:c r="Y192" s="84"/>
      <x:c r="Z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84"/>
      <x:c r="U193" s="84"/>
      <x:c r="V193" s="84"/>
      <x:c r="W193" s="84"/>
      <x:c r="X193" s="84"/>
      <x:c r="Y193" s="84"/>
      <x:c r="Z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84"/>
      <x:c r="U194" s="84"/>
      <x:c r="V194" s="84"/>
      <x:c r="W194" s="84"/>
      <x:c r="X194" s="84"/>
      <x:c r="Y194" s="84"/>
      <x:c r="Z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84"/>
      <x:c r="U195" s="84"/>
      <x:c r="V195" s="84"/>
      <x:c r="W195" s="84"/>
      <x:c r="X195" s="84"/>
      <x:c r="Y195" s="84"/>
      <x:c r="Z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84"/>
      <x:c r="U196" s="84"/>
      <x:c r="V196" s="84"/>
      <x:c r="W196" s="84"/>
      <x:c r="X196" s="84"/>
      <x:c r="Y196" s="84"/>
      <x:c r="Z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84"/>
      <x:c r="U197" s="84"/>
      <x:c r="V197" s="84"/>
      <x:c r="W197" s="84"/>
      <x:c r="X197" s="84"/>
      <x:c r="Y197" s="84"/>
      <x:c r="Z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84"/>
      <x:c r="U198" s="84"/>
      <x:c r="V198" s="84"/>
      <x:c r="W198" s="84"/>
      <x:c r="X198" s="84"/>
      <x:c r="Y198" s="84"/>
      <x:c r="Z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84"/>
      <x:c r="U199" s="84"/>
      <x:c r="V199" s="84"/>
      <x:c r="W199" s="84"/>
      <x:c r="X199" s="84"/>
      <x:c r="Y199" s="84"/>
      <x:c r="Z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84"/>
      <x:c r="U200" s="84"/>
      <x:c r="V200" s="84"/>
      <x:c r="W200" s="84"/>
      <x:c r="X200" s="84"/>
      <x:c r="Y200" s="84"/>
      <x:c r="Z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84"/>
      <x:c r="U201" s="84"/>
      <x:c r="V201" s="84"/>
      <x:c r="W201" s="84"/>
      <x:c r="X201" s="84"/>
      <x:c r="Y201" s="84"/>
      <x:c r="Z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84"/>
      <x:c r="U202" s="84"/>
      <x:c r="V202" s="84"/>
      <x:c r="W202" s="84"/>
      <x:c r="X202" s="84"/>
      <x:c r="Y202" s="84"/>
      <x:c r="Z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84"/>
      <x:c r="U203" s="84"/>
      <x:c r="V203" s="84"/>
      <x:c r="W203" s="84"/>
      <x:c r="X203" s="84"/>
      <x:c r="Y203" s="84"/>
      <x:c r="Z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84"/>
      <x:c r="U204" s="84"/>
      <x:c r="V204" s="84"/>
      <x:c r="W204" s="84"/>
      <x:c r="X204" s="84"/>
      <x:c r="Y204" s="84"/>
      <x:c r="Z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  <x:c r="M205" s="84"/>
      <x:c r="N205" s="84"/>
      <x:c r="O205" s="84"/>
      <x:c r="P205" s="84"/>
      <x:c r="Q205" s="84"/>
      <x:c r="R205" s="84"/>
      <x:c r="S205" s="84"/>
      <x:c r="T205" s="84"/>
      <x:c r="U205" s="84"/>
      <x:c r="V205" s="84"/>
      <x:c r="W205" s="84"/>
      <x:c r="X205" s="84"/>
      <x:c r="Y205" s="84"/>
      <x:c r="Z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  <x:c r="M206" s="84"/>
      <x:c r="N206" s="84"/>
      <x:c r="O206" s="84"/>
      <x:c r="P206" s="84"/>
      <x:c r="Q206" s="84"/>
      <x:c r="R206" s="84"/>
      <x:c r="S206" s="84"/>
      <x:c r="T206" s="84"/>
      <x:c r="U206" s="84"/>
      <x:c r="V206" s="84"/>
      <x:c r="W206" s="84"/>
      <x:c r="X206" s="84"/>
      <x:c r="Y206" s="84"/>
      <x:c r="Z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  <x:c r="M207" s="84"/>
      <x:c r="N207" s="84"/>
      <x:c r="O207" s="84"/>
      <x:c r="P207" s="84"/>
      <x:c r="Q207" s="84"/>
      <x:c r="R207" s="84"/>
      <x:c r="S207" s="84"/>
      <x:c r="T207" s="84"/>
      <x:c r="U207" s="84"/>
      <x:c r="V207" s="84"/>
      <x:c r="W207" s="84"/>
      <x:c r="X207" s="84"/>
      <x:c r="Y207" s="84"/>
      <x:c r="Z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  <x:c r="M208" s="84"/>
      <x:c r="N208" s="84"/>
      <x:c r="O208" s="84"/>
      <x:c r="P208" s="84"/>
      <x:c r="Q208" s="84"/>
      <x:c r="R208" s="84"/>
      <x:c r="S208" s="84"/>
      <x:c r="T208" s="84"/>
      <x:c r="U208" s="84"/>
      <x:c r="V208" s="84"/>
      <x:c r="W208" s="84"/>
      <x:c r="X208" s="84"/>
      <x:c r="Y208" s="84"/>
      <x:c r="Z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  <x:c r="M209" s="84"/>
      <x:c r="N209" s="84"/>
      <x:c r="O209" s="84"/>
      <x:c r="P209" s="84"/>
      <x:c r="Q209" s="84"/>
      <x:c r="R209" s="84"/>
      <x:c r="S209" s="84"/>
      <x:c r="T209" s="84"/>
      <x:c r="U209" s="84"/>
      <x:c r="V209" s="84"/>
      <x:c r="W209" s="84"/>
      <x:c r="X209" s="84"/>
      <x:c r="Y209" s="84"/>
      <x:c r="Z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  <x:c r="M210" s="84"/>
      <x:c r="N210" s="84"/>
      <x:c r="O210" s="84"/>
      <x:c r="P210" s="84"/>
      <x:c r="Q210" s="84"/>
      <x:c r="R210" s="84"/>
      <x:c r="S210" s="84"/>
      <x:c r="T210" s="84"/>
      <x:c r="U210" s="84"/>
      <x:c r="V210" s="84"/>
      <x:c r="W210" s="84"/>
      <x:c r="X210" s="84"/>
      <x:c r="Y210" s="84"/>
      <x:c r="Z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  <x:c r="M211" s="84"/>
      <x:c r="N211" s="84"/>
      <x:c r="O211" s="84"/>
      <x:c r="P211" s="84"/>
      <x:c r="Q211" s="84"/>
      <x:c r="R211" s="84"/>
      <x:c r="S211" s="84"/>
      <x:c r="T211" s="84"/>
      <x:c r="U211" s="84"/>
      <x:c r="V211" s="84"/>
      <x:c r="W211" s="84"/>
      <x:c r="X211" s="84"/>
      <x:c r="Y211" s="84"/>
      <x:c r="Z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  <x:c r="M212" s="84"/>
      <x:c r="N212" s="84"/>
      <x:c r="O212" s="84"/>
      <x:c r="P212" s="84"/>
      <x:c r="Q212" s="84"/>
      <x:c r="R212" s="84"/>
      <x:c r="S212" s="84"/>
      <x:c r="T212" s="84"/>
      <x:c r="U212" s="84"/>
      <x:c r="V212" s="84"/>
      <x:c r="W212" s="84"/>
      <x:c r="X212" s="84"/>
      <x:c r="Y212" s="84"/>
      <x:c r="Z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  <x:c r="M213" s="84"/>
      <x:c r="N213" s="84"/>
      <x:c r="O213" s="84"/>
      <x:c r="P213" s="84"/>
      <x:c r="Q213" s="84"/>
      <x:c r="R213" s="84"/>
      <x:c r="S213" s="84"/>
      <x:c r="T213" s="84"/>
      <x:c r="U213" s="84"/>
      <x:c r="V213" s="84"/>
      <x:c r="W213" s="84"/>
      <x:c r="X213" s="84"/>
      <x:c r="Y213" s="84"/>
      <x:c r="Z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  <x:c r="M214" s="84"/>
      <x:c r="N214" s="84"/>
      <x:c r="O214" s="84"/>
      <x:c r="P214" s="84"/>
      <x:c r="Q214" s="84"/>
      <x:c r="R214" s="84"/>
      <x:c r="S214" s="84"/>
      <x:c r="T214" s="84"/>
      <x:c r="U214" s="84"/>
      <x:c r="V214" s="84"/>
      <x:c r="W214" s="84"/>
      <x:c r="X214" s="84"/>
      <x:c r="Y214" s="84"/>
      <x:c r="Z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  <x:c r="M215" s="84"/>
      <x:c r="N215" s="84"/>
      <x:c r="O215" s="84"/>
      <x:c r="P215" s="84"/>
      <x:c r="Q215" s="84"/>
      <x:c r="R215" s="84"/>
      <x:c r="S215" s="84"/>
      <x:c r="T215" s="84"/>
      <x:c r="U215" s="84"/>
      <x:c r="V215" s="84"/>
      <x:c r="W215" s="84"/>
      <x:c r="X215" s="84"/>
      <x:c r="Y215" s="84"/>
      <x:c r="Z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  <x:c r="M216" s="84"/>
      <x:c r="N216" s="84"/>
      <x:c r="O216" s="84"/>
      <x:c r="P216" s="84"/>
      <x:c r="Q216" s="84"/>
      <x:c r="R216" s="84"/>
      <x:c r="S216" s="84"/>
      <x:c r="T216" s="84"/>
      <x:c r="U216" s="84"/>
      <x:c r="V216" s="84"/>
      <x:c r="W216" s="84"/>
      <x:c r="X216" s="84"/>
      <x:c r="Y216" s="84"/>
      <x:c r="Z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  <x:c r="M217" s="84"/>
      <x:c r="N217" s="84"/>
      <x:c r="O217" s="84"/>
      <x:c r="P217" s="84"/>
      <x:c r="Q217" s="84"/>
      <x:c r="R217" s="84"/>
      <x:c r="S217" s="84"/>
      <x:c r="T217" s="84"/>
      <x:c r="U217" s="84"/>
      <x:c r="V217" s="84"/>
      <x:c r="W217" s="84"/>
      <x:c r="X217" s="84"/>
      <x:c r="Y217" s="84"/>
      <x:c r="Z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  <x:c r="M218" s="84"/>
      <x:c r="N218" s="84"/>
      <x:c r="O218" s="84"/>
      <x:c r="P218" s="84"/>
      <x:c r="Q218" s="84"/>
      <x:c r="R218" s="84"/>
      <x:c r="S218" s="84"/>
      <x:c r="T218" s="84"/>
      <x:c r="U218" s="84"/>
      <x:c r="V218" s="84"/>
      <x:c r="W218" s="84"/>
      <x:c r="X218" s="84"/>
      <x:c r="Y218" s="84"/>
      <x:c r="Z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  <x:c r="M219" s="84"/>
      <x:c r="N219" s="84"/>
      <x:c r="O219" s="84"/>
      <x:c r="P219" s="84"/>
      <x:c r="Q219" s="84"/>
      <x:c r="R219" s="84"/>
      <x:c r="S219" s="84"/>
      <x:c r="T219" s="84"/>
      <x:c r="U219" s="84"/>
      <x:c r="V219" s="84"/>
      <x:c r="W219" s="84"/>
      <x:c r="X219" s="84"/>
      <x:c r="Y219" s="84"/>
      <x:c r="Z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  <x:c r="M220" s="84"/>
      <x:c r="N220" s="84"/>
      <x:c r="O220" s="84"/>
      <x:c r="P220" s="84"/>
      <x:c r="Q220" s="84"/>
      <x:c r="R220" s="84"/>
      <x:c r="S220" s="84"/>
      <x:c r="T220" s="84"/>
      <x:c r="U220" s="84"/>
      <x:c r="V220" s="84"/>
      <x:c r="W220" s="84"/>
      <x:c r="X220" s="84"/>
      <x:c r="Y220" s="84"/>
      <x:c r="Z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  <x:c r="M221" s="84"/>
      <x:c r="N221" s="84"/>
      <x:c r="O221" s="84"/>
      <x:c r="P221" s="84"/>
      <x:c r="Q221" s="84"/>
      <x:c r="R221" s="84"/>
      <x:c r="S221" s="84"/>
      <x:c r="T221" s="84"/>
      <x:c r="U221" s="84"/>
      <x:c r="V221" s="84"/>
      <x:c r="W221" s="84"/>
      <x:c r="X221" s="84"/>
      <x:c r="Y221" s="84"/>
      <x:c r="Z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  <x:c r="M222" s="84"/>
      <x:c r="N222" s="84"/>
      <x:c r="O222" s="84"/>
      <x:c r="P222" s="84"/>
      <x:c r="Q222" s="84"/>
      <x:c r="R222" s="84"/>
      <x:c r="S222" s="84"/>
      <x:c r="T222" s="84"/>
      <x:c r="U222" s="84"/>
      <x:c r="V222" s="84"/>
      <x:c r="W222" s="84"/>
      <x:c r="X222" s="84"/>
      <x:c r="Y222" s="84"/>
      <x:c r="Z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  <x:c r="M223" s="84"/>
      <x:c r="N223" s="84"/>
      <x:c r="O223" s="84"/>
      <x:c r="P223" s="84"/>
      <x:c r="Q223" s="84"/>
      <x:c r="R223" s="84"/>
      <x:c r="S223" s="84"/>
      <x:c r="T223" s="84"/>
      <x:c r="U223" s="84"/>
      <x:c r="V223" s="84"/>
      <x:c r="W223" s="84"/>
      <x:c r="X223" s="84"/>
      <x:c r="Y223" s="84"/>
      <x:c r="Z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  <x:c r="M224" s="84"/>
      <x:c r="N224" s="84"/>
      <x:c r="O224" s="84"/>
      <x:c r="P224" s="84"/>
      <x:c r="Q224" s="84"/>
      <x:c r="R224" s="84"/>
      <x:c r="S224" s="84"/>
      <x:c r="T224" s="84"/>
      <x:c r="U224" s="84"/>
      <x:c r="V224" s="84"/>
      <x:c r="W224" s="84"/>
      <x:c r="X224" s="84"/>
      <x:c r="Y224" s="84"/>
      <x:c r="Z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  <x:c r="M225" s="84"/>
      <x:c r="N225" s="84"/>
      <x:c r="O225" s="84"/>
      <x:c r="P225" s="84"/>
      <x:c r="Q225" s="84"/>
      <x:c r="R225" s="84"/>
      <x:c r="S225" s="84"/>
      <x:c r="T225" s="84"/>
      <x:c r="U225" s="84"/>
      <x:c r="V225" s="84"/>
      <x:c r="W225" s="84"/>
      <x:c r="X225" s="84"/>
      <x:c r="Y225" s="84"/>
      <x:c r="Z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  <x:c r="M226" s="84"/>
      <x:c r="N226" s="84"/>
      <x:c r="O226" s="84"/>
      <x:c r="P226" s="84"/>
      <x:c r="Q226" s="84"/>
      <x:c r="R226" s="84"/>
      <x:c r="S226" s="84"/>
      <x:c r="T226" s="84"/>
      <x:c r="U226" s="84"/>
      <x:c r="V226" s="84"/>
      <x:c r="W226" s="84"/>
      <x:c r="X226" s="84"/>
      <x:c r="Y226" s="84"/>
      <x:c r="Z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  <x:c r="M227" s="84"/>
      <x:c r="N227" s="84"/>
      <x:c r="O227" s="84"/>
      <x:c r="P227" s="84"/>
      <x:c r="Q227" s="84"/>
      <x:c r="R227" s="84"/>
      <x:c r="S227" s="84"/>
      <x:c r="T227" s="84"/>
      <x:c r="U227" s="84"/>
      <x:c r="V227" s="84"/>
      <x:c r="W227" s="84"/>
      <x:c r="X227" s="84"/>
      <x:c r="Y227" s="84"/>
      <x:c r="Z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  <x:c r="M228" s="84"/>
      <x:c r="N228" s="84"/>
      <x:c r="O228" s="84"/>
      <x:c r="P228" s="84"/>
      <x:c r="Q228" s="84"/>
      <x:c r="R228" s="84"/>
      <x:c r="S228" s="84"/>
      <x:c r="T228" s="84"/>
      <x:c r="U228" s="84"/>
      <x:c r="V228" s="84"/>
      <x:c r="W228" s="84"/>
      <x:c r="X228" s="84"/>
      <x:c r="Y228" s="84"/>
      <x:c r="Z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  <x:c r="M229" s="84"/>
      <x:c r="N229" s="84"/>
      <x:c r="O229" s="84"/>
      <x:c r="P229" s="84"/>
      <x:c r="Q229" s="84"/>
      <x:c r="R229" s="84"/>
      <x:c r="S229" s="84"/>
      <x:c r="T229" s="84"/>
      <x:c r="U229" s="84"/>
      <x:c r="V229" s="84"/>
      <x:c r="W229" s="84"/>
      <x:c r="X229" s="84"/>
      <x:c r="Y229" s="84"/>
      <x:c r="Z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  <x:c r="M230" s="84"/>
      <x:c r="N230" s="84"/>
      <x:c r="O230" s="84"/>
      <x:c r="P230" s="84"/>
      <x:c r="Q230" s="84"/>
      <x:c r="R230" s="84"/>
      <x:c r="S230" s="84"/>
      <x:c r="T230" s="84"/>
      <x:c r="U230" s="84"/>
      <x:c r="V230" s="84"/>
      <x:c r="W230" s="84"/>
      <x:c r="X230" s="84"/>
      <x:c r="Y230" s="84"/>
      <x:c r="Z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  <x:c r="M231" s="84"/>
      <x:c r="N231" s="84"/>
      <x:c r="O231" s="84"/>
      <x:c r="P231" s="84"/>
      <x:c r="Q231" s="84"/>
      <x:c r="R231" s="84"/>
      <x:c r="S231" s="84"/>
      <x:c r="T231" s="84"/>
      <x:c r="U231" s="84"/>
      <x:c r="V231" s="84"/>
      <x:c r="W231" s="84"/>
      <x:c r="X231" s="84"/>
      <x:c r="Y231" s="84"/>
      <x:c r="Z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  <x:c r="M232" s="84"/>
      <x:c r="N232" s="84"/>
      <x:c r="O232" s="84"/>
      <x:c r="P232" s="84"/>
      <x:c r="Q232" s="84"/>
      <x:c r="R232" s="84"/>
      <x:c r="S232" s="84"/>
      <x:c r="T232" s="84"/>
      <x:c r="U232" s="84"/>
      <x:c r="V232" s="84"/>
      <x:c r="W232" s="84"/>
      <x:c r="X232" s="84"/>
      <x:c r="Y232" s="84"/>
      <x:c r="Z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  <x:c r="M233" s="84"/>
      <x:c r="N233" s="84"/>
      <x:c r="O233" s="84"/>
      <x:c r="P233" s="84"/>
      <x:c r="Q233" s="84"/>
      <x:c r="R233" s="84"/>
      <x:c r="S233" s="84"/>
      <x:c r="T233" s="84"/>
      <x:c r="U233" s="84"/>
      <x:c r="V233" s="84"/>
      <x:c r="W233" s="84"/>
      <x:c r="X233" s="84"/>
      <x:c r="Y233" s="84"/>
      <x:c r="Z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  <x:c r="M234" s="84"/>
      <x:c r="N234" s="84"/>
      <x:c r="O234" s="84"/>
      <x:c r="P234" s="84"/>
      <x:c r="Q234" s="84"/>
      <x:c r="R234" s="84"/>
      <x:c r="S234" s="84"/>
      <x:c r="T234" s="84"/>
      <x:c r="U234" s="84"/>
      <x:c r="V234" s="84"/>
      <x:c r="W234" s="84"/>
      <x:c r="X234" s="84"/>
      <x:c r="Y234" s="84"/>
      <x:c r="Z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  <x:c r="M235" s="84"/>
      <x:c r="N235" s="84"/>
      <x:c r="O235" s="84"/>
      <x:c r="P235" s="84"/>
      <x:c r="Q235" s="84"/>
      <x:c r="R235" s="84"/>
      <x:c r="S235" s="84"/>
      <x:c r="T235" s="84"/>
      <x:c r="U235" s="84"/>
      <x:c r="V235" s="84"/>
      <x:c r="W235" s="84"/>
      <x:c r="X235" s="84"/>
      <x:c r="Y235" s="84"/>
      <x:c r="Z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  <x:c r="M236" s="84"/>
      <x:c r="N236" s="84"/>
      <x:c r="O236" s="84"/>
      <x:c r="P236" s="84"/>
      <x:c r="Q236" s="84"/>
      <x:c r="R236" s="84"/>
      <x:c r="S236" s="84"/>
      <x:c r="T236" s="84"/>
      <x:c r="U236" s="84"/>
      <x:c r="V236" s="84"/>
      <x:c r="W236" s="84"/>
      <x:c r="X236" s="84"/>
      <x:c r="Y236" s="84"/>
      <x:c r="Z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  <x:c r="M237" s="84"/>
      <x:c r="N237" s="84"/>
      <x:c r="O237" s="84"/>
      <x:c r="P237" s="84"/>
      <x:c r="Q237" s="84"/>
      <x:c r="R237" s="84"/>
      <x:c r="S237" s="84"/>
      <x:c r="T237" s="84"/>
      <x:c r="U237" s="84"/>
      <x:c r="V237" s="84"/>
      <x:c r="W237" s="84"/>
      <x:c r="X237" s="84"/>
      <x:c r="Y237" s="84"/>
      <x:c r="Z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  <x:c r="M238" s="84"/>
      <x:c r="N238" s="84"/>
      <x:c r="O238" s="84"/>
      <x:c r="P238" s="84"/>
      <x:c r="Q238" s="84"/>
      <x:c r="R238" s="84"/>
      <x:c r="S238" s="84"/>
      <x:c r="T238" s="84"/>
      <x:c r="U238" s="84"/>
      <x:c r="V238" s="84"/>
      <x:c r="W238" s="84"/>
      <x:c r="X238" s="84"/>
      <x:c r="Y238" s="84"/>
      <x:c r="Z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  <x:c r="M239" s="84"/>
      <x:c r="N239" s="84"/>
      <x:c r="O239" s="84"/>
      <x:c r="P239" s="84"/>
      <x:c r="Q239" s="84"/>
      <x:c r="R239" s="84"/>
      <x:c r="S239" s="84"/>
      <x:c r="T239" s="84"/>
      <x:c r="U239" s="84"/>
      <x:c r="V239" s="84"/>
      <x:c r="W239" s="84"/>
      <x:c r="X239" s="84"/>
      <x:c r="Y239" s="84"/>
      <x:c r="Z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  <x:c r="M240" s="84"/>
      <x:c r="N240" s="84"/>
      <x:c r="O240" s="84"/>
      <x:c r="P240" s="84"/>
      <x:c r="Q240" s="84"/>
      <x:c r="R240" s="84"/>
      <x:c r="S240" s="84"/>
      <x:c r="T240" s="84"/>
      <x:c r="U240" s="84"/>
      <x:c r="V240" s="84"/>
      <x:c r="W240" s="84"/>
      <x:c r="X240" s="84"/>
      <x:c r="Y240" s="84"/>
      <x:c r="Z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  <x:c r="M241" s="84"/>
      <x:c r="N241" s="84"/>
      <x:c r="O241" s="84"/>
      <x:c r="P241" s="84"/>
      <x:c r="Q241" s="84"/>
      <x:c r="R241" s="84"/>
      <x:c r="S241" s="84"/>
      <x:c r="T241" s="84"/>
      <x:c r="U241" s="84"/>
      <x:c r="V241" s="84"/>
      <x:c r="W241" s="84"/>
      <x:c r="X241" s="84"/>
      <x:c r="Y241" s="84"/>
      <x:c r="Z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  <x:c r="M242" s="84"/>
      <x:c r="N242" s="84"/>
      <x:c r="O242" s="84"/>
      <x:c r="P242" s="84"/>
      <x:c r="Q242" s="84"/>
      <x:c r="R242" s="84"/>
      <x:c r="S242" s="84"/>
      <x:c r="T242" s="84"/>
      <x:c r="U242" s="84"/>
      <x:c r="V242" s="84"/>
      <x:c r="W242" s="84"/>
      <x:c r="X242" s="84"/>
      <x:c r="Y242" s="84"/>
      <x:c r="Z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  <x:c r="M243" s="84"/>
      <x:c r="N243" s="84"/>
      <x:c r="O243" s="84"/>
      <x:c r="P243" s="84"/>
      <x:c r="Q243" s="84"/>
      <x:c r="R243" s="84"/>
      <x:c r="S243" s="84"/>
      <x:c r="T243" s="84"/>
      <x:c r="U243" s="84"/>
      <x:c r="V243" s="84"/>
      <x:c r="W243" s="84"/>
      <x:c r="X243" s="84"/>
      <x:c r="Y243" s="84"/>
      <x:c r="Z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  <x:c r="M244" s="84"/>
      <x:c r="N244" s="84"/>
      <x:c r="O244" s="84"/>
      <x:c r="P244" s="84"/>
      <x:c r="Q244" s="84"/>
      <x:c r="R244" s="84"/>
      <x:c r="S244" s="84"/>
      <x:c r="T244" s="84"/>
      <x:c r="U244" s="84"/>
      <x:c r="V244" s="84"/>
      <x:c r="W244" s="84"/>
      <x:c r="X244" s="84"/>
      <x:c r="Y244" s="84"/>
      <x:c r="Z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  <x:c r="M245" s="84"/>
      <x:c r="N245" s="84"/>
      <x:c r="O245" s="84"/>
      <x:c r="P245" s="84"/>
      <x:c r="Q245" s="84"/>
      <x:c r="R245" s="84"/>
      <x:c r="S245" s="84"/>
      <x:c r="T245" s="84"/>
      <x:c r="U245" s="84"/>
      <x:c r="V245" s="84"/>
      <x:c r="W245" s="84"/>
      <x:c r="X245" s="84"/>
      <x:c r="Y245" s="84"/>
      <x:c r="Z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  <x:c r="M246" s="84"/>
      <x:c r="N246" s="84"/>
      <x:c r="O246" s="84"/>
      <x:c r="P246" s="84"/>
      <x:c r="Q246" s="84"/>
      <x:c r="R246" s="84"/>
      <x:c r="S246" s="84"/>
      <x:c r="T246" s="84"/>
      <x:c r="U246" s="84"/>
      <x:c r="V246" s="84"/>
      <x:c r="W246" s="84"/>
      <x:c r="X246" s="84"/>
      <x:c r="Y246" s="84"/>
      <x:c r="Z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  <x:c r="M247" s="84"/>
      <x:c r="N247" s="84"/>
      <x:c r="O247" s="84"/>
      <x:c r="P247" s="84"/>
      <x:c r="Q247" s="84"/>
      <x:c r="R247" s="84"/>
      <x:c r="S247" s="84"/>
      <x:c r="T247" s="84"/>
      <x:c r="U247" s="84"/>
      <x:c r="V247" s="84"/>
      <x:c r="W247" s="84"/>
      <x:c r="X247" s="84"/>
      <x:c r="Y247" s="84"/>
      <x:c r="Z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  <x:c r="M248" s="84"/>
      <x:c r="N248" s="84"/>
      <x:c r="O248" s="84"/>
      <x:c r="P248" s="84"/>
      <x:c r="Q248" s="84"/>
      <x:c r="R248" s="84"/>
      <x:c r="S248" s="84"/>
      <x:c r="T248" s="84"/>
      <x:c r="U248" s="84"/>
      <x:c r="V248" s="84"/>
      <x:c r="W248" s="84"/>
      <x:c r="X248" s="84"/>
      <x:c r="Y248" s="84"/>
      <x:c r="Z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  <x:c r="M249" s="84"/>
      <x:c r="N249" s="84"/>
      <x:c r="O249" s="84"/>
      <x:c r="P249" s="84"/>
      <x:c r="Q249" s="84"/>
      <x:c r="R249" s="84"/>
      <x:c r="S249" s="84"/>
      <x:c r="T249" s="84"/>
      <x:c r="U249" s="84"/>
      <x:c r="V249" s="84"/>
      <x:c r="W249" s="84"/>
      <x:c r="X249" s="84"/>
      <x:c r="Y249" s="84"/>
      <x:c r="Z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  <x:c r="M250" s="84"/>
      <x:c r="N250" s="84"/>
      <x:c r="O250" s="84"/>
      <x:c r="P250" s="84"/>
      <x:c r="Q250" s="84"/>
      <x:c r="R250" s="84"/>
      <x:c r="S250" s="84"/>
      <x:c r="T250" s="84"/>
      <x:c r="U250" s="84"/>
      <x:c r="V250" s="84"/>
      <x:c r="W250" s="84"/>
      <x:c r="X250" s="84"/>
      <x:c r="Y250" s="84"/>
      <x:c r="Z250" s="84"/>
    </x:row>
    <x:row r="25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4"/>
      <x:c r="K251" s="84"/>
      <x:c r="L251" s="84"/>
      <x:c r="M251" s="84"/>
      <x:c r="N251" s="84"/>
      <x:c r="O251" s="84"/>
      <x:c r="P251" s="84"/>
      <x:c r="Q251" s="84"/>
      <x:c r="R251" s="84"/>
      <x:c r="S251" s="84"/>
      <x:c r="T251" s="84"/>
      <x:c r="U251" s="84"/>
      <x:c r="V251" s="84"/>
      <x:c r="W251" s="84"/>
      <x:c r="X251" s="84"/>
      <x:c r="Y251" s="84"/>
      <x:c r="Z251" s="84"/>
    </x:row>
    <x:row r="252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4"/>
      <x:c r="K252" s="84"/>
      <x:c r="L252" s="84"/>
      <x:c r="M252" s="84"/>
      <x:c r="N252" s="84"/>
      <x:c r="O252" s="84"/>
      <x:c r="P252" s="84"/>
      <x:c r="Q252" s="84"/>
      <x:c r="R252" s="84"/>
      <x:c r="S252" s="84"/>
      <x:c r="T252" s="84"/>
      <x:c r="U252" s="84"/>
      <x:c r="V252" s="84"/>
      <x:c r="W252" s="84"/>
      <x:c r="X252" s="84"/>
      <x:c r="Y252" s="84"/>
      <x:c r="Z252" s="84"/>
    </x:row>
    <x:row r="253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4"/>
      <x:c r="K253" s="84"/>
      <x:c r="L253" s="84"/>
      <x:c r="M253" s="84"/>
      <x:c r="N253" s="84"/>
      <x:c r="O253" s="84"/>
      <x:c r="P253" s="84"/>
      <x:c r="Q253" s="84"/>
      <x:c r="R253" s="84"/>
      <x:c r="S253" s="84"/>
      <x:c r="T253" s="84"/>
      <x:c r="U253" s="84"/>
      <x:c r="V253" s="84"/>
      <x:c r="W253" s="84"/>
      <x:c r="X253" s="84"/>
      <x:c r="Y253" s="84"/>
      <x:c r="Z253" s="84"/>
    </x:row>
    <x:row r="254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4"/>
      <x:c r="K254" s="84"/>
      <x:c r="L254" s="84"/>
      <x:c r="M254" s="84"/>
      <x:c r="N254" s="84"/>
      <x:c r="O254" s="84"/>
      <x:c r="P254" s="84"/>
      <x:c r="Q254" s="84"/>
      <x:c r="R254" s="84"/>
      <x:c r="S254" s="84"/>
      <x:c r="T254" s="84"/>
      <x:c r="U254" s="84"/>
      <x:c r="V254" s="84"/>
      <x:c r="W254" s="84"/>
      <x:c r="X254" s="84"/>
      <x:c r="Y254" s="84"/>
      <x:c r="Z254" s="84"/>
    </x:row>
    <x:row r="255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4"/>
      <x:c r="K255" s="84"/>
      <x:c r="L255" s="84"/>
      <x:c r="M255" s="84"/>
      <x:c r="N255" s="84"/>
      <x:c r="O255" s="84"/>
      <x:c r="P255" s="84"/>
      <x:c r="Q255" s="84"/>
      <x:c r="R255" s="84"/>
      <x:c r="S255" s="84"/>
      <x:c r="T255" s="84"/>
      <x:c r="U255" s="84"/>
      <x:c r="V255" s="84"/>
      <x:c r="W255" s="84"/>
      <x:c r="X255" s="84"/>
      <x:c r="Y255" s="84"/>
      <x:c r="Z255" s="84"/>
    </x:row>
    <x:row r="256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4"/>
      <x:c r="K256" s="84"/>
      <x:c r="L256" s="84"/>
      <x:c r="M256" s="84"/>
      <x:c r="N256" s="84"/>
      <x:c r="O256" s="84"/>
      <x:c r="P256" s="84"/>
      <x:c r="Q256" s="84"/>
      <x:c r="R256" s="84"/>
      <x:c r="S256" s="84"/>
      <x:c r="T256" s="84"/>
      <x:c r="U256" s="84"/>
      <x:c r="V256" s="84"/>
      <x:c r="W256" s="84"/>
      <x:c r="X256" s="84"/>
      <x:c r="Y256" s="84"/>
      <x:c r="Z256" s="84"/>
    </x:row>
    <x:row r="257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4"/>
      <x:c r="K257" s="84"/>
      <x:c r="L257" s="84"/>
      <x:c r="M257" s="84"/>
      <x:c r="N257" s="84"/>
      <x:c r="O257" s="84"/>
      <x:c r="P257" s="84"/>
      <x:c r="Q257" s="84"/>
      <x:c r="R257" s="84"/>
      <x:c r="S257" s="84"/>
      <x:c r="T257" s="84"/>
      <x:c r="U257" s="84"/>
      <x:c r="V257" s="84"/>
      <x:c r="W257" s="84"/>
      <x:c r="X257" s="84"/>
      <x:c r="Y257" s="84"/>
      <x:c r="Z257" s="84"/>
    </x:row>
    <x:row r="258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4"/>
      <x:c r="K258" s="84"/>
      <x:c r="L258" s="84"/>
      <x:c r="M258" s="84"/>
      <x:c r="N258" s="84"/>
      <x:c r="O258" s="84"/>
      <x:c r="P258" s="84"/>
      <x:c r="Q258" s="84"/>
      <x:c r="R258" s="84"/>
      <x:c r="S258" s="84"/>
      <x:c r="T258" s="84"/>
      <x:c r="U258" s="84"/>
      <x:c r="V258" s="84"/>
      <x:c r="W258" s="84"/>
      <x:c r="X258" s="84"/>
      <x:c r="Y258" s="84"/>
      <x:c r="Z258" s="84"/>
    </x:row>
    <x:row r="259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4"/>
      <x:c r="K259" s="84"/>
      <x:c r="L259" s="84"/>
      <x:c r="M259" s="84"/>
      <x:c r="N259" s="84"/>
      <x:c r="O259" s="84"/>
      <x:c r="P259" s="84"/>
      <x:c r="Q259" s="84"/>
      <x:c r="R259" s="84"/>
      <x:c r="S259" s="84"/>
      <x:c r="T259" s="84"/>
      <x:c r="U259" s="84"/>
      <x:c r="V259" s="84"/>
      <x:c r="W259" s="84"/>
      <x:c r="X259" s="84"/>
      <x:c r="Y259" s="84"/>
      <x:c r="Z259" s="84"/>
    </x:row>
    <x:row r="260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4"/>
      <x:c r="K260" s="84"/>
      <x:c r="L260" s="84"/>
      <x:c r="M260" s="84"/>
      <x:c r="N260" s="84"/>
      <x:c r="O260" s="84"/>
      <x:c r="P260" s="84"/>
      <x:c r="Q260" s="84"/>
      <x:c r="R260" s="84"/>
      <x:c r="S260" s="84"/>
      <x:c r="T260" s="84"/>
      <x:c r="U260" s="84"/>
      <x:c r="V260" s="84"/>
      <x:c r="W260" s="84"/>
      <x:c r="X260" s="84"/>
      <x:c r="Y260" s="84"/>
      <x:c r="Z260" s="84"/>
    </x:row>
    <x:row r="26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4"/>
      <x:c r="K261" s="84"/>
      <x:c r="L261" s="84"/>
      <x:c r="M261" s="84"/>
      <x:c r="N261" s="84"/>
      <x:c r="O261" s="84"/>
      <x:c r="P261" s="84"/>
      <x:c r="Q261" s="84"/>
      <x:c r="R261" s="84"/>
      <x:c r="S261" s="84"/>
      <x:c r="T261" s="84"/>
      <x:c r="U261" s="84"/>
      <x:c r="V261" s="84"/>
      <x:c r="W261" s="84"/>
      <x:c r="X261" s="84"/>
      <x:c r="Y261" s="84"/>
      <x:c r="Z261" s="84"/>
    </x:row>
    <x:row r="262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4"/>
      <x:c r="K262" s="84"/>
      <x:c r="L262" s="84"/>
      <x:c r="M262" s="84"/>
      <x:c r="N262" s="84"/>
      <x:c r="O262" s="84"/>
      <x:c r="P262" s="84"/>
      <x:c r="Q262" s="84"/>
      <x:c r="R262" s="84"/>
      <x:c r="S262" s="84"/>
      <x:c r="T262" s="84"/>
      <x:c r="U262" s="84"/>
      <x:c r="V262" s="84"/>
      <x:c r="W262" s="84"/>
      <x:c r="X262" s="84"/>
      <x:c r="Y262" s="84"/>
      <x:c r="Z262" s="84"/>
    </x:row>
    <x:row r="263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4"/>
      <x:c r="K263" s="84"/>
      <x:c r="L263" s="84"/>
      <x:c r="M263" s="84"/>
      <x:c r="N263" s="84"/>
      <x:c r="O263" s="84"/>
      <x:c r="P263" s="84"/>
      <x:c r="Q263" s="84"/>
      <x:c r="R263" s="84"/>
      <x:c r="S263" s="84"/>
      <x:c r="T263" s="84"/>
      <x:c r="U263" s="84"/>
      <x:c r="V263" s="84"/>
      <x:c r="W263" s="84"/>
      <x:c r="X263" s="84"/>
      <x:c r="Y263" s="84"/>
      <x:c r="Z263" s="84"/>
    </x:row>
    <x:row r="264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4"/>
      <x:c r="K264" s="84"/>
      <x:c r="L264" s="84"/>
      <x:c r="M264" s="84"/>
      <x:c r="N264" s="84"/>
      <x:c r="O264" s="84"/>
      <x:c r="P264" s="84"/>
      <x:c r="Q264" s="84"/>
      <x:c r="R264" s="84"/>
      <x:c r="S264" s="84"/>
      <x:c r="T264" s="84"/>
      <x:c r="U264" s="84"/>
      <x:c r="V264" s="84"/>
      <x:c r="W264" s="84"/>
      <x:c r="X264" s="84"/>
      <x:c r="Y264" s="84"/>
      <x:c r="Z264" s="84"/>
    </x:row>
    <x:row r="265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4"/>
      <x:c r="K265" s="84"/>
      <x:c r="L265" s="84"/>
      <x:c r="M265" s="84"/>
      <x:c r="N265" s="84"/>
      <x:c r="O265" s="84"/>
      <x:c r="P265" s="84"/>
      <x:c r="Q265" s="84"/>
      <x:c r="R265" s="84"/>
      <x:c r="S265" s="84"/>
      <x:c r="T265" s="84"/>
      <x:c r="U265" s="84"/>
      <x:c r="V265" s="84"/>
      <x:c r="W265" s="84"/>
      <x:c r="X265" s="84"/>
      <x:c r="Y265" s="84"/>
      <x:c r="Z265" s="84"/>
    </x:row>
    <x:row r="266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4"/>
      <x:c r="K266" s="84"/>
      <x:c r="L266" s="84"/>
      <x:c r="M266" s="84"/>
      <x:c r="N266" s="84"/>
      <x:c r="O266" s="84"/>
      <x:c r="P266" s="84"/>
      <x:c r="Q266" s="84"/>
      <x:c r="R266" s="84"/>
      <x:c r="S266" s="84"/>
      <x:c r="T266" s="84"/>
      <x:c r="U266" s="84"/>
      <x:c r="V266" s="84"/>
      <x:c r="W266" s="84"/>
      <x:c r="X266" s="84"/>
      <x:c r="Y266" s="84"/>
      <x:c r="Z266" s="84"/>
    </x:row>
    <x:row r="267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4"/>
      <x:c r="K267" s="84"/>
      <x:c r="L267" s="84"/>
      <x:c r="M267" s="84"/>
      <x:c r="N267" s="84"/>
      <x:c r="O267" s="84"/>
      <x:c r="P267" s="84"/>
      <x:c r="Q267" s="84"/>
      <x:c r="R267" s="84"/>
      <x:c r="S267" s="84"/>
      <x:c r="T267" s="84"/>
      <x:c r="U267" s="84"/>
      <x:c r="V267" s="84"/>
      <x:c r="W267" s="84"/>
      <x:c r="X267" s="84"/>
      <x:c r="Y267" s="84"/>
      <x:c r="Z267" s="84"/>
    </x:row>
    <x:row r="268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4"/>
      <x:c r="K268" s="84"/>
      <x:c r="L268" s="84"/>
      <x:c r="M268" s="84"/>
      <x:c r="N268" s="84"/>
      <x:c r="O268" s="84"/>
      <x:c r="P268" s="84"/>
      <x:c r="Q268" s="84"/>
      <x:c r="R268" s="84"/>
      <x:c r="S268" s="84"/>
      <x:c r="T268" s="84"/>
      <x:c r="U268" s="84"/>
      <x:c r="V268" s="84"/>
      <x:c r="W268" s="84"/>
      <x:c r="X268" s="84"/>
      <x:c r="Y268" s="84"/>
      <x:c r="Z268" s="84"/>
    </x:row>
    <x:row r="269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4"/>
      <x:c r="K269" s="84"/>
      <x:c r="L269" s="84"/>
      <x:c r="M269" s="84"/>
      <x:c r="N269" s="84"/>
      <x:c r="O269" s="84"/>
      <x:c r="P269" s="84"/>
      <x:c r="Q269" s="84"/>
      <x:c r="R269" s="84"/>
      <x:c r="S269" s="84"/>
      <x:c r="T269" s="84"/>
      <x:c r="U269" s="84"/>
      <x:c r="V269" s="84"/>
      <x:c r="W269" s="84"/>
      <x:c r="X269" s="84"/>
      <x:c r="Y269" s="84"/>
      <x:c r="Z269" s="84"/>
    </x:row>
    <x:row r="270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4"/>
      <x:c r="K270" s="84"/>
      <x:c r="L270" s="84"/>
      <x:c r="M270" s="84"/>
      <x:c r="N270" s="84"/>
      <x:c r="O270" s="84"/>
      <x:c r="P270" s="84"/>
      <x:c r="Q270" s="84"/>
      <x:c r="R270" s="84"/>
      <x:c r="S270" s="84"/>
      <x:c r="T270" s="84"/>
      <x:c r="U270" s="84"/>
      <x:c r="V270" s="84"/>
      <x:c r="W270" s="84"/>
      <x:c r="X270" s="84"/>
      <x:c r="Y270" s="84"/>
      <x:c r="Z270" s="84"/>
    </x:row>
    <x:row r="27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4"/>
      <x:c r="K271" s="84"/>
      <x:c r="L271" s="84"/>
      <x:c r="M271" s="84"/>
      <x:c r="N271" s="84"/>
      <x:c r="O271" s="84"/>
      <x:c r="P271" s="84"/>
      <x:c r="Q271" s="84"/>
      <x:c r="R271" s="84"/>
      <x:c r="S271" s="84"/>
      <x:c r="T271" s="84"/>
      <x:c r="U271" s="84"/>
      <x:c r="V271" s="84"/>
      <x:c r="W271" s="84"/>
      <x:c r="X271" s="84"/>
      <x:c r="Y271" s="84"/>
      <x:c r="Z271" s="84"/>
    </x:row>
    <x:row r="272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4"/>
      <x:c r="K272" s="84"/>
      <x:c r="L272" s="84"/>
      <x:c r="M272" s="84"/>
      <x:c r="N272" s="84"/>
      <x:c r="O272" s="84"/>
      <x:c r="P272" s="84"/>
      <x:c r="Q272" s="84"/>
      <x:c r="R272" s="84"/>
      <x:c r="S272" s="84"/>
      <x:c r="T272" s="84"/>
      <x:c r="U272" s="84"/>
      <x:c r="V272" s="84"/>
      <x:c r="W272" s="84"/>
      <x:c r="X272" s="84"/>
      <x:c r="Y272" s="84"/>
      <x:c r="Z272" s="84"/>
    </x:row>
    <x:row r="273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4"/>
      <x:c r="K273" s="84"/>
      <x:c r="L273" s="84"/>
      <x:c r="M273" s="84"/>
      <x:c r="N273" s="84"/>
      <x:c r="O273" s="84"/>
      <x:c r="P273" s="84"/>
      <x:c r="Q273" s="84"/>
      <x:c r="R273" s="84"/>
      <x:c r="S273" s="84"/>
      <x:c r="T273" s="84"/>
      <x:c r="U273" s="84"/>
      <x:c r="V273" s="84"/>
      <x:c r="W273" s="84"/>
      <x:c r="X273" s="84"/>
      <x:c r="Y273" s="84"/>
      <x:c r="Z273" s="84"/>
    </x:row>
    <x:row r="274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4"/>
      <x:c r="K274" s="84"/>
      <x:c r="L274" s="84"/>
      <x:c r="M274" s="84"/>
      <x:c r="N274" s="84"/>
      <x:c r="O274" s="84"/>
      <x:c r="P274" s="84"/>
      <x:c r="Q274" s="84"/>
      <x:c r="R274" s="84"/>
      <x:c r="S274" s="84"/>
      <x:c r="T274" s="84"/>
      <x:c r="U274" s="84"/>
      <x:c r="V274" s="84"/>
      <x:c r="W274" s="84"/>
      <x:c r="X274" s="84"/>
      <x:c r="Y274" s="84"/>
      <x:c r="Z274" s="84"/>
    </x:row>
    <x:row r="275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4"/>
      <x:c r="K275" s="84"/>
      <x:c r="L275" s="84"/>
      <x:c r="M275" s="84"/>
      <x:c r="N275" s="84"/>
      <x:c r="O275" s="84"/>
      <x:c r="P275" s="84"/>
      <x:c r="Q275" s="84"/>
      <x:c r="R275" s="84"/>
      <x:c r="S275" s="84"/>
      <x:c r="T275" s="84"/>
      <x:c r="U275" s="84"/>
      <x:c r="V275" s="84"/>
      <x:c r="W275" s="84"/>
      <x:c r="X275" s="84"/>
      <x:c r="Y275" s="84"/>
      <x:c r="Z275" s="84"/>
    </x:row>
    <x:row r="276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4"/>
      <x:c r="K276" s="84"/>
      <x:c r="L276" s="84"/>
      <x:c r="M276" s="84"/>
      <x:c r="N276" s="84"/>
      <x:c r="O276" s="84"/>
      <x:c r="P276" s="84"/>
      <x:c r="Q276" s="84"/>
      <x:c r="R276" s="84"/>
      <x:c r="S276" s="84"/>
      <x:c r="T276" s="84"/>
      <x:c r="U276" s="84"/>
      <x:c r="V276" s="84"/>
      <x:c r="W276" s="84"/>
      <x:c r="X276" s="84"/>
      <x:c r="Y276" s="84"/>
      <x:c r="Z276" s="84"/>
    </x:row>
    <x:row r="277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4"/>
      <x:c r="K277" s="84"/>
      <x:c r="L277" s="84"/>
      <x:c r="M277" s="84"/>
      <x:c r="N277" s="84"/>
      <x:c r="O277" s="84"/>
      <x:c r="P277" s="84"/>
      <x:c r="Q277" s="84"/>
      <x:c r="R277" s="84"/>
      <x:c r="S277" s="84"/>
      <x:c r="T277" s="84"/>
      <x:c r="U277" s="84"/>
      <x:c r="V277" s="84"/>
      <x:c r="W277" s="84"/>
      <x:c r="X277" s="84"/>
      <x:c r="Y277" s="84"/>
      <x:c r="Z277" s="84"/>
    </x:row>
    <x:row r="278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4"/>
      <x:c r="K278" s="84"/>
      <x:c r="L278" s="84"/>
      <x:c r="M278" s="84"/>
      <x:c r="N278" s="84"/>
      <x:c r="O278" s="84"/>
      <x:c r="P278" s="84"/>
      <x:c r="Q278" s="84"/>
      <x:c r="R278" s="84"/>
      <x:c r="S278" s="84"/>
      <x:c r="T278" s="84"/>
      <x:c r="U278" s="84"/>
      <x:c r="V278" s="84"/>
      <x:c r="W278" s="84"/>
      <x:c r="X278" s="84"/>
      <x:c r="Y278" s="84"/>
      <x:c r="Z278" s="84"/>
    </x:row>
    <x:row r="279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4"/>
      <x:c r="K279" s="84"/>
      <x:c r="L279" s="84"/>
      <x:c r="M279" s="84"/>
      <x:c r="N279" s="84"/>
      <x:c r="O279" s="84"/>
      <x:c r="P279" s="84"/>
      <x:c r="Q279" s="84"/>
      <x:c r="R279" s="84"/>
      <x:c r="S279" s="84"/>
      <x:c r="T279" s="84"/>
      <x:c r="U279" s="84"/>
      <x:c r="V279" s="84"/>
      <x:c r="W279" s="84"/>
      <x:c r="X279" s="84"/>
      <x:c r="Y279" s="84"/>
      <x:c r="Z279" s="84"/>
    </x:row>
    <x:row r="280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4"/>
      <x:c r="K280" s="84"/>
      <x:c r="L280" s="84"/>
      <x:c r="M280" s="84"/>
      <x:c r="N280" s="84"/>
      <x:c r="O280" s="84"/>
      <x:c r="P280" s="84"/>
      <x:c r="Q280" s="84"/>
      <x:c r="R280" s="84"/>
      <x:c r="S280" s="84"/>
      <x:c r="T280" s="84"/>
      <x:c r="U280" s="84"/>
      <x:c r="V280" s="84"/>
      <x:c r="W280" s="84"/>
      <x:c r="X280" s="84"/>
      <x:c r="Y280" s="84"/>
      <x:c r="Z280" s="84"/>
    </x:row>
    <x:row r="28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4"/>
      <x:c r="K281" s="84"/>
      <x:c r="L281" s="84"/>
      <x:c r="M281" s="84"/>
      <x:c r="N281" s="84"/>
      <x:c r="O281" s="84"/>
      <x:c r="P281" s="84"/>
      <x:c r="Q281" s="84"/>
      <x:c r="R281" s="84"/>
      <x:c r="S281" s="84"/>
      <x:c r="T281" s="84"/>
      <x:c r="U281" s="84"/>
      <x:c r="V281" s="84"/>
      <x:c r="W281" s="84"/>
      <x:c r="X281" s="84"/>
      <x:c r="Y281" s="84"/>
      <x:c r="Z281" s="84"/>
    </x:row>
    <x:row r="282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4"/>
      <x:c r="K282" s="84"/>
      <x:c r="L282" s="84"/>
      <x:c r="M282" s="84"/>
      <x:c r="N282" s="84"/>
      <x:c r="O282" s="84"/>
      <x:c r="P282" s="84"/>
      <x:c r="Q282" s="84"/>
      <x:c r="R282" s="84"/>
      <x:c r="S282" s="84"/>
      <x:c r="T282" s="84"/>
      <x:c r="U282" s="84"/>
      <x:c r="V282" s="84"/>
      <x:c r="W282" s="84"/>
      <x:c r="X282" s="84"/>
      <x:c r="Y282" s="84"/>
      <x:c r="Z282" s="84"/>
    </x:row>
    <x:row r="283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4"/>
      <x:c r="K283" s="84"/>
      <x:c r="L283" s="84"/>
      <x:c r="M283" s="84"/>
      <x:c r="N283" s="84"/>
      <x:c r="O283" s="84"/>
      <x:c r="P283" s="84"/>
      <x:c r="Q283" s="84"/>
      <x:c r="R283" s="84"/>
      <x:c r="S283" s="84"/>
      <x:c r="T283" s="84"/>
      <x:c r="U283" s="84"/>
      <x:c r="V283" s="84"/>
      <x:c r="W283" s="84"/>
      <x:c r="X283" s="84"/>
      <x:c r="Y283" s="84"/>
      <x:c r="Z283" s="84"/>
    </x:row>
    <x:row r="284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4"/>
      <x:c r="K284" s="84"/>
      <x:c r="L284" s="84"/>
      <x:c r="M284" s="84"/>
      <x:c r="N284" s="84"/>
      <x:c r="O284" s="84"/>
      <x:c r="P284" s="84"/>
      <x:c r="Q284" s="84"/>
      <x:c r="R284" s="84"/>
      <x:c r="S284" s="84"/>
      <x:c r="T284" s="84"/>
      <x:c r="U284" s="84"/>
      <x:c r="V284" s="84"/>
      <x:c r="W284" s="84"/>
      <x:c r="X284" s="84"/>
      <x:c r="Y284" s="84"/>
      <x:c r="Z284" s="84"/>
    </x:row>
    <x:row r="285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4"/>
      <x:c r="K285" s="84"/>
      <x:c r="L285" s="84"/>
      <x:c r="M285" s="84"/>
      <x:c r="N285" s="84"/>
      <x:c r="O285" s="84"/>
      <x:c r="P285" s="84"/>
      <x:c r="Q285" s="84"/>
      <x:c r="R285" s="84"/>
      <x:c r="S285" s="84"/>
      <x:c r="T285" s="84"/>
      <x:c r="U285" s="84"/>
      <x:c r="V285" s="84"/>
      <x:c r="W285" s="84"/>
      <x:c r="X285" s="84"/>
      <x:c r="Y285" s="84"/>
      <x:c r="Z285" s="84"/>
    </x:row>
    <x:row r="286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4"/>
      <x:c r="K286" s="84"/>
      <x:c r="L286" s="84"/>
      <x:c r="M286" s="84"/>
      <x:c r="N286" s="84"/>
      <x:c r="O286" s="84"/>
      <x:c r="P286" s="84"/>
      <x:c r="Q286" s="84"/>
      <x:c r="R286" s="84"/>
      <x:c r="S286" s="84"/>
      <x:c r="T286" s="84"/>
      <x:c r="U286" s="84"/>
      <x:c r="V286" s="84"/>
      <x:c r="W286" s="84"/>
      <x:c r="X286" s="84"/>
      <x:c r="Y286" s="84"/>
      <x:c r="Z286" s="84"/>
    </x:row>
    <x:row r="287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4"/>
      <x:c r="K287" s="84"/>
      <x:c r="L287" s="84"/>
      <x:c r="M287" s="84"/>
      <x:c r="N287" s="84"/>
      <x:c r="O287" s="84"/>
      <x:c r="P287" s="84"/>
      <x:c r="Q287" s="84"/>
      <x:c r="R287" s="84"/>
      <x:c r="S287" s="84"/>
      <x:c r="T287" s="84"/>
      <x:c r="U287" s="84"/>
      <x:c r="V287" s="84"/>
      <x:c r="W287" s="84"/>
      <x:c r="X287" s="84"/>
      <x:c r="Y287" s="84"/>
      <x:c r="Z287" s="84"/>
    </x:row>
    <x:row r="288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4"/>
      <x:c r="K288" s="84"/>
      <x:c r="L288" s="84"/>
      <x:c r="M288" s="84"/>
      <x:c r="N288" s="84"/>
      <x:c r="O288" s="84"/>
      <x:c r="P288" s="84"/>
      <x:c r="Q288" s="84"/>
      <x:c r="R288" s="84"/>
      <x:c r="S288" s="84"/>
      <x:c r="T288" s="84"/>
      <x:c r="U288" s="84"/>
      <x:c r="V288" s="84"/>
      <x:c r="W288" s="84"/>
      <x:c r="X288" s="84"/>
      <x:c r="Y288" s="84"/>
      <x:c r="Z288" s="84"/>
    </x:row>
    <x:row r="289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4"/>
      <x:c r="K289" s="84"/>
      <x:c r="L289" s="84"/>
      <x:c r="M289" s="84"/>
      <x:c r="N289" s="84"/>
      <x:c r="O289" s="84"/>
      <x:c r="P289" s="84"/>
      <x:c r="Q289" s="84"/>
      <x:c r="R289" s="84"/>
      <x:c r="S289" s="84"/>
      <x:c r="T289" s="84"/>
      <x:c r="U289" s="84"/>
      <x:c r="V289" s="84"/>
      <x:c r="W289" s="84"/>
      <x:c r="X289" s="84"/>
      <x:c r="Y289" s="84"/>
      <x:c r="Z289" s="84"/>
    </x:row>
    <x:row r="290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4"/>
      <x:c r="K290" s="84"/>
      <x:c r="L290" s="84"/>
      <x:c r="M290" s="84"/>
      <x:c r="N290" s="84"/>
      <x:c r="O290" s="84"/>
      <x:c r="P290" s="84"/>
      <x:c r="Q290" s="84"/>
      <x:c r="R290" s="84"/>
      <x:c r="S290" s="84"/>
      <x:c r="T290" s="84"/>
      <x:c r="U290" s="84"/>
      <x:c r="V290" s="84"/>
      <x:c r="W290" s="84"/>
      <x:c r="X290" s="84"/>
      <x:c r="Y290" s="84"/>
      <x:c r="Z290" s="84"/>
    </x:row>
    <x:row r="29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4"/>
      <x:c r="K291" s="84"/>
      <x:c r="L291" s="84"/>
      <x:c r="M291" s="84"/>
      <x:c r="N291" s="84"/>
      <x:c r="O291" s="84"/>
      <x:c r="P291" s="84"/>
      <x:c r="Q291" s="84"/>
      <x:c r="R291" s="84"/>
      <x:c r="S291" s="84"/>
      <x:c r="T291" s="84"/>
      <x:c r="U291" s="84"/>
      <x:c r="V291" s="84"/>
      <x:c r="W291" s="84"/>
      <x:c r="X291" s="84"/>
      <x:c r="Y291" s="84"/>
      <x:c r="Z291" s="84"/>
    </x:row>
    <x:row r="292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4"/>
      <x:c r="K292" s="84"/>
      <x:c r="L292" s="84"/>
      <x:c r="M292" s="84"/>
      <x:c r="N292" s="84"/>
      <x:c r="O292" s="84"/>
      <x:c r="P292" s="84"/>
      <x:c r="Q292" s="84"/>
      <x:c r="R292" s="84"/>
      <x:c r="S292" s="84"/>
      <x:c r="T292" s="84"/>
      <x:c r="U292" s="84"/>
      <x:c r="V292" s="84"/>
      <x:c r="W292" s="84"/>
      <x:c r="X292" s="84"/>
      <x:c r="Y292" s="84"/>
      <x:c r="Z292" s="84"/>
    </x:row>
    <x:row r="293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4"/>
      <x:c r="K293" s="84"/>
      <x:c r="L293" s="84"/>
      <x:c r="M293" s="84"/>
      <x:c r="N293" s="84"/>
      <x:c r="O293" s="84"/>
      <x:c r="P293" s="84"/>
      <x:c r="Q293" s="84"/>
      <x:c r="R293" s="84"/>
      <x:c r="S293" s="84"/>
      <x:c r="T293" s="84"/>
      <x:c r="U293" s="84"/>
      <x:c r="V293" s="84"/>
      <x:c r="W293" s="84"/>
      <x:c r="X293" s="84"/>
      <x:c r="Y293" s="84"/>
      <x:c r="Z293" s="84"/>
    </x:row>
    <x:row r="294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4"/>
      <x:c r="K294" s="84"/>
      <x:c r="L294" s="84"/>
      <x:c r="M294" s="84"/>
      <x:c r="N294" s="84"/>
      <x:c r="O294" s="84"/>
      <x:c r="P294" s="84"/>
      <x:c r="Q294" s="84"/>
      <x:c r="R294" s="84"/>
      <x:c r="S294" s="84"/>
      <x:c r="T294" s="84"/>
      <x:c r="U294" s="84"/>
      <x:c r="V294" s="84"/>
      <x:c r="W294" s="84"/>
      <x:c r="X294" s="84"/>
      <x:c r="Y294" s="84"/>
      <x:c r="Z294" s="84"/>
    </x:row>
    <x:row r="295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4"/>
      <x:c r="K295" s="84"/>
      <x:c r="L295" s="84"/>
      <x:c r="M295" s="84"/>
      <x:c r="N295" s="84"/>
      <x:c r="O295" s="84"/>
      <x:c r="P295" s="84"/>
      <x:c r="Q295" s="84"/>
      <x:c r="R295" s="84"/>
      <x:c r="S295" s="84"/>
      <x:c r="T295" s="84"/>
      <x:c r="U295" s="84"/>
      <x:c r="V295" s="84"/>
      <x:c r="W295" s="84"/>
      <x:c r="X295" s="84"/>
      <x:c r="Y295" s="84"/>
      <x:c r="Z295" s="84"/>
    </x:row>
    <x:row r="296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4"/>
      <x:c r="K296" s="84"/>
      <x:c r="L296" s="84"/>
      <x:c r="M296" s="84"/>
      <x:c r="N296" s="84"/>
      <x:c r="O296" s="84"/>
      <x:c r="P296" s="84"/>
      <x:c r="Q296" s="84"/>
      <x:c r="R296" s="84"/>
      <x:c r="S296" s="84"/>
      <x:c r="T296" s="84"/>
      <x:c r="U296" s="84"/>
      <x:c r="V296" s="84"/>
      <x:c r="W296" s="84"/>
      <x:c r="X296" s="84"/>
      <x:c r="Y296" s="84"/>
      <x:c r="Z296" s="84"/>
    </x:row>
    <x:row r="297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4"/>
      <x:c r="K297" s="84"/>
      <x:c r="L297" s="84"/>
      <x:c r="M297" s="84"/>
      <x:c r="N297" s="84"/>
      <x:c r="O297" s="84"/>
      <x:c r="P297" s="84"/>
      <x:c r="Q297" s="84"/>
      <x:c r="R297" s="84"/>
      <x:c r="S297" s="84"/>
      <x:c r="T297" s="84"/>
      <x:c r="U297" s="84"/>
      <x:c r="V297" s="84"/>
      <x:c r="W297" s="84"/>
      <x:c r="X297" s="84"/>
      <x:c r="Y297" s="84"/>
      <x:c r="Z297" s="84"/>
    </x:row>
    <x:row r="298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4"/>
      <x:c r="K298" s="84"/>
      <x:c r="L298" s="84"/>
      <x:c r="M298" s="84"/>
      <x:c r="N298" s="84"/>
      <x:c r="O298" s="84"/>
      <x:c r="P298" s="84"/>
      <x:c r="Q298" s="84"/>
      <x:c r="R298" s="84"/>
      <x:c r="S298" s="84"/>
      <x:c r="T298" s="84"/>
      <x:c r="U298" s="84"/>
      <x:c r="V298" s="84"/>
      <x:c r="W298" s="84"/>
      <x:c r="X298" s="84"/>
      <x:c r="Y298" s="84"/>
      <x:c r="Z298" s="84"/>
    </x:row>
    <x:row r="299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4"/>
      <x:c r="K299" s="84"/>
      <x:c r="L299" s="84"/>
      <x:c r="M299" s="84"/>
      <x:c r="N299" s="84"/>
      <x:c r="O299" s="84"/>
      <x:c r="P299" s="84"/>
      <x:c r="Q299" s="84"/>
      <x:c r="R299" s="84"/>
      <x:c r="S299" s="84"/>
      <x:c r="T299" s="84"/>
      <x:c r="U299" s="84"/>
      <x:c r="V299" s="84"/>
      <x:c r="W299" s="84"/>
      <x:c r="X299" s="84"/>
      <x:c r="Y299" s="84"/>
      <x:c r="Z299" s="84"/>
    </x:row>
    <x:row r="300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4"/>
      <x:c r="K300" s="84"/>
      <x:c r="L300" s="84"/>
      <x:c r="M300" s="84"/>
      <x:c r="N300" s="84"/>
      <x:c r="O300" s="84"/>
      <x:c r="P300" s="84"/>
      <x:c r="Q300" s="84"/>
      <x:c r="R300" s="84"/>
      <x:c r="S300" s="84"/>
      <x:c r="T300" s="84"/>
      <x:c r="U300" s="84"/>
      <x:c r="V300" s="84"/>
      <x:c r="W300" s="84"/>
      <x:c r="X300" s="84"/>
      <x:c r="Y300" s="84"/>
      <x:c r="Z300" s="84"/>
    </x:row>
    <x:row r="30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4"/>
      <x:c r="K301" s="84"/>
      <x:c r="L301" s="84"/>
      <x:c r="M301" s="84"/>
      <x:c r="N301" s="84"/>
      <x:c r="O301" s="84"/>
      <x:c r="P301" s="84"/>
      <x:c r="Q301" s="84"/>
      <x:c r="R301" s="84"/>
      <x:c r="S301" s="84"/>
      <x:c r="T301" s="84"/>
      <x:c r="U301" s="84"/>
      <x:c r="V301" s="84"/>
      <x:c r="W301" s="84"/>
      <x:c r="X301" s="84"/>
      <x:c r="Y301" s="84"/>
      <x:c r="Z301" s="84"/>
    </x:row>
    <x:row r="302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4"/>
      <x:c r="K302" s="84"/>
      <x:c r="L302" s="84"/>
      <x:c r="M302" s="84"/>
      <x:c r="N302" s="84"/>
      <x:c r="O302" s="84"/>
      <x:c r="P302" s="84"/>
      <x:c r="Q302" s="84"/>
      <x:c r="R302" s="84"/>
      <x:c r="S302" s="84"/>
      <x:c r="T302" s="84"/>
      <x:c r="U302" s="84"/>
      <x:c r="V302" s="84"/>
      <x:c r="W302" s="84"/>
      <x:c r="X302" s="84"/>
      <x:c r="Y302" s="84"/>
      <x:c r="Z302" s="84"/>
    </x:row>
    <x:row r="303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4"/>
      <x:c r="K303" s="84"/>
      <x:c r="L303" s="84"/>
      <x:c r="M303" s="84"/>
      <x:c r="N303" s="84"/>
      <x:c r="O303" s="84"/>
      <x:c r="P303" s="84"/>
      <x:c r="Q303" s="84"/>
      <x:c r="R303" s="84"/>
      <x:c r="S303" s="84"/>
      <x:c r="T303" s="84"/>
      <x:c r="U303" s="84"/>
      <x:c r="V303" s="84"/>
      <x:c r="W303" s="84"/>
      <x:c r="X303" s="84"/>
      <x:c r="Y303" s="84"/>
      <x:c r="Z303" s="84"/>
    </x:row>
    <x:row r="304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4"/>
      <x:c r="K304" s="84"/>
      <x:c r="L304" s="84"/>
      <x:c r="M304" s="84"/>
      <x:c r="N304" s="84"/>
      <x:c r="O304" s="84"/>
      <x:c r="P304" s="84"/>
      <x:c r="Q304" s="84"/>
      <x:c r="R304" s="84"/>
      <x:c r="S304" s="84"/>
      <x:c r="T304" s="84"/>
      <x:c r="U304" s="84"/>
      <x:c r="V304" s="84"/>
      <x:c r="W304" s="84"/>
      <x:c r="X304" s="84"/>
      <x:c r="Y304" s="84"/>
      <x:c r="Z304" s="84"/>
    </x:row>
    <x:row r="305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4"/>
      <x:c r="K305" s="84"/>
      <x:c r="L305" s="84"/>
      <x:c r="M305" s="84"/>
      <x:c r="N305" s="84"/>
      <x:c r="O305" s="84"/>
      <x:c r="P305" s="84"/>
      <x:c r="Q305" s="84"/>
      <x:c r="R305" s="84"/>
      <x:c r="S305" s="84"/>
      <x:c r="T305" s="84"/>
      <x:c r="U305" s="84"/>
      <x:c r="V305" s="84"/>
      <x:c r="W305" s="84"/>
      <x:c r="X305" s="84"/>
      <x:c r="Y305" s="84"/>
      <x:c r="Z305" s="84"/>
    </x:row>
    <x:row r="306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4"/>
      <x:c r="K306" s="84"/>
      <x:c r="L306" s="84"/>
      <x:c r="M306" s="84"/>
      <x:c r="N306" s="84"/>
      <x:c r="O306" s="84"/>
      <x:c r="P306" s="84"/>
      <x:c r="Q306" s="84"/>
      <x:c r="R306" s="84"/>
      <x:c r="S306" s="84"/>
      <x:c r="T306" s="84"/>
      <x:c r="U306" s="84"/>
      <x:c r="V306" s="84"/>
      <x:c r="W306" s="84"/>
      <x:c r="X306" s="84"/>
      <x:c r="Y306" s="84"/>
      <x:c r="Z306" s="84"/>
    </x:row>
    <x:row r="307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4"/>
      <x:c r="K307" s="84"/>
      <x:c r="L307" s="84"/>
      <x:c r="M307" s="84"/>
      <x:c r="N307" s="84"/>
      <x:c r="O307" s="84"/>
      <x:c r="P307" s="84"/>
      <x:c r="Q307" s="84"/>
      <x:c r="R307" s="84"/>
      <x:c r="S307" s="84"/>
      <x:c r="T307" s="84"/>
      <x:c r="U307" s="84"/>
      <x:c r="V307" s="84"/>
      <x:c r="W307" s="84"/>
      <x:c r="X307" s="84"/>
      <x:c r="Y307" s="84"/>
      <x:c r="Z307" s="84"/>
    </x:row>
    <x:row r="308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4"/>
      <x:c r="K308" s="84"/>
      <x:c r="L308" s="84"/>
      <x:c r="M308" s="84"/>
      <x:c r="N308" s="84"/>
      <x:c r="O308" s="84"/>
      <x:c r="P308" s="84"/>
      <x:c r="Q308" s="84"/>
      <x:c r="R308" s="84"/>
      <x:c r="S308" s="84"/>
      <x:c r="T308" s="84"/>
      <x:c r="U308" s="84"/>
      <x:c r="V308" s="84"/>
      <x:c r="W308" s="84"/>
      <x:c r="X308" s="84"/>
      <x:c r="Y308" s="84"/>
      <x:c r="Z308" s="84"/>
    </x:row>
    <x:row r="309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4"/>
      <x:c r="K309" s="84"/>
      <x:c r="L309" s="84"/>
      <x:c r="M309" s="84"/>
      <x:c r="N309" s="84"/>
      <x:c r="O309" s="84"/>
      <x:c r="P309" s="84"/>
      <x:c r="Q309" s="84"/>
      <x:c r="R309" s="84"/>
      <x:c r="S309" s="84"/>
      <x:c r="T309" s="84"/>
      <x:c r="U309" s="84"/>
      <x:c r="V309" s="84"/>
      <x:c r="W309" s="84"/>
      <x:c r="X309" s="84"/>
      <x:c r="Y309" s="84"/>
      <x:c r="Z309" s="84"/>
    </x:row>
    <x:row r="310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4"/>
      <x:c r="K310" s="84"/>
      <x:c r="L310" s="84"/>
      <x:c r="M310" s="84"/>
      <x:c r="N310" s="84"/>
      <x:c r="O310" s="84"/>
      <x:c r="P310" s="84"/>
      <x:c r="Q310" s="84"/>
      <x:c r="R310" s="84"/>
      <x:c r="S310" s="84"/>
      <x:c r="T310" s="84"/>
      <x:c r="U310" s="84"/>
      <x:c r="V310" s="84"/>
      <x:c r="W310" s="84"/>
      <x:c r="X310" s="84"/>
      <x:c r="Y310" s="84"/>
      <x:c r="Z310" s="84"/>
    </x:row>
    <x:row r="31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4"/>
      <x:c r="K311" s="84"/>
      <x:c r="L311" s="84"/>
      <x:c r="M311" s="84"/>
      <x:c r="N311" s="84"/>
      <x:c r="O311" s="84"/>
      <x:c r="P311" s="84"/>
      <x:c r="Q311" s="84"/>
      <x:c r="R311" s="84"/>
      <x:c r="S311" s="84"/>
      <x:c r="T311" s="84"/>
      <x:c r="U311" s="84"/>
      <x:c r="V311" s="84"/>
      <x:c r="W311" s="84"/>
      <x:c r="X311" s="84"/>
      <x:c r="Y311" s="84"/>
      <x:c r="Z311" s="84"/>
    </x:row>
    <x:row r="312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4"/>
      <x:c r="K312" s="84"/>
      <x:c r="L312" s="84"/>
      <x:c r="M312" s="84"/>
      <x:c r="N312" s="84"/>
      <x:c r="O312" s="84"/>
      <x:c r="P312" s="84"/>
      <x:c r="Q312" s="84"/>
      <x:c r="R312" s="84"/>
      <x:c r="S312" s="84"/>
      <x:c r="T312" s="84"/>
      <x:c r="U312" s="84"/>
      <x:c r="V312" s="84"/>
      <x:c r="W312" s="84"/>
      <x:c r="X312" s="84"/>
      <x:c r="Y312" s="84"/>
      <x:c r="Z312" s="84"/>
    </x:row>
    <x:row r="313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4"/>
      <x:c r="K313" s="84"/>
      <x:c r="L313" s="84"/>
      <x:c r="M313" s="84"/>
      <x:c r="N313" s="84"/>
      <x:c r="O313" s="84"/>
      <x:c r="P313" s="84"/>
      <x:c r="Q313" s="84"/>
      <x:c r="R313" s="84"/>
      <x:c r="S313" s="84"/>
      <x:c r="T313" s="84"/>
      <x:c r="U313" s="84"/>
      <x:c r="V313" s="84"/>
      <x:c r="W313" s="84"/>
      <x:c r="X313" s="84"/>
      <x:c r="Y313" s="84"/>
      <x:c r="Z313" s="84"/>
    </x:row>
    <x:row r="314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4"/>
      <x:c r="K314" s="84"/>
      <x:c r="L314" s="84"/>
      <x:c r="M314" s="84"/>
      <x:c r="N314" s="84"/>
      <x:c r="O314" s="84"/>
      <x:c r="P314" s="84"/>
      <x:c r="Q314" s="84"/>
      <x:c r="R314" s="84"/>
      <x:c r="S314" s="84"/>
      <x:c r="T314" s="84"/>
      <x:c r="U314" s="84"/>
      <x:c r="V314" s="84"/>
      <x:c r="W314" s="84"/>
      <x:c r="X314" s="84"/>
      <x:c r="Y314" s="84"/>
      <x:c r="Z314" s="84"/>
    </x:row>
    <x:row r="315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4"/>
      <x:c r="K315" s="84"/>
      <x:c r="L315" s="84"/>
      <x:c r="M315" s="84"/>
      <x:c r="N315" s="84"/>
      <x:c r="O315" s="84"/>
      <x:c r="P315" s="84"/>
      <x:c r="Q315" s="84"/>
      <x:c r="R315" s="84"/>
      <x:c r="S315" s="84"/>
      <x:c r="T315" s="84"/>
      <x:c r="U315" s="84"/>
      <x:c r="V315" s="84"/>
      <x:c r="W315" s="84"/>
      <x:c r="X315" s="84"/>
      <x:c r="Y315" s="84"/>
      <x:c r="Z315" s="84"/>
    </x:row>
    <x:row r="316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4"/>
      <x:c r="K316" s="84"/>
      <x:c r="L316" s="84"/>
      <x:c r="M316" s="84"/>
      <x:c r="N316" s="84"/>
      <x:c r="O316" s="84"/>
      <x:c r="P316" s="84"/>
      <x:c r="Q316" s="84"/>
      <x:c r="R316" s="84"/>
      <x:c r="S316" s="84"/>
      <x:c r="T316" s="84"/>
      <x:c r="U316" s="84"/>
      <x:c r="V316" s="84"/>
      <x:c r="W316" s="84"/>
      <x:c r="X316" s="84"/>
      <x:c r="Y316" s="84"/>
      <x:c r="Z316" s="84"/>
    </x:row>
    <x:row r="317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4"/>
      <x:c r="K317" s="84"/>
      <x:c r="L317" s="84"/>
      <x:c r="M317" s="84"/>
      <x:c r="N317" s="84"/>
      <x:c r="O317" s="84"/>
      <x:c r="P317" s="84"/>
      <x:c r="Q317" s="84"/>
      <x:c r="R317" s="84"/>
      <x:c r="S317" s="84"/>
      <x:c r="T317" s="84"/>
      <x:c r="U317" s="84"/>
      <x:c r="V317" s="84"/>
      <x:c r="W317" s="84"/>
      <x:c r="X317" s="84"/>
      <x:c r="Y317" s="84"/>
      <x:c r="Z317" s="84"/>
    </x:row>
    <x:row r="318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4"/>
      <x:c r="K318" s="84"/>
      <x:c r="L318" s="84"/>
      <x:c r="M318" s="84"/>
      <x:c r="N318" s="84"/>
      <x:c r="O318" s="84"/>
      <x:c r="P318" s="84"/>
      <x:c r="Q318" s="84"/>
      <x:c r="R318" s="84"/>
      <x:c r="S318" s="84"/>
      <x:c r="T318" s="84"/>
      <x:c r="U318" s="84"/>
      <x:c r="V318" s="84"/>
      <x:c r="W318" s="84"/>
      <x:c r="X318" s="84"/>
      <x:c r="Y318" s="84"/>
      <x:c r="Z318" s="84"/>
    </x:row>
    <x:row r="319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4"/>
      <x:c r="K319" s="84"/>
      <x:c r="L319" s="84"/>
      <x:c r="M319" s="84"/>
      <x:c r="N319" s="84"/>
      <x:c r="O319" s="84"/>
      <x:c r="P319" s="84"/>
      <x:c r="Q319" s="84"/>
      <x:c r="R319" s="84"/>
      <x:c r="S319" s="84"/>
      <x:c r="T319" s="84"/>
      <x:c r="U319" s="84"/>
      <x:c r="V319" s="84"/>
      <x:c r="W319" s="84"/>
      <x:c r="X319" s="84"/>
      <x:c r="Y319" s="84"/>
      <x:c r="Z319" s="84"/>
    </x:row>
    <x:row r="320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4"/>
      <x:c r="K320" s="84"/>
      <x:c r="L320" s="84"/>
      <x:c r="M320" s="84"/>
      <x:c r="N320" s="84"/>
      <x:c r="O320" s="84"/>
      <x:c r="P320" s="84"/>
      <x:c r="Q320" s="84"/>
      <x:c r="R320" s="84"/>
      <x:c r="S320" s="84"/>
      <x:c r="T320" s="84"/>
      <x:c r="U320" s="84"/>
      <x:c r="V320" s="84"/>
      <x:c r="W320" s="84"/>
      <x:c r="X320" s="84"/>
      <x:c r="Y320" s="84"/>
      <x:c r="Z320" s="84"/>
    </x:row>
    <x:row r="32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4"/>
      <x:c r="K321" s="84"/>
      <x:c r="L321" s="84"/>
      <x:c r="M321" s="84"/>
      <x:c r="N321" s="84"/>
      <x:c r="O321" s="84"/>
      <x:c r="P321" s="84"/>
      <x:c r="Q321" s="84"/>
      <x:c r="R321" s="84"/>
      <x:c r="S321" s="84"/>
      <x:c r="T321" s="84"/>
      <x:c r="U321" s="84"/>
      <x:c r="V321" s="84"/>
      <x:c r="W321" s="84"/>
      <x:c r="X321" s="84"/>
      <x:c r="Y321" s="84"/>
      <x:c r="Z321" s="84"/>
    </x:row>
    <x:row r="322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4"/>
      <x:c r="K322" s="84"/>
      <x:c r="L322" s="84"/>
      <x:c r="M322" s="84"/>
      <x:c r="N322" s="84"/>
      <x:c r="O322" s="84"/>
      <x:c r="P322" s="84"/>
      <x:c r="Q322" s="84"/>
      <x:c r="R322" s="84"/>
      <x:c r="S322" s="84"/>
      <x:c r="T322" s="84"/>
      <x:c r="U322" s="84"/>
      <x:c r="V322" s="84"/>
      <x:c r="W322" s="84"/>
      <x:c r="X322" s="84"/>
      <x:c r="Y322" s="84"/>
      <x:c r="Z322" s="84"/>
    </x:row>
    <x:row r="323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4"/>
      <x:c r="K323" s="84"/>
      <x:c r="L323" s="84"/>
      <x:c r="M323" s="84"/>
      <x:c r="N323" s="84"/>
      <x:c r="O323" s="84"/>
      <x:c r="P323" s="84"/>
      <x:c r="Q323" s="84"/>
      <x:c r="R323" s="84"/>
      <x:c r="S323" s="84"/>
      <x:c r="T323" s="84"/>
      <x:c r="U323" s="84"/>
      <x:c r="V323" s="84"/>
      <x:c r="W323" s="84"/>
      <x:c r="X323" s="84"/>
      <x:c r="Y323" s="84"/>
      <x:c r="Z323" s="84"/>
    </x:row>
    <x:row r="324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4"/>
      <x:c r="K324" s="84"/>
      <x:c r="L324" s="84"/>
      <x:c r="M324" s="84"/>
      <x:c r="N324" s="84"/>
      <x:c r="O324" s="84"/>
      <x:c r="P324" s="84"/>
      <x:c r="Q324" s="84"/>
      <x:c r="R324" s="84"/>
      <x:c r="S324" s="84"/>
      <x:c r="T324" s="84"/>
      <x:c r="U324" s="84"/>
      <x:c r="V324" s="84"/>
      <x:c r="W324" s="84"/>
      <x:c r="X324" s="84"/>
      <x:c r="Y324" s="84"/>
      <x:c r="Z324" s="84"/>
    </x:row>
    <x:row r="325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4"/>
      <x:c r="K325" s="84"/>
      <x:c r="L325" s="84"/>
      <x:c r="M325" s="84"/>
      <x:c r="N325" s="84"/>
      <x:c r="O325" s="84"/>
      <x:c r="P325" s="84"/>
      <x:c r="Q325" s="84"/>
      <x:c r="R325" s="84"/>
      <x:c r="S325" s="84"/>
      <x:c r="T325" s="84"/>
      <x:c r="U325" s="84"/>
      <x:c r="V325" s="84"/>
      <x:c r="W325" s="84"/>
      <x:c r="X325" s="84"/>
      <x:c r="Y325" s="84"/>
      <x:c r="Z325" s="84"/>
    </x:row>
    <x:row r="326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4"/>
      <x:c r="K326" s="84"/>
      <x:c r="L326" s="84"/>
      <x:c r="M326" s="84"/>
      <x:c r="N326" s="84"/>
      <x:c r="O326" s="84"/>
      <x:c r="P326" s="84"/>
      <x:c r="Q326" s="84"/>
      <x:c r="R326" s="84"/>
      <x:c r="S326" s="84"/>
      <x:c r="T326" s="84"/>
      <x:c r="U326" s="84"/>
      <x:c r="V326" s="84"/>
      <x:c r="W326" s="84"/>
      <x:c r="X326" s="84"/>
      <x:c r="Y326" s="84"/>
      <x:c r="Z326" s="84"/>
    </x:row>
    <x:row r="327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4"/>
      <x:c r="K327" s="84"/>
      <x:c r="L327" s="84"/>
      <x:c r="M327" s="84"/>
      <x:c r="N327" s="84"/>
      <x:c r="O327" s="84"/>
      <x:c r="P327" s="84"/>
      <x:c r="Q327" s="84"/>
      <x:c r="R327" s="84"/>
      <x:c r="S327" s="84"/>
      <x:c r="T327" s="84"/>
      <x:c r="U327" s="84"/>
      <x:c r="V327" s="84"/>
      <x:c r="W327" s="84"/>
      <x:c r="X327" s="84"/>
      <x:c r="Y327" s="84"/>
      <x:c r="Z327" s="84"/>
    </x:row>
    <x:row r="328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4"/>
      <x:c r="K328" s="84"/>
      <x:c r="L328" s="84"/>
      <x:c r="M328" s="84"/>
      <x:c r="N328" s="84"/>
      <x:c r="O328" s="84"/>
      <x:c r="P328" s="84"/>
      <x:c r="Q328" s="84"/>
      <x:c r="R328" s="84"/>
      <x:c r="S328" s="84"/>
      <x:c r="T328" s="84"/>
      <x:c r="U328" s="84"/>
      <x:c r="V328" s="84"/>
      <x:c r="W328" s="84"/>
      <x:c r="X328" s="84"/>
      <x:c r="Y328" s="84"/>
      <x:c r="Z328" s="84"/>
    </x:row>
    <x:row r="329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4"/>
      <x:c r="K329" s="84"/>
      <x:c r="L329" s="84"/>
      <x:c r="M329" s="84"/>
      <x:c r="N329" s="84"/>
      <x:c r="O329" s="84"/>
      <x:c r="P329" s="84"/>
      <x:c r="Q329" s="84"/>
      <x:c r="R329" s="84"/>
      <x:c r="S329" s="84"/>
      <x:c r="T329" s="84"/>
      <x:c r="U329" s="84"/>
      <x:c r="V329" s="84"/>
      <x:c r="W329" s="84"/>
      <x:c r="X329" s="84"/>
      <x:c r="Y329" s="84"/>
      <x:c r="Z329" s="84"/>
    </x:row>
    <x:row r="330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4"/>
      <x:c r="K330" s="84"/>
      <x:c r="L330" s="84"/>
      <x:c r="M330" s="84"/>
      <x:c r="N330" s="84"/>
      <x:c r="O330" s="84"/>
      <x:c r="P330" s="84"/>
      <x:c r="Q330" s="84"/>
      <x:c r="R330" s="84"/>
      <x:c r="S330" s="84"/>
      <x:c r="T330" s="84"/>
      <x:c r="U330" s="84"/>
      <x:c r="V330" s="84"/>
      <x:c r="W330" s="84"/>
      <x:c r="X330" s="84"/>
      <x:c r="Y330" s="84"/>
      <x:c r="Z330" s="84"/>
    </x:row>
    <x:row r="33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4"/>
      <x:c r="K331" s="84"/>
      <x:c r="L331" s="84"/>
      <x:c r="M331" s="84"/>
      <x:c r="N331" s="84"/>
      <x:c r="O331" s="84"/>
      <x:c r="P331" s="84"/>
      <x:c r="Q331" s="84"/>
      <x:c r="R331" s="84"/>
      <x:c r="S331" s="84"/>
      <x:c r="T331" s="84"/>
      <x:c r="U331" s="84"/>
      <x:c r="V331" s="84"/>
      <x:c r="W331" s="84"/>
      <x:c r="X331" s="84"/>
      <x:c r="Y331" s="84"/>
      <x:c r="Z331" s="84"/>
    </x:row>
    <x:row r="332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4"/>
      <x:c r="K332" s="84"/>
      <x:c r="L332" s="84"/>
      <x:c r="M332" s="84"/>
      <x:c r="N332" s="84"/>
      <x:c r="O332" s="84"/>
      <x:c r="P332" s="84"/>
      <x:c r="Q332" s="84"/>
      <x:c r="R332" s="84"/>
      <x:c r="S332" s="84"/>
      <x:c r="T332" s="84"/>
      <x:c r="U332" s="84"/>
      <x:c r="V332" s="84"/>
      <x:c r="W332" s="84"/>
      <x:c r="X332" s="84"/>
      <x:c r="Y332" s="84"/>
      <x:c r="Z332" s="84"/>
    </x:row>
    <x:row r="333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  <x:c r="Q333" s="84"/>
      <x:c r="R333" s="84"/>
      <x:c r="S333" s="84"/>
      <x:c r="T333" s="84"/>
      <x:c r="U333" s="84"/>
      <x:c r="V333" s="84"/>
      <x:c r="W333" s="84"/>
      <x:c r="X333" s="84"/>
      <x:c r="Y333" s="84"/>
      <x:c r="Z333" s="84"/>
    </x:row>
    <x:row r="334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4"/>
      <x:c r="K334" s="84"/>
      <x:c r="L334" s="84"/>
      <x:c r="M334" s="84"/>
      <x:c r="N334" s="84"/>
      <x:c r="O334" s="84"/>
      <x:c r="P334" s="84"/>
      <x:c r="Q334" s="84"/>
      <x:c r="R334" s="84"/>
      <x:c r="S334" s="84"/>
      <x:c r="T334" s="84"/>
      <x:c r="U334" s="84"/>
      <x:c r="V334" s="84"/>
      <x:c r="W334" s="84"/>
      <x:c r="X334" s="84"/>
      <x:c r="Y334" s="84"/>
      <x:c r="Z334" s="84"/>
    </x:row>
    <x:row r="335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4"/>
      <x:c r="K335" s="84"/>
      <x:c r="L335" s="84"/>
      <x:c r="M335" s="84"/>
      <x:c r="N335" s="84"/>
      <x:c r="O335" s="84"/>
      <x:c r="P335" s="84"/>
      <x:c r="Q335" s="84"/>
      <x:c r="R335" s="84"/>
      <x:c r="S335" s="84"/>
      <x:c r="T335" s="84"/>
      <x:c r="U335" s="84"/>
      <x:c r="V335" s="84"/>
      <x:c r="W335" s="84"/>
      <x:c r="X335" s="84"/>
      <x:c r="Y335" s="84"/>
      <x:c r="Z335" s="84"/>
    </x:row>
    <x:row r="336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4"/>
      <x:c r="K336" s="84"/>
      <x:c r="L336" s="84"/>
      <x:c r="M336" s="84"/>
      <x:c r="N336" s="84"/>
      <x:c r="O336" s="84"/>
      <x:c r="P336" s="84"/>
      <x:c r="Q336" s="84"/>
      <x:c r="R336" s="84"/>
      <x:c r="S336" s="84"/>
      <x:c r="T336" s="84"/>
      <x:c r="U336" s="84"/>
      <x:c r="V336" s="84"/>
      <x:c r="W336" s="84"/>
      <x:c r="X336" s="84"/>
      <x:c r="Y336" s="84"/>
      <x:c r="Z336" s="84"/>
    </x:row>
    <x:row r="337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4"/>
      <x:c r="K337" s="84"/>
      <x:c r="L337" s="84"/>
      <x:c r="M337" s="84"/>
      <x:c r="N337" s="84"/>
      <x:c r="O337" s="84"/>
      <x:c r="P337" s="84"/>
      <x:c r="Q337" s="84"/>
      <x:c r="R337" s="84"/>
      <x:c r="S337" s="84"/>
      <x:c r="T337" s="84"/>
      <x:c r="U337" s="84"/>
      <x:c r="V337" s="84"/>
      <x:c r="W337" s="84"/>
      <x:c r="X337" s="84"/>
      <x:c r="Y337" s="84"/>
      <x:c r="Z337" s="84"/>
    </x:row>
    <x:row r="338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4"/>
      <x:c r="K338" s="84"/>
      <x:c r="L338" s="84"/>
      <x:c r="M338" s="84"/>
      <x:c r="N338" s="84"/>
      <x:c r="O338" s="84"/>
      <x:c r="P338" s="84"/>
      <x:c r="Q338" s="84"/>
      <x:c r="R338" s="84"/>
      <x:c r="S338" s="84"/>
      <x:c r="T338" s="84"/>
      <x:c r="U338" s="84"/>
      <x:c r="V338" s="84"/>
      <x:c r="W338" s="84"/>
      <x:c r="X338" s="84"/>
      <x:c r="Y338" s="84"/>
      <x:c r="Z338" s="84"/>
    </x:row>
    <x:row r="339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4"/>
      <x:c r="K339" s="84"/>
      <x:c r="L339" s="84"/>
      <x:c r="M339" s="84"/>
      <x:c r="N339" s="84"/>
      <x:c r="O339" s="84"/>
      <x:c r="P339" s="84"/>
      <x:c r="Q339" s="84"/>
      <x:c r="R339" s="84"/>
      <x:c r="S339" s="84"/>
      <x:c r="T339" s="84"/>
      <x:c r="U339" s="84"/>
      <x:c r="V339" s="84"/>
      <x:c r="W339" s="84"/>
      <x:c r="X339" s="84"/>
      <x:c r="Y339" s="84"/>
      <x:c r="Z339" s="84"/>
    </x:row>
    <x:row r="340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4"/>
      <x:c r="K340" s="84"/>
      <x:c r="L340" s="84"/>
      <x:c r="M340" s="84"/>
      <x:c r="N340" s="84"/>
      <x:c r="O340" s="84"/>
      <x:c r="P340" s="84"/>
      <x:c r="Q340" s="84"/>
      <x:c r="R340" s="84"/>
      <x:c r="S340" s="84"/>
      <x:c r="T340" s="84"/>
      <x:c r="U340" s="84"/>
      <x:c r="V340" s="84"/>
      <x:c r="W340" s="84"/>
      <x:c r="X340" s="84"/>
      <x:c r="Y340" s="84"/>
      <x:c r="Z340" s="84"/>
    </x:row>
    <x:row r="34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4"/>
      <x:c r="K341" s="84"/>
      <x:c r="L341" s="84"/>
      <x:c r="M341" s="84"/>
      <x:c r="N341" s="84"/>
      <x:c r="O341" s="84"/>
      <x:c r="P341" s="84"/>
      <x:c r="Q341" s="84"/>
      <x:c r="R341" s="84"/>
      <x:c r="S341" s="84"/>
      <x:c r="T341" s="84"/>
      <x:c r="U341" s="84"/>
      <x:c r="V341" s="84"/>
      <x:c r="W341" s="84"/>
      <x:c r="X341" s="84"/>
      <x:c r="Y341" s="84"/>
      <x:c r="Z341" s="84"/>
    </x:row>
    <x:row r="342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4"/>
      <x:c r="K342" s="84"/>
      <x:c r="L342" s="84"/>
      <x:c r="M342" s="84"/>
      <x:c r="N342" s="84"/>
      <x:c r="O342" s="84"/>
      <x:c r="P342" s="84"/>
      <x:c r="Q342" s="84"/>
      <x:c r="R342" s="84"/>
      <x:c r="S342" s="84"/>
      <x:c r="T342" s="84"/>
      <x:c r="U342" s="84"/>
      <x:c r="V342" s="84"/>
      <x:c r="W342" s="84"/>
      <x:c r="X342" s="84"/>
      <x:c r="Y342" s="84"/>
      <x:c r="Z342" s="84"/>
    </x:row>
    <x:row r="343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4"/>
      <x:c r="K343" s="84"/>
      <x:c r="L343" s="84"/>
      <x:c r="M343" s="84"/>
      <x:c r="N343" s="84"/>
      <x:c r="O343" s="84"/>
      <x:c r="P343" s="84"/>
      <x:c r="Q343" s="84"/>
      <x:c r="R343" s="84"/>
      <x:c r="S343" s="84"/>
      <x:c r="T343" s="84"/>
      <x:c r="U343" s="84"/>
      <x:c r="V343" s="84"/>
      <x:c r="W343" s="84"/>
      <x:c r="X343" s="84"/>
      <x:c r="Y343" s="84"/>
      <x:c r="Z343" s="84"/>
    </x:row>
    <x:row r="344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4"/>
      <x:c r="K344" s="84"/>
      <x:c r="L344" s="84"/>
      <x:c r="M344" s="84"/>
      <x:c r="N344" s="84"/>
      <x:c r="O344" s="84"/>
      <x:c r="P344" s="84"/>
      <x:c r="Q344" s="84"/>
      <x:c r="R344" s="84"/>
      <x:c r="S344" s="84"/>
      <x:c r="T344" s="84"/>
      <x:c r="U344" s="84"/>
      <x:c r="V344" s="84"/>
      <x:c r="W344" s="84"/>
      <x:c r="X344" s="84"/>
      <x:c r="Y344" s="84"/>
      <x:c r="Z344" s="84"/>
    </x:row>
    <x:row r="345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4"/>
      <x:c r="K345" s="84"/>
      <x:c r="L345" s="84"/>
      <x:c r="M345" s="84"/>
      <x:c r="N345" s="84"/>
      <x:c r="O345" s="84"/>
      <x:c r="P345" s="84"/>
      <x:c r="Q345" s="84"/>
      <x:c r="R345" s="84"/>
      <x:c r="S345" s="84"/>
      <x:c r="T345" s="84"/>
      <x:c r="U345" s="84"/>
      <x:c r="V345" s="84"/>
      <x:c r="W345" s="84"/>
      <x:c r="X345" s="84"/>
      <x:c r="Y345" s="84"/>
      <x:c r="Z345" s="84"/>
    </x:row>
    <x:row r="346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4"/>
      <x:c r="K346" s="84"/>
      <x:c r="L346" s="84"/>
      <x:c r="M346" s="84"/>
      <x:c r="N346" s="84"/>
      <x:c r="O346" s="84"/>
      <x:c r="P346" s="84"/>
      <x:c r="Q346" s="84"/>
      <x:c r="R346" s="84"/>
      <x:c r="S346" s="84"/>
      <x:c r="T346" s="84"/>
      <x:c r="U346" s="84"/>
      <x:c r="V346" s="84"/>
      <x:c r="W346" s="84"/>
      <x:c r="X346" s="84"/>
      <x:c r="Y346" s="84"/>
      <x:c r="Z346" s="84"/>
    </x:row>
    <x:row r="347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4"/>
      <x:c r="K347" s="84"/>
      <x:c r="L347" s="84"/>
      <x:c r="M347" s="84"/>
      <x:c r="N347" s="84"/>
      <x:c r="O347" s="84"/>
      <x:c r="P347" s="84"/>
      <x:c r="Q347" s="84"/>
      <x:c r="R347" s="84"/>
      <x:c r="S347" s="84"/>
      <x:c r="T347" s="84"/>
      <x:c r="U347" s="84"/>
      <x:c r="V347" s="84"/>
      <x:c r="W347" s="84"/>
      <x:c r="X347" s="84"/>
      <x:c r="Y347" s="84"/>
      <x:c r="Z347" s="84"/>
    </x:row>
    <x:row r="348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4"/>
      <x:c r="K348" s="84"/>
      <x:c r="L348" s="84"/>
      <x:c r="M348" s="84"/>
      <x:c r="N348" s="84"/>
      <x:c r="O348" s="84"/>
      <x:c r="P348" s="84"/>
      <x:c r="Q348" s="84"/>
      <x:c r="R348" s="84"/>
      <x:c r="S348" s="84"/>
      <x:c r="T348" s="84"/>
      <x:c r="U348" s="84"/>
      <x:c r="V348" s="84"/>
      <x:c r="W348" s="84"/>
      <x:c r="X348" s="84"/>
      <x:c r="Y348" s="84"/>
      <x:c r="Z348" s="84"/>
    </x:row>
    <x:row r="349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4"/>
      <x:c r="K349" s="84"/>
      <x:c r="L349" s="84"/>
      <x:c r="M349" s="84"/>
      <x:c r="N349" s="84"/>
      <x:c r="O349" s="84"/>
      <x:c r="P349" s="84"/>
      <x:c r="Q349" s="84"/>
      <x:c r="R349" s="84"/>
      <x:c r="S349" s="84"/>
      <x:c r="T349" s="84"/>
      <x:c r="U349" s="84"/>
      <x:c r="V349" s="84"/>
      <x:c r="W349" s="84"/>
      <x:c r="X349" s="84"/>
      <x:c r="Y349" s="84"/>
      <x:c r="Z349" s="84"/>
    </x:row>
    <x:row r="350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4"/>
      <x:c r="K350" s="84"/>
      <x:c r="L350" s="84"/>
      <x:c r="M350" s="84"/>
      <x:c r="N350" s="84"/>
      <x:c r="O350" s="84"/>
      <x:c r="P350" s="84"/>
      <x:c r="Q350" s="84"/>
      <x:c r="R350" s="84"/>
      <x:c r="S350" s="84"/>
      <x:c r="T350" s="84"/>
      <x:c r="U350" s="84"/>
      <x:c r="V350" s="84"/>
      <x:c r="W350" s="84"/>
      <x:c r="X350" s="84"/>
      <x:c r="Y350" s="84"/>
      <x:c r="Z350" s="84"/>
    </x:row>
    <x:row r="35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4"/>
      <x:c r="K351" s="84"/>
      <x:c r="L351" s="84"/>
      <x:c r="M351" s="84"/>
      <x:c r="N351" s="84"/>
      <x:c r="O351" s="84"/>
      <x:c r="P351" s="84"/>
      <x:c r="Q351" s="84"/>
      <x:c r="R351" s="84"/>
      <x:c r="S351" s="84"/>
      <x:c r="T351" s="84"/>
      <x:c r="U351" s="84"/>
      <x:c r="V351" s="84"/>
      <x:c r="W351" s="84"/>
      <x:c r="X351" s="84"/>
      <x:c r="Y351" s="84"/>
      <x:c r="Z351" s="84"/>
    </x:row>
    <x:row r="352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4"/>
      <x:c r="K352" s="84"/>
      <x:c r="L352" s="84"/>
      <x:c r="M352" s="84"/>
      <x:c r="N352" s="84"/>
      <x:c r="O352" s="84"/>
      <x:c r="P352" s="84"/>
      <x:c r="Q352" s="84"/>
      <x:c r="R352" s="84"/>
      <x:c r="S352" s="84"/>
      <x:c r="T352" s="84"/>
      <x:c r="U352" s="84"/>
      <x:c r="V352" s="84"/>
      <x:c r="W352" s="84"/>
      <x:c r="X352" s="84"/>
      <x:c r="Y352" s="84"/>
      <x:c r="Z352" s="84"/>
    </x:row>
    <x:row r="353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4"/>
      <x:c r="K353" s="84"/>
      <x:c r="L353" s="84"/>
      <x:c r="M353" s="84"/>
      <x:c r="N353" s="84"/>
      <x:c r="O353" s="84"/>
      <x:c r="P353" s="84"/>
      <x:c r="Q353" s="84"/>
      <x:c r="R353" s="84"/>
      <x:c r="S353" s="84"/>
      <x:c r="T353" s="84"/>
      <x:c r="U353" s="84"/>
      <x:c r="V353" s="84"/>
      <x:c r="W353" s="84"/>
      <x:c r="X353" s="84"/>
      <x:c r="Y353" s="84"/>
      <x:c r="Z353" s="84"/>
    </x:row>
    <x:row r="354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4"/>
      <x:c r="K354" s="84"/>
      <x:c r="L354" s="84"/>
      <x:c r="M354" s="84"/>
      <x:c r="N354" s="84"/>
      <x:c r="O354" s="84"/>
      <x:c r="P354" s="84"/>
      <x:c r="Q354" s="84"/>
      <x:c r="R354" s="84"/>
      <x:c r="S354" s="84"/>
      <x:c r="T354" s="84"/>
      <x:c r="U354" s="84"/>
      <x:c r="V354" s="84"/>
      <x:c r="W354" s="84"/>
      <x:c r="X354" s="84"/>
      <x:c r="Y354" s="84"/>
      <x:c r="Z354" s="84"/>
    </x:row>
    <x:row r="355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4"/>
      <x:c r="K355" s="84"/>
      <x:c r="L355" s="84"/>
      <x:c r="M355" s="84"/>
      <x:c r="N355" s="84"/>
      <x:c r="O355" s="84"/>
      <x:c r="P355" s="84"/>
      <x:c r="Q355" s="84"/>
      <x:c r="R355" s="84"/>
      <x:c r="S355" s="84"/>
      <x:c r="T355" s="84"/>
      <x:c r="U355" s="84"/>
      <x:c r="V355" s="84"/>
      <x:c r="W355" s="84"/>
      <x:c r="X355" s="84"/>
      <x:c r="Y355" s="84"/>
      <x:c r="Z355" s="84"/>
    </x:row>
    <x:row r="356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4"/>
      <x:c r="K356" s="84"/>
      <x:c r="L356" s="84"/>
      <x:c r="M356" s="84"/>
      <x:c r="N356" s="84"/>
      <x:c r="O356" s="84"/>
      <x:c r="P356" s="84"/>
      <x:c r="Q356" s="84"/>
      <x:c r="R356" s="84"/>
      <x:c r="S356" s="84"/>
      <x:c r="T356" s="84"/>
      <x:c r="U356" s="84"/>
      <x:c r="V356" s="84"/>
      <x:c r="W356" s="84"/>
      <x:c r="X356" s="84"/>
      <x:c r="Y356" s="84"/>
      <x:c r="Z356" s="84"/>
    </x:row>
    <x:row r="357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4"/>
      <x:c r="K357" s="84"/>
      <x:c r="L357" s="84"/>
      <x:c r="M357" s="84"/>
      <x:c r="N357" s="84"/>
      <x:c r="O357" s="84"/>
      <x:c r="P357" s="84"/>
      <x:c r="Q357" s="84"/>
      <x:c r="R357" s="84"/>
      <x:c r="S357" s="84"/>
      <x:c r="T357" s="84"/>
      <x:c r="U357" s="84"/>
      <x:c r="V357" s="84"/>
      <x:c r="W357" s="84"/>
      <x:c r="X357" s="84"/>
      <x:c r="Y357" s="84"/>
      <x:c r="Z357" s="84"/>
    </x:row>
    <x:row r="358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4"/>
      <x:c r="K358" s="84"/>
      <x:c r="L358" s="84"/>
      <x:c r="M358" s="84"/>
      <x:c r="N358" s="84"/>
      <x:c r="O358" s="84"/>
      <x:c r="P358" s="84"/>
      <x:c r="Q358" s="84"/>
      <x:c r="R358" s="84"/>
      <x:c r="S358" s="84"/>
      <x:c r="T358" s="84"/>
      <x:c r="U358" s="84"/>
      <x:c r="V358" s="84"/>
      <x:c r="W358" s="84"/>
      <x:c r="X358" s="84"/>
      <x:c r="Y358" s="84"/>
      <x:c r="Z358" s="84"/>
    </x:row>
    <x:row r="359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4"/>
      <x:c r="K359" s="84"/>
      <x:c r="L359" s="84"/>
      <x:c r="M359" s="84"/>
      <x:c r="N359" s="84"/>
      <x:c r="O359" s="84"/>
      <x:c r="P359" s="84"/>
      <x:c r="Q359" s="84"/>
      <x:c r="R359" s="84"/>
      <x:c r="S359" s="84"/>
      <x:c r="T359" s="84"/>
      <x:c r="U359" s="84"/>
      <x:c r="V359" s="84"/>
      <x:c r="W359" s="84"/>
      <x:c r="X359" s="84"/>
      <x:c r="Y359" s="84"/>
      <x:c r="Z359" s="84"/>
    </x:row>
    <x:row r="360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4"/>
      <x:c r="K360" s="84"/>
      <x:c r="L360" s="84"/>
      <x:c r="M360" s="84"/>
      <x:c r="N360" s="84"/>
      <x:c r="O360" s="84"/>
      <x:c r="P360" s="84"/>
      <x:c r="Q360" s="84"/>
      <x:c r="R360" s="84"/>
      <x:c r="S360" s="84"/>
      <x:c r="T360" s="84"/>
      <x:c r="U360" s="84"/>
      <x:c r="V360" s="84"/>
      <x:c r="W360" s="84"/>
      <x:c r="X360" s="84"/>
      <x:c r="Y360" s="84"/>
      <x:c r="Z360" s="84"/>
    </x:row>
    <x:row r="36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4"/>
      <x:c r="K361" s="84"/>
      <x:c r="L361" s="84"/>
      <x:c r="M361" s="84"/>
      <x:c r="N361" s="84"/>
      <x:c r="O361" s="84"/>
      <x:c r="P361" s="84"/>
      <x:c r="Q361" s="84"/>
      <x:c r="R361" s="84"/>
      <x:c r="S361" s="84"/>
      <x:c r="T361" s="84"/>
      <x:c r="U361" s="84"/>
      <x:c r="V361" s="84"/>
      <x:c r="W361" s="84"/>
      <x:c r="X361" s="84"/>
      <x:c r="Y361" s="84"/>
      <x:c r="Z361" s="84"/>
    </x:row>
    <x:row r="362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4"/>
      <x:c r="K362" s="84"/>
      <x:c r="L362" s="84"/>
      <x:c r="M362" s="84"/>
      <x:c r="N362" s="84"/>
      <x:c r="O362" s="84"/>
      <x:c r="P362" s="84"/>
      <x:c r="Q362" s="84"/>
      <x:c r="R362" s="84"/>
      <x:c r="S362" s="84"/>
      <x:c r="T362" s="84"/>
      <x:c r="U362" s="84"/>
      <x:c r="V362" s="84"/>
      <x:c r="W362" s="84"/>
      <x:c r="X362" s="84"/>
      <x:c r="Y362" s="84"/>
      <x:c r="Z362" s="84"/>
    </x:row>
    <x:row r="363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4"/>
      <x:c r="K363" s="84"/>
      <x:c r="L363" s="84"/>
      <x:c r="M363" s="84"/>
      <x:c r="N363" s="84"/>
      <x:c r="O363" s="84"/>
      <x:c r="P363" s="84"/>
      <x:c r="Q363" s="84"/>
      <x:c r="R363" s="84"/>
      <x:c r="S363" s="84"/>
      <x:c r="T363" s="84"/>
      <x:c r="U363" s="84"/>
      <x:c r="V363" s="84"/>
      <x:c r="W363" s="84"/>
      <x:c r="X363" s="84"/>
      <x:c r="Y363" s="84"/>
      <x:c r="Z363" s="84"/>
    </x:row>
    <x:row r="364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4"/>
      <x:c r="K364" s="84"/>
      <x:c r="L364" s="84"/>
      <x:c r="M364" s="84"/>
      <x:c r="N364" s="84"/>
      <x:c r="O364" s="84"/>
      <x:c r="P364" s="84"/>
      <x:c r="Q364" s="84"/>
      <x:c r="R364" s="84"/>
      <x:c r="S364" s="84"/>
      <x:c r="T364" s="84"/>
      <x:c r="U364" s="84"/>
      <x:c r="V364" s="84"/>
      <x:c r="W364" s="84"/>
      <x:c r="X364" s="84"/>
      <x:c r="Y364" s="84"/>
      <x:c r="Z364" s="84"/>
    </x:row>
    <x:row r="365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4"/>
      <x:c r="K365" s="84"/>
      <x:c r="L365" s="84"/>
      <x:c r="M365" s="84"/>
      <x:c r="N365" s="84"/>
      <x:c r="O365" s="84"/>
      <x:c r="P365" s="84"/>
      <x:c r="Q365" s="84"/>
      <x:c r="R365" s="84"/>
      <x:c r="S365" s="84"/>
      <x:c r="T365" s="84"/>
      <x:c r="U365" s="84"/>
      <x:c r="V365" s="84"/>
      <x:c r="W365" s="84"/>
      <x:c r="X365" s="84"/>
      <x:c r="Y365" s="84"/>
      <x:c r="Z365" s="84"/>
    </x:row>
    <x:row r="366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4"/>
      <x:c r="K366" s="84"/>
      <x:c r="L366" s="84"/>
      <x:c r="M366" s="84"/>
      <x:c r="N366" s="84"/>
      <x:c r="O366" s="84"/>
      <x:c r="P366" s="84"/>
      <x:c r="Q366" s="84"/>
      <x:c r="R366" s="84"/>
      <x:c r="S366" s="84"/>
      <x:c r="T366" s="84"/>
      <x:c r="U366" s="84"/>
      <x:c r="V366" s="84"/>
      <x:c r="W366" s="84"/>
      <x:c r="X366" s="84"/>
      <x:c r="Y366" s="84"/>
      <x:c r="Z366" s="84"/>
    </x:row>
    <x:row r="367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4"/>
      <x:c r="K367" s="84"/>
      <x:c r="L367" s="84"/>
      <x:c r="M367" s="84"/>
      <x:c r="N367" s="84"/>
      <x:c r="O367" s="84"/>
      <x:c r="P367" s="84"/>
      <x:c r="Q367" s="84"/>
      <x:c r="R367" s="84"/>
      <x:c r="S367" s="84"/>
      <x:c r="T367" s="84"/>
      <x:c r="U367" s="84"/>
      <x:c r="V367" s="84"/>
      <x:c r="W367" s="84"/>
      <x:c r="X367" s="84"/>
      <x:c r="Y367" s="84"/>
      <x:c r="Z367" s="84"/>
    </x:row>
    <x:row r="368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4"/>
      <x:c r="K368" s="84"/>
      <x:c r="L368" s="84"/>
      <x:c r="M368" s="84"/>
      <x:c r="N368" s="84"/>
      <x:c r="O368" s="84"/>
      <x:c r="P368" s="84"/>
      <x:c r="Q368" s="84"/>
      <x:c r="R368" s="84"/>
      <x:c r="S368" s="84"/>
      <x:c r="T368" s="84"/>
      <x:c r="U368" s="84"/>
      <x:c r="V368" s="84"/>
      <x:c r="W368" s="84"/>
      <x:c r="X368" s="84"/>
      <x:c r="Y368" s="84"/>
      <x:c r="Z368" s="84"/>
    </x:row>
    <x:row r="369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4"/>
      <x:c r="K369" s="84"/>
      <x:c r="L369" s="84"/>
      <x:c r="M369" s="84"/>
      <x:c r="N369" s="84"/>
      <x:c r="O369" s="84"/>
      <x:c r="P369" s="84"/>
      <x:c r="Q369" s="84"/>
      <x:c r="R369" s="84"/>
      <x:c r="S369" s="84"/>
      <x:c r="T369" s="84"/>
      <x:c r="U369" s="84"/>
      <x:c r="V369" s="84"/>
      <x:c r="W369" s="84"/>
      <x:c r="X369" s="84"/>
      <x:c r="Y369" s="84"/>
      <x:c r="Z369" s="84"/>
    </x:row>
    <x:row r="370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4"/>
      <x:c r="K370" s="84"/>
      <x:c r="L370" s="84"/>
      <x:c r="M370" s="84"/>
      <x:c r="N370" s="84"/>
      <x:c r="O370" s="84"/>
      <x:c r="P370" s="84"/>
      <x:c r="Q370" s="84"/>
      <x:c r="R370" s="84"/>
      <x:c r="S370" s="84"/>
      <x:c r="T370" s="84"/>
      <x:c r="U370" s="84"/>
      <x:c r="V370" s="84"/>
      <x:c r="W370" s="84"/>
      <x:c r="X370" s="84"/>
      <x:c r="Y370" s="84"/>
      <x:c r="Z370" s="84"/>
    </x:row>
    <x:row r="37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4"/>
      <x:c r="K371" s="84"/>
      <x:c r="L371" s="84"/>
      <x:c r="M371" s="84"/>
      <x:c r="N371" s="84"/>
      <x:c r="O371" s="84"/>
      <x:c r="P371" s="84"/>
      <x:c r="Q371" s="84"/>
      <x:c r="R371" s="84"/>
      <x:c r="S371" s="84"/>
      <x:c r="T371" s="84"/>
      <x:c r="U371" s="84"/>
      <x:c r="V371" s="84"/>
      <x:c r="W371" s="84"/>
      <x:c r="X371" s="84"/>
      <x:c r="Y371" s="84"/>
      <x:c r="Z371" s="84"/>
    </x:row>
    <x:row r="372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4"/>
      <x:c r="K372" s="84"/>
      <x:c r="L372" s="84"/>
      <x:c r="M372" s="84"/>
      <x:c r="N372" s="84"/>
      <x:c r="O372" s="84"/>
      <x:c r="P372" s="84"/>
      <x:c r="Q372" s="84"/>
      <x:c r="R372" s="84"/>
      <x:c r="S372" s="84"/>
      <x:c r="T372" s="84"/>
      <x:c r="U372" s="84"/>
      <x:c r="V372" s="84"/>
      <x:c r="W372" s="84"/>
      <x:c r="X372" s="84"/>
      <x:c r="Y372" s="84"/>
      <x:c r="Z372" s="84"/>
    </x:row>
    <x:row r="373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4"/>
      <x:c r="K373" s="84"/>
      <x:c r="L373" s="84"/>
      <x:c r="M373" s="84"/>
      <x:c r="N373" s="84"/>
      <x:c r="O373" s="84"/>
      <x:c r="P373" s="84"/>
      <x:c r="Q373" s="84"/>
      <x:c r="R373" s="84"/>
      <x:c r="S373" s="84"/>
      <x:c r="T373" s="84"/>
      <x:c r="U373" s="84"/>
      <x:c r="V373" s="84"/>
      <x:c r="W373" s="84"/>
      <x:c r="X373" s="84"/>
      <x:c r="Y373" s="84"/>
      <x:c r="Z373" s="84"/>
    </x:row>
    <x:row r="374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4"/>
      <x:c r="K374" s="84"/>
      <x:c r="L374" s="84"/>
      <x:c r="M374" s="84"/>
      <x:c r="N374" s="84"/>
      <x:c r="O374" s="84"/>
      <x:c r="P374" s="84"/>
      <x:c r="Q374" s="84"/>
      <x:c r="R374" s="84"/>
      <x:c r="S374" s="84"/>
      <x:c r="T374" s="84"/>
      <x:c r="U374" s="84"/>
      <x:c r="V374" s="84"/>
      <x:c r="W374" s="84"/>
      <x:c r="X374" s="84"/>
      <x:c r="Y374" s="84"/>
      <x:c r="Z374" s="84"/>
    </x:row>
    <x:row r="375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4"/>
      <x:c r="K375" s="84"/>
      <x:c r="L375" s="84"/>
      <x:c r="M375" s="84"/>
      <x:c r="N375" s="84"/>
      <x:c r="O375" s="84"/>
      <x:c r="P375" s="84"/>
      <x:c r="Q375" s="84"/>
      <x:c r="R375" s="84"/>
      <x:c r="S375" s="84"/>
      <x:c r="T375" s="84"/>
      <x:c r="U375" s="84"/>
      <x:c r="V375" s="84"/>
      <x:c r="W375" s="84"/>
      <x:c r="X375" s="84"/>
      <x:c r="Y375" s="84"/>
      <x:c r="Z375" s="84"/>
    </x:row>
    <x:row r="376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4"/>
      <x:c r="K376" s="84"/>
      <x:c r="L376" s="84"/>
      <x:c r="M376" s="84"/>
      <x:c r="N376" s="84"/>
      <x:c r="O376" s="84"/>
      <x:c r="P376" s="84"/>
      <x:c r="Q376" s="84"/>
      <x:c r="R376" s="84"/>
      <x:c r="S376" s="84"/>
      <x:c r="T376" s="84"/>
      <x:c r="U376" s="84"/>
      <x:c r="V376" s="84"/>
      <x:c r="W376" s="84"/>
      <x:c r="X376" s="84"/>
      <x:c r="Y376" s="84"/>
      <x:c r="Z376" s="84"/>
    </x:row>
    <x:row r="377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4"/>
      <x:c r="K377" s="84"/>
      <x:c r="L377" s="84"/>
      <x:c r="M377" s="84"/>
      <x:c r="N377" s="84"/>
      <x:c r="O377" s="84"/>
      <x:c r="P377" s="84"/>
      <x:c r="Q377" s="84"/>
      <x:c r="R377" s="84"/>
      <x:c r="S377" s="84"/>
      <x:c r="T377" s="84"/>
      <x:c r="U377" s="84"/>
      <x:c r="V377" s="84"/>
      <x:c r="W377" s="84"/>
      <x:c r="X377" s="84"/>
      <x:c r="Y377" s="84"/>
      <x:c r="Z377" s="84"/>
    </x:row>
    <x:row r="378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4"/>
      <x:c r="K378" s="84"/>
      <x:c r="L378" s="84"/>
      <x:c r="M378" s="84"/>
      <x:c r="N378" s="84"/>
      <x:c r="O378" s="84"/>
      <x:c r="P378" s="84"/>
      <x:c r="Q378" s="84"/>
      <x:c r="R378" s="84"/>
      <x:c r="S378" s="84"/>
      <x:c r="T378" s="84"/>
      <x:c r="U378" s="84"/>
      <x:c r="V378" s="84"/>
      <x:c r="W378" s="84"/>
      <x:c r="X378" s="84"/>
      <x:c r="Y378" s="84"/>
      <x:c r="Z378" s="84"/>
    </x:row>
    <x:row r="379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4"/>
      <x:c r="K379" s="84"/>
      <x:c r="L379" s="84"/>
      <x:c r="M379" s="84"/>
      <x:c r="N379" s="84"/>
      <x:c r="O379" s="84"/>
      <x:c r="P379" s="84"/>
      <x:c r="Q379" s="84"/>
      <x:c r="R379" s="84"/>
      <x:c r="S379" s="84"/>
      <x:c r="T379" s="84"/>
      <x:c r="U379" s="84"/>
      <x:c r="V379" s="84"/>
      <x:c r="W379" s="84"/>
      <x:c r="X379" s="84"/>
      <x:c r="Y379" s="84"/>
      <x:c r="Z379" s="84"/>
    </x:row>
    <x:row r="380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4"/>
      <x:c r="K380" s="84"/>
      <x:c r="L380" s="84"/>
      <x:c r="M380" s="84"/>
      <x:c r="N380" s="84"/>
      <x:c r="O380" s="84"/>
      <x:c r="P380" s="84"/>
      <x:c r="Q380" s="84"/>
      <x:c r="R380" s="84"/>
      <x:c r="S380" s="84"/>
      <x:c r="T380" s="84"/>
      <x:c r="U380" s="84"/>
      <x:c r="V380" s="84"/>
      <x:c r="W380" s="84"/>
      <x:c r="X380" s="84"/>
      <x:c r="Y380" s="84"/>
      <x:c r="Z380" s="84"/>
    </x:row>
    <x:row r="38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4"/>
      <x:c r="K381" s="84"/>
      <x:c r="L381" s="84"/>
      <x:c r="M381" s="84"/>
      <x:c r="N381" s="84"/>
      <x:c r="O381" s="84"/>
      <x:c r="P381" s="84"/>
      <x:c r="Q381" s="84"/>
      <x:c r="R381" s="84"/>
      <x:c r="S381" s="84"/>
      <x:c r="T381" s="84"/>
      <x:c r="U381" s="84"/>
      <x:c r="V381" s="84"/>
      <x:c r="W381" s="84"/>
      <x:c r="X381" s="84"/>
      <x:c r="Y381" s="84"/>
      <x:c r="Z381" s="84"/>
    </x:row>
    <x:row r="382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4"/>
      <x:c r="K382" s="84"/>
      <x:c r="L382" s="84"/>
      <x:c r="M382" s="84"/>
      <x:c r="N382" s="84"/>
      <x:c r="O382" s="84"/>
      <x:c r="P382" s="84"/>
      <x:c r="Q382" s="84"/>
      <x:c r="R382" s="84"/>
      <x:c r="S382" s="84"/>
      <x:c r="T382" s="84"/>
      <x:c r="U382" s="84"/>
      <x:c r="V382" s="84"/>
      <x:c r="W382" s="84"/>
      <x:c r="X382" s="84"/>
      <x:c r="Y382" s="84"/>
      <x:c r="Z382" s="84"/>
    </x:row>
    <x:row r="383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4"/>
      <x:c r="K383" s="84"/>
      <x:c r="L383" s="84"/>
      <x:c r="M383" s="84"/>
      <x:c r="N383" s="84"/>
      <x:c r="O383" s="84"/>
      <x:c r="P383" s="84"/>
      <x:c r="Q383" s="84"/>
      <x:c r="R383" s="84"/>
      <x:c r="S383" s="84"/>
      <x:c r="T383" s="84"/>
      <x:c r="U383" s="84"/>
      <x:c r="V383" s="84"/>
      <x:c r="W383" s="84"/>
      <x:c r="X383" s="84"/>
      <x:c r="Y383" s="84"/>
      <x:c r="Z383" s="84"/>
    </x:row>
    <x:row r="384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4"/>
      <x:c r="K384" s="84"/>
      <x:c r="L384" s="84"/>
      <x:c r="M384" s="84"/>
      <x:c r="N384" s="84"/>
      <x:c r="O384" s="84"/>
      <x:c r="P384" s="84"/>
      <x:c r="Q384" s="84"/>
      <x:c r="R384" s="84"/>
      <x:c r="S384" s="84"/>
      <x:c r="T384" s="84"/>
      <x:c r="U384" s="84"/>
      <x:c r="V384" s="84"/>
      <x:c r="W384" s="84"/>
      <x:c r="X384" s="84"/>
      <x:c r="Y384" s="84"/>
      <x:c r="Z384" s="84"/>
    </x:row>
    <x:row r="385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4"/>
      <x:c r="K385" s="84"/>
      <x:c r="L385" s="84"/>
      <x:c r="M385" s="84"/>
      <x:c r="N385" s="84"/>
      <x:c r="O385" s="84"/>
      <x:c r="P385" s="84"/>
      <x:c r="Q385" s="84"/>
      <x:c r="R385" s="84"/>
      <x:c r="S385" s="84"/>
      <x:c r="T385" s="84"/>
      <x:c r="U385" s="84"/>
      <x:c r="V385" s="84"/>
      <x:c r="W385" s="84"/>
      <x:c r="X385" s="84"/>
      <x:c r="Y385" s="84"/>
      <x:c r="Z385" s="84"/>
    </x:row>
    <x:row r="386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4"/>
      <x:c r="K386" s="84"/>
      <x:c r="L386" s="84"/>
      <x:c r="M386" s="84"/>
      <x:c r="N386" s="84"/>
      <x:c r="O386" s="84"/>
      <x:c r="P386" s="84"/>
      <x:c r="Q386" s="84"/>
      <x:c r="R386" s="84"/>
      <x:c r="S386" s="84"/>
      <x:c r="T386" s="84"/>
      <x:c r="U386" s="84"/>
      <x:c r="V386" s="84"/>
      <x:c r="W386" s="84"/>
      <x:c r="X386" s="84"/>
      <x:c r="Y386" s="84"/>
      <x:c r="Z386" s="84"/>
    </x:row>
    <x:row r="387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4"/>
      <x:c r="K387" s="84"/>
      <x:c r="L387" s="84"/>
      <x:c r="M387" s="84"/>
      <x:c r="N387" s="84"/>
      <x:c r="O387" s="84"/>
      <x:c r="P387" s="84"/>
      <x:c r="Q387" s="84"/>
      <x:c r="R387" s="84"/>
      <x:c r="S387" s="84"/>
      <x:c r="T387" s="84"/>
      <x:c r="U387" s="84"/>
      <x:c r="V387" s="84"/>
      <x:c r="W387" s="84"/>
      <x:c r="X387" s="84"/>
      <x:c r="Y387" s="84"/>
      <x:c r="Z387" s="84"/>
    </x:row>
    <x:row r="388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4"/>
      <x:c r="K388" s="84"/>
      <x:c r="L388" s="84"/>
      <x:c r="M388" s="84"/>
      <x:c r="N388" s="84"/>
      <x:c r="O388" s="84"/>
      <x:c r="P388" s="84"/>
      <x:c r="Q388" s="84"/>
      <x:c r="R388" s="84"/>
      <x:c r="S388" s="84"/>
      <x:c r="T388" s="84"/>
      <x:c r="U388" s="84"/>
      <x:c r="V388" s="84"/>
      <x:c r="W388" s="84"/>
      <x:c r="X388" s="84"/>
      <x:c r="Y388" s="84"/>
      <x:c r="Z388" s="84"/>
    </x:row>
    <x:row r="389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4"/>
      <x:c r="K389" s="84"/>
      <x:c r="L389" s="84"/>
      <x:c r="M389" s="84"/>
      <x:c r="N389" s="84"/>
      <x:c r="O389" s="84"/>
      <x:c r="P389" s="84"/>
      <x:c r="Q389" s="84"/>
      <x:c r="R389" s="84"/>
      <x:c r="S389" s="84"/>
      <x:c r="T389" s="84"/>
      <x:c r="U389" s="84"/>
      <x:c r="V389" s="84"/>
      <x:c r="W389" s="84"/>
      <x:c r="X389" s="84"/>
      <x:c r="Y389" s="84"/>
      <x:c r="Z389" s="84"/>
    </x:row>
    <x:row r="390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4"/>
      <x:c r="K390" s="84"/>
      <x:c r="L390" s="84"/>
      <x:c r="M390" s="84"/>
      <x:c r="N390" s="84"/>
      <x:c r="O390" s="84"/>
      <x:c r="P390" s="84"/>
      <x:c r="Q390" s="84"/>
      <x:c r="R390" s="84"/>
      <x:c r="S390" s="84"/>
      <x:c r="T390" s="84"/>
      <x:c r="U390" s="84"/>
      <x:c r="V390" s="84"/>
      <x:c r="W390" s="84"/>
      <x:c r="X390" s="84"/>
      <x:c r="Y390" s="84"/>
      <x:c r="Z390" s="84"/>
    </x:row>
    <x:row r="39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4"/>
      <x:c r="K391" s="84"/>
      <x:c r="L391" s="84"/>
      <x:c r="M391" s="84"/>
      <x:c r="N391" s="84"/>
      <x:c r="O391" s="84"/>
      <x:c r="P391" s="84"/>
      <x:c r="Q391" s="84"/>
      <x:c r="R391" s="84"/>
      <x:c r="S391" s="84"/>
      <x:c r="T391" s="84"/>
      <x:c r="U391" s="84"/>
      <x:c r="V391" s="84"/>
      <x:c r="W391" s="84"/>
      <x:c r="X391" s="84"/>
      <x:c r="Y391" s="84"/>
      <x:c r="Z391" s="84"/>
    </x:row>
    <x:row r="392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4"/>
      <x:c r="K392" s="84"/>
      <x:c r="L392" s="84"/>
      <x:c r="M392" s="84"/>
      <x:c r="N392" s="84"/>
      <x:c r="O392" s="84"/>
      <x:c r="P392" s="84"/>
      <x:c r="Q392" s="84"/>
      <x:c r="R392" s="84"/>
      <x:c r="S392" s="84"/>
      <x:c r="T392" s="84"/>
      <x:c r="U392" s="84"/>
      <x:c r="V392" s="84"/>
      <x:c r="W392" s="84"/>
      <x:c r="X392" s="84"/>
      <x:c r="Y392" s="84"/>
      <x:c r="Z392" s="84"/>
    </x:row>
    <x:row r="393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4"/>
      <x:c r="K393" s="84"/>
      <x:c r="L393" s="84"/>
      <x:c r="M393" s="84"/>
      <x:c r="N393" s="84"/>
      <x:c r="O393" s="84"/>
      <x:c r="P393" s="84"/>
      <x:c r="Q393" s="84"/>
      <x:c r="R393" s="84"/>
      <x:c r="S393" s="84"/>
      <x:c r="T393" s="84"/>
      <x:c r="U393" s="84"/>
      <x:c r="V393" s="84"/>
      <x:c r="W393" s="84"/>
      <x:c r="X393" s="84"/>
      <x:c r="Y393" s="84"/>
      <x:c r="Z393" s="84"/>
    </x:row>
    <x:row r="394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4"/>
      <x:c r="K394" s="84"/>
      <x:c r="L394" s="84"/>
      <x:c r="M394" s="84"/>
      <x:c r="N394" s="84"/>
      <x:c r="O394" s="84"/>
      <x:c r="P394" s="84"/>
      <x:c r="Q394" s="84"/>
      <x:c r="R394" s="84"/>
      <x:c r="S394" s="84"/>
      <x:c r="T394" s="84"/>
      <x:c r="U394" s="84"/>
      <x:c r="V394" s="84"/>
      <x:c r="W394" s="84"/>
      <x:c r="X394" s="84"/>
      <x:c r="Y394" s="84"/>
      <x:c r="Z394" s="84"/>
    </x:row>
    <x:row r="395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4"/>
      <x:c r="K395" s="84"/>
      <x:c r="L395" s="84"/>
      <x:c r="M395" s="84"/>
      <x:c r="N395" s="84"/>
      <x:c r="O395" s="84"/>
      <x:c r="P395" s="84"/>
      <x:c r="Q395" s="84"/>
      <x:c r="R395" s="84"/>
      <x:c r="S395" s="84"/>
      <x:c r="T395" s="84"/>
      <x:c r="U395" s="84"/>
      <x:c r="V395" s="84"/>
      <x:c r="W395" s="84"/>
      <x:c r="X395" s="84"/>
      <x:c r="Y395" s="84"/>
      <x:c r="Z395" s="84"/>
    </x:row>
    <x:row r="396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4"/>
      <x:c r="K396" s="84"/>
      <x:c r="L396" s="84"/>
      <x:c r="M396" s="84"/>
      <x:c r="N396" s="84"/>
      <x:c r="O396" s="84"/>
      <x:c r="P396" s="84"/>
      <x:c r="Q396" s="84"/>
      <x:c r="R396" s="84"/>
      <x:c r="S396" s="84"/>
      <x:c r="T396" s="84"/>
      <x:c r="U396" s="84"/>
      <x:c r="V396" s="84"/>
      <x:c r="W396" s="84"/>
      <x:c r="X396" s="84"/>
      <x:c r="Y396" s="84"/>
      <x:c r="Z396" s="84"/>
    </x:row>
    <x:row r="397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4"/>
      <x:c r="K397" s="84"/>
      <x:c r="L397" s="84"/>
      <x:c r="M397" s="84"/>
      <x:c r="N397" s="84"/>
      <x:c r="O397" s="84"/>
      <x:c r="P397" s="84"/>
      <x:c r="Q397" s="84"/>
      <x:c r="R397" s="84"/>
      <x:c r="S397" s="84"/>
      <x:c r="T397" s="84"/>
      <x:c r="U397" s="84"/>
      <x:c r="V397" s="84"/>
      <x:c r="W397" s="84"/>
      <x:c r="X397" s="84"/>
      <x:c r="Y397" s="84"/>
      <x:c r="Z397" s="84"/>
    </x:row>
    <x:row r="398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4"/>
      <x:c r="K398" s="84"/>
      <x:c r="L398" s="84"/>
      <x:c r="M398" s="84"/>
      <x:c r="N398" s="84"/>
      <x:c r="O398" s="84"/>
      <x:c r="P398" s="84"/>
      <x:c r="Q398" s="84"/>
      <x:c r="R398" s="84"/>
      <x:c r="S398" s="84"/>
      <x:c r="T398" s="84"/>
      <x:c r="U398" s="84"/>
      <x:c r="V398" s="84"/>
      <x:c r="W398" s="84"/>
      <x:c r="X398" s="84"/>
      <x:c r="Y398" s="84"/>
      <x:c r="Z398" s="84"/>
    </x:row>
    <x:row r="399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4"/>
      <x:c r="K399" s="84"/>
      <x:c r="L399" s="84"/>
      <x:c r="M399" s="84"/>
      <x:c r="N399" s="84"/>
      <x:c r="O399" s="84"/>
      <x:c r="P399" s="84"/>
      <x:c r="Q399" s="84"/>
      <x:c r="R399" s="84"/>
      <x:c r="S399" s="84"/>
      <x:c r="T399" s="84"/>
      <x:c r="U399" s="84"/>
      <x:c r="V399" s="84"/>
      <x:c r="W399" s="84"/>
      <x:c r="X399" s="84"/>
      <x:c r="Y399" s="84"/>
      <x:c r="Z399" s="84"/>
    </x:row>
    <x:row r="400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4"/>
      <x:c r="K400" s="84"/>
      <x:c r="L400" s="84"/>
      <x:c r="M400" s="84"/>
      <x:c r="N400" s="84"/>
      <x:c r="O400" s="84"/>
      <x:c r="P400" s="84"/>
      <x:c r="Q400" s="84"/>
      <x:c r="R400" s="84"/>
      <x:c r="S400" s="84"/>
      <x:c r="T400" s="84"/>
      <x:c r="U400" s="84"/>
      <x:c r="V400" s="84"/>
      <x:c r="W400" s="84"/>
      <x:c r="X400" s="84"/>
      <x:c r="Y400" s="84"/>
      <x:c r="Z400" s="84"/>
    </x:row>
    <x:row r="40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4"/>
      <x:c r="K401" s="84"/>
      <x:c r="L401" s="84"/>
      <x:c r="M401" s="84"/>
      <x:c r="N401" s="84"/>
      <x:c r="O401" s="84"/>
      <x:c r="P401" s="84"/>
      <x:c r="Q401" s="84"/>
      <x:c r="R401" s="84"/>
      <x:c r="S401" s="84"/>
      <x:c r="T401" s="84"/>
      <x:c r="U401" s="84"/>
      <x:c r="V401" s="84"/>
      <x:c r="W401" s="84"/>
      <x:c r="X401" s="84"/>
      <x:c r="Y401" s="84"/>
      <x:c r="Z401" s="84"/>
    </x:row>
    <x:row r="402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4"/>
      <x:c r="K402" s="84"/>
      <x:c r="L402" s="84"/>
      <x:c r="M402" s="84"/>
      <x:c r="N402" s="84"/>
      <x:c r="O402" s="84"/>
      <x:c r="P402" s="84"/>
      <x:c r="Q402" s="84"/>
      <x:c r="R402" s="84"/>
      <x:c r="S402" s="84"/>
      <x:c r="T402" s="84"/>
      <x:c r="U402" s="84"/>
      <x:c r="V402" s="84"/>
      <x:c r="W402" s="84"/>
      <x:c r="X402" s="84"/>
      <x:c r="Y402" s="84"/>
      <x:c r="Z402" s="84"/>
    </x:row>
    <x:row r="403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4"/>
      <x:c r="K403" s="84"/>
      <x:c r="L403" s="84"/>
      <x:c r="M403" s="84"/>
      <x:c r="N403" s="84"/>
      <x:c r="O403" s="84"/>
      <x:c r="P403" s="84"/>
      <x:c r="Q403" s="84"/>
      <x:c r="R403" s="84"/>
      <x:c r="S403" s="84"/>
      <x:c r="T403" s="84"/>
      <x:c r="U403" s="84"/>
      <x:c r="V403" s="84"/>
      <x:c r="W403" s="84"/>
      <x:c r="X403" s="84"/>
      <x:c r="Y403" s="84"/>
      <x:c r="Z403" s="84"/>
    </x:row>
    <x:row r="404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4"/>
      <x:c r="K404" s="84"/>
      <x:c r="L404" s="84"/>
      <x:c r="M404" s="84"/>
      <x:c r="N404" s="84"/>
      <x:c r="O404" s="84"/>
      <x:c r="P404" s="84"/>
      <x:c r="Q404" s="84"/>
      <x:c r="R404" s="84"/>
      <x:c r="S404" s="84"/>
      <x:c r="T404" s="84"/>
      <x:c r="U404" s="84"/>
      <x:c r="V404" s="84"/>
      <x:c r="W404" s="84"/>
      <x:c r="X404" s="84"/>
      <x:c r="Y404" s="84"/>
      <x:c r="Z404" s="84"/>
    </x:row>
    <x:row r="405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4"/>
      <x:c r="K405" s="84"/>
      <x:c r="L405" s="84"/>
      <x:c r="M405" s="84"/>
      <x:c r="N405" s="84"/>
      <x:c r="O405" s="84"/>
      <x:c r="P405" s="84"/>
      <x:c r="Q405" s="84"/>
      <x:c r="R405" s="84"/>
      <x:c r="S405" s="84"/>
      <x:c r="T405" s="84"/>
      <x:c r="U405" s="84"/>
      <x:c r="V405" s="84"/>
      <x:c r="W405" s="84"/>
      <x:c r="X405" s="84"/>
      <x:c r="Y405" s="84"/>
      <x:c r="Z405" s="84"/>
    </x:row>
    <x:row r="406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4"/>
      <x:c r="K406" s="84"/>
      <x:c r="L406" s="84"/>
      <x:c r="M406" s="84"/>
      <x:c r="N406" s="84"/>
      <x:c r="O406" s="84"/>
      <x:c r="P406" s="84"/>
      <x:c r="Q406" s="84"/>
      <x:c r="R406" s="84"/>
      <x:c r="S406" s="84"/>
      <x:c r="T406" s="84"/>
      <x:c r="U406" s="84"/>
      <x:c r="V406" s="84"/>
      <x:c r="W406" s="84"/>
      <x:c r="X406" s="84"/>
      <x:c r="Y406" s="84"/>
      <x:c r="Z406" s="84"/>
    </x:row>
    <x:row r="407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4"/>
      <x:c r="K407" s="84"/>
      <x:c r="L407" s="84"/>
      <x:c r="M407" s="84"/>
      <x:c r="N407" s="84"/>
      <x:c r="O407" s="84"/>
      <x:c r="P407" s="84"/>
      <x:c r="Q407" s="84"/>
      <x:c r="R407" s="84"/>
      <x:c r="S407" s="84"/>
      <x:c r="T407" s="84"/>
      <x:c r="U407" s="84"/>
      <x:c r="V407" s="84"/>
      <x:c r="W407" s="84"/>
      <x:c r="X407" s="84"/>
      <x:c r="Y407" s="84"/>
      <x:c r="Z407" s="84"/>
    </x:row>
    <x:row r="408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4"/>
      <x:c r="K408" s="84"/>
      <x:c r="L408" s="84"/>
      <x:c r="M408" s="84"/>
      <x:c r="N408" s="84"/>
      <x:c r="O408" s="84"/>
      <x:c r="P408" s="84"/>
      <x:c r="Q408" s="84"/>
      <x:c r="R408" s="84"/>
      <x:c r="S408" s="84"/>
      <x:c r="T408" s="84"/>
      <x:c r="U408" s="84"/>
      <x:c r="V408" s="84"/>
      <x:c r="W408" s="84"/>
      <x:c r="X408" s="84"/>
      <x:c r="Y408" s="84"/>
      <x:c r="Z408" s="84"/>
    </x:row>
    <x:row r="409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4"/>
      <x:c r="K409" s="84"/>
      <x:c r="L409" s="84"/>
      <x:c r="M409" s="84"/>
      <x:c r="N409" s="84"/>
      <x:c r="O409" s="84"/>
      <x:c r="P409" s="84"/>
      <x:c r="Q409" s="84"/>
      <x:c r="R409" s="84"/>
      <x:c r="S409" s="84"/>
      <x:c r="T409" s="84"/>
      <x:c r="U409" s="84"/>
      <x:c r="V409" s="84"/>
      <x:c r="W409" s="84"/>
      <x:c r="X409" s="84"/>
      <x:c r="Y409" s="84"/>
      <x:c r="Z409" s="84"/>
    </x:row>
    <x:row r="410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4"/>
      <x:c r="K410" s="84"/>
      <x:c r="L410" s="84"/>
      <x:c r="M410" s="84"/>
      <x:c r="N410" s="84"/>
      <x:c r="O410" s="84"/>
      <x:c r="P410" s="84"/>
      <x:c r="Q410" s="84"/>
      <x:c r="R410" s="84"/>
      <x:c r="S410" s="84"/>
      <x:c r="T410" s="84"/>
      <x:c r="U410" s="84"/>
      <x:c r="V410" s="84"/>
      <x:c r="W410" s="84"/>
      <x:c r="X410" s="84"/>
      <x:c r="Y410" s="84"/>
      <x:c r="Z410" s="84"/>
    </x:row>
    <x:row r="41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4"/>
      <x:c r="K411" s="84"/>
      <x:c r="L411" s="84"/>
      <x:c r="M411" s="84"/>
      <x:c r="N411" s="84"/>
      <x:c r="O411" s="84"/>
      <x:c r="P411" s="84"/>
      <x:c r="Q411" s="84"/>
      <x:c r="R411" s="84"/>
      <x:c r="S411" s="84"/>
      <x:c r="T411" s="84"/>
      <x:c r="U411" s="84"/>
      <x:c r="V411" s="84"/>
      <x:c r="W411" s="84"/>
      <x:c r="X411" s="84"/>
      <x:c r="Y411" s="84"/>
      <x:c r="Z411" s="84"/>
    </x:row>
    <x:row r="412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4"/>
      <x:c r="K412" s="84"/>
      <x:c r="L412" s="84"/>
      <x:c r="M412" s="84"/>
      <x:c r="N412" s="84"/>
      <x:c r="O412" s="84"/>
      <x:c r="P412" s="84"/>
      <x:c r="Q412" s="84"/>
      <x:c r="R412" s="84"/>
      <x:c r="S412" s="84"/>
      <x:c r="T412" s="84"/>
      <x:c r="U412" s="84"/>
      <x:c r="V412" s="84"/>
      <x:c r="W412" s="84"/>
      <x:c r="X412" s="84"/>
      <x:c r="Y412" s="84"/>
      <x:c r="Z412" s="84"/>
    </x:row>
    <x:row r="413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4"/>
      <x:c r="K413" s="84"/>
      <x:c r="L413" s="84"/>
      <x:c r="M413" s="84"/>
      <x:c r="N413" s="84"/>
      <x:c r="O413" s="84"/>
      <x:c r="P413" s="84"/>
      <x:c r="Q413" s="84"/>
      <x:c r="R413" s="84"/>
      <x:c r="S413" s="84"/>
      <x:c r="T413" s="84"/>
      <x:c r="U413" s="84"/>
      <x:c r="V413" s="84"/>
      <x:c r="W413" s="84"/>
      <x:c r="X413" s="84"/>
      <x:c r="Y413" s="84"/>
      <x:c r="Z413" s="84"/>
    </x:row>
    <x:row r="414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4"/>
      <x:c r="K414" s="84"/>
      <x:c r="L414" s="84"/>
      <x:c r="M414" s="84"/>
      <x:c r="N414" s="84"/>
      <x:c r="O414" s="84"/>
      <x:c r="P414" s="84"/>
      <x:c r="Q414" s="84"/>
      <x:c r="R414" s="84"/>
      <x:c r="S414" s="84"/>
      <x:c r="T414" s="84"/>
      <x:c r="U414" s="84"/>
      <x:c r="V414" s="84"/>
      <x:c r="W414" s="84"/>
      <x:c r="X414" s="84"/>
      <x:c r="Y414" s="84"/>
      <x:c r="Z414" s="84"/>
    </x:row>
    <x:row r="415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4"/>
      <x:c r="K415" s="84"/>
      <x:c r="L415" s="84"/>
      <x:c r="M415" s="84"/>
      <x:c r="N415" s="84"/>
      <x:c r="O415" s="84"/>
      <x:c r="P415" s="84"/>
      <x:c r="Q415" s="84"/>
      <x:c r="R415" s="84"/>
      <x:c r="S415" s="84"/>
      <x:c r="T415" s="84"/>
      <x:c r="U415" s="84"/>
      <x:c r="V415" s="84"/>
      <x:c r="W415" s="84"/>
      <x:c r="X415" s="84"/>
      <x:c r="Y415" s="84"/>
      <x:c r="Z415" s="84"/>
    </x:row>
    <x:row r="416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4"/>
      <x:c r="K416" s="84"/>
      <x:c r="L416" s="84"/>
      <x:c r="M416" s="84"/>
      <x:c r="N416" s="84"/>
      <x:c r="O416" s="84"/>
      <x:c r="P416" s="84"/>
      <x:c r="Q416" s="84"/>
      <x:c r="R416" s="84"/>
      <x:c r="S416" s="84"/>
      <x:c r="T416" s="84"/>
      <x:c r="U416" s="84"/>
      <x:c r="V416" s="84"/>
      <x:c r="W416" s="84"/>
      <x:c r="X416" s="84"/>
      <x:c r="Y416" s="84"/>
      <x:c r="Z416" s="84"/>
    </x:row>
    <x:row r="417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4"/>
      <x:c r="K417" s="84"/>
      <x:c r="L417" s="84"/>
      <x:c r="M417" s="84"/>
      <x:c r="N417" s="84"/>
      <x:c r="O417" s="84"/>
      <x:c r="P417" s="84"/>
      <x:c r="Q417" s="84"/>
      <x:c r="R417" s="84"/>
      <x:c r="S417" s="84"/>
      <x:c r="T417" s="84"/>
      <x:c r="U417" s="84"/>
      <x:c r="V417" s="84"/>
      <x:c r="W417" s="84"/>
      <x:c r="X417" s="84"/>
      <x:c r="Y417" s="84"/>
      <x:c r="Z417" s="84"/>
    </x:row>
    <x:row r="418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4"/>
      <x:c r="K418" s="84"/>
      <x:c r="L418" s="84"/>
      <x:c r="M418" s="84"/>
      <x:c r="N418" s="84"/>
      <x:c r="O418" s="84"/>
      <x:c r="P418" s="84"/>
      <x:c r="Q418" s="84"/>
      <x:c r="R418" s="84"/>
      <x:c r="S418" s="84"/>
      <x:c r="T418" s="84"/>
      <x:c r="U418" s="84"/>
      <x:c r="V418" s="84"/>
      <x:c r="W418" s="84"/>
      <x:c r="X418" s="84"/>
      <x:c r="Y418" s="84"/>
      <x:c r="Z418" s="84"/>
    </x:row>
    <x:row r="419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4"/>
      <x:c r="K419" s="84"/>
      <x:c r="L419" s="84"/>
      <x:c r="M419" s="84"/>
      <x:c r="N419" s="84"/>
      <x:c r="O419" s="84"/>
      <x:c r="P419" s="84"/>
      <x:c r="Q419" s="84"/>
      <x:c r="R419" s="84"/>
      <x:c r="S419" s="84"/>
      <x:c r="T419" s="84"/>
      <x:c r="U419" s="84"/>
      <x:c r="V419" s="84"/>
      <x:c r="W419" s="84"/>
      <x:c r="X419" s="84"/>
      <x:c r="Y419" s="84"/>
      <x:c r="Z419" s="84"/>
    </x:row>
    <x:row r="420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4"/>
      <x:c r="K420" s="84"/>
      <x:c r="L420" s="84"/>
      <x:c r="M420" s="84"/>
      <x:c r="N420" s="84"/>
      <x:c r="O420" s="84"/>
      <x:c r="P420" s="84"/>
      <x:c r="Q420" s="84"/>
      <x:c r="R420" s="84"/>
      <x:c r="S420" s="84"/>
      <x:c r="T420" s="84"/>
      <x:c r="U420" s="84"/>
      <x:c r="V420" s="84"/>
      <x:c r="W420" s="84"/>
      <x:c r="X420" s="84"/>
      <x:c r="Y420" s="84"/>
      <x:c r="Z420" s="84"/>
    </x:row>
    <x:row r="42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4"/>
      <x:c r="K421" s="84"/>
      <x:c r="L421" s="84"/>
      <x:c r="M421" s="84"/>
      <x:c r="N421" s="84"/>
      <x:c r="O421" s="84"/>
      <x:c r="P421" s="84"/>
      <x:c r="Q421" s="84"/>
      <x:c r="R421" s="84"/>
      <x:c r="S421" s="84"/>
      <x:c r="T421" s="84"/>
      <x:c r="U421" s="84"/>
      <x:c r="V421" s="84"/>
      <x:c r="W421" s="84"/>
      <x:c r="X421" s="84"/>
      <x:c r="Y421" s="84"/>
      <x:c r="Z421" s="84"/>
    </x:row>
    <x:row r="422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4"/>
      <x:c r="K422" s="84"/>
      <x:c r="L422" s="84"/>
      <x:c r="M422" s="84"/>
      <x:c r="N422" s="84"/>
      <x:c r="O422" s="84"/>
      <x:c r="P422" s="84"/>
      <x:c r="Q422" s="84"/>
      <x:c r="R422" s="84"/>
      <x:c r="S422" s="84"/>
      <x:c r="T422" s="84"/>
      <x:c r="U422" s="84"/>
      <x:c r="V422" s="84"/>
      <x:c r="W422" s="84"/>
      <x:c r="X422" s="84"/>
      <x:c r="Y422" s="84"/>
      <x:c r="Z422" s="84"/>
    </x:row>
    <x:row r="423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4"/>
      <x:c r="K423" s="84"/>
      <x:c r="L423" s="84"/>
      <x:c r="M423" s="84"/>
      <x:c r="N423" s="84"/>
      <x:c r="O423" s="84"/>
      <x:c r="P423" s="84"/>
      <x:c r="Q423" s="84"/>
      <x:c r="R423" s="84"/>
      <x:c r="S423" s="84"/>
      <x:c r="T423" s="84"/>
      <x:c r="U423" s="84"/>
      <x:c r="V423" s="84"/>
      <x:c r="W423" s="84"/>
      <x:c r="X423" s="84"/>
      <x:c r="Y423" s="84"/>
      <x:c r="Z423" s="84"/>
    </x:row>
    <x:row r="424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4"/>
      <x:c r="K424" s="84"/>
      <x:c r="L424" s="84"/>
      <x:c r="M424" s="84"/>
      <x:c r="N424" s="84"/>
      <x:c r="O424" s="84"/>
      <x:c r="P424" s="84"/>
      <x:c r="Q424" s="84"/>
      <x:c r="R424" s="84"/>
      <x:c r="S424" s="84"/>
      <x:c r="T424" s="84"/>
      <x:c r="U424" s="84"/>
      <x:c r="V424" s="84"/>
      <x:c r="W424" s="84"/>
      <x:c r="X424" s="84"/>
      <x:c r="Y424" s="84"/>
      <x:c r="Z424" s="84"/>
    </x:row>
    <x:row r="425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4"/>
      <x:c r="K425" s="84"/>
      <x:c r="L425" s="84"/>
      <x:c r="M425" s="84"/>
      <x:c r="N425" s="84"/>
      <x:c r="O425" s="84"/>
      <x:c r="P425" s="84"/>
      <x:c r="Q425" s="84"/>
      <x:c r="R425" s="84"/>
      <x:c r="S425" s="84"/>
      <x:c r="T425" s="84"/>
      <x:c r="U425" s="84"/>
      <x:c r="V425" s="84"/>
      <x:c r="W425" s="84"/>
      <x:c r="X425" s="84"/>
      <x:c r="Y425" s="84"/>
      <x:c r="Z425" s="84"/>
    </x:row>
    <x:row r="426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4"/>
      <x:c r="K426" s="84"/>
      <x:c r="L426" s="84"/>
      <x:c r="M426" s="84"/>
      <x:c r="N426" s="84"/>
      <x:c r="O426" s="84"/>
      <x:c r="P426" s="84"/>
      <x:c r="Q426" s="84"/>
      <x:c r="R426" s="84"/>
      <x:c r="S426" s="84"/>
      <x:c r="T426" s="84"/>
      <x:c r="U426" s="84"/>
      <x:c r="V426" s="84"/>
      <x:c r="W426" s="84"/>
      <x:c r="X426" s="84"/>
      <x:c r="Y426" s="84"/>
      <x:c r="Z426" s="84"/>
    </x:row>
    <x:row r="427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4"/>
      <x:c r="K427" s="84"/>
      <x:c r="L427" s="84"/>
      <x:c r="M427" s="84"/>
      <x:c r="N427" s="84"/>
      <x:c r="O427" s="84"/>
      <x:c r="P427" s="84"/>
      <x:c r="Q427" s="84"/>
      <x:c r="R427" s="84"/>
      <x:c r="S427" s="84"/>
      <x:c r="T427" s="84"/>
      <x:c r="U427" s="84"/>
      <x:c r="V427" s="84"/>
      <x:c r="W427" s="84"/>
      <x:c r="X427" s="84"/>
      <x:c r="Y427" s="84"/>
      <x:c r="Z427" s="84"/>
    </x:row>
    <x:row r="428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4"/>
      <x:c r="K428" s="84"/>
      <x:c r="L428" s="84"/>
      <x:c r="M428" s="84"/>
      <x:c r="N428" s="84"/>
      <x:c r="O428" s="84"/>
      <x:c r="P428" s="84"/>
      <x:c r="Q428" s="84"/>
      <x:c r="R428" s="84"/>
      <x:c r="S428" s="84"/>
      <x:c r="T428" s="84"/>
      <x:c r="U428" s="84"/>
      <x:c r="V428" s="84"/>
      <x:c r="W428" s="84"/>
      <x:c r="X428" s="84"/>
      <x:c r="Y428" s="84"/>
      <x:c r="Z428" s="84"/>
    </x:row>
    <x:row r="429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4"/>
      <x:c r="K429" s="84"/>
      <x:c r="L429" s="84"/>
      <x:c r="M429" s="84"/>
      <x:c r="N429" s="84"/>
      <x:c r="O429" s="84"/>
      <x:c r="P429" s="84"/>
      <x:c r="Q429" s="84"/>
      <x:c r="R429" s="84"/>
      <x:c r="S429" s="84"/>
      <x:c r="T429" s="84"/>
      <x:c r="U429" s="84"/>
      <x:c r="V429" s="84"/>
      <x:c r="W429" s="84"/>
      <x:c r="X429" s="84"/>
      <x:c r="Y429" s="84"/>
      <x:c r="Z429" s="84"/>
    </x:row>
    <x:row r="430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4"/>
      <x:c r="K430" s="84"/>
      <x:c r="L430" s="84"/>
      <x:c r="M430" s="84"/>
      <x:c r="N430" s="84"/>
      <x:c r="O430" s="84"/>
      <x:c r="P430" s="84"/>
      <x:c r="Q430" s="84"/>
      <x:c r="R430" s="84"/>
      <x:c r="S430" s="84"/>
      <x:c r="T430" s="84"/>
      <x:c r="U430" s="84"/>
      <x:c r="V430" s="84"/>
      <x:c r="W430" s="84"/>
      <x:c r="X430" s="84"/>
      <x:c r="Y430" s="84"/>
      <x:c r="Z430" s="84"/>
    </x:row>
    <x:row r="43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4"/>
      <x:c r="K431" s="84"/>
      <x:c r="L431" s="84"/>
      <x:c r="M431" s="84"/>
      <x:c r="N431" s="84"/>
      <x:c r="O431" s="84"/>
      <x:c r="P431" s="84"/>
      <x:c r="Q431" s="84"/>
      <x:c r="R431" s="84"/>
      <x:c r="S431" s="84"/>
      <x:c r="T431" s="84"/>
      <x:c r="U431" s="84"/>
      <x:c r="V431" s="84"/>
      <x:c r="W431" s="84"/>
      <x:c r="X431" s="84"/>
      <x:c r="Y431" s="84"/>
      <x:c r="Z431" s="84"/>
    </x:row>
    <x:row r="432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4"/>
      <x:c r="K432" s="84"/>
      <x:c r="L432" s="84"/>
      <x:c r="M432" s="84"/>
      <x:c r="N432" s="84"/>
      <x:c r="O432" s="84"/>
      <x:c r="P432" s="84"/>
      <x:c r="Q432" s="84"/>
      <x:c r="R432" s="84"/>
      <x:c r="S432" s="84"/>
      <x:c r="T432" s="84"/>
      <x:c r="U432" s="84"/>
      <x:c r="V432" s="84"/>
      <x:c r="W432" s="84"/>
      <x:c r="X432" s="84"/>
      <x:c r="Y432" s="84"/>
      <x:c r="Z432" s="84"/>
    </x:row>
    <x:row r="433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4"/>
      <x:c r="K433" s="84"/>
      <x:c r="L433" s="84"/>
      <x:c r="M433" s="84"/>
      <x:c r="N433" s="84"/>
      <x:c r="O433" s="84"/>
      <x:c r="P433" s="84"/>
      <x:c r="Q433" s="84"/>
      <x:c r="R433" s="84"/>
      <x:c r="S433" s="84"/>
      <x:c r="T433" s="84"/>
      <x:c r="U433" s="84"/>
      <x:c r="V433" s="84"/>
      <x:c r="W433" s="84"/>
      <x:c r="X433" s="84"/>
      <x:c r="Y433" s="84"/>
      <x:c r="Z433" s="84"/>
    </x:row>
    <x:row r="434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4"/>
      <x:c r="K434" s="84"/>
      <x:c r="L434" s="84"/>
      <x:c r="M434" s="84"/>
      <x:c r="N434" s="84"/>
      <x:c r="O434" s="84"/>
      <x:c r="P434" s="84"/>
      <x:c r="Q434" s="84"/>
      <x:c r="R434" s="84"/>
      <x:c r="S434" s="84"/>
      <x:c r="T434" s="84"/>
      <x:c r="U434" s="84"/>
      <x:c r="V434" s="84"/>
      <x:c r="W434" s="84"/>
      <x:c r="X434" s="84"/>
      <x:c r="Y434" s="84"/>
      <x:c r="Z434" s="84"/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USINAGEM 1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USINAGEM 1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26809</x:v>
      </x:c>
      <x:c r="C5" s="218" t="str">
        <x:v>8</x:v>
      </x:c>
      <x:c r="D5" s="218" t="str">
        <x:v>609946</x:v>
      </x:c>
      <x:c r="E5" s="218" t="str">
        <x:v>3050800095</x:v>
      </x:c>
      <x:c r="F5" s="218" t="str">
        <x:v>PORTA</x:v>
      </x:c>
      <x:c r="G5" s="184" t="str">
        <x:v>FO P COR EST HDF 6 IMP CAP M 2100X1200X3</x:v>
      </x:c>
      <x:c r="H5" s="184" t="str">
        <x:v>LISA</x:v>
      </x:c>
      <x:c r="I5" s="184" t="str"/>
      <x:c r="J5" s="184" t="str"/>
      <x:c r="K5" s="184" t="str">
        <x:v>IMPRESSO</x:v>
      </x:c>
      <x:c r="L5" s="184" t="str">
        <x:v>CAPUCCINO MARCHE</x:v>
      </x:c>
      <x:c r="M5" s="205" t="n">
        <x:v>1</x:v>
      </x:c>
      <x:c r="N5" s="205" t="n">
        <x:v>2100</x:v>
      </x:c>
      <x:c r="O5" s="205" t="n">
        <x:v>1200</x:v>
      </x:c>
      <x:c r="P5" s="205" t="n">
        <x:v>3</x:v>
      </x:c>
      <x:c r="Q5" s="206" t="n">
        <x:v>0.088</x:v>
      </x:c>
      <x:c r="R5" s="207" t="str"/>
      <x:c r="S5" s="207" t="str"/>
      <x:c r="T5" s="207" t="str"/>
      <x:c r="U5" s="207" t="n">
        <x:v>0.5</x:v>
      </x:c>
      <x:c r="V5" s="208" t="n">
        <x:f>MAX(0,M5-U5)</x:f>
        <x:v>0.5</x:v>
      </x:c>
      <x:c r="W5" s="209" t="n">
        <x:f>IFERROR(U5/M5,0)</x:f>
        <x:v>0.5</x:v>
      </x:c>
      <x:c r="X5" s="201" t="str">
        <x:f>IF(U5=0,"Não iniciado",IF(U5&gt;=M5,"Concluído","Parcial"))</x:f>
        <x:v>Parcial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26739</x:v>
      </x:c>
      <x:c r="C6" s="220" t="str">
        <x:v>1</x:v>
      </x:c>
      <x:c r="D6" s="220" t="str">
        <x:v>609626</x:v>
      </x:c>
      <x:c r="E6" s="220" t="str">
        <x:v>3220800010</x:v>
      </x:c>
      <x:c r="F6" s="220" t="str">
        <x:v>OUTROS</x:v>
      </x:c>
      <x:c r="G6" s="190" t="str">
        <x:v>F P P EST HDF 6 2100X1000X35 SU PR BCO C</x:v>
      </x:c>
      <x:c r="H6" s="190" t="str"/>
      <x:c r="I6" s="190" t="str"/>
      <x:c r="J6" s="190" t="str"/>
      <x:c r="K6" s="190" t="str">
        <x:v>DUPLO LASER</x:v>
      </x:c>
      <x:c r="L6" s="190" t="str">
        <x:v>BRANCO</x:v>
      </x:c>
      <x:c r="M6" s="210" t="n">
        <x:v>16</x:v>
      </x:c>
      <x:c r="N6" s="210" t="n">
        <x:v>2100</x:v>
      </x:c>
      <x:c r="O6" s="210" t="n">
        <x:v>1000</x:v>
      </x:c>
      <x:c r="P6" s="210" t="n">
        <x:v>35</x:v>
      </x:c>
      <x:c r="Q6" s="211" t="n">
        <x:v>1.176</x:v>
      </x:c>
      <x:c r="R6" s="207" t="str"/>
      <x:c r="S6" s="207" t="str"/>
      <x:c r="T6" s="207" t="str"/>
      <x:c r="U6" s="207" t="n">
        <x:v>0</x:v>
      </x:c>
      <x:c r="V6" s="208" t="n">
        <x:f>MAX(0,M6-U6)</x:f>
        <x:v>16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26750</x:v>
      </x:c>
      <x:c r="C7" s="218" t="str">
        <x:v>1</x:v>
      </x:c>
      <x:c r="D7" s="218" t="str">
        <x:v>609786</x:v>
      </x:c>
      <x:c r="E7" s="218" t="str">
        <x:v>3220800010</x:v>
      </x:c>
      <x:c r="F7" s="218" t="str">
        <x:v>OUTROS</x:v>
      </x:c>
      <x:c r="G7" s="184" t="str">
        <x:v>F P P EST HDF 6 2100X1000X35 SU PR BCO C</x:v>
      </x:c>
      <x:c r="H7" s="184" t="str"/>
      <x:c r="I7" s="184" t="str"/>
      <x:c r="J7" s="184" t="str"/>
      <x:c r="K7" s="184" t="str">
        <x:v>DUPLO LASER</x:v>
      </x:c>
      <x:c r="L7" s="184" t="str">
        <x:v>BRANCO</x:v>
      </x:c>
      <x:c r="M7" s="205" t="n">
        <x:v>11</x:v>
      </x:c>
      <x:c r="N7" s="205" t="n">
        <x:v>2100</x:v>
      </x:c>
      <x:c r="O7" s="205" t="n">
        <x:v>1000</x:v>
      </x:c>
      <x:c r="P7" s="205" t="n">
        <x:v>35</x:v>
      </x:c>
      <x:c r="Q7" s="206" t="n">
        <x:v>0.809</x:v>
      </x:c>
      <x:c r="R7" s="207" t="str"/>
      <x:c r="S7" s="207" t="str"/>
      <x:c r="T7" s="207" t="str"/>
      <x:c r="U7" s="207" t="n">
        <x:v>0</x:v>
      </x:c>
      <x:c r="V7" s="208" t="n">
        <x:f>MAX(0,M7-U7)</x:f>
        <x:v>11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26808</x:v>
      </x:c>
      <x:c r="C8" s="220" t="str">
        <x:v>11</x:v>
      </x:c>
      <x:c r="D8" s="220" t="str">
        <x:v>608982</x:v>
      </x:c>
      <x:c r="E8" s="220" t="str">
        <x:v>4510012080</x:v>
      </x:c>
      <x:c r="F8" s="220" t="str">
        <x:v>PORTA</x:v>
      </x:c>
      <x:c r="G8" s="190" t="str">
        <x:v>FO POR EST HDF 6 2100X1000X35 ESM BCO CA</x:v>
      </x:c>
      <x:c r="H8" s="190" t="str"/>
      <x:c r="I8" s="190" t="str"/>
      <x:c r="J8" s="190" t="str"/>
      <x:c r="K8" s="190" t="str">
        <x:v>ESMALTE</x:v>
      </x:c>
      <x:c r="L8" s="190" t="str">
        <x:v>BRANCO CARRARA</x:v>
      </x:c>
      <x:c r="M8" s="210" t="n">
        <x:v>1</x:v>
      </x:c>
      <x:c r="N8" s="210" t="n">
        <x:v>2100</x:v>
      </x:c>
      <x:c r="O8" s="210" t="n">
        <x:v>1000</x:v>
      </x:c>
      <x:c r="P8" s="210" t="n">
        <x:v>35</x:v>
      </x:c>
      <x:c r="Q8" s="211" t="n">
        <x:v>0.074</x:v>
      </x:c>
      <x:c r="R8" s="207" t="str"/>
      <x:c r="S8" s="207" t="str"/>
      <x:c r="T8" s="207" t="str"/>
      <x:c r="U8" s="207" t="n">
        <x:v>1</x:v>
      </x:c>
      <x:c r="V8" s="208" t="n">
        <x:f>MAX(0,M8-U8)</x:f>
        <x:v>0</x:v>
      </x:c>
      <x:c r="W8" s="209" t="n">
        <x:f>IFERROR(U8/M8,0)</x:f>
        <x:v>1</x:v>
      </x:c>
      <x:c r="X8" s="201" t="str">
        <x:f>IF(U8=0,"Não iniciado",IF(U8&gt;=M8,"Concluído","Parcial"))</x:f>
        <x:v>Concluído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26747</x:v>
      </x:c>
      <x:c r="C9" s="218" t="str">
        <x:v>9</x:v>
      </x:c>
      <x:c r="D9" s="218" t="str">
        <x:v>609017</x:v>
      </x:c>
      <x:c r="E9" s="218" t="str">
        <x:v>5110012094</x:v>
      </x:c>
      <x:c r="F9" s="218" t="str">
        <x:v>PORTA</x:v>
      </x:c>
      <x:c r="G9" s="184" t="str">
        <x:v>FO P COR S GD HDF 3 2100X900X35 ESM BCO</x:v>
      </x:c>
      <x:c r="H9" s="184" t="str">
        <x:v>LISA</x:v>
      </x:c>
      <x:c r="I9" s="184" t="str"/>
      <x:c r="J9" s="184" t="str"/>
      <x:c r="K9" s="184" t="str">
        <x:v>ESMALTE</x:v>
      </x:c>
      <x:c r="L9" s="184" t="str">
        <x:v>BRANCO CARRARA</x:v>
      </x:c>
      <x:c r="M9" s="205" t="n">
        <x:v>1</x:v>
      </x:c>
      <x:c r="N9" s="205" t="n">
        <x:v>2100</x:v>
      </x:c>
      <x:c r="O9" s="205" t="n">
        <x:v>900</x:v>
      </x:c>
      <x:c r="P9" s="205" t="n">
        <x:v>35</x:v>
      </x:c>
      <x:c r="Q9" s="206" t="n">
        <x:v>0.066</x:v>
      </x:c>
      <x:c r="R9" s="207" t="str"/>
      <x:c r="S9" s="207" t="str"/>
      <x:c r="T9" s="207" t="str"/>
      <x:c r="U9" s="207" t="n">
        <x:v>0.67</x:v>
      </x:c>
      <x:c r="V9" s="208" t="n">
        <x:f>MAX(0,M9-U9)</x:f>
        <x:v>0.32999999999999996</x:v>
      </x:c>
      <x:c r="W9" s="209" t="n">
        <x:f>IFERROR(U9/M9,0)</x:f>
        <x:v>0.67</x:v>
      </x:c>
      <x:c r="X9" s="201" t="str">
        <x:f>IF(U9=0,"Não iniciado",IF(U9&gt;=M9,"Concluído","Parcial"))</x:f>
        <x:v>Parcial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26792</x:v>
      </x:c>
      <x:c r="C10" s="220" t="str">
        <x:v>5</x:v>
      </x:c>
      <x:c r="D10" s="220" t="str">
        <x:v>609460</x:v>
      </x:c>
      <x:c r="E10" s="220" t="str">
        <x:v>3041400419</x:v>
      </x:c>
      <x:c r="F10" s="220" t="str">
        <x:v>PORTA</x:v>
      </x:c>
      <x:c r="G10" s="190" t="str">
        <x:v>FO POR SMT HDF 3 S GD RU 2100X900X35 ESM</x:v>
      </x:c>
      <x:c r="H10" s="190" t="str"/>
      <x:c r="I10" s="190" t="str"/>
      <x:c r="J10" s="190" t="str"/>
      <x:c r="K10" s="190" t="str">
        <x:v>ESMALTE</x:v>
      </x:c>
      <x:c r="L10" s="190" t="str">
        <x:v>BRANCO CARRARA</x:v>
      </x:c>
      <x:c r="M10" s="210" t="n">
        <x:v>54</x:v>
      </x:c>
      <x:c r="N10" s="210" t="n">
        <x:v>2100</x:v>
      </x:c>
      <x:c r="O10" s="210" t="n">
        <x:v>900</x:v>
      </x:c>
      <x:c r="P10" s="210" t="n">
        <x:v>35</x:v>
      </x:c>
      <x:c r="Q10" s="211" t="n">
        <x:v>3.572</x:v>
      </x:c>
      <x:c r="R10" s="207" t="str"/>
      <x:c r="S10" s="207" t="str"/>
      <x:c r="T10" s="207" t="str"/>
      <x:c r="U10" s="207" t="n">
        <x:v>36</x:v>
      </x:c>
      <x:c r="V10" s="208" t="n">
        <x:f>MAX(0,M10-U10)</x:f>
        <x:v>18</x:v>
      </x:c>
      <x:c r="W10" s="209" t="n">
        <x:f>IFERROR(U10/M10,0)</x:f>
        <x:v>0.6666666666666666</x:v>
      </x:c>
      <x:c r="X10" s="201" t="str">
        <x:f>IF(U10=0,"Não iniciado",IF(U10&gt;=M10,"Concluído","Parcial"))</x:f>
        <x:v>Parcial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26792</x:v>
      </x:c>
      <x:c r="C11" s="218" t="str">
        <x:v>6</x:v>
      </x:c>
      <x:c r="D11" s="218" t="str">
        <x:v>609477</x:v>
      </x:c>
      <x:c r="E11" s="218" t="str">
        <x:v>3041400419</x:v>
      </x:c>
      <x:c r="F11" s="218" t="str">
        <x:v>PORTA</x:v>
      </x:c>
      <x:c r="G11" s="184" t="str">
        <x:v>FO POR SMT HDF 3 S GD RU 2100X900X35 ESM</x:v>
      </x:c>
      <x:c r="H11" s="184" t="str"/>
      <x:c r="I11" s="184" t="str"/>
      <x:c r="J11" s="184" t="str"/>
      <x:c r="K11" s="184" t="str">
        <x:v>ESMALTE</x:v>
      </x:c>
      <x:c r="L11" s="184" t="str">
        <x:v>BRANCO CARRARA</x:v>
      </x:c>
      <x:c r="M11" s="205" t="n">
        <x:v>10</x:v>
      </x:c>
      <x:c r="N11" s="205" t="n">
        <x:v>2100</x:v>
      </x:c>
      <x:c r="O11" s="205" t="n">
        <x:v>900</x:v>
      </x:c>
      <x:c r="P11" s="205" t="n">
        <x:v>35</x:v>
      </x:c>
      <x:c r="Q11" s="206" t="n">
        <x:v>0.662</x:v>
      </x:c>
      <x:c r="R11" s="207" t="str"/>
      <x:c r="S11" s="207" t="str"/>
      <x:c r="T11" s="207" t="str"/>
      <x:c r="U11" s="207" t="n">
        <x:v>6.67</x:v>
      </x:c>
      <x:c r="V11" s="208" t="n">
        <x:f>MAX(0,M11-U11)</x:f>
        <x:v>3.33</x:v>
      </x:c>
      <x:c r="W11" s="209" t="n">
        <x:f>IFERROR(U11/M11,0)</x:f>
        <x:v>0.667</x:v>
      </x:c>
      <x:c r="X11" s="201" t="str">
        <x:f>IF(U11=0,"Não iniciado",IF(U11&gt;=M11,"Concluído","Parcial"))</x:f>
        <x:v>Parcial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26815</x:v>
      </x:c>
      <x:c r="C12" s="220" t="str">
        <x:v>5</x:v>
      </x:c>
      <x:c r="D12" s="220" t="str">
        <x:v>609538</x:v>
      </x:c>
      <x:c r="E12" s="220" t="str">
        <x:v>3041400419</x:v>
      </x:c>
      <x:c r="F12" s="220" t="str">
        <x:v>PORTA</x:v>
      </x:c>
      <x:c r="G12" s="190" t="str">
        <x:v>FO POR SMT HDF 3 S GD RU 2100X900X35 ESM</x:v>
      </x:c>
      <x:c r="H12" s="190" t="str"/>
      <x:c r="I12" s="190" t="str"/>
      <x:c r="J12" s="190" t="str"/>
      <x:c r="K12" s="190" t="str">
        <x:v>ESMALTE</x:v>
      </x:c>
      <x:c r="L12" s="190" t="str">
        <x:v>BRANCO CARRARA</x:v>
      </x:c>
      <x:c r="M12" s="210" t="n">
        <x:v>8</x:v>
      </x:c>
      <x:c r="N12" s="210" t="n">
        <x:v>2100</x:v>
      </x:c>
      <x:c r="O12" s="210" t="n">
        <x:v>900</x:v>
      </x:c>
      <x:c r="P12" s="210" t="n">
        <x:v>35</x:v>
      </x:c>
      <x:c r="Q12" s="211" t="n">
        <x:v>0.529</x:v>
      </x:c>
      <x:c r="R12" s="207" t="str"/>
      <x:c r="S12" s="207" t="str"/>
      <x:c r="T12" s="207" t="str"/>
      <x:c r="U12" s="207" t="n">
        <x:v>5.33</x:v>
      </x:c>
      <x:c r="V12" s="208" t="n">
        <x:f>MAX(0,M12-U12)</x:f>
        <x:v>2.67</x:v>
      </x:c>
      <x:c r="W12" s="209" t="n">
        <x:f>IFERROR(U12/M12,0)</x:f>
        <x:v>0.66625</x:v>
      </x:c>
      <x:c r="X12" s="201" t="str">
        <x:f>IF(U12=0,"Não iniciado",IF(U12&gt;=M12,"Concluído","Parcial"))</x:f>
        <x:v>Parcial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26815</x:v>
      </x:c>
      <x:c r="C13" s="218" t="str">
        <x:v>6</x:v>
      </x:c>
      <x:c r="D13" s="218" t="str">
        <x:v>609555</x:v>
      </x:c>
      <x:c r="E13" s="218" t="str">
        <x:v>3041400419</x:v>
      </x:c>
      <x:c r="F13" s="218" t="str">
        <x:v>PORTA</x:v>
      </x:c>
      <x:c r="G13" s="184" t="str">
        <x:v>FO POR SMT HDF 3 S GD RU 2100X900X35 ESM</x:v>
      </x:c>
      <x:c r="H13" s="184" t="str"/>
      <x:c r="I13" s="184" t="str"/>
      <x:c r="J13" s="184" t="str"/>
      <x:c r="K13" s="184" t="str">
        <x:v>ESMALTE</x:v>
      </x:c>
      <x:c r="L13" s="184" t="str">
        <x:v>BRANCO CARRARA</x:v>
      </x:c>
      <x:c r="M13" s="205" t="n">
        <x:v>27</x:v>
      </x:c>
      <x:c r="N13" s="205" t="n">
        <x:v>2100</x:v>
      </x:c>
      <x:c r="O13" s="205" t="n">
        <x:v>900</x:v>
      </x:c>
      <x:c r="P13" s="205" t="n">
        <x:v>35</x:v>
      </x:c>
      <x:c r="Q13" s="206" t="n">
        <x:v>1.786</x:v>
      </x:c>
      <x:c r="R13" s="207" t="str"/>
      <x:c r="S13" s="207" t="str"/>
      <x:c r="T13" s="207" t="str"/>
      <x:c r="U13" s="207" t="n">
        <x:v>18</x:v>
      </x:c>
      <x:c r="V13" s="208" t="n">
        <x:f>MAX(0,M13-U13)</x:f>
        <x:v>9</x:v>
      </x:c>
      <x:c r="W13" s="209" t="n">
        <x:f>IFERROR(U13/M13,0)</x:f>
        <x:v>0.6666666666666666</x:v>
      </x:c>
      <x:c r="X13" s="201" t="str">
        <x:f>IF(U13=0,"Não iniciado",IF(U13&gt;=M13,"Concluído","Parcial"))</x:f>
        <x:v>Parcial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26815</x:v>
      </x:c>
      <x:c r="C14" s="220" t="str">
        <x:v>7</x:v>
      </x:c>
      <x:c r="D14" s="220" t="str">
        <x:v>609572</x:v>
      </x:c>
      <x:c r="E14" s="220" t="str">
        <x:v>3041400419</x:v>
      </x:c>
      <x:c r="F14" s="220" t="str">
        <x:v>PORTA</x:v>
      </x:c>
      <x:c r="G14" s="190" t="str">
        <x:v>FO POR SMT HDF 3 S GD RU 2100X900X35 ESM</x:v>
      </x:c>
      <x:c r="H14" s="190" t="str"/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5</x:v>
      </x:c>
      <x:c r="N14" s="210" t="n">
        <x:v>2100</x:v>
      </x:c>
      <x:c r="O14" s="210" t="n">
        <x:v>900</x:v>
      </x:c>
      <x:c r="P14" s="210" t="n">
        <x:v>35</x:v>
      </x:c>
      <x:c r="Q14" s="211" t="n">
        <x:v>0.331</x:v>
      </x:c>
      <x:c r="R14" s="207" t="str"/>
      <x:c r="S14" s="207" t="str"/>
      <x:c r="T14" s="207" t="str"/>
      <x:c r="U14" s="207" t="n">
        <x:v>3.33</x:v>
      </x:c>
      <x:c r="V14" s="208" t="n">
        <x:f>MAX(0,M14-U14)</x:f>
        <x:v>1.67</x:v>
      </x:c>
      <x:c r="W14" s="209" t="n">
        <x:f>IFERROR(U14/M14,0)</x:f>
        <x:v>0.666</x:v>
      </x:c>
      <x:c r="X14" s="201" t="str">
        <x:f>IF(U14=0,"Não iniciado",IF(U14&gt;=M14,"Concluído","Parcial"))</x:f>
        <x:v>Parcial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26684</x:v>
      </x:c>
      <x:c r="C15" s="218" t="str">
        <x:v>1</x:v>
      </x:c>
      <x:c r="D15" s="218" t="str">
        <x:v>609116</x:v>
      </x:c>
      <x:c r="E15" s="218" t="str">
        <x:v>4993012047</x:v>
      </x:c>
      <x:c r="F15" s="218" t="str">
        <x:v>OUTROS</x:v>
      </x:c>
      <x:c r="G15" s="184" t="str">
        <x:v>FP S BD HDF 3 2100x820x35 ESM BCO C C/US</x:v>
      </x:c>
      <x:c r="H15" s="184" t="str"/>
      <x:c r="I15" s="184" t="str"/>
      <x:c r="J15" s="184" t="str"/>
      <x:c r="K15" s="184" t="str">
        <x:v>ESMALTE</x:v>
      </x:c>
      <x:c r="L15" s="184" t="str">
        <x:v>BRANCO CARRARA</x:v>
      </x:c>
      <x:c r="M15" s="205" t="n">
        <x:v>1</x:v>
      </x:c>
      <x:c r="N15" s="205" t="n">
        <x:v>2100</x:v>
      </x:c>
      <x:c r="O15" s="205" t="n">
        <x:v>820</x:v>
      </x:c>
      <x:c r="P15" s="205" t="n">
        <x:v>35</x:v>
      </x:c>
      <x:c r="Q15" s="206" t="n">
        <x:v>0.06</x:v>
      </x:c>
      <x:c r="R15" s="207" t="str"/>
      <x:c r="S15" s="207" t="str"/>
      <x:c r="T15" s="207" t="str"/>
      <x:c r="U15" s="207" t="n">
        <x:v>1</x:v>
      </x:c>
      <x:c r="V15" s="208" t="n">
        <x:f>MAX(0,M15-U15)</x:f>
        <x:v>0</x:v>
      </x:c>
      <x:c r="W15" s="209" t="n">
        <x:f>IFERROR(U15/M15,0)</x:f>
        <x:v>1</x:v>
      </x:c>
      <x:c r="X15" s="201" t="str">
        <x:f>IF(U15=0,"Não iniciado",IF(U15&gt;=M15,"Concluído","Parcial"))</x:f>
        <x:v>Concluído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26684</x:v>
      </x:c>
      <x:c r="C16" s="220" t="str">
        <x:v>2</x:v>
      </x:c>
      <x:c r="D16" s="220" t="str">
        <x:v>609124</x:v>
      </x:c>
      <x:c r="E16" s="220" t="str">
        <x:v>4993012047</x:v>
      </x:c>
      <x:c r="F16" s="220" t="str">
        <x:v>OUTROS</x:v>
      </x:c>
      <x:c r="G16" s="190" t="str">
        <x:v>FP S BD HDF 3 2100x820x35 ESM BCO C C/US</x:v>
      </x:c>
      <x:c r="H16" s="190" t="str"/>
      <x:c r="I16" s="190" t="str"/>
      <x:c r="J16" s="190" t="str"/>
      <x:c r="K16" s="190" t="str">
        <x:v>ESMALTE</x:v>
      </x:c>
      <x:c r="L16" s="190" t="str">
        <x:v>BRANCO CARRARA</x:v>
      </x:c>
      <x:c r="M16" s="210" t="n">
        <x:v>28</x:v>
      </x:c>
      <x:c r="N16" s="210" t="n">
        <x:v>2100</x:v>
      </x:c>
      <x:c r="O16" s="210" t="n">
        <x:v>820</x:v>
      </x:c>
      <x:c r="P16" s="210" t="n">
        <x:v>35</x:v>
      </x:c>
      <x:c r="Q16" s="211" t="n">
        <x:v>1.688</x:v>
      </x:c>
      <x:c r="R16" s="207" t="str"/>
      <x:c r="S16" s="207" t="str"/>
      <x:c r="T16" s="207" t="str"/>
      <x:c r="U16" s="207" t="n">
        <x:v>28</x:v>
      </x:c>
      <x:c r="V16" s="208" t="n">
        <x:f>MAX(0,M16-U16)</x:f>
        <x:v>0</x:v>
      </x:c>
      <x:c r="W16" s="209" t="n">
        <x:f>IFERROR(U16/M16,0)</x:f>
        <x:v>1</x:v>
      </x:c>
      <x:c r="X16" s="201" t="str">
        <x:f>IF(U16=0,"Não iniciado",IF(U16&gt;=M16,"Concluído","Parcial"))</x:f>
        <x:v>Concluído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26684</x:v>
      </x:c>
      <x:c r="C17" s="218" t="str">
        <x:v>3</x:v>
      </x:c>
      <x:c r="D17" s="218" t="str">
        <x:v>609132</x:v>
      </x:c>
      <x:c r="E17" s="218" t="str">
        <x:v>4993012047</x:v>
      </x:c>
      <x:c r="F17" s="218" t="str">
        <x:v>OUTROS</x:v>
      </x:c>
      <x:c r="G17" s="184" t="str">
        <x:v>FP S BD HDF 3 2100x820x35 ESM BCO C C/US</x:v>
      </x:c>
      <x:c r="H17" s="184" t="str"/>
      <x:c r="I17" s="184" t="str"/>
      <x:c r="J17" s="184" t="str"/>
      <x:c r="K17" s="184" t="str">
        <x:v>ESMALTE</x:v>
      </x:c>
      <x:c r="L17" s="184" t="str">
        <x:v>BRANCO CARRARA</x:v>
      </x:c>
      <x:c r="M17" s="205" t="n">
        <x:v>3</x:v>
      </x:c>
      <x:c r="N17" s="205" t="n">
        <x:v>2100</x:v>
      </x:c>
      <x:c r="O17" s="205" t="n">
        <x:v>820</x:v>
      </x:c>
      <x:c r="P17" s="205" t="n">
        <x:v>35</x:v>
      </x:c>
      <x:c r="Q17" s="206" t="n">
        <x:v>0.181</x:v>
      </x:c>
      <x:c r="R17" s="207" t="str"/>
      <x:c r="S17" s="207" t="str"/>
      <x:c r="T17" s="207" t="str"/>
      <x:c r="U17" s="207" t="n">
        <x:v>3</x:v>
      </x:c>
      <x:c r="V17" s="208" t="n">
        <x:f>MAX(0,M17-U17)</x:f>
        <x:v>0</x:v>
      </x:c>
      <x:c r="W17" s="209" t="n">
        <x:f>IFERROR(U17/M17,0)</x:f>
        <x:v>1</x:v>
      </x:c>
      <x:c r="X17" s="201" t="str">
        <x:f>IF(U17=0,"Não iniciado",IF(U17&gt;=M17,"Concluído","Parcial"))</x:f>
        <x:v>Concluído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26684</x:v>
      </x:c>
      <x:c r="C18" s="220" t="str">
        <x:v>4</x:v>
      </x:c>
      <x:c r="D18" s="220" t="str">
        <x:v>609140</x:v>
      </x:c>
      <x:c r="E18" s="220" t="str">
        <x:v>4731234381</x:v>
      </x:c>
      <x:c r="F18" s="220" t="str">
        <x:v>OUTROS</x:v>
      </x:c>
      <x:c r="G18" s="190" t="str">
        <x:v>FP COLM HDF 3 2100x820x35 ESM BCO C C/US</x:v>
      </x:c>
      <x:c r="H18" s="190" t="str"/>
      <x:c r="I18" s="190" t="str"/>
      <x:c r="J18" s="190" t="str"/>
      <x:c r="K18" s="190" t="str">
        <x:v>ESMALTE</x:v>
      </x:c>
      <x:c r="L18" s="190" t="str">
        <x:v>BRANCO CARRARA</x:v>
      </x:c>
      <x:c r="M18" s="210" t="n">
        <x:v>55</x:v>
      </x:c>
      <x:c r="N18" s="210" t="n">
        <x:v>2100</x:v>
      </x:c>
      <x:c r="O18" s="210" t="n">
        <x:v>820</x:v>
      </x:c>
      <x:c r="P18" s="210" t="n">
        <x:v>35</x:v>
      </x:c>
      <x:c r="Q18" s="211" t="n">
        <x:v>3.315</x:v>
      </x:c>
      <x:c r="R18" s="207" t="str"/>
      <x:c r="S18" s="207" t="str"/>
      <x:c r="T18" s="207" t="str"/>
      <x:c r="U18" s="207" t="n">
        <x:v>55</x:v>
      </x:c>
      <x:c r="V18" s="208" t="n">
        <x:f>MAX(0,M18-U18)</x:f>
        <x:v>0</x:v>
      </x:c>
      <x:c r="W18" s="209" t="n">
        <x:f>IFERROR(U18/M18,0)</x:f>
        <x:v>1</x:v>
      </x:c>
      <x:c r="X18" s="201" t="str">
        <x:f>IF(U18=0,"Não iniciado",IF(U18&gt;=M18,"Concluído","Parcial"))</x:f>
        <x:v>Concluído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26684</x:v>
      </x:c>
      <x:c r="C19" s="218" t="str">
        <x:v>5</x:v>
      </x:c>
      <x:c r="D19" s="218" t="str">
        <x:v>609148</x:v>
      </x:c>
      <x:c r="E19" s="218" t="str">
        <x:v>4731234381</x:v>
      </x:c>
      <x:c r="F19" s="218" t="str">
        <x:v>OUTROS</x:v>
      </x:c>
      <x:c r="G19" s="184" t="str">
        <x:v>FP COLM HDF 3 2100x820x35 ESM BCO C C/US</x:v>
      </x:c>
      <x:c r="H19" s="184" t="str"/>
      <x:c r="I19" s="184" t="str"/>
      <x:c r="J19" s="184" t="str"/>
      <x:c r="K19" s="184" t="str">
        <x:v>ESMALTE</x:v>
      </x:c>
      <x:c r="L19" s="184" t="str">
        <x:v>BRANCO CARRARA</x:v>
      </x:c>
      <x:c r="M19" s="205" t="n">
        <x:v>6</x:v>
      </x:c>
      <x:c r="N19" s="205" t="n">
        <x:v>2100</x:v>
      </x:c>
      <x:c r="O19" s="205" t="n">
        <x:v>820</x:v>
      </x:c>
      <x:c r="P19" s="205" t="n">
        <x:v>35</x:v>
      </x:c>
      <x:c r="Q19" s="206" t="n">
        <x:v>0.362</x:v>
      </x:c>
      <x:c r="R19" s="207" t="str"/>
      <x:c r="S19" s="207" t="str"/>
      <x:c r="T19" s="207" t="str"/>
      <x:c r="U19" s="207" t="n">
        <x:v>6</x:v>
      </x:c>
      <x:c r="V19" s="208" t="n">
        <x:f>MAX(0,M19-U19)</x:f>
        <x:v>0</x:v>
      </x:c>
      <x:c r="W19" s="209" t="n">
        <x:f>IFERROR(U19/M19,0)</x:f>
        <x:v>1</x:v>
      </x:c>
      <x:c r="X19" s="201" t="str">
        <x:f>IF(U19=0,"Não iniciado",IF(U19&gt;=M19,"Concluído","Parcial"))</x:f>
        <x:v>Concluído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26684</x:v>
      </x:c>
      <x:c r="C20" s="220" t="str">
        <x:v>6</x:v>
      </x:c>
      <x:c r="D20" s="220" t="str">
        <x:v>609156</x:v>
      </x:c>
      <x:c r="E20" s="220" t="str">
        <x:v>4731234381</x:v>
      </x:c>
      <x:c r="F20" s="220" t="str">
        <x:v>OUTROS</x:v>
      </x:c>
      <x:c r="G20" s="190" t="str">
        <x:v>FP COLM HDF 3 2100x820x35 ESM BCO C C/US</x:v>
      </x:c>
      <x:c r="H20" s="190" t="str"/>
      <x:c r="I20" s="190" t="str"/>
      <x:c r="J20" s="190" t="str"/>
      <x:c r="K20" s="190" t="str">
        <x:v>ESMALTE</x:v>
      </x:c>
      <x:c r="L20" s="190" t="str">
        <x:v>BRANCO CARRARA</x:v>
      </x:c>
      <x:c r="M20" s="210" t="n">
        <x:v>2</x:v>
      </x:c>
      <x:c r="N20" s="210" t="n">
        <x:v>2100</x:v>
      </x:c>
      <x:c r="O20" s="210" t="n">
        <x:v>820</x:v>
      </x:c>
      <x:c r="P20" s="210" t="n">
        <x:v>35</x:v>
      </x:c>
      <x:c r="Q20" s="211" t="n">
        <x:v>0.121</x:v>
      </x:c>
      <x:c r="R20" s="207" t="str"/>
      <x:c r="S20" s="207" t="str"/>
      <x:c r="T20" s="207" t="str"/>
      <x:c r="U20" s="207" t="n">
        <x:v>2</x:v>
      </x:c>
      <x:c r="V20" s="208" t="n">
        <x:f>MAX(0,M20-U20)</x:f>
        <x:v>0</x:v>
      </x:c>
      <x:c r="W20" s="209" t="n">
        <x:f>IFERROR(U20/M20,0)</x:f>
        <x:v>1</x:v>
      </x:c>
      <x:c r="X20" s="201" t="str">
        <x:f>IF(U20=0,"Não iniciado",IF(U20&gt;=M20,"Concluído","Parcial"))</x:f>
        <x:v>Concluído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26684</x:v>
      </x:c>
      <x:c r="C21" s="218" t="str">
        <x:v>7</x:v>
      </x:c>
      <x:c r="D21" s="218" t="str">
        <x:v>609164</x:v>
      </x:c>
      <x:c r="E21" s="218" t="str">
        <x:v>4731234381</x:v>
      </x:c>
      <x:c r="F21" s="218" t="str">
        <x:v>OUTROS</x:v>
      </x:c>
      <x:c r="G21" s="184" t="str">
        <x:v>FP COLM HDF 3 2100x820x35 ESM BCO C C/US</x:v>
      </x:c>
      <x:c r="H21" s="184" t="str"/>
      <x:c r="I21" s="184" t="str"/>
      <x:c r="J21" s="184" t="str"/>
      <x:c r="K21" s="184" t="str">
        <x:v>ESMALTE</x:v>
      </x:c>
      <x:c r="L21" s="184" t="str">
        <x:v>BRANCO CARRARA</x:v>
      </x:c>
      <x:c r="M21" s="205" t="n">
        <x:v>1</x:v>
      </x:c>
      <x:c r="N21" s="205" t="n">
        <x:v>2100</x:v>
      </x:c>
      <x:c r="O21" s="205" t="n">
        <x:v>820</x:v>
      </x:c>
      <x:c r="P21" s="205" t="n">
        <x:v>35</x:v>
      </x:c>
      <x:c r="Q21" s="206" t="n">
        <x:v>0.06</x:v>
      </x:c>
      <x:c r="R21" s="207" t="str"/>
      <x:c r="S21" s="207" t="str"/>
      <x:c r="T21" s="207" t="str"/>
      <x:c r="U21" s="207" t="n">
        <x:v>1</x:v>
      </x:c>
      <x:c r="V21" s="208" t="n">
        <x:f>MAX(0,M21-U21)</x:f>
        <x:v>0</x:v>
      </x:c>
      <x:c r="W21" s="209" t="n">
        <x:f>IFERROR(U21/M21,0)</x:f>
        <x:v>1</x:v>
      </x:c>
      <x:c r="X21" s="201" t="str">
        <x:f>IF(U21=0,"Não iniciado",IF(U21&gt;=M21,"Concluído","Parcial"))</x:f>
        <x:v>Concluído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26684</x:v>
      </x:c>
      <x:c r="C22" s="220" t="str">
        <x:v>8</x:v>
      </x:c>
      <x:c r="D22" s="220" t="str">
        <x:v>609172</x:v>
      </x:c>
      <x:c r="E22" s="220" t="str">
        <x:v>421010017</x:v>
      </x:c>
      <x:c r="F22" s="220" t="str">
        <x:v>OUTROS</x:v>
      </x:c>
      <x:c r="G22" s="190" t="str">
        <x:v>FP COLM HDF 3 RU 2100x820x35 ESM BCO C C</x:v>
      </x:c>
      <x:c r="H22" s="190" t="str"/>
      <x:c r="I22" s="190" t="str"/>
      <x:c r="J22" s="190" t="str"/>
      <x:c r="K22" s="190" t="str">
        <x:v>ESMALTE</x:v>
      </x:c>
      <x:c r="L22" s="190" t="str">
        <x:v>BRANCO CARRARA</x:v>
      </x:c>
      <x:c r="M22" s="210" t="n">
        <x:v>5</x:v>
      </x:c>
      <x:c r="N22" s="210" t="n">
        <x:v>2100</x:v>
      </x:c>
      <x:c r="O22" s="210" t="n">
        <x:v>820</x:v>
      </x:c>
      <x:c r="P22" s="210" t="n">
        <x:v>35</x:v>
      </x:c>
      <x:c r="Q22" s="211" t="n">
        <x:v>0.301</x:v>
      </x:c>
      <x:c r="R22" s="207" t="str"/>
      <x:c r="S22" s="207" t="str"/>
      <x:c r="T22" s="207" t="str"/>
      <x:c r="U22" s="207" t="n">
        <x:v>5</x:v>
      </x:c>
      <x:c r="V22" s="208" t="n">
        <x:f>MAX(0,M22-U22)</x:f>
        <x:v>0</x:v>
      </x:c>
      <x:c r="W22" s="209" t="n">
        <x:f>IFERROR(U22/M22,0)</x:f>
        <x:v>1</x:v>
      </x:c>
      <x:c r="X22" s="201" t="str">
        <x:f>IF(U22=0,"Não iniciado",IF(U22&gt;=M22,"Concluído","Parcial"))</x:f>
        <x:v>Concluído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26684</x:v>
      </x:c>
      <x:c r="C23" s="218" t="str">
        <x:v>9</x:v>
      </x:c>
      <x:c r="D23" s="218" t="str">
        <x:v>609180</x:v>
      </x:c>
      <x:c r="E23" s="218" t="str">
        <x:v>421010017</x:v>
      </x:c>
      <x:c r="F23" s="218" t="str">
        <x:v>OUTROS</x:v>
      </x:c>
      <x:c r="G23" s="184" t="str">
        <x:v>FP COLM HDF 3 RU 2100x820x35 ESM BCO C C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57</x:v>
      </x:c>
      <x:c r="N23" s="205" t="n">
        <x:v>2100</x:v>
      </x:c>
      <x:c r="O23" s="205" t="n">
        <x:v>820</x:v>
      </x:c>
      <x:c r="P23" s="205" t="n">
        <x:v>35</x:v>
      </x:c>
      <x:c r="Q23" s="206" t="n">
        <x:v>3.435</x:v>
      </x:c>
      <x:c r="R23" s="207" t="str"/>
      <x:c r="S23" s="207" t="str"/>
      <x:c r="T23" s="207" t="str"/>
      <x:c r="U23" s="207" t="n">
        <x:v>57</x:v>
      </x:c>
      <x:c r="V23" s="208" t="n">
        <x:f>MAX(0,M23-U23)</x:f>
        <x:v>0</x:v>
      </x:c>
      <x:c r="W23" s="209" t="n">
        <x:f>IFERROR(U23/M23,0)</x:f>
        <x:v>1</x:v>
      </x:c>
      <x:c r="X23" s="201" t="str">
        <x:f>IF(U23=0,"Não iniciado",IF(U23&gt;=M23,"Concluído","Parcial"))</x:f>
        <x:v>Concluído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26684</x:v>
      </x:c>
      <x:c r="C24" s="220" t="str">
        <x:v>10</x:v>
      </x:c>
      <x:c r="D24" s="220" t="str">
        <x:v>609188</x:v>
      </x:c>
      <x:c r="E24" s="220" t="str">
        <x:v>421010017</x:v>
      </x:c>
      <x:c r="F24" s="220" t="str">
        <x:v>OUTROS</x:v>
      </x:c>
      <x:c r="G24" s="190" t="str">
        <x:v>FP COLM HDF 3 RU 2100x820x35 ESM BCO C C</x:v>
      </x:c>
      <x:c r="H24" s="190" t="str"/>
      <x:c r="I24" s="190" t="str"/>
      <x:c r="J24" s="190" t="str"/>
      <x:c r="K24" s="190" t="str">
        <x:v>ESMALTE</x:v>
      </x:c>
      <x:c r="L24" s="190" t="str">
        <x:v>BRANCO CARRARA</x:v>
      </x:c>
      <x:c r="M24" s="210" t="n">
        <x:v>2</x:v>
      </x:c>
      <x:c r="N24" s="210" t="n">
        <x:v>2100</x:v>
      </x:c>
      <x:c r="O24" s="210" t="n">
        <x:v>820</x:v>
      </x:c>
      <x:c r="P24" s="210" t="n">
        <x:v>35</x:v>
      </x:c>
      <x:c r="Q24" s="211" t="n">
        <x:v>0.121</x:v>
      </x:c>
      <x:c r="R24" s="207" t="str"/>
      <x:c r="S24" s="207" t="str"/>
      <x:c r="T24" s="207" t="str"/>
      <x:c r="U24" s="207" t="n">
        <x:v>2</x:v>
      </x:c>
      <x:c r="V24" s="208" t="n">
        <x:f>MAX(0,M24-U24)</x:f>
        <x:v>0</x:v>
      </x:c>
      <x:c r="W24" s="209" t="n">
        <x:f>IFERROR(U24/M24,0)</x:f>
        <x:v>1</x:v>
      </x:c>
      <x:c r="X24" s="201" t="str">
        <x:f>IF(U24=0,"Não iniciado",IF(U24&gt;=M24,"Concluído","Parcial"))</x:f>
        <x:v>Concluído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26689</x:v>
      </x:c>
      <x:c r="C25" s="218" t="str">
        <x:v>1</x:v>
      </x:c>
      <x:c r="D25" s="218" t="str">
        <x:v>609083</x:v>
      </x:c>
      <x:c r="E25" s="218" t="str">
        <x:v>4993012047</x:v>
      </x:c>
      <x:c r="F25" s="218" t="str">
        <x:v>OUTROS</x:v>
      </x:c>
      <x:c r="G25" s="184" t="str">
        <x:v>FP S BD HDF 3 2100x820x35 ESM BCO C C/US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32</x:v>
      </x:c>
      <x:c r="N25" s="205" t="n">
        <x:v>2100</x:v>
      </x:c>
      <x:c r="O25" s="205" t="n">
        <x:v>820</x:v>
      </x:c>
      <x:c r="P25" s="205" t="n">
        <x:v>35</x:v>
      </x:c>
      <x:c r="Q25" s="206" t="n">
        <x:v>1.929</x:v>
      </x:c>
      <x:c r="R25" s="207" t="str"/>
      <x:c r="S25" s="207" t="str"/>
      <x:c r="T25" s="207" t="str"/>
      <x:c r="U25" s="207" t="n">
        <x:v>32</x:v>
      </x:c>
      <x:c r="V25" s="208" t="n">
        <x:f>MAX(0,M25-U25)</x:f>
        <x:v>0</x:v>
      </x:c>
      <x:c r="W25" s="209" t="n">
        <x:f>IFERROR(U25/M25,0)</x:f>
        <x:v>1</x:v>
      </x:c>
      <x:c r="X25" s="201" t="str">
        <x:f>IF(U25=0,"Não iniciado",IF(U25&gt;=M25,"Concluído","Parcial"))</x:f>
        <x:v>Concluído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26689</x:v>
      </x:c>
      <x:c r="C26" s="220" t="str">
        <x:v>2</x:v>
      </x:c>
      <x:c r="D26" s="220" t="str">
        <x:v>609091</x:v>
      </x:c>
      <x:c r="E26" s="220" t="str">
        <x:v>4731234381</x:v>
      </x:c>
      <x:c r="F26" s="220" t="str">
        <x:v>OUTROS</x:v>
      </x:c>
      <x:c r="G26" s="190" t="str">
        <x:v>FP COLM HDF 3 2100x820x35 ESM BCO C C/US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64</x:v>
      </x:c>
      <x:c r="N26" s="210" t="n">
        <x:v>2100</x:v>
      </x:c>
      <x:c r="O26" s="210" t="n">
        <x:v>820</x:v>
      </x:c>
      <x:c r="P26" s="210" t="n">
        <x:v>35</x:v>
      </x:c>
      <x:c r="Q26" s="211" t="n">
        <x:v>3.857</x:v>
      </x:c>
      <x:c r="R26" s="207" t="str"/>
      <x:c r="S26" s="207" t="str"/>
      <x:c r="T26" s="207" t="str"/>
      <x:c r="U26" s="207" t="n">
        <x:v>64</x:v>
      </x:c>
      <x:c r="V26" s="208" t="n">
        <x:f>MAX(0,M26-U26)</x:f>
        <x:v>0</x:v>
      </x:c>
      <x:c r="W26" s="209" t="n">
        <x:f>IFERROR(U26/M26,0)</x:f>
        <x:v>1</x:v>
      </x:c>
      <x:c r="X26" s="201" t="str">
        <x:f>IF(U26=0,"Não iniciado",IF(U26&gt;=M26,"Concluído","Parcial"))</x:f>
        <x:v>Concluído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26689</x:v>
      </x:c>
      <x:c r="C27" s="218" t="str">
        <x:v>3</x:v>
      </x:c>
      <x:c r="D27" s="218" t="str">
        <x:v>609099</x:v>
      </x:c>
      <x:c r="E27" s="218" t="str">
        <x:v>421010017</x:v>
      </x:c>
      <x:c r="F27" s="218" t="str">
        <x:v>OUTROS</x:v>
      </x:c>
      <x:c r="G27" s="184" t="str">
        <x:v>FP COLM HDF 3 RU 2100x820x35 ESM BCO C C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61</x:v>
      </x:c>
      <x:c r="N27" s="205" t="n">
        <x:v>2100</x:v>
      </x:c>
      <x:c r="O27" s="205" t="n">
        <x:v>820</x:v>
      </x:c>
      <x:c r="P27" s="205" t="n">
        <x:v>35</x:v>
      </x:c>
      <x:c r="Q27" s="206" t="n">
        <x:v>3.676</x:v>
      </x:c>
      <x:c r="R27" s="207" t="str"/>
      <x:c r="S27" s="207" t="str"/>
      <x:c r="T27" s="207" t="str"/>
      <x:c r="U27" s="207" t="n">
        <x:v>61</x:v>
      </x:c>
      <x:c r="V27" s="208" t="n">
        <x:f>MAX(0,M27-U27)</x:f>
        <x:v>0</x:v>
      </x:c>
      <x:c r="W27" s="209" t="n">
        <x:f>IFERROR(U27/M27,0)</x:f>
        <x:v>1</x:v>
      </x:c>
      <x:c r="X27" s="201" t="str">
        <x:f>IF(U27=0,"Não iniciado",IF(U27&gt;=M27,"Concluído","Parcial"))</x:f>
        <x:v>Concluído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26689</x:v>
      </x:c>
      <x:c r="C28" s="220" t="str">
        <x:v>4</x:v>
      </x:c>
      <x:c r="D28" s="220" t="str">
        <x:v>609107</x:v>
      </x:c>
      <x:c r="E28" s="220" t="str">
        <x:v>421010017</x:v>
      </x:c>
      <x:c r="F28" s="220" t="str">
        <x:v>OUTROS</x:v>
      </x:c>
      <x:c r="G28" s="190" t="str">
        <x:v>FP COLM HDF 3 RU 2100x820x35 ESM BCO C C</x:v>
      </x:c>
      <x:c r="H28" s="190" t="str"/>
      <x:c r="I28" s="190" t="str"/>
      <x:c r="J28" s="190" t="str"/>
      <x:c r="K28" s="190" t="str">
        <x:v>ESMALTE</x:v>
      </x:c>
      <x:c r="L28" s="190" t="str">
        <x:v>BRANCO CARRARA</x:v>
      </x:c>
      <x:c r="M28" s="210" t="n">
        <x:v>3</x:v>
      </x:c>
      <x:c r="N28" s="210" t="n">
        <x:v>2100</x:v>
      </x:c>
      <x:c r="O28" s="210" t="n">
        <x:v>820</x:v>
      </x:c>
      <x:c r="P28" s="210" t="n">
        <x:v>35</x:v>
      </x:c>
      <x:c r="Q28" s="211" t="n">
        <x:v>0.181</x:v>
      </x:c>
      <x:c r="R28" s="207" t="str"/>
      <x:c r="S28" s="207" t="str"/>
      <x:c r="T28" s="207" t="str"/>
      <x:c r="U28" s="207" t="n">
        <x:v>3</x:v>
      </x:c>
      <x:c r="V28" s="208" t="n">
        <x:f>MAX(0,M28-U28)</x:f>
        <x:v>0</x:v>
      </x:c>
      <x:c r="W28" s="209" t="n">
        <x:f>IFERROR(U28/M28,0)</x:f>
        <x:v>1</x:v>
      </x:c>
      <x:c r="X28" s="201" t="str">
        <x:f>IF(U28=0,"Não iniciado",IF(U28&gt;=M28,"Concluído","Parcial"))</x:f>
        <x:v>Concluído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26750</x:v>
      </x:c>
      <x:c r="C29" s="218" t="str">
        <x:v>10</x:v>
      </x:c>
      <x:c r="D29" s="218" t="str">
        <x:v>609810</x:v>
      </x:c>
      <x:c r="E29" s="218" t="str">
        <x:v>3040300443</x:v>
      </x:c>
      <x:c r="F29" s="218" t="str">
        <x:v>PORTA</x:v>
      </x:c>
      <x:c r="G29" s="184" t="str">
        <x:v>FO POR COL HDF 3 ESM BCO CAR 2100X820X35</x:v>
      </x:c>
      <x:c r="H29" s="184" t="str"/>
      <x:c r="I29" s="184" t="str"/>
      <x:c r="J29" s="184" t="str"/>
      <x:c r="K29" s="184" t="str">
        <x:v>ESMALTE</x:v>
      </x:c>
      <x:c r="L29" s="184" t="str">
        <x:v>BRANCO CARRARA</x:v>
      </x:c>
      <x:c r="M29" s="205" t="n">
        <x:v>2</x:v>
      </x:c>
      <x:c r="N29" s="205" t="n">
        <x:v>2100</x:v>
      </x:c>
      <x:c r="O29" s="205" t="n">
        <x:v>820</x:v>
      </x:c>
      <x:c r="P29" s="205" t="n">
        <x:v>35</x:v>
      </x:c>
      <x:c r="Q29" s="206" t="n">
        <x:v>0.121</x:v>
      </x:c>
      <x:c r="R29" s="207" t="str"/>
      <x:c r="S29" s="207" t="str"/>
      <x:c r="T29" s="207" t="str"/>
      <x:c r="U29" s="207" t="n">
        <x:v>2</x:v>
      </x:c>
      <x:c r="V29" s="208" t="n">
        <x:f>MAX(0,M29-U29)</x:f>
        <x:v>0</x:v>
      </x:c>
      <x:c r="W29" s="209" t="n">
        <x:f>IFERROR(U29/M29,0)</x:f>
        <x:v>1</x:v>
      </x:c>
      <x:c r="X29" s="201" t="str">
        <x:f>IF(U29=0,"Não iniciado",IF(U29&gt;=M29,"Concluído","Parcial"))</x:f>
        <x:v>Concluído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26766</x:v>
      </x:c>
      <x:c r="C30" s="220" t="str">
        <x:v>6</x:v>
      </x:c>
      <x:c r="D30" s="220" t="str">
        <x:v>610152</x:v>
      </x:c>
      <x:c r="E30" s="220" t="str">
        <x:v>3041500098</x:v>
      </x:c>
      <x:c r="F30" s="220" t="str">
        <x:v>PORTA</x:v>
      </x:c>
      <x:c r="G30" s="190" t="str">
        <x:v>FO POR SMT HDF 3 S BD RU 2100X820X35 IMP</x:v>
      </x:c>
      <x:c r="H30" s="190" t="str">
        <x:v>LISA</x:v>
      </x:c>
      <x:c r="I30" s="190" t="str"/>
      <x:c r="J30" s="190" t="str"/>
      <x:c r="K30" s="190" t="str">
        <x:v>IMPRESSO</x:v>
      </x:c>
      <x:c r="L30" s="190" t="str">
        <x:v>MOGNO BRASILEIRO</x:v>
      </x:c>
      <x:c r="M30" s="210" t="n">
        <x:v>144</x:v>
      </x:c>
      <x:c r="N30" s="210" t="n">
        <x:v>2100</x:v>
      </x:c>
      <x:c r="O30" s="210" t="n">
        <x:v>820</x:v>
      </x:c>
      <x:c r="P30" s="210" t="n">
        <x:v>35</x:v>
      </x:c>
      <x:c r="Q30" s="211" t="n">
        <x:v>8.679</x:v>
      </x:c>
      <x:c r="R30" s="207" t="str"/>
      <x:c r="S30" s="207" t="str"/>
      <x:c r="T30" s="207" t="str"/>
      <x:c r="U30" s="207" t="n">
        <x:v>0</x:v>
      </x:c>
      <x:c r="V30" s="208" t="n">
        <x:f>MAX(0,M30-U30)</x:f>
        <x:v>144</x:v>
      </x:c>
      <x:c r="W30" s="209" t="n">
        <x:f>IFERROR(U30/M30,0)</x:f>
        <x:v>0</x:v>
      </x:c>
      <x:c r="X30" s="201" t="str">
        <x:f>IF(U30=0,"Não iniciado",IF(U30&gt;=M30,"Concluído","Parcial"))</x:f>
        <x:v>Não iniciado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26747</x:v>
      </x:c>
      <x:c r="C31" s="218" t="str">
        <x:v>7</x:v>
      </x:c>
      <x:c r="D31" s="218" t="str">
        <x:v>609013</x:v>
      </x:c>
      <x:c r="E31" s="218" t="str">
        <x:v>4210012026</x:v>
      </x:c>
      <x:c r="F31" s="218" t="str">
        <x:v>OUTROS</x:v>
      </x:c>
      <x:c r="G31" s="184" t="str">
        <x:v>FOL.POR.COL.LIS2100x800x0 ESM.BRC PLS</x:v>
      </x:c>
      <x:c r="H31" s="184" t="str">
        <x:v>LISA</x:v>
      </x:c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4</x:v>
      </x:c>
      <x:c r="N31" s="205" t="n">
        <x:v>2100</x:v>
      </x:c>
      <x:c r="O31" s="205" t="n">
        <x:v>800</x:v>
      </x:c>
      <x:c r="P31" s="205" t="str"/>
      <x:c r="Q31" s="206" t="n">
        <x:v>0.235</x:v>
      </x:c>
      <x:c r="R31" s="207" t="str"/>
      <x:c r="S31" s="207" t="str"/>
      <x:c r="T31" s="207" t="str"/>
      <x:c r="U31" s="207" t="n">
        <x:v>4</x:v>
      </x:c>
      <x:c r="V31" s="208" t="n">
        <x:f>MAX(0,M31-U31)</x:f>
        <x:v>0</x:v>
      </x:c>
      <x:c r="W31" s="209" t="n">
        <x:f>IFERROR(U31/M31,0)</x:f>
        <x:v>1</x:v>
      </x:c>
      <x:c r="X31" s="201" t="str">
        <x:f>IF(U31=0,"Não iniciado",IF(U31&gt;=M31,"Concluído","Parcial"))</x:f>
        <x:v>Concluído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26808</x:v>
      </x:c>
      <x:c r="C32" s="220" t="str">
        <x:v>8</x:v>
      </x:c>
      <x:c r="D32" s="220" t="str">
        <x:v>608958</x:v>
      </x:c>
      <x:c r="E32" s="220" t="str">
        <x:v>4731234915</x:v>
      </x:c>
      <x:c r="F32" s="220" t="str">
        <x:v>OUTROS</x:v>
      </x:c>
      <x:c r="G32" s="190" t="str">
        <x:v>FOL.POR.SAR.US.2100x800x0 ESM.BRC PLS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22</x:v>
      </x:c>
      <x:c r="N32" s="210" t="n">
        <x:v>2100</x:v>
      </x:c>
      <x:c r="O32" s="210" t="n">
        <x:v>800</x:v>
      </x:c>
      <x:c r="P32" s="210" t="str"/>
      <x:c r="Q32" s="211" t="n">
        <x:v>1.294</x:v>
      </x:c>
      <x:c r="R32" s="207" t="str"/>
      <x:c r="S32" s="207" t="str"/>
      <x:c r="T32" s="207" t="str"/>
      <x:c r="U32" s="207" t="n">
        <x:v>22</x:v>
      </x:c>
      <x:c r="V32" s="208" t="n">
        <x:f>MAX(0,M32-U32)</x:f>
        <x:v>0</x:v>
      </x:c>
      <x:c r="W32" s="209" t="n">
        <x:f>IFERROR(U32/M32,0)</x:f>
        <x:v>1</x:v>
      </x:c>
      <x:c r="X32" s="201" t="str">
        <x:f>IF(U32=0,"Não iniciado",IF(U32&gt;=M32,"Concluído","Parcial"))</x:f>
        <x:v>Concluído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26808</x:v>
      </x:c>
      <x:c r="C33" s="218" t="str">
        <x:v>9</x:v>
      </x:c>
      <x:c r="D33" s="218" t="str">
        <x:v>610981</x:v>
      </x:c>
      <x:c r="E33" s="218" t="str">
        <x:v>4731234915</x:v>
      </x:c>
      <x:c r="F33" s="218" t="str">
        <x:v>OUTROS</x:v>
      </x:c>
      <x:c r="G33" s="184" t="str">
        <x:v>FOL.POR.SAR.US.2100x800x0 ESM.BRC PLS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71</x:v>
      </x:c>
      <x:c r="N33" s="205" t="n">
        <x:v>2100</x:v>
      </x:c>
      <x:c r="O33" s="205" t="n">
        <x:v>800</x:v>
      </x:c>
      <x:c r="P33" s="205" t="str"/>
      <x:c r="Q33" s="206" t="n">
        <x:v>4.175</x:v>
      </x:c>
      <x:c r="R33" s="207" t="str"/>
      <x:c r="S33" s="207" t="str"/>
      <x:c r="T33" s="207" t="str"/>
      <x:c r="U33" s="207" t="n">
        <x:v>71</x:v>
      </x:c>
      <x:c r="V33" s="208" t="n">
        <x:f>MAX(0,M33-U33)</x:f>
        <x:v>0</x:v>
      </x:c>
      <x:c r="W33" s="209" t="n">
        <x:f>IFERROR(U33/M33,0)</x:f>
        <x:v>1</x:v>
      </x:c>
      <x:c r="X33" s="201" t="str">
        <x:f>IF(U33=0,"Não iniciado",IF(U33&gt;=M33,"Concluído","Parcial"))</x:f>
        <x:v>Concluído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26796</x:v>
      </x:c>
      <x:c r="C34" s="220" t="str">
        <x:v>3</x:v>
      </x:c>
      <x:c r="D34" s="220" t="str">
        <x:v>609306</x:v>
      </x:c>
      <x:c r="E34" s="220" t="str">
        <x:v>3041400218</x:v>
      </x:c>
      <x:c r="F34" s="220" t="str">
        <x:v>PORTA</x:v>
      </x:c>
      <x:c r="G34" s="190" t="str">
        <x:v>FO POR SMT HDF 3 S GD RU 2100X800X35 ESM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192</x:v>
      </x:c>
      <x:c r="N34" s="210" t="n">
        <x:v>2100</x:v>
      </x:c>
      <x:c r="O34" s="210" t="n">
        <x:v>800</x:v>
      </x:c>
      <x:c r="P34" s="210" t="n">
        <x:v>35</x:v>
      </x:c>
      <x:c r="Q34" s="211" t="n">
        <x:v>11.29</x:v>
      </x:c>
      <x:c r="R34" s="207" t="str"/>
      <x:c r="S34" s="207" t="str"/>
      <x:c r="T34" s="207" t="str"/>
      <x:c r="U34" s="207" t="n">
        <x:v>192</x:v>
      </x:c>
      <x:c r="V34" s="208" t="n">
        <x:f>MAX(0,M34-U34)</x:f>
        <x:v>0</x:v>
      </x:c>
      <x:c r="W34" s="209" t="n">
        <x:f>IFERROR(U34/M34,0)</x:f>
        <x:v>1</x:v>
      </x:c>
      <x:c r="X34" s="201" t="str">
        <x:f>IF(U34=0,"Não iniciado",IF(U34&gt;=M34,"Concluído","Parcial"))</x:f>
        <x:v>Concluído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26799</x:v>
      </x:c>
      <x:c r="C35" s="218" t="str">
        <x:v>3</x:v>
      </x:c>
      <x:c r="D35" s="218" t="str">
        <x:v>609411</x:v>
      </x:c>
      <x:c r="E35" s="218" t="str">
        <x:v>3041400218</x:v>
      </x:c>
      <x:c r="F35" s="218" t="str">
        <x:v>PORTA</x:v>
      </x:c>
      <x:c r="G35" s="184" t="str">
        <x:v>FO POR SMT HDF 3 S GD RU 2100X800X35 ESM</x:v>
      </x:c>
      <x:c r="H35" s="184" t="str"/>
      <x:c r="I35" s="184" t="str"/>
      <x:c r="J35" s="184" t="str"/>
      <x:c r="K35" s="184" t="str">
        <x:v>ESMALTE</x:v>
      </x:c>
      <x:c r="L35" s="184" t="str">
        <x:v>BRANCO CARRARA</x:v>
      </x:c>
      <x:c r="M35" s="205" t="n">
        <x:v>64</x:v>
      </x:c>
      <x:c r="N35" s="205" t="n">
        <x:v>2100</x:v>
      </x:c>
      <x:c r="O35" s="205" t="n">
        <x:v>800</x:v>
      </x:c>
      <x:c r="P35" s="205" t="n">
        <x:v>35</x:v>
      </x:c>
      <x:c r="Q35" s="206" t="n">
        <x:v>3.763</x:v>
      </x:c>
      <x:c r="R35" s="207" t="str"/>
      <x:c r="S35" s="207" t="str"/>
      <x:c r="T35" s="207" t="str"/>
      <x:c r="U35" s="207" t="n">
        <x:v>64</x:v>
      </x:c>
      <x:c r="V35" s="208" t="n">
        <x:f>MAX(0,M35-U35)</x:f>
        <x:v>0</x:v>
      </x:c>
      <x:c r="W35" s="209" t="n">
        <x:f>IFERROR(U35/M35,0)</x:f>
        <x:v>1</x:v>
      </x:c>
      <x:c r="X35" s="201" t="str">
        <x:f>IF(U35=0,"Não iniciado",IF(U35&gt;=M35,"Concluído","Parcial"))</x:f>
        <x:v>Concluído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26808</x:v>
      </x:c>
      <x:c r="C36" s="220" t="str">
        <x:v>10</x:v>
      </x:c>
      <x:c r="D36" s="220" t="str">
        <x:v>608974</x:v>
      </x:c>
      <x:c r="E36" s="220" t="str">
        <x:v>3041400235</x:v>
      </x:c>
      <x:c r="F36" s="220" t="str">
        <x:v>PORTA</x:v>
      </x:c>
      <x:c r="G36" s="190" t="str">
        <x:v>FO POR S GD HDF 3 ESM BCO CAR 2100X800X3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1</x:v>
      </x:c>
      <x:c r="N36" s="210" t="n">
        <x:v>2100</x:v>
      </x:c>
      <x:c r="O36" s="210" t="n">
        <x:v>800</x:v>
      </x:c>
      <x:c r="P36" s="210" t="n">
        <x:v>3</x:v>
      </x:c>
      <x:c r="Q36" s="211" t="n">
        <x:v>0.059</x:v>
      </x:c>
      <x:c r="R36" s="207" t="str"/>
      <x:c r="S36" s="207" t="str"/>
      <x:c r="T36" s="207" t="str"/>
      <x:c r="U36" s="207" t="n">
        <x:v>1</x:v>
      </x:c>
      <x:c r="V36" s="208" t="n">
        <x:f>MAX(0,M36-U36)</x:f>
        <x:v>0</x:v>
      </x:c>
      <x:c r="W36" s="209" t="n">
        <x:f>IFERROR(U36/M36,0)</x:f>
        <x:v>1</x:v>
      </x:c>
      <x:c r="X36" s="201" t="str">
        <x:f>IF(U36=0,"Não iniciado",IF(U36&gt;=M36,"Concluído","Parcial"))</x:f>
        <x:v>Concluído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26815</x:v>
      </x:c>
      <x:c r="C37" s="218" t="str">
        <x:v>4</x:v>
      </x:c>
      <x:c r="D37" s="218" t="str">
        <x:v>610297</x:v>
      </x:c>
      <x:c r="E37" s="218" t="str">
        <x:v>3041400418</x:v>
      </x:c>
      <x:c r="F37" s="218" t="str">
        <x:v>PORTA</x:v>
      </x:c>
      <x:c r="G37" s="184" t="str">
        <x:v>FO POR SMT HDF 3 S GD RU 2100X800X35 ESM</x:v>
      </x:c>
      <x:c r="H37" s="184" t="str"/>
      <x:c r="I37" s="184" t="str"/>
      <x:c r="J37" s="184" t="str"/>
      <x:c r="K37" s="184" t="str">
        <x:v>ESMALTE</x:v>
      </x:c>
      <x:c r="L37" s="184" t="str">
        <x:v>BRANCO CARRARA</x:v>
      </x:c>
      <x:c r="M37" s="205" t="n">
        <x:v>67</x:v>
      </x:c>
      <x:c r="N37" s="205" t="n">
        <x:v>2100</x:v>
      </x:c>
      <x:c r="O37" s="205" t="n">
        <x:v>800</x:v>
      </x:c>
      <x:c r="P37" s="205" t="n">
        <x:v>35</x:v>
      </x:c>
      <x:c r="Q37" s="206" t="n">
        <x:v>3.94</x:v>
      </x:c>
      <x:c r="R37" s="207" t="str"/>
      <x:c r="S37" s="207" t="str"/>
      <x:c r="T37" s="207" t="str"/>
      <x:c r="U37" s="207" t="n">
        <x:v>44.67</x:v>
      </x:c>
      <x:c r="V37" s="208" t="n">
        <x:f>MAX(0,M37-U37)</x:f>
        <x:v>22.33</x:v>
      </x:c>
      <x:c r="W37" s="209" t="n">
        <x:f>IFERROR(U37/M37,0)</x:f>
        <x:v>0.6667164179104478</x:v>
      </x:c>
      <x:c r="X37" s="201" t="str">
        <x:f>IF(U37=0,"Não iniciado",IF(U37&gt;=M37,"Concluído","Parcial"))</x:f>
        <x:v>Parcial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26824</x:v>
      </x:c>
      <x:c r="C38" s="220" t="str">
        <x:v>3</x:v>
      </x:c>
      <x:c r="D38" s="220" t="str">
        <x:v>609601</x:v>
      </x:c>
      <x:c r="E38" s="220" t="str">
        <x:v>3040300297</x:v>
      </x:c>
      <x:c r="F38" s="220" t="str">
        <x:v>PORTA</x:v>
      </x:c>
      <x:c r="G38" s="190" t="str">
        <x:v>FO POR SMT HDF 3 COL RU 2100X800X35 ESM</x:v>
      </x:c>
      <x:c r="H38" s="190" t="str"/>
      <x:c r="I38" s="190" t="str"/>
      <x:c r="J38" s="190" t="str"/>
      <x:c r="K38" s="190" t="str">
        <x:v>ESMALTE</x:v>
      </x:c>
      <x:c r="L38" s="190" t="str">
        <x:v>BRANCO CARRARA</x:v>
      </x:c>
      <x:c r="M38" s="210" t="n">
        <x:v>5</x:v>
      </x:c>
      <x:c r="N38" s="210" t="n">
        <x:v>2100</x:v>
      </x:c>
      <x:c r="O38" s="210" t="n">
        <x:v>800</x:v>
      </x:c>
      <x:c r="P38" s="210" t="n">
        <x:v>35</x:v>
      </x:c>
      <x:c r="Q38" s="211" t="n">
        <x:v>0.294</x:v>
      </x:c>
      <x:c r="R38" s="207" t="str"/>
      <x:c r="S38" s="207" t="str"/>
      <x:c r="T38" s="207" t="str"/>
      <x:c r="U38" s="207" t="n">
        <x:v>5</x:v>
      </x:c>
      <x:c r="V38" s="208" t="n">
        <x:f>MAX(0,M38-U38)</x:f>
        <x:v>0</x:v>
      </x:c>
      <x:c r="W38" s="209" t="n">
        <x:f>IFERROR(U38/M38,0)</x:f>
        <x:v>1</x:v>
      </x:c>
      <x:c r="X38" s="201" t="str">
        <x:f>IF(U38=0,"Não iniciado",IF(U38&gt;=M38,"Concluído","Parcial"))</x:f>
        <x:v>Concluído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26826</x:v>
      </x:c>
      <x:c r="C39" s="218" t="str">
        <x:v>3</x:v>
      </x:c>
      <x:c r="D39" s="218" t="str">
        <x:v>609061</x:v>
      </x:c>
      <x:c r="E39" s="218" t="str">
        <x:v>3050300049</x:v>
      </x:c>
      <x:c r="F39" s="218" t="str">
        <x:v>PORTA</x:v>
      </x:c>
      <x:c r="G39" s="184" t="str">
        <x:v>FO P COR SMT HDF 3 COL B2 L 2100X800X35</x:v>
      </x:c>
      <x:c r="H39" s="184" t="str">
        <x:v>LISA</x:v>
      </x:c>
      <x:c r="I39" s="184" t="str">
        <x:v>C/USINAGEM COMPLETA</x:v>
      </x:c>
      <x:c r="J39" s="184" t="str"/>
      <x:c r="K39" s="184" t="str">
        <x:v>ESMALTE</x:v>
      </x:c>
      <x:c r="L39" s="184" t="str">
        <x:v>BRANCO CARRARA</x:v>
      </x:c>
      <x:c r="M39" s="205" t="n">
        <x:v>53</x:v>
      </x:c>
      <x:c r="N39" s="205" t="n">
        <x:v>2100</x:v>
      </x:c>
      <x:c r="O39" s="205" t="n">
        <x:v>800</x:v>
      </x:c>
      <x:c r="P39" s="205" t="n">
        <x:v>35</x:v>
      </x:c>
      <x:c r="Q39" s="206" t="n">
        <x:v>3.116</x:v>
      </x:c>
      <x:c r="R39" s="207" t="str"/>
      <x:c r="S39" s="207" t="str"/>
      <x:c r="T39" s="207" t="str"/>
      <x:c r="U39" s="207" t="n">
        <x:v>53</x:v>
      </x:c>
      <x:c r="V39" s="208" t="n">
        <x:f>MAX(0,M39-U39)</x:f>
        <x:v>0</x:v>
      </x:c>
      <x:c r="W39" s="209" t="n">
        <x:f>IFERROR(U39/M39,0)</x:f>
        <x:v>1</x:v>
      </x:c>
      <x:c r="X39" s="201" t="str">
        <x:f>IF(U39=0,"Não iniciado",IF(U39&gt;=M39,"Concluído","Parcial"))</x:f>
        <x:v>Concluído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26766</x:v>
      </x:c>
      <x:c r="C40" s="220" t="str">
        <x:v>4</x:v>
      </x:c>
      <x:c r="D40" s="220" t="str">
        <x:v>610148</x:v>
      </x:c>
      <x:c r="E40" s="220" t="str">
        <x:v>3040300003</x:v>
      </x:c>
      <x:c r="F40" s="220" t="str">
        <x:v>PORTA</x:v>
      </x:c>
      <x:c r="G40" s="190" t="str">
        <x:v>FO POR SMT HDF 3 COL RU 2100X800X35 IMP</x:v>
      </x:c>
      <x:c r="H40" s="190" t="str">
        <x:v>LISA</x:v>
      </x:c>
      <x:c r="I40" s="190" t="str"/>
      <x:c r="J40" s="190" t="str"/>
      <x:c r="K40" s="190" t="str">
        <x:v>IMPRESSO</x:v>
      </x:c>
      <x:c r="L40" s="190" t="str">
        <x:v>MOGNO BRASILEIRO</x:v>
      </x:c>
      <x:c r="M40" s="210" t="n">
        <x:v>324</x:v>
      </x:c>
      <x:c r="N40" s="210" t="n">
        <x:v>2100</x:v>
      </x:c>
      <x:c r="O40" s="210" t="n">
        <x:v>800</x:v>
      </x:c>
      <x:c r="P40" s="210" t="n">
        <x:v>35</x:v>
      </x:c>
      <x:c r="Q40" s="211" t="n">
        <x:v>19.051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324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26739</x:v>
      </x:c>
      <x:c r="C41" s="218" t="str">
        <x:v>8</x:v>
      </x:c>
      <x:c r="D41" s="218" t="str">
        <x:v>609645</x:v>
      </x:c>
      <x:c r="E41" s="218" t="str">
        <x:v>4210012023</x:v>
      </x:c>
      <x:c r="F41" s="218" t="str">
        <x:v>OUTROS</x:v>
      </x:c>
      <x:c r="G41" s="184" t="str">
        <x:v>FP COLM HDF 3 2100x720x35 ESM BCO C C/US</x:v>
      </x:c>
      <x:c r="H41" s="184" t="str"/>
      <x:c r="I41" s="184" t="str">
        <x:v>C/USINAGEM COMPLETA</x:v>
      </x:c>
      <x:c r="J41" s="184" t="str"/>
      <x:c r="K41" s="184" t="str">
        <x:v>ESMALTE</x:v>
      </x:c>
      <x:c r="L41" s="184" t="str">
        <x:v>BRANCO CARRARA</x:v>
      </x:c>
      <x:c r="M41" s="205" t="n">
        <x:v>18</x:v>
      </x:c>
      <x:c r="N41" s="205" t="n">
        <x:v>2100</x:v>
      </x:c>
      <x:c r="O41" s="205" t="n">
        <x:v>720</x:v>
      </x:c>
      <x:c r="P41" s="205" t="n">
        <x:v>35</x:v>
      </x:c>
      <x:c r="Q41" s="206" t="n">
        <x:v>0.953</x:v>
      </x:c>
      <x:c r="R41" s="207" t="str"/>
      <x:c r="S41" s="207" t="str"/>
      <x:c r="T41" s="207" t="str"/>
      <x:c r="U41" s="207" t="n">
        <x:v>18</x:v>
      </x:c>
      <x:c r="V41" s="208" t="n">
        <x:f>MAX(0,M41-U41)</x:f>
        <x:v>0</x:v>
      </x:c>
      <x:c r="W41" s="209" t="n">
        <x:f>IFERROR(U41/M41,0)</x:f>
        <x:v>1</x:v>
      </x:c>
      <x:c r="X41" s="201" t="str">
        <x:f>IF(U41=0,"Não iniciado",IF(U41&gt;=M41,"Concluído","Parcial"))</x:f>
        <x:v>Concluído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26739</x:v>
      </x:c>
      <x:c r="C42" s="220" t="str">
        <x:v>9</x:v>
      </x:c>
      <x:c r="D42" s="220" t="str">
        <x:v>609653</x:v>
      </x:c>
      <x:c r="E42" s="220" t="str">
        <x:v>4210012023</x:v>
      </x:c>
      <x:c r="F42" s="220" t="str">
        <x:v>OUTROS</x:v>
      </x:c>
      <x:c r="G42" s="190" t="str">
        <x:v>FP COLM HDF 3 2100x720x35 ESM BCO C C/US</x:v>
      </x:c>
      <x:c r="H42" s="190" t="str"/>
      <x:c r="I42" s="190" t="str">
        <x:v>C/USINAGEM COMPLETA</x:v>
      </x:c>
      <x:c r="J42" s="190" t="str"/>
      <x:c r="K42" s="190" t="str">
        <x:v>ESMALTE</x:v>
      </x:c>
      <x:c r="L42" s="190" t="str">
        <x:v>BRANCO CARRARA</x:v>
      </x:c>
      <x:c r="M42" s="210" t="n">
        <x:v>6</x:v>
      </x:c>
      <x:c r="N42" s="210" t="n">
        <x:v>2100</x:v>
      </x:c>
      <x:c r="O42" s="210" t="n">
        <x:v>720</x:v>
      </x:c>
      <x:c r="P42" s="210" t="n">
        <x:v>35</x:v>
      </x:c>
      <x:c r="Q42" s="211" t="n">
        <x:v>0.318</x:v>
      </x:c>
      <x:c r="R42" s="207" t="str"/>
      <x:c r="S42" s="207" t="str"/>
      <x:c r="T42" s="207" t="str"/>
      <x:c r="U42" s="207" t="n">
        <x:v>6</x:v>
      </x:c>
      <x:c r="V42" s="208" t="n">
        <x:f>MAX(0,M42-U42)</x:f>
        <x:v>0</x:v>
      </x:c>
      <x:c r="W42" s="209" t="n">
        <x:f>IFERROR(U42/M42,0)</x:f>
        <x:v>1</x:v>
      </x:c>
      <x:c r="X42" s="201" t="str">
        <x:f>IF(U42=0,"Não iniciado",IF(U42&gt;=M42,"Concluído","Parcial"))</x:f>
        <x:v>Concluído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26739</x:v>
      </x:c>
      <x:c r="C43" s="218" t="str">
        <x:v>10</x:v>
      </x:c>
      <x:c r="D43" s="218" t="str">
        <x:v>609661</x:v>
      </x:c>
      <x:c r="E43" s="218" t="str">
        <x:v>4210012023</x:v>
      </x:c>
      <x:c r="F43" s="218" t="str">
        <x:v>OUTROS</x:v>
      </x:c>
      <x:c r="G43" s="184" t="str">
        <x:v>FP COLM HDF 3 2100x720x35 ESM BCO C C/US</x:v>
      </x:c>
      <x:c r="H43" s="184" t="str"/>
      <x:c r="I43" s="184" t="str">
        <x:v>C/USINAGEM COMPLETA</x:v>
      </x:c>
      <x:c r="J43" s="184" t="str"/>
      <x:c r="K43" s="184" t="str">
        <x:v>ESMALTE</x:v>
      </x:c>
      <x:c r="L43" s="184" t="str">
        <x:v>BRANCO CARRARA</x:v>
      </x:c>
      <x:c r="M43" s="205" t="n">
        <x:v>22</x:v>
      </x:c>
      <x:c r="N43" s="205" t="n">
        <x:v>2100</x:v>
      </x:c>
      <x:c r="O43" s="205" t="n">
        <x:v>720</x:v>
      </x:c>
      <x:c r="P43" s="205" t="n">
        <x:v>35</x:v>
      </x:c>
      <x:c r="Q43" s="206" t="n">
        <x:v>1.164</x:v>
      </x:c>
      <x:c r="R43" s="207" t="str"/>
      <x:c r="S43" s="207" t="str"/>
      <x:c r="T43" s="207" t="str"/>
      <x:c r="U43" s="207" t="n">
        <x:v>22</x:v>
      </x:c>
      <x:c r="V43" s="208" t="n">
        <x:f>MAX(0,M43-U43)</x:f>
        <x:v>0</x:v>
      </x:c>
      <x:c r="W43" s="209" t="n">
        <x:f>IFERROR(U43/M43,0)</x:f>
        <x:v>1</x:v>
      </x:c>
      <x:c r="X43" s="201" t="str">
        <x:f>IF(U43=0,"Não iniciado",IF(U43&gt;=M43,"Concluído","Parcial"))</x:f>
        <x:v>Concluído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26739</x:v>
      </x:c>
      <x:c r="C44" s="220" t="str">
        <x:v>11</x:v>
      </x:c>
      <x:c r="D44" s="220" t="str">
        <x:v>609669</x:v>
      </x:c>
      <x:c r="E44" s="220" t="str">
        <x:v>4210012023</x:v>
      </x:c>
      <x:c r="F44" s="220" t="str">
        <x:v>OUTROS</x:v>
      </x:c>
      <x:c r="G44" s="190" t="str">
        <x:v>FP COLM HDF 3 2100x720x35 ESM BCO C C/US</x:v>
      </x:c>
      <x:c r="H44" s="190" t="str"/>
      <x:c r="I44" s="190" t="str">
        <x:v>C/USINAGEM COMPLETA</x:v>
      </x:c>
      <x:c r="J44" s="190" t="str"/>
      <x:c r="K44" s="190" t="str">
        <x:v>ESMALTE</x:v>
      </x:c>
      <x:c r="L44" s="190" t="str">
        <x:v>BRANCO CARRARA</x:v>
      </x:c>
      <x:c r="M44" s="210" t="n">
        <x:v>16</x:v>
      </x:c>
      <x:c r="N44" s="210" t="n">
        <x:v>2100</x:v>
      </x:c>
      <x:c r="O44" s="210" t="n">
        <x:v>720</x:v>
      </x:c>
      <x:c r="P44" s="210" t="n">
        <x:v>35</x:v>
      </x:c>
      <x:c r="Q44" s="211" t="n">
        <x:v>0.847</x:v>
      </x:c>
      <x:c r="R44" s="207" t="str"/>
      <x:c r="S44" s="207" t="str"/>
      <x:c r="T44" s="207" t="str"/>
      <x:c r="U44" s="207" t="n">
        <x:v>16</x:v>
      </x:c>
      <x:c r="V44" s="208" t="n">
        <x:f>MAX(0,M44-U44)</x:f>
        <x:v>0</x:v>
      </x:c>
      <x:c r="W44" s="209" t="n">
        <x:f>IFERROR(U44/M44,0)</x:f>
        <x:v>1</x:v>
      </x:c>
      <x:c r="X44" s="201" t="str">
        <x:f>IF(U44=0,"Não iniciado",IF(U44&gt;=M44,"Concluído","Parcial"))</x:f>
        <x:v>Concluído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26739</x:v>
      </x:c>
      <x:c r="C45" s="218" t="str">
        <x:v>12</x:v>
      </x:c>
      <x:c r="D45" s="218" t="str">
        <x:v>609677</x:v>
      </x:c>
      <x:c r="E45" s="218" t="str">
        <x:v>4210012023</x:v>
      </x:c>
      <x:c r="F45" s="218" t="str">
        <x:v>OUTROS</x:v>
      </x:c>
      <x:c r="G45" s="184" t="str">
        <x:v>FP COLM HDF 3 2100x720x35 ESM BCO C C/US</x:v>
      </x:c>
      <x:c r="H45" s="184" t="str"/>
      <x:c r="I45" s="184" t="str">
        <x:v>C/USINAGEM COMPLETA</x:v>
      </x:c>
      <x:c r="J45" s="184" t="str"/>
      <x:c r="K45" s="184" t="str">
        <x:v>ESMALTE</x:v>
      </x:c>
      <x:c r="L45" s="184" t="str">
        <x:v>BRANCO CARRARA</x:v>
      </x:c>
      <x:c r="M45" s="205" t="n">
        <x:v>1</x:v>
      </x:c>
      <x:c r="N45" s="205" t="n">
        <x:v>2100</x:v>
      </x:c>
      <x:c r="O45" s="205" t="n">
        <x:v>720</x:v>
      </x:c>
      <x:c r="P45" s="205" t="n">
        <x:v>35</x:v>
      </x:c>
      <x:c r="Q45" s="206" t="n">
        <x:v>0.053</x:v>
      </x:c>
      <x:c r="R45" s="207" t="str"/>
      <x:c r="S45" s="207" t="str"/>
      <x:c r="T45" s="207" t="str"/>
      <x:c r="U45" s="207" t="n">
        <x:v>1</x:v>
      </x:c>
      <x:c r="V45" s="208" t="n">
        <x:f>MAX(0,M45-U45)</x:f>
        <x:v>0</x:v>
      </x:c>
      <x:c r="W45" s="209" t="n">
        <x:f>IFERROR(U45/M45,0)</x:f>
        <x:v>1</x:v>
      </x:c>
      <x:c r="X45" s="201" t="str">
        <x:f>IF(U45=0,"Não iniciado",IF(U45&gt;=M45,"Concluído","Parcial"))</x:f>
        <x:v>Concluído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26750</x:v>
      </x:c>
      <x:c r="C46" s="220" t="str">
        <x:v>11</x:v>
      </x:c>
      <x:c r="D46" s="220" t="str">
        <x:v>609818</x:v>
      </x:c>
      <x:c r="E46" s="220" t="str">
        <x:v>4210012023</x:v>
      </x:c>
      <x:c r="F46" s="220" t="str">
        <x:v>OUTROS</x:v>
      </x:c>
      <x:c r="G46" s="190" t="str">
        <x:v>FP COLM HDF 3 2100x720x35 ESM BCO C C/US</x:v>
      </x:c>
      <x:c r="H46" s="190" t="str"/>
      <x:c r="I46" s="190" t="str">
        <x:v>C/USINAGEM COMPLETA</x:v>
      </x:c>
      <x:c r="J46" s="190" t="str"/>
      <x:c r="K46" s="190" t="str">
        <x:v>ESMALTE</x:v>
      </x:c>
      <x:c r="L46" s="190" t="str">
        <x:v>BRANCO CARRARA</x:v>
      </x:c>
      <x:c r="M46" s="210" t="n">
        <x:v>12</x:v>
      </x:c>
      <x:c r="N46" s="210" t="n">
        <x:v>2100</x:v>
      </x:c>
      <x:c r="O46" s="210" t="n">
        <x:v>720</x:v>
      </x:c>
      <x:c r="P46" s="210" t="n">
        <x:v>35</x:v>
      </x:c>
      <x:c r="Q46" s="211" t="n">
        <x:v>0.635</x:v>
      </x:c>
      <x:c r="R46" s="207" t="str"/>
      <x:c r="S46" s="207" t="str"/>
      <x:c r="T46" s="207" t="str"/>
      <x:c r="U46" s="207" t="n">
        <x:v>12</x:v>
      </x:c>
      <x:c r="V46" s="208" t="n">
        <x:f>MAX(0,M46-U46)</x:f>
        <x:v>0</x:v>
      </x:c>
      <x:c r="W46" s="209" t="n">
        <x:f>IFERROR(U46/M46,0)</x:f>
        <x:v>1</x:v>
      </x:c>
      <x:c r="X46" s="201" t="str">
        <x:f>IF(U46=0,"Não iniciado",IF(U46&gt;=M46,"Concluído","Parcial"))</x:f>
        <x:v>Concluído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26750</x:v>
      </x:c>
      <x:c r="C47" s="218" t="str">
        <x:v>12</x:v>
      </x:c>
      <x:c r="D47" s="218" t="str">
        <x:v>609826</x:v>
      </x:c>
      <x:c r="E47" s="218" t="str">
        <x:v>4210012023</x:v>
      </x:c>
      <x:c r="F47" s="218" t="str">
        <x:v>OUTROS</x:v>
      </x:c>
      <x:c r="G47" s="184" t="str">
        <x:v>FP COLM HDF 3 2100x720x35 ESM BCO C C/US</x:v>
      </x:c>
      <x:c r="H47" s="184" t="str"/>
      <x:c r="I47" s="184" t="str">
        <x:v>C/USINAGEM COMPLETA</x:v>
      </x:c>
      <x:c r="J47" s="184" t="str"/>
      <x:c r="K47" s="184" t="str">
        <x:v>ESMALTE</x:v>
      </x:c>
      <x:c r="L47" s="184" t="str">
        <x:v>BRANCO CARRARA</x:v>
      </x:c>
      <x:c r="M47" s="205" t="n">
        <x:v>4</x:v>
      </x:c>
      <x:c r="N47" s="205" t="n">
        <x:v>2100</x:v>
      </x:c>
      <x:c r="O47" s="205" t="n">
        <x:v>720</x:v>
      </x:c>
      <x:c r="P47" s="205" t="n">
        <x:v>35</x:v>
      </x:c>
      <x:c r="Q47" s="206" t="n">
        <x:v>0.212</x:v>
      </x:c>
      <x:c r="R47" s="207" t="str"/>
      <x:c r="S47" s="207" t="str"/>
      <x:c r="T47" s="207" t="str"/>
      <x:c r="U47" s="207" t="n">
        <x:v>4</x:v>
      </x:c>
      <x:c r="V47" s="208" t="n">
        <x:f>MAX(0,M47-U47)</x:f>
        <x:v>0</x:v>
      </x:c>
      <x:c r="W47" s="209" t="n">
        <x:f>IFERROR(U47/M47,0)</x:f>
        <x:v>1</x:v>
      </x:c>
      <x:c r="X47" s="201" t="str">
        <x:f>IF(U47=0,"Não iniciado",IF(U47&gt;=M47,"Concluído","Parcial"))</x:f>
        <x:v>Concluído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26750</x:v>
      </x:c>
      <x:c r="C48" s="220" t="str">
        <x:v>13</x:v>
      </x:c>
      <x:c r="D48" s="220" t="str">
        <x:v>609834</x:v>
      </x:c>
      <x:c r="E48" s="220" t="str">
        <x:v>4210012023</x:v>
      </x:c>
      <x:c r="F48" s="220" t="str">
        <x:v>OUTROS</x:v>
      </x:c>
      <x:c r="G48" s="190" t="str">
        <x:v>FP COLM HDF 3 2100x720x35 ESM BCO C C/US</x:v>
      </x:c>
      <x:c r="H48" s="190" t="str"/>
      <x:c r="I48" s="190" t="str">
        <x:v>C/USINAGEM COMPLETA</x:v>
      </x:c>
      <x:c r="J48" s="190" t="str"/>
      <x:c r="K48" s="190" t="str">
        <x:v>ESMALTE</x:v>
      </x:c>
      <x:c r="L48" s="190" t="str">
        <x:v>BRANCO CARRARA</x:v>
      </x:c>
      <x:c r="M48" s="210" t="n">
        <x:v>28</x:v>
      </x:c>
      <x:c r="N48" s="210" t="n">
        <x:v>2100</x:v>
      </x:c>
      <x:c r="O48" s="210" t="n">
        <x:v>720</x:v>
      </x:c>
      <x:c r="P48" s="210" t="n">
        <x:v>35</x:v>
      </x:c>
      <x:c r="Q48" s="211" t="n">
        <x:v>1.482</x:v>
      </x:c>
      <x:c r="R48" s="207" t="str"/>
      <x:c r="S48" s="207" t="str"/>
      <x:c r="T48" s="207" t="str"/>
      <x:c r="U48" s="207" t="n">
        <x:v>28</x:v>
      </x:c>
      <x:c r="V48" s="208" t="n">
        <x:f>MAX(0,M48-U48)</x:f>
        <x:v>0</x:v>
      </x:c>
      <x:c r="W48" s="209" t="n">
        <x:f>IFERROR(U48/M48,0)</x:f>
        <x:v>1</x:v>
      </x:c>
      <x:c r="X48" s="201" t="str">
        <x:f>IF(U48=0,"Não iniciado",IF(U48&gt;=M48,"Concluído","Parcial"))</x:f>
        <x:v>Concluído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26750</x:v>
      </x:c>
      <x:c r="C49" s="218" t="str">
        <x:v>14</x:v>
      </x:c>
      <x:c r="D49" s="218" t="str">
        <x:v>609842</x:v>
      </x:c>
      <x:c r="E49" s="218" t="str">
        <x:v>4210012023</x:v>
      </x:c>
      <x:c r="F49" s="218" t="str">
        <x:v>OUTROS</x:v>
      </x:c>
      <x:c r="G49" s="184" t="str">
        <x:v>FP COLM HDF 3 2100x720x35 ESM BCO C C/US</x:v>
      </x:c>
      <x:c r="H49" s="184" t="str"/>
      <x:c r="I49" s="184" t="str">
        <x:v>C/USINAGEM COMPLETA</x:v>
      </x:c>
      <x:c r="J49" s="184" t="str"/>
      <x:c r="K49" s="184" t="str">
        <x:v>ESMALTE</x:v>
      </x:c>
      <x:c r="L49" s="184" t="str">
        <x:v>BRANCO CARRARA</x:v>
      </x:c>
      <x:c r="M49" s="205" t="n">
        <x:v>19</x:v>
      </x:c>
      <x:c r="N49" s="205" t="n">
        <x:v>2100</x:v>
      </x:c>
      <x:c r="O49" s="205" t="n">
        <x:v>720</x:v>
      </x:c>
      <x:c r="P49" s="205" t="n">
        <x:v>35</x:v>
      </x:c>
      <x:c r="Q49" s="206" t="n">
        <x:v>1.005</x:v>
      </x:c>
      <x:c r="R49" s="207" t="str"/>
      <x:c r="S49" s="207" t="str"/>
      <x:c r="T49" s="207" t="str"/>
      <x:c r="U49" s="207" t="n">
        <x:v>19</x:v>
      </x:c>
      <x:c r="V49" s="208" t="n">
        <x:f>MAX(0,M49-U49)</x:f>
        <x:v>0</x:v>
      </x:c>
      <x:c r="W49" s="209" t="n">
        <x:f>IFERROR(U49/M49,0)</x:f>
        <x:v>1</x:v>
      </x:c>
      <x:c r="X49" s="201" t="str">
        <x:f>IF(U49=0,"Não iniciado",IF(U49&gt;=M49,"Concluído","Parcial"))</x:f>
        <x:v>Concluído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26750</x:v>
      </x:c>
      <x:c r="C50" s="220" t="str">
        <x:v>15</x:v>
      </x:c>
      <x:c r="D50" s="220" t="str">
        <x:v>609850</x:v>
      </x:c>
      <x:c r="E50" s="220" t="str">
        <x:v>4210012023</x:v>
      </x:c>
      <x:c r="F50" s="220" t="str">
        <x:v>OUTROS</x:v>
      </x:c>
      <x:c r="G50" s="190" t="str">
        <x:v>FP COLM HDF 3 2100x720x35 ESM BCO C C/US</x:v>
      </x:c>
      <x:c r="H50" s="190" t="str"/>
      <x:c r="I50" s="190" t="str">
        <x:v>C/USINAGEM COMPLETA</x:v>
      </x:c>
      <x:c r="J50" s="190" t="str"/>
      <x:c r="K50" s="190" t="str">
        <x:v>ESMALTE</x:v>
      </x:c>
      <x:c r="L50" s="190" t="str">
        <x:v>BRANCO CARRARA</x:v>
      </x:c>
      <x:c r="M50" s="210" t="n">
        <x:v>4</x:v>
      </x:c>
      <x:c r="N50" s="210" t="n">
        <x:v>2100</x:v>
      </x:c>
      <x:c r="O50" s="210" t="n">
        <x:v>720</x:v>
      </x:c>
      <x:c r="P50" s="210" t="n">
        <x:v>35</x:v>
      </x:c>
      <x:c r="Q50" s="211" t="n">
        <x:v>0.212</x:v>
      </x:c>
      <x:c r="R50" s="207" t="str"/>
      <x:c r="S50" s="207" t="str"/>
      <x:c r="T50" s="207" t="str"/>
      <x:c r="U50" s="207" t="n">
        <x:v>4</x:v>
      </x:c>
      <x:c r="V50" s="208" t="n">
        <x:f>MAX(0,M50-U50)</x:f>
        <x:v>0</x:v>
      </x:c>
      <x:c r="W50" s="209" t="n">
        <x:f>IFERROR(U50/M50,0)</x:f>
        <x:v>1</x:v>
      </x:c>
      <x:c r="X50" s="201" t="str">
        <x:f>IF(U50=0,"Não iniciado",IF(U50&gt;=M50,"Concluído","Parcial"))</x:f>
        <x:v>Concluído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26747</x:v>
      </x:c>
      <x:c r="C51" s="218" t="str">
        <x:v>4</x:v>
      </x:c>
      <x:c r="D51" s="218" t="str">
        <x:v>609006</x:v>
      </x:c>
      <x:c r="E51" s="218" t="str">
        <x:v>4210012020</x:v>
      </x:c>
      <x:c r="F51" s="218" t="str">
        <x:v>OUTROS</x:v>
      </x:c>
      <x:c r="G51" s="184" t="str">
        <x:v>FP COLM HDF 3 2100x700x35 ESM BCO C C/US</x:v>
      </x:c>
      <x:c r="H51" s="184" t="str">
        <x:v>LISA</x:v>
      </x:c>
      <x:c r="I51" s="184" t="str">
        <x:v>C/USINAGEM COMPLETA</x:v>
      </x:c>
      <x:c r="J51" s="184" t="str"/>
      <x:c r="K51" s="184" t="str">
        <x:v>ESMALTE</x:v>
      </x:c>
      <x:c r="L51" s="184" t="str">
        <x:v>BRANCO CARRARA</x:v>
      </x:c>
      <x:c r="M51" s="205" t="n">
        <x:v>2</x:v>
      </x:c>
      <x:c r="N51" s="205" t="n">
        <x:v>2100</x:v>
      </x:c>
      <x:c r="O51" s="205" t="n">
        <x:v>700</x:v>
      </x:c>
      <x:c r="P51" s="205" t="n">
        <x:v>35</x:v>
      </x:c>
      <x:c r="Q51" s="206" t="n">
        <x:v>0.103</x:v>
      </x:c>
      <x:c r="R51" s="207" t="str"/>
      <x:c r="S51" s="207" t="str"/>
      <x:c r="T51" s="207" t="str"/>
      <x:c r="U51" s="207" t="n">
        <x:v>2</x:v>
      </x:c>
      <x:c r="V51" s="208" t="n">
        <x:f>MAX(0,M51-U51)</x:f>
        <x:v>0</x:v>
      </x:c>
      <x:c r="W51" s="209" t="n">
        <x:f>IFERROR(U51/M51,0)</x:f>
        <x:v>1</x:v>
      </x:c>
      <x:c r="X51" s="201" t="str">
        <x:f>IF(U51=0,"Não iniciado",IF(U51&gt;=M51,"Concluído","Parcial"))</x:f>
        <x:v>Concluído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26747</x:v>
      </x:c>
      <x:c r="C52" s="220" t="str">
        <x:v>10</x:v>
      </x:c>
      <x:c r="D52" s="220" t="str">
        <x:v>609018</x:v>
      </x:c>
      <x:c r="E52" s="220" t="str">
        <x:v>5210192006</x:v>
      </x:c>
      <x:c r="F52" s="220" t="str">
        <x:v>OUTROS</x:v>
      </x:c>
      <x:c r="G52" s="190" t="str">
        <x:v>FPC COLM HDF 3 2100x700x35 ESM BCO C C/U</x:v>
      </x:c>
      <x:c r="H52" s="190" t="str">
        <x:v>LISA</x:v>
      </x:c>
      <x:c r="I52" s="190" t="str"/>
      <x:c r="J52" s="190" t="str"/>
      <x:c r="K52" s="190" t="str">
        <x:v>ESMALTE</x:v>
      </x:c>
      <x:c r="L52" s="190" t="str">
        <x:v>BRANCO CARRARA</x:v>
      </x:c>
      <x:c r="M52" s="210" t="n">
        <x:v>1</x:v>
      </x:c>
      <x:c r="N52" s="210" t="n">
        <x:v>2100</x:v>
      </x:c>
      <x:c r="O52" s="210" t="n">
        <x:v>700</x:v>
      </x:c>
      <x:c r="P52" s="210" t="n">
        <x:v>35</x:v>
      </x:c>
      <x:c r="Q52" s="211" t="n">
        <x:v>0.051</x:v>
      </x:c>
      <x:c r="R52" s="207" t="str"/>
      <x:c r="S52" s="207" t="str"/>
      <x:c r="T52" s="207" t="str"/>
      <x:c r="U52" s="207" t="n">
        <x:v>0.67</x:v>
      </x:c>
      <x:c r="V52" s="208" t="n">
        <x:f>MAX(0,M52-U52)</x:f>
        <x:v>0.32999999999999996</x:v>
      </x:c>
      <x:c r="W52" s="209" t="n">
        <x:f>IFERROR(U52/M52,0)</x:f>
        <x:v>0.67</x:v>
      </x:c>
      <x:c r="X52" s="201" t="str">
        <x:f>IF(U52=0,"Não iniciado",IF(U52&gt;=M52,"Concluído","Parcial"))</x:f>
        <x:v>Parcial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26808</x:v>
      </x:c>
      <x:c r="C53" s="218" t="str">
        <x:v>3</x:v>
      </x:c>
      <x:c r="D53" s="218" t="str">
        <x:v>608918/611889/612148</x:v>
      </x:c>
      <x:c r="E53" s="218" t="str">
        <x:v>4110012028</x:v>
      </x:c>
      <x:c r="F53" s="218" t="str">
        <x:v>PORTA</x:v>
      </x:c>
      <x:c r="G53" s="184" t="str">
        <x:v>FO POR S GD HDF 3 2100X700X35 ESM BCO CA</x:v>
      </x:c>
      <x:c r="H53" s="184" t="str"/>
      <x:c r="I53" s="184" t="str"/>
      <x:c r="J53" s="184" t="str"/>
      <x:c r="K53" s="184" t="str">
        <x:v>ESMALTE</x:v>
      </x:c>
      <x:c r="L53" s="184" t="str">
        <x:v>BRANCO CARRARA</x:v>
      </x:c>
      <x:c r="M53" s="205" t="n">
        <x:v>60</x:v>
      </x:c>
      <x:c r="N53" s="205" t="n">
        <x:v>2100</x:v>
      </x:c>
      <x:c r="O53" s="205" t="n">
        <x:v>700</x:v>
      </x:c>
      <x:c r="P53" s="205" t="n">
        <x:v>35</x:v>
      </x:c>
      <x:c r="Q53" s="206" t="n">
        <x:v>3.087</x:v>
      </x:c>
      <x:c r="R53" s="207" t="str"/>
      <x:c r="S53" s="207" t="str"/>
      <x:c r="T53" s="207" t="str"/>
      <x:c r="U53" s="207" t="n">
        <x:v>60</x:v>
      </x:c>
      <x:c r="V53" s="208" t="n">
        <x:f>MAX(0,M53-U53)</x:f>
        <x:v>0</x:v>
      </x:c>
      <x:c r="W53" s="209" t="n">
        <x:f>IFERROR(U53/M53,0)</x:f>
        <x:v>1</x:v>
      </x:c>
      <x:c r="X53" s="201" t="str">
        <x:f>IF(U53=0,"Não iniciado",IF(U53&gt;=M53,"Concluído","Parcial"))</x:f>
        <x:v>Concluído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26808</x:v>
      </x:c>
      <x:c r="C54" s="220" t="str">
        <x:v>4</x:v>
      </x:c>
      <x:c r="D54" s="220" t="str">
        <x:v>608926</x:v>
      </x:c>
      <x:c r="E54" s="220" t="str">
        <x:v>4110012028</x:v>
      </x:c>
      <x:c r="F54" s="220" t="str">
        <x:v>PORTA</x:v>
      </x:c>
      <x:c r="G54" s="190" t="str">
        <x:v>FO POR S GD HDF 3 2100X700X35 ESM BCO CA</x:v>
      </x:c>
      <x:c r="H54" s="190" t="str"/>
      <x:c r="I54" s="190" t="str"/>
      <x:c r="J54" s="190" t="str"/>
      <x:c r="K54" s="190" t="str">
        <x:v>ESMALTE</x:v>
      </x:c>
      <x:c r="L54" s="190" t="str">
        <x:v>BRANCO CARRARA</x:v>
      </x:c>
      <x:c r="M54" s="210" t="n">
        <x:v>63</x:v>
      </x:c>
      <x:c r="N54" s="210" t="n">
        <x:v>2100</x:v>
      </x:c>
      <x:c r="O54" s="210" t="n">
        <x:v>700</x:v>
      </x:c>
      <x:c r="P54" s="210" t="n">
        <x:v>35</x:v>
      </x:c>
      <x:c r="Q54" s="211" t="n">
        <x:v>3.241</x:v>
      </x:c>
      <x:c r="R54" s="207" t="str"/>
      <x:c r="S54" s="207" t="str"/>
      <x:c r="T54" s="207" t="str"/>
      <x:c r="U54" s="207" t="n">
        <x:v>63</x:v>
      </x:c>
      <x:c r="V54" s="208" t="n">
        <x:f>MAX(0,M54-U54)</x:f>
        <x:v>0</x:v>
      </x:c>
      <x:c r="W54" s="209" t="n">
        <x:f>IFERROR(U54/M54,0)</x:f>
        <x:v>1</x:v>
      </x:c>
      <x:c r="X54" s="201" t="str">
        <x:f>IF(U54=0,"Não iniciado",IF(U54&gt;=M54,"Concluído","Parcial"))</x:f>
        <x:v>Concluído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26809</x:v>
      </x:c>
      <x:c r="C55" s="218" t="str">
        <x:v>1</x:v>
      </x:c>
      <x:c r="D55" s="218" t="str">
        <x:v>609929</x:v>
      </x:c>
      <x:c r="E55" s="218" t="str">
        <x:v>3040300026</x:v>
      </x:c>
      <x:c r="F55" s="218" t="str">
        <x:v>PORTA</x:v>
      </x:c>
      <x:c r="G55" s="184" t="str">
        <x:v>FO POR COL HDF 3 RU 2100X700X35 IMP CAP</x:v>
      </x:c>
      <x:c r="H55" s="184" t="str">
        <x:v>LISA</x:v>
      </x:c>
      <x:c r="I55" s="184" t="str"/>
      <x:c r="J55" s="184" t="str"/>
      <x:c r="K55" s="184" t="str">
        <x:v>IMPRESSO</x:v>
      </x:c>
      <x:c r="L55" s="184" t="str">
        <x:v>CAPUCCINO MARCHE</x:v>
      </x:c>
      <x:c r="M55" s="205" t="n">
        <x:v>1</x:v>
      </x:c>
      <x:c r="N55" s="205" t="n">
        <x:v>2100</x:v>
      </x:c>
      <x:c r="O55" s="205" t="n">
        <x:v>700</x:v>
      </x:c>
      <x:c r="P55" s="205" t="n">
        <x:v>35</x:v>
      </x:c>
      <x:c r="Q55" s="206" t="n">
        <x:v>0.051</x:v>
      </x:c>
      <x:c r="R55" s="207" t="str"/>
      <x:c r="S55" s="207" t="str"/>
      <x:c r="T55" s="207" t="str"/>
      <x:c r="U55" s="207" t="n">
        <x:v>1</x:v>
      </x:c>
      <x:c r="V55" s="208" t="n">
        <x:f>MAX(0,M55-U55)</x:f>
        <x:v>0</x:v>
      </x:c>
      <x:c r="W55" s="209" t="n">
        <x:f>IFERROR(U55/M55,0)</x:f>
        <x:v>1</x:v>
      </x:c>
      <x:c r="X55" s="201" t="str">
        <x:f>IF(U55=0,"Não iniciado",IF(U55&gt;=M55,"Concluído","Parcial"))</x:f>
        <x:v>Concluído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26766</x:v>
      </x:c>
      <x:c r="C56" s="220" t="str">
        <x:v>1</x:v>
      </x:c>
      <x:c r="D56" s="220" t="str">
        <x:v>610141</x:v>
      </x:c>
      <x:c r="E56" s="220" t="str">
        <x:v>3040300002</x:v>
      </x:c>
      <x:c r="F56" s="220" t="str">
        <x:v>PORTA</x:v>
      </x:c>
      <x:c r="G56" s="190" t="str">
        <x:v>FO POR SMT HDF 3 COL RU 2100X700X35 IMP</x:v>
      </x:c>
      <x:c r="H56" s="190" t="str">
        <x:v>LISA</x:v>
      </x:c>
      <x:c r="I56" s="190" t="str"/>
      <x:c r="J56" s="190" t="str"/>
      <x:c r="K56" s="190" t="str">
        <x:v>IMPRESSO</x:v>
      </x:c>
      <x:c r="L56" s="190" t="str">
        <x:v>MOGNO BRASILEIRO</x:v>
      </x:c>
      <x:c r="M56" s="210" t="n">
        <x:v>288</x:v>
      </x:c>
      <x:c r="N56" s="210" t="n">
        <x:v>2100</x:v>
      </x:c>
      <x:c r="O56" s="210" t="n">
        <x:v>700</x:v>
      </x:c>
      <x:c r="P56" s="210" t="n">
        <x:v>35</x:v>
      </x:c>
      <x:c r="Q56" s="211" t="n">
        <x:v>14.818</x:v>
      </x:c>
      <x:c r="R56" s="207" t="str"/>
      <x:c r="S56" s="207" t="str"/>
      <x:c r="T56" s="207" t="str"/>
      <x:c r="U56" s="207" t="n">
        <x:v>0</x:v>
      </x:c>
      <x:c r="V56" s="208" t="n">
        <x:f>MAX(0,M56-U56)</x:f>
        <x:v>288</x:v>
      </x:c>
      <x:c r="W56" s="209" t="n">
        <x:f>IFERROR(U56/M56,0)</x:f>
        <x:v>0</x:v>
      </x:c>
      <x:c r="X56" s="201" t="str">
        <x:f>IF(U56=0,"Não iniciado",IF(U56&gt;=M56,"Concluído","Parcial"))</x:f>
        <x:v>Não iniciado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26739</x:v>
      </x:c>
      <x:c r="C57" s="218" t="str">
        <x:v>17</x:v>
      </x:c>
      <x:c r="D57" s="218" t="str">
        <x:v>609698</x:v>
      </x:c>
      <x:c r="E57" s="218" t="str">
        <x:v>421010005</x:v>
      </x:c>
      <x:c r="F57" s="218" t="str">
        <x:v>PORTA</x:v>
      </x:c>
      <x:c r="G57" s="184" t="str">
        <x:v>FO POR COL HDF 3 RU 2100X620X35 ESM BCO</x:v>
      </x:c>
      <x:c r="H57" s="184" t="str"/>
      <x:c r="I57" s="184" t="str"/>
      <x:c r="J57" s="184" t="str"/>
      <x:c r="K57" s="184" t="str">
        <x:v>ESMALTE</x:v>
      </x:c>
      <x:c r="L57" s="184" t="str">
        <x:v>BRANCO CARRARA</x:v>
      </x:c>
      <x:c r="M57" s="205" t="n">
        <x:v>9</x:v>
      </x:c>
      <x:c r="N57" s="205" t="n">
        <x:v>2100</x:v>
      </x:c>
      <x:c r="O57" s="205" t="n">
        <x:v>620</x:v>
      </x:c>
      <x:c r="P57" s="205" t="n">
        <x:v>35</x:v>
      </x:c>
      <x:c r="Q57" s="206" t="n">
        <x:v>0.41</x:v>
      </x:c>
      <x:c r="R57" s="207" t="str"/>
      <x:c r="S57" s="207" t="str"/>
      <x:c r="T57" s="207" t="str"/>
      <x:c r="U57" s="207" t="n">
        <x:v>9</x:v>
      </x:c>
      <x:c r="V57" s="208" t="n">
        <x:f>MAX(0,M57-U57)</x:f>
        <x:v>0</x:v>
      </x:c>
      <x:c r="W57" s="209" t="n">
        <x:f>IFERROR(U57/M57,0)</x:f>
        <x:v>1</x:v>
      </x:c>
      <x:c r="X57" s="201" t="str">
        <x:f>IF(U57=0,"Não iniciado",IF(U57&gt;=M57,"Concluído","Parcial"))</x:f>
        <x:v>Concluído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26739</x:v>
      </x:c>
      <x:c r="C58" s="220" t="str">
        <x:v>18</x:v>
      </x:c>
      <x:c r="D58" s="220" t="str">
        <x:v>609706</x:v>
      </x:c>
      <x:c r="E58" s="220" t="str">
        <x:v>421010005</x:v>
      </x:c>
      <x:c r="F58" s="220" t="str">
        <x:v>PORTA</x:v>
      </x:c>
      <x:c r="G58" s="190" t="str">
        <x:v>FO POR COL HDF 3 RU 2100X620X35 ESM BCO</x:v>
      </x:c>
      <x:c r="H58" s="190" t="str"/>
      <x:c r="I58" s="190" t="str"/>
      <x:c r="J58" s="190" t="str"/>
      <x:c r="K58" s="190" t="str">
        <x:v>ESMALTE</x:v>
      </x:c>
      <x:c r="L58" s="190" t="str">
        <x:v>BRANCO CARRARA</x:v>
      </x:c>
      <x:c r="M58" s="210" t="n">
        <x:v>5</x:v>
      </x:c>
      <x:c r="N58" s="210" t="n">
        <x:v>2100</x:v>
      </x:c>
      <x:c r="O58" s="210" t="n">
        <x:v>620</x:v>
      </x:c>
      <x:c r="P58" s="210" t="n">
        <x:v>35</x:v>
      </x:c>
      <x:c r="Q58" s="211" t="n">
        <x:v>0.228</x:v>
      </x:c>
      <x:c r="R58" s="207" t="str"/>
      <x:c r="S58" s="207" t="str"/>
      <x:c r="T58" s="207" t="str"/>
      <x:c r="U58" s="207" t="n">
        <x:v>5</x:v>
      </x:c>
      <x:c r="V58" s="208" t="n">
        <x:f>MAX(0,M58-U58)</x:f>
        <x:v>0</x:v>
      </x:c>
      <x:c r="W58" s="209" t="n">
        <x:f>IFERROR(U58/M58,0)</x:f>
        <x:v>1</x:v>
      </x:c>
      <x:c r="X58" s="201" t="str">
        <x:f>IF(U58=0,"Não iniciado",IF(U58&gt;=M58,"Concluído","Parcial"))</x:f>
        <x:v>Concluído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26739</x:v>
      </x:c>
      <x:c r="C59" s="218" t="str">
        <x:v>19</x:v>
      </x:c>
      <x:c r="D59" s="218" t="str">
        <x:v>609716</x:v>
      </x:c>
      <x:c r="E59" s="218" t="str">
        <x:v>421010005</x:v>
      </x:c>
      <x:c r="F59" s="218" t="str">
        <x:v>PORTA</x:v>
      </x:c>
      <x:c r="G59" s="184" t="str">
        <x:v>FO POR COL HDF 3 RU 2100X620X35 ESM BCO</x:v>
      </x:c>
      <x:c r="H59" s="184" t="str"/>
      <x:c r="I59" s="184" t="str"/>
      <x:c r="J59" s="184" t="str"/>
      <x:c r="K59" s="184" t="str">
        <x:v>ESMALTE</x:v>
      </x:c>
      <x:c r="L59" s="184" t="str">
        <x:v>BRANCO CARRARA</x:v>
      </x:c>
      <x:c r="M59" s="205" t="n">
        <x:v>27</x:v>
      </x:c>
      <x:c r="N59" s="205" t="n">
        <x:v>2100</x:v>
      </x:c>
      <x:c r="O59" s="205" t="n">
        <x:v>620</x:v>
      </x:c>
      <x:c r="P59" s="205" t="n">
        <x:v>35</x:v>
      </x:c>
      <x:c r="Q59" s="206" t="n">
        <x:v>1.23</x:v>
      </x:c>
      <x:c r="R59" s="207" t="str"/>
      <x:c r="S59" s="207" t="str"/>
      <x:c r="T59" s="207" t="str"/>
      <x:c r="U59" s="207" t="n">
        <x:v>27</x:v>
      </x:c>
      <x:c r="V59" s="208" t="n">
        <x:f>MAX(0,M59-U59)</x:f>
        <x:v>0</x:v>
      </x:c>
      <x:c r="W59" s="209" t="n">
        <x:f>IFERROR(U59/M59,0)</x:f>
        <x:v>1</x:v>
      </x:c>
      <x:c r="X59" s="201" t="str">
        <x:f>IF(U59=0,"Não iniciado",IF(U59&gt;=M59,"Concluído","Parcial"))</x:f>
        <x:v>Concluído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26739</x:v>
      </x:c>
      <x:c r="C60" s="220" t="str">
        <x:v>20</x:v>
      </x:c>
      <x:c r="D60" s="220" t="str">
        <x:v>609724</x:v>
      </x:c>
      <x:c r="E60" s="220" t="str">
        <x:v>421010005</x:v>
      </x:c>
      <x:c r="F60" s="220" t="str">
        <x:v>PORTA</x:v>
      </x:c>
      <x:c r="G60" s="190" t="str">
        <x:v>FO POR COL HDF 3 RU 2100X620X35 ESM BCO</x:v>
      </x:c>
      <x:c r="H60" s="190" t="str"/>
      <x:c r="I60" s="190" t="str"/>
      <x:c r="J60" s="190" t="str"/>
      <x:c r="K60" s="190" t="str">
        <x:v>ESMALTE</x:v>
      </x:c>
      <x:c r="L60" s="190" t="str">
        <x:v>BRANCO CARRARA</x:v>
      </x:c>
      <x:c r="M60" s="210" t="n">
        <x:v>3</x:v>
      </x:c>
      <x:c r="N60" s="210" t="n">
        <x:v>2100</x:v>
      </x:c>
      <x:c r="O60" s="210" t="n">
        <x:v>620</x:v>
      </x:c>
      <x:c r="P60" s="210" t="n">
        <x:v>35</x:v>
      </x:c>
      <x:c r="Q60" s="211" t="n">
        <x:v>0.137</x:v>
      </x:c>
      <x:c r="R60" s="207" t="str"/>
      <x:c r="S60" s="207" t="str"/>
      <x:c r="T60" s="207" t="str"/>
      <x:c r="U60" s="207" t="n">
        <x:v>3</x:v>
      </x:c>
      <x:c r="V60" s="208" t="n">
        <x:f>MAX(0,M60-U60)</x:f>
        <x:v>0</x:v>
      </x:c>
      <x:c r="W60" s="209" t="n">
        <x:f>IFERROR(U60/M60,0)</x:f>
        <x:v>1</x:v>
      </x:c>
      <x:c r="X60" s="201" t="str">
        <x:f>IF(U60=0,"Não iniciado",IF(U60&gt;=M60,"Concluído","Parcial"))</x:f>
        <x:v>Concluído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26739</x:v>
      </x:c>
      <x:c r="C61" s="218" t="str">
        <x:v>21</x:v>
      </x:c>
      <x:c r="D61" s="218" t="str">
        <x:v>609732</x:v>
      </x:c>
      <x:c r="E61" s="218" t="str">
        <x:v>421010005</x:v>
      </x:c>
      <x:c r="F61" s="218" t="str">
        <x:v>PORTA</x:v>
      </x:c>
      <x:c r="G61" s="184" t="str">
        <x:v>FO POR COL HDF 3 RU 2100X620X35 ESM BCO</x:v>
      </x:c>
      <x:c r="H61" s="184" t="str"/>
      <x:c r="I61" s="184" t="str"/>
      <x:c r="J61" s="184" t="str"/>
      <x:c r="K61" s="184" t="str">
        <x:v>ESMALTE</x:v>
      </x:c>
      <x:c r="L61" s="184" t="str">
        <x:v>BRANCO CARRARA</x:v>
      </x:c>
      <x:c r="M61" s="205" t="n">
        <x:v>10</x:v>
      </x:c>
      <x:c r="N61" s="205" t="n">
        <x:v>2100</x:v>
      </x:c>
      <x:c r="O61" s="205" t="n">
        <x:v>620</x:v>
      </x:c>
      <x:c r="P61" s="205" t="n">
        <x:v>35</x:v>
      </x:c>
      <x:c r="Q61" s="206" t="n">
        <x:v>0.456</x:v>
      </x:c>
      <x:c r="R61" s="207" t="str"/>
      <x:c r="S61" s="207" t="str"/>
      <x:c r="T61" s="207" t="str"/>
      <x:c r="U61" s="207" t="n">
        <x:v>10</x:v>
      </x:c>
      <x:c r="V61" s="208" t="n">
        <x:f>MAX(0,M61-U61)</x:f>
        <x:v>0</x:v>
      </x:c>
      <x:c r="W61" s="209" t="n">
        <x:f>IFERROR(U61/M61,0)</x:f>
        <x:v>1</x:v>
      </x:c>
      <x:c r="X61" s="201" t="str">
        <x:f>IF(U61=0,"Não iniciado",IF(U61&gt;=M61,"Concluído","Parcial"))</x:f>
        <x:v>Concluído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26739</x:v>
      </x:c>
      <x:c r="C62" s="220" t="str">
        <x:v>22</x:v>
      </x:c>
      <x:c r="D62" s="220" t="str">
        <x:v>609738</x:v>
      </x:c>
      <x:c r="E62" s="220" t="str">
        <x:v>421010005</x:v>
      </x:c>
      <x:c r="F62" s="220" t="str">
        <x:v>PORTA</x:v>
      </x:c>
      <x:c r="G62" s="190" t="str">
        <x:v>FO POR COL HDF 3 RU 2100X620X35 ESM BCO</x:v>
      </x:c>
      <x:c r="H62" s="190" t="str"/>
      <x:c r="I62" s="190" t="str"/>
      <x:c r="J62" s="190" t="str"/>
      <x:c r="K62" s="190" t="str">
        <x:v>ESMALTE</x:v>
      </x:c>
      <x:c r="L62" s="190" t="str">
        <x:v>BRANCO CARRARA</x:v>
      </x:c>
      <x:c r="M62" s="210" t="n">
        <x:v>1</x:v>
      </x:c>
      <x:c r="N62" s="210" t="n">
        <x:v>2100</x:v>
      </x:c>
      <x:c r="O62" s="210" t="n">
        <x:v>620</x:v>
      </x:c>
      <x:c r="P62" s="210" t="n">
        <x:v>35</x:v>
      </x:c>
      <x:c r="Q62" s="211" t="n">
        <x:v>0.046</x:v>
      </x:c>
      <x:c r="R62" s="207" t="str"/>
      <x:c r="S62" s="207" t="str"/>
      <x:c r="T62" s="207" t="str"/>
      <x:c r="U62" s="207" t="n">
        <x:v>1</x:v>
      </x:c>
      <x:c r="V62" s="208" t="n">
        <x:f>MAX(0,M62-U62)</x:f>
        <x:v>0</x:v>
      </x:c>
      <x:c r="W62" s="209" t="n">
        <x:f>IFERROR(U62/M62,0)</x:f>
        <x:v>1</x:v>
      </x:c>
      <x:c r="X62" s="201" t="str">
        <x:f>IF(U62=0,"Não iniciado",IF(U62&gt;=M62,"Concluído","Parcial"))</x:f>
        <x:v>Concluído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26739</x:v>
      </x:c>
      <x:c r="C63" s="218" t="str">
        <x:v>23</x:v>
      </x:c>
      <x:c r="D63" s="218" t="str">
        <x:v>609751</x:v>
      </x:c>
      <x:c r="E63" s="218" t="str">
        <x:v>3040300238</x:v>
      </x:c>
      <x:c r="F63" s="218" t="str">
        <x:v>PORTA</x:v>
      </x:c>
      <x:c r="G63" s="184" t="str">
        <x:v>FO POR COL HDF 3 ESM BCO CAR 2100X620X35</x:v>
      </x:c>
      <x:c r="H63" s="184" t="str"/>
      <x:c r="I63" s="184" t="str"/>
      <x:c r="J63" s="184" t="str"/>
      <x:c r="K63" s="184" t="str">
        <x:v>ESMALTE</x:v>
      </x:c>
      <x:c r="L63" s="184" t="str">
        <x:v>BRANCO CARRARA</x:v>
      </x:c>
      <x:c r="M63" s="205" t="n">
        <x:v>1</x:v>
      </x:c>
      <x:c r="N63" s="205" t="n">
        <x:v>2100</x:v>
      </x:c>
      <x:c r="O63" s="205" t="n">
        <x:v>620</x:v>
      </x:c>
      <x:c r="P63" s="205" t="n">
        <x:v>35</x:v>
      </x:c>
      <x:c r="Q63" s="206" t="n">
        <x:v>0.046</x:v>
      </x:c>
      <x:c r="R63" s="207" t="str"/>
      <x:c r="S63" s="207" t="str"/>
      <x:c r="T63" s="207" t="str"/>
      <x:c r="U63" s="207" t="n">
        <x:v>1</x:v>
      </x:c>
      <x:c r="V63" s="208" t="n">
        <x:f>MAX(0,M63-U63)</x:f>
        <x:v>0</x:v>
      </x:c>
      <x:c r="W63" s="209" t="n">
        <x:f>IFERROR(U63/M63,0)</x:f>
        <x:v>1</x:v>
      </x:c>
      <x:c r="X63" s="201" t="str">
        <x:f>IF(U63=0,"Não iniciado",IF(U63&gt;=M63,"Concluído","Parcial"))</x:f>
        <x:v>Concluído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26739</x:v>
      </x:c>
      <x:c r="C64" s="220" t="str">
        <x:v>24</x:v>
      </x:c>
      <x:c r="D64" s="220" t="str">
        <x:v>609764</x:v>
      </x:c>
      <x:c r="E64" s="220" t="str">
        <x:v>3040300238</x:v>
      </x:c>
      <x:c r="F64" s="220" t="str">
        <x:v>PORTA</x:v>
      </x:c>
      <x:c r="G64" s="190" t="str">
        <x:v>FO POR COL HDF 3 ESM BCO CAR 2100X620X35</x:v>
      </x:c>
      <x:c r="H64" s="190" t="str"/>
      <x:c r="I64" s="190" t="str"/>
      <x:c r="J64" s="190" t="str"/>
      <x:c r="K64" s="190" t="str">
        <x:v>ESMALTE</x:v>
      </x:c>
      <x:c r="L64" s="190" t="str">
        <x:v>BRANCO CARRARA</x:v>
      </x:c>
      <x:c r="M64" s="210" t="n">
        <x:v>2</x:v>
      </x:c>
      <x:c r="N64" s="210" t="n">
        <x:v>2100</x:v>
      </x:c>
      <x:c r="O64" s="210" t="n">
        <x:v>620</x:v>
      </x:c>
      <x:c r="P64" s="210" t="n">
        <x:v>35</x:v>
      </x:c>
      <x:c r="Q64" s="211" t="n">
        <x:v>0.091</x:v>
      </x:c>
      <x:c r="R64" s="207" t="str"/>
      <x:c r="S64" s="207" t="str"/>
      <x:c r="T64" s="207" t="str"/>
      <x:c r="U64" s="207" t="n">
        <x:v>2</x:v>
      </x:c>
      <x:c r="V64" s="208" t="n">
        <x:f>MAX(0,M64-U64)</x:f>
        <x:v>0</x:v>
      </x:c>
      <x:c r="W64" s="209" t="n">
        <x:f>IFERROR(U64/M64,0)</x:f>
        <x:v>1</x:v>
      </x:c>
      <x:c r="X64" s="201" t="str">
        <x:f>IF(U64=0,"Não iniciado",IF(U64&gt;=M64,"Concluído","Parcial"))</x:f>
        <x:v>Concluído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26739</x:v>
      </x:c>
      <x:c r="C65" s="218" t="str">
        <x:v>25</x:v>
      </x:c>
      <x:c r="D65" s="218" t="str">
        <x:v>609778</x:v>
      </x:c>
      <x:c r="E65" s="218" t="str">
        <x:v>3040300238</x:v>
      </x:c>
      <x:c r="F65" s="218" t="str">
        <x:v>PORTA</x:v>
      </x:c>
      <x:c r="G65" s="184" t="str">
        <x:v>FO POR COL HDF 3 ESM BCO CAR 2100X620X35</x:v>
      </x:c>
      <x:c r="H65" s="184" t="str"/>
      <x:c r="I65" s="184" t="str"/>
      <x:c r="J65" s="184" t="str"/>
      <x:c r="K65" s="184" t="str">
        <x:v>ESMALTE</x:v>
      </x:c>
      <x:c r="L65" s="184" t="str">
        <x:v>BRANCO CARRARA</x:v>
      </x:c>
      <x:c r="M65" s="205" t="n">
        <x:v>1</x:v>
      </x:c>
      <x:c r="N65" s="205" t="n">
        <x:v>2100</x:v>
      </x:c>
      <x:c r="O65" s="205" t="n">
        <x:v>620</x:v>
      </x:c>
      <x:c r="P65" s="205" t="n">
        <x:v>35</x:v>
      </x:c>
      <x:c r="Q65" s="206" t="n">
        <x:v>0.046</x:v>
      </x:c>
      <x:c r="R65" s="207" t="str"/>
      <x:c r="S65" s="207" t="str"/>
      <x:c r="T65" s="207" t="str"/>
      <x:c r="U65" s="207" t="n">
        <x:v>1</x:v>
      </x:c>
      <x:c r="V65" s="208" t="n">
        <x:f>MAX(0,M65-U65)</x:f>
        <x:v>0</x:v>
      </x:c>
      <x:c r="W65" s="209" t="n">
        <x:f>IFERROR(U65/M65,0)</x:f>
        <x:v>1</x:v>
      </x:c>
      <x:c r="X65" s="201" t="str">
        <x:f>IF(U65=0,"Não iniciado",IF(U65&gt;=M65,"Concluído","Parcial"))</x:f>
        <x:v>Concluído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26750</x:v>
      </x:c>
      <x:c r="C66" s="220" t="str">
        <x:v>20</x:v>
      </x:c>
      <x:c r="D66" s="220" t="str">
        <x:v>609871</x:v>
      </x:c>
      <x:c r="E66" s="220" t="str">
        <x:v>421010005</x:v>
      </x:c>
      <x:c r="F66" s="220" t="str">
        <x:v>PORTA</x:v>
      </x:c>
      <x:c r="G66" s="190" t="str">
        <x:v>FO POR COL HDF 3 RU 2100X620X35 ESM BCO</x:v>
      </x:c>
      <x:c r="H66" s="190" t="str"/>
      <x:c r="I66" s="190" t="str"/>
      <x:c r="J66" s="190" t="str"/>
      <x:c r="K66" s="190" t="str">
        <x:v>ESMALTE</x:v>
      </x:c>
      <x:c r="L66" s="190" t="str">
        <x:v>BRANCO CARRARA</x:v>
      </x:c>
      <x:c r="M66" s="210" t="n">
        <x:v>9</x:v>
      </x:c>
      <x:c r="N66" s="210" t="n">
        <x:v>2100</x:v>
      </x:c>
      <x:c r="O66" s="210" t="n">
        <x:v>620</x:v>
      </x:c>
      <x:c r="P66" s="210" t="n">
        <x:v>35</x:v>
      </x:c>
      <x:c r="Q66" s="211" t="n">
        <x:v>0.41</x:v>
      </x:c>
      <x:c r="R66" s="207" t="str"/>
      <x:c r="S66" s="207" t="str"/>
      <x:c r="T66" s="207" t="str"/>
      <x:c r="U66" s="207" t="n">
        <x:v>9</x:v>
      </x:c>
      <x:c r="V66" s="208" t="n">
        <x:f>MAX(0,M66-U66)</x:f>
        <x:v>0</x:v>
      </x:c>
      <x:c r="W66" s="209" t="n">
        <x:f>IFERROR(U66/M66,0)</x:f>
        <x:v>1</x:v>
      </x:c>
      <x:c r="X66" s="201" t="str">
        <x:f>IF(U66=0,"Não iniciado",IF(U66&gt;=M66,"Concluído","Parcial"))</x:f>
        <x:v>Concluído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26750</x:v>
      </x:c>
      <x:c r="C67" s="218" t="str">
        <x:v>21</x:v>
      </x:c>
      <x:c r="D67" s="218" t="str">
        <x:v>609879</x:v>
      </x:c>
      <x:c r="E67" s="218" t="str">
        <x:v>421010005</x:v>
      </x:c>
      <x:c r="F67" s="218" t="str">
        <x:v>PORTA</x:v>
      </x:c>
      <x:c r="G67" s="184" t="str">
        <x:v>FO POR COL HDF 3 RU 2100X620X35 ESM BCO</x:v>
      </x:c>
      <x:c r="H67" s="184" t="str"/>
      <x:c r="I67" s="184" t="str"/>
      <x:c r="J67" s="184" t="str"/>
      <x:c r="K67" s="184" t="str">
        <x:v>ESMALTE</x:v>
      </x:c>
      <x:c r="L67" s="184" t="str">
        <x:v>BRANCO CARRARA</x:v>
      </x:c>
      <x:c r="M67" s="205" t="n">
        <x:v>5</x:v>
      </x:c>
      <x:c r="N67" s="205" t="n">
        <x:v>2100</x:v>
      </x:c>
      <x:c r="O67" s="205" t="n">
        <x:v>620</x:v>
      </x:c>
      <x:c r="P67" s="205" t="n">
        <x:v>35</x:v>
      </x:c>
      <x:c r="Q67" s="206" t="n">
        <x:v>0.228</x:v>
      </x:c>
      <x:c r="R67" s="207" t="str"/>
      <x:c r="S67" s="207" t="str"/>
      <x:c r="T67" s="207" t="str"/>
      <x:c r="U67" s="207" t="n">
        <x:v>5</x:v>
      </x:c>
      <x:c r="V67" s="208" t="n">
        <x:f>MAX(0,M67-U67)</x:f>
        <x:v>0</x:v>
      </x:c>
      <x:c r="W67" s="209" t="n">
        <x:f>IFERROR(U67/M67,0)</x:f>
        <x:v>1</x:v>
      </x:c>
      <x:c r="X67" s="201" t="str">
        <x:f>IF(U67=0,"Não iniciado",IF(U67&gt;=M67,"Concluído","Parcial"))</x:f>
        <x:v>Concluído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26750</x:v>
      </x:c>
      <x:c r="C68" s="220" t="str">
        <x:v>22</x:v>
      </x:c>
      <x:c r="D68" s="220" t="str">
        <x:v>609889</x:v>
      </x:c>
      <x:c r="E68" s="220" t="str">
        <x:v>421010005</x:v>
      </x:c>
      <x:c r="F68" s="220" t="str">
        <x:v>PORTA</x:v>
      </x:c>
      <x:c r="G68" s="190" t="str">
        <x:v>FO POR COL HDF 3 RU 2100X620X35 ESM BCO</x:v>
      </x:c>
      <x:c r="H68" s="190" t="str"/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19</x:v>
      </x:c>
      <x:c r="N68" s="210" t="n">
        <x:v>2100</x:v>
      </x:c>
      <x:c r="O68" s="210" t="n">
        <x:v>620</x:v>
      </x:c>
      <x:c r="P68" s="210" t="n">
        <x:v>35</x:v>
      </x:c>
      <x:c r="Q68" s="211" t="n">
        <x:v>0.866</x:v>
      </x:c>
      <x:c r="R68" s="207" t="str"/>
      <x:c r="S68" s="207" t="str"/>
      <x:c r="T68" s="207" t="str"/>
      <x:c r="U68" s="207" t="n">
        <x:v>19</x:v>
      </x:c>
      <x:c r="V68" s="208" t="n">
        <x:f>MAX(0,M68-U68)</x:f>
        <x:v>0</x:v>
      </x:c>
      <x:c r="W68" s="209" t="n">
        <x:f>IFERROR(U68/M68,0)</x:f>
        <x:v>1</x:v>
      </x:c>
      <x:c r="X68" s="201" t="str">
        <x:f>IF(U68=0,"Não iniciado",IF(U68&gt;=M68,"Concluído","Parcial"))</x:f>
        <x:v>Concluído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26750</x:v>
      </x:c>
      <x:c r="C69" s="218" t="str">
        <x:v>23</x:v>
      </x:c>
      <x:c r="D69" s="218" t="str">
        <x:v>609897</x:v>
      </x:c>
      <x:c r="E69" s="218" t="str">
        <x:v>421010005</x:v>
      </x:c>
      <x:c r="F69" s="218" t="str">
        <x:v>PORTA</x:v>
      </x:c>
      <x:c r="G69" s="184" t="str">
        <x:v>FO POR COL HDF 3 RU 2100X620X35 ESM BCO</x:v>
      </x:c>
      <x:c r="H69" s="184" t="str"/>
      <x:c r="I69" s="184" t="str"/>
      <x:c r="J69" s="184" t="str"/>
      <x:c r="K69" s="184" t="str">
        <x:v>ESMALTE</x:v>
      </x:c>
      <x:c r="L69" s="184" t="str">
        <x:v>BRANCO CARRARA</x:v>
      </x:c>
      <x:c r="M69" s="205" t="n">
        <x:v>4</x:v>
      </x:c>
      <x:c r="N69" s="205" t="n">
        <x:v>2100</x:v>
      </x:c>
      <x:c r="O69" s="205" t="n">
        <x:v>620</x:v>
      </x:c>
      <x:c r="P69" s="205" t="n">
        <x:v>35</x:v>
      </x:c>
      <x:c r="Q69" s="206" t="n">
        <x:v>0.182</x:v>
      </x:c>
      <x:c r="R69" s="207" t="str"/>
      <x:c r="S69" s="207" t="str"/>
      <x:c r="T69" s="207" t="str"/>
      <x:c r="U69" s="207" t="n">
        <x:v>4</x:v>
      </x:c>
      <x:c r="V69" s="208" t="n">
        <x:f>MAX(0,M69-U69)</x:f>
        <x:v>0</x:v>
      </x:c>
      <x:c r="W69" s="209" t="n">
        <x:f>IFERROR(U69/M69,0)</x:f>
        <x:v>1</x:v>
      </x:c>
      <x:c r="X69" s="201" t="str">
        <x:f>IF(U69=0,"Não iniciado",IF(U69&gt;=M69,"Concluído","Parcial"))</x:f>
        <x:v>Concluído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26750</x:v>
      </x:c>
      <x:c r="C70" s="220" t="str">
        <x:v>24</x:v>
      </x:c>
      <x:c r="D70" s="220" t="str">
        <x:v>609905</x:v>
      </x:c>
      <x:c r="E70" s="220" t="str">
        <x:v>421010005</x:v>
      </x:c>
      <x:c r="F70" s="220" t="str">
        <x:v>PORTA</x:v>
      </x:c>
      <x:c r="G70" s="190" t="str">
        <x:v>FO POR COL HDF 3 RU 2100X620X35 ESM BCO</x:v>
      </x:c>
      <x:c r="H70" s="190" t="str"/>
      <x:c r="I70" s="190" t="str"/>
      <x:c r="J70" s="190" t="str"/>
      <x:c r="K70" s="190" t="str">
        <x:v>ESMALTE</x:v>
      </x:c>
      <x:c r="L70" s="190" t="str">
        <x:v>BRANCO CARRARA</x:v>
      </x:c>
      <x:c r="M70" s="210" t="n">
        <x:v>10</x:v>
      </x:c>
      <x:c r="N70" s="210" t="n">
        <x:v>2100</x:v>
      </x:c>
      <x:c r="O70" s="210" t="n">
        <x:v>620</x:v>
      </x:c>
      <x:c r="P70" s="210" t="n">
        <x:v>35</x:v>
      </x:c>
      <x:c r="Q70" s="211" t="n">
        <x:v>0.456</x:v>
      </x:c>
      <x:c r="R70" s="207" t="str"/>
      <x:c r="S70" s="207" t="str"/>
      <x:c r="T70" s="207" t="str"/>
      <x:c r="U70" s="207" t="n">
        <x:v>10</x:v>
      </x:c>
      <x:c r="V70" s="208" t="n">
        <x:f>MAX(0,M70-U70)</x:f>
        <x:v>0</x:v>
      </x:c>
      <x:c r="W70" s="209" t="n">
        <x:f>IFERROR(U70/M70,0)</x:f>
        <x:v>1</x:v>
      </x:c>
      <x:c r="X70" s="201" t="str">
        <x:f>IF(U70=0,"Não iniciado",IF(U70&gt;=M70,"Concluído","Parcial"))</x:f>
        <x:v>Concluído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26750</x:v>
      </x:c>
      <x:c r="C71" s="218" t="str">
        <x:v>25</x:v>
      </x:c>
      <x:c r="D71" s="218" t="str">
        <x:v>609911</x:v>
      </x:c>
      <x:c r="E71" s="218" t="str">
        <x:v>421010005</x:v>
      </x:c>
      <x:c r="F71" s="218" t="str">
        <x:v>PORTA</x:v>
      </x:c>
      <x:c r="G71" s="184" t="str">
        <x:v>FO POR COL HDF 3 RU 2100X620X35 ESM BCO</x:v>
      </x:c>
      <x:c r="H71" s="184" t="str"/>
      <x:c r="I71" s="184" t="str"/>
      <x:c r="J71" s="184" t="str"/>
      <x:c r="K71" s="184" t="str">
        <x:v>ESMALTE</x:v>
      </x:c>
      <x:c r="L71" s="184" t="str">
        <x:v>BRANCO CARRARA</x:v>
      </x:c>
      <x:c r="M71" s="205" t="n">
        <x:v>3</x:v>
      </x:c>
      <x:c r="N71" s="205" t="n">
        <x:v>2100</x:v>
      </x:c>
      <x:c r="O71" s="205" t="n">
        <x:v>620</x:v>
      </x:c>
      <x:c r="P71" s="205" t="n">
        <x:v>35</x:v>
      </x:c>
      <x:c r="Q71" s="206" t="n">
        <x:v>0.137</x:v>
      </x:c>
      <x:c r="R71" s="207" t="str"/>
      <x:c r="S71" s="207" t="str"/>
      <x:c r="T71" s="207" t="str"/>
      <x:c r="U71" s="207" t="n">
        <x:v>3</x:v>
      </x:c>
      <x:c r="V71" s="208" t="n">
        <x:f>MAX(0,M71-U71)</x:f>
        <x:v>0</x:v>
      </x:c>
      <x:c r="W71" s="209" t="n">
        <x:f>IFERROR(U71/M71,0)</x:f>
        <x:v>1</x:v>
      </x:c>
      <x:c r="X71" s="201" t="str">
        <x:f>IF(U71=0,"Não iniciado",IF(U71&gt;=M71,"Concluído","Parcial"))</x:f>
        <x:v>Concluído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26750</x:v>
      </x:c>
      <x:c r="C72" s="220" t="str">
        <x:v>26</x:v>
      </x:c>
      <x:c r="D72" s="220" t="str">
        <x:v>609925</x:v>
      </x:c>
      <x:c r="E72" s="220" t="str">
        <x:v>3040300238</x:v>
      </x:c>
      <x:c r="F72" s="220" t="str">
        <x:v>PORTA</x:v>
      </x:c>
      <x:c r="G72" s="190" t="str">
        <x:v>FO POR COL HDF 3 ESM BCO CAR 2100X620X35</x:v>
      </x:c>
      <x:c r="H72" s="190" t="str"/>
      <x:c r="I72" s="190" t="str"/>
      <x:c r="J72" s="190" t="str"/>
      <x:c r="K72" s="190" t="str">
        <x:v>ESMALTE</x:v>
      </x:c>
      <x:c r="L72" s="190" t="str">
        <x:v>BRANCO CARRARA</x:v>
      </x:c>
      <x:c r="M72" s="210" t="n">
        <x:v>2</x:v>
      </x:c>
      <x:c r="N72" s="210" t="n">
        <x:v>2100</x:v>
      </x:c>
      <x:c r="O72" s="210" t="n">
        <x:v>620</x:v>
      </x:c>
      <x:c r="P72" s="210" t="n">
        <x:v>35</x:v>
      </x:c>
      <x:c r="Q72" s="211" t="n">
        <x:v>0.091</x:v>
      </x:c>
      <x:c r="R72" s="207" t="str"/>
      <x:c r="S72" s="207" t="str"/>
      <x:c r="T72" s="207" t="str"/>
      <x:c r="U72" s="207" t="n">
        <x:v>2</x:v>
      </x:c>
      <x:c r="V72" s="208" t="n">
        <x:f>MAX(0,M72-U72)</x:f>
        <x:v>0</x:v>
      </x:c>
      <x:c r="W72" s="209" t="n">
        <x:f>IFERROR(U72/M72,0)</x:f>
        <x:v>1</x:v>
      </x:c>
      <x:c r="X72" s="201" t="str">
        <x:f>IF(U72=0,"Não iniciado",IF(U72&gt;=M72,"Concluído","Parcial"))</x:f>
        <x:v>Concluído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26826</x:v>
      </x:c>
      <x:c r="C73" s="218" t="str">
        <x:v>1</x:v>
      </x:c>
      <x:c r="D73" s="218" t="str">
        <x:v>610305</x:v>
      </x:c>
      <x:c r="E73" s="218" t="str">
        <x:v>3050300062</x:v>
      </x:c>
      <x:c r="F73" s="218" t="str">
        <x:v>PORTA</x:v>
      </x:c>
      <x:c r="G73" s="184" t="str">
        <x:v>FO P COR SMT HDF 3 COL B2 L 2100X620X35</x:v>
      </x:c>
      <x:c r="H73" s="184" t="str">
        <x:v>LISA</x:v>
      </x:c>
      <x:c r="I73" s="184" t="str"/>
      <x:c r="J73" s="184" t="str"/>
      <x:c r="K73" s="184" t="str">
        <x:v>ESMALTE</x:v>
      </x:c>
      <x:c r="L73" s="184" t="str">
        <x:v>BRANCO CARRARA</x:v>
      </x:c>
      <x:c r="M73" s="205" t="n">
        <x:v>62</x:v>
      </x:c>
      <x:c r="N73" s="205" t="n">
        <x:v>2100</x:v>
      </x:c>
      <x:c r="O73" s="205" t="n">
        <x:v>620</x:v>
      </x:c>
      <x:c r="P73" s="205" t="n">
        <x:v>35</x:v>
      </x:c>
      <x:c r="Q73" s="206" t="n">
        <x:v>2.825</x:v>
      </x:c>
      <x:c r="R73" s="207" t="str"/>
      <x:c r="S73" s="207" t="str"/>
      <x:c r="T73" s="207" t="str"/>
      <x:c r="U73" s="207" t="n">
        <x:v>31</x:v>
      </x:c>
      <x:c r="V73" s="208" t="n">
        <x:f>MAX(0,M73-U73)</x:f>
        <x:v>31</x:v>
      </x:c>
      <x:c r="W73" s="209" t="n">
        <x:f>IFERROR(U73/M73,0)</x:f>
        <x:v>0.5</x:v>
      </x:c>
      <x:c r="X73" s="201" t="str">
        <x:f>IF(U73=0,"Não iniciado",IF(U73&gt;=M73,"Concluído","Parcial"))</x:f>
        <x:v>Parcial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26747</x:v>
      </x:c>
      <x:c r="C74" s="220" t="str">
        <x:v>1</x:v>
      </x:c>
      <x:c r="D74" s="220" t="str">
        <x:v>608997</x:v>
      </x:c>
      <x:c r="E74" s="220" t="str">
        <x:v>4210012014</x:v>
      </x:c>
      <x:c r="F74" s="220" t="str">
        <x:v>OUTROS</x:v>
      </x:c>
      <x:c r="G74" s="190" t="str">
        <x:v>FOL.POR.COL.LIS2100x600x0 ESM.BRC PLS</x:v>
      </x:c>
      <x:c r="H74" s="190" t="str">
        <x:v>LISA</x:v>
      </x:c>
      <x:c r="I74" s="190" t="str">
        <x:v>C/USINAGEM COMPLETA</x:v>
      </x:c>
      <x:c r="J74" s="190" t="str"/>
      <x:c r="K74" s="190" t="str">
        <x:v>ESMALTE</x:v>
      </x:c>
      <x:c r="L74" s="190" t="str">
        <x:v>BRANCO CARRARA</x:v>
      </x:c>
      <x:c r="M74" s="210" t="n">
        <x:v>1</x:v>
      </x:c>
      <x:c r="N74" s="210" t="n">
        <x:v>2100</x:v>
      </x:c>
      <x:c r="O74" s="210" t="n">
        <x:v>600</x:v>
      </x:c>
      <x:c r="P74" s="210" t="str"/>
      <x:c r="Q74" s="211" t="n">
        <x:v>0.044</x:v>
      </x:c>
      <x:c r="R74" s="207" t="str"/>
      <x:c r="S74" s="207" t="str"/>
      <x:c r="T74" s="207" t="str"/>
      <x:c r="U74" s="207" t="n">
        <x:v>1</x:v>
      </x:c>
      <x:c r="V74" s="208" t="n">
        <x:f>MAX(0,M74-U74)</x:f>
        <x:v>0</x:v>
      </x:c>
      <x:c r="W74" s="209" t="n">
        <x:f>IFERROR(U74/M74,0)</x:f>
        <x:v>1</x:v>
      </x:c>
      <x:c r="X74" s="201" t="str">
        <x:f>IF(U74=0,"Não iniciado",IF(U74&gt;=M74,"Concluído","Parcial"))</x:f>
        <x:v>Concluído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26792</x:v>
      </x:c>
      <x:c r="C75" s="218" t="str">
        <x:v>1</x:v>
      </x:c>
      <x:c r="D75" s="218" t="str">
        <x:v>609423</x:v>
      </x:c>
      <x:c r="E75" s="218" t="str">
        <x:v>3040300440</x:v>
      </x:c>
      <x:c r="F75" s="218" t="str">
        <x:v>PORTA</x:v>
      </x:c>
      <x:c r="G75" s="184" t="str">
        <x:v>FO POR SMT HDF 3 COL RU 2100X600X35 ESM</x:v>
      </x:c>
      <x:c r="H75" s="184" t="str"/>
      <x:c r="I75" s="184" t="str"/>
      <x:c r="J75" s="184" t="str"/>
      <x:c r="K75" s="184" t="str">
        <x:v>ESMALTE</x:v>
      </x:c>
      <x:c r="L75" s="184" t="str">
        <x:v>BRANCO CARRARA</x:v>
      </x:c>
      <x:c r="M75" s="205" t="n">
        <x:v>137</x:v>
      </x:c>
      <x:c r="N75" s="205" t="n">
        <x:v>2100</x:v>
      </x:c>
      <x:c r="O75" s="205" t="n">
        <x:v>600</x:v>
      </x:c>
      <x:c r="P75" s="205" t="n">
        <x:v>35</x:v>
      </x:c>
      <x:c r="Q75" s="206" t="n">
        <x:v>6.042</x:v>
      </x:c>
      <x:c r="R75" s="207" t="str"/>
      <x:c r="S75" s="207" t="str"/>
      <x:c r="T75" s="207" t="str"/>
      <x:c r="U75" s="207" t="n">
        <x:v>137</x:v>
      </x:c>
      <x:c r="V75" s="208" t="n">
        <x:f>MAX(0,M75-U75)</x:f>
        <x:v>0</x:v>
      </x:c>
      <x:c r="W75" s="209" t="n">
        <x:f>IFERROR(U75/M75,0)</x:f>
        <x:v>1</x:v>
      </x:c>
      <x:c r="X75" s="201" t="str">
        <x:f>IF(U75=0,"Não iniciado",IF(U75&gt;=M75,"Concluído","Parcial"))</x:f>
        <x:v>Concluído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26792</x:v>
      </x:c>
      <x:c r="C76" s="220" t="str">
        <x:v>2</x:v>
      </x:c>
      <x:c r="D76" s="220" t="str">
        <x:v>609431</x:v>
      </x:c>
      <x:c r="E76" s="220" t="str">
        <x:v>3040300440</x:v>
      </x:c>
      <x:c r="F76" s="220" t="str">
        <x:v>PORTA</x:v>
      </x:c>
      <x:c r="G76" s="190" t="str">
        <x:v>FO POR SMT HDF 3 COL RU 2100X600X35 ESM</x:v>
      </x:c>
      <x:c r="H76" s="190" t="str"/>
      <x:c r="I76" s="190" t="str"/>
      <x:c r="J76" s="190" t="str"/>
      <x:c r="K76" s="190" t="str">
        <x:v>ESMALTE</x:v>
      </x:c>
      <x:c r="L76" s="190" t="str">
        <x:v>BRANCO CARRARA</x:v>
      </x:c>
      <x:c r="M76" s="210" t="n">
        <x:v>17</x:v>
      </x:c>
      <x:c r="N76" s="210" t="n">
        <x:v>2100</x:v>
      </x:c>
      <x:c r="O76" s="210" t="n">
        <x:v>600</x:v>
      </x:c>
      <x:c r="P76" s="210" t="n">
        <x:v>35</x:v>
      </x:c>
      <x:c r="Q76" s="211" t="n">
        <x:v>0.75</x:v>
      </x:c>
      <x:c r="R76" s="207" t="str"/>
      <x:c r="S76" s="207" t="str"/>
      <x:c r="T76" s="207" t="str"/>
      <x:c r="U76" s="207" t="n">
        <x:v>17</x:v>
      </x:c>
      <x:c r="V76" s="208" t="n">
        <x:f>MAX(0,M76-U76)</x:f>
        <x:v>0</x:v>
      </x:c>
      <x:c r="W76" s="209" t="n">
        <x:f>IFERROR(U76/M76,0)</x:f>
        <x:v>1</x:v>
      </x:c>
      <x:c r="X76" s="201" t="str">
        <x:f>IF(U76=0,"Não iniciado",IF(U76&gt;=M76,"Concluído","Parcial"))</x:f>
        <x:v>Concluído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26792</x:v>
      </x:c>
      <x:c r="C77" s="218" t="str">
        <x:v>3</x:v>
      </x:c>
      <x:c r="D77" s="218" t="str">
        <x:v>609439</x:v>
      </x:c>
      <x:c r="E77" s="218" t="str">
        <x:v>3040300440</x:v>
      </x:c>
      <x:c r="F77" s="218" t="str">
        <x:v>PORTA</x:v>
      </x:c>
      <x:c r="G77" s="184" t="str">
        <x:v>FO POR SMT HDF 3 COL RU 2100X600X35 ESM</x:v>
      </x:c>
      <x:c r="H77" s="184" t="str"/>
      <x:c r="I77" s="184" t="str"/>
      <x:c r="J77" s="184" t="str"/>
      <x:c r="K77" s="184" t="str">
        <x:v>ESMALTE</x:v>
      </x:c>
      <x:c r="L77" s="184" t="str">
        <x:v>BRANCO CARRARA</x:v>
      </x:c>
      <x:c r="M77" s="205" t="n">
        <x:v>1</x:v>
      </x:c>
      <x:c r="N77" s="205" t="n">
        <x:v>2100</x:v>
      </x:c>
      <x:c r="O77" s="205" t="n">
        <x:v>600</x:v>
      </x:c>
      <x:c r="P77" s="205" t="n">
        <x:v>35</x:v>
      </x:c>
      <x:c r="Q77" s="206" t="n">
        <x:v>0.044</x:v>
      </x:c>
      <x:c r="R77" s="207" t="str"/>
      <x:c r="S77" s="207" t="str"/>
      <x:c r="T77" s="207" t="str"/>
      <x:c r="U77" s="207" t="n">
        <x:v>1</x:v>
      </x:c>
      <x:c r="V77" s="208" t="n">
        <x:f>MAX(0,M77-U77)</x:f>
        <x:v>0</x:v>
      </x:c>
      <x:c r="W77" s="209" t="n">
        <x:f>IFERROR(U77/M77,0)</x:f>
        <x:v>1</x:v>
      </x:c>
      <x:c r="X77" s="201" t="str">
        <x:f>IF(U77=0,"Não iniciado",IF(U77&gt;=M77,"Concluído","Parcial"))</x:f>
        <x:v>Concluído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26796</x:v>
      </x:c>
      <x:c r="C78" s="220" t="str">
        <x:v>1</x:v>
      </x:c>
      <x:c r="D78" s="220" t="str">
        <x:v>609290/612150</x:v>
      </x:c>
      <x:c r="E78" s="220" t="str">
        <x:v>3040300046</x:v>
      </x:c>
      <x:c r="F78" s="220" t="str">
        <x:v>PORTA</x:v>
      </x:c>
      <x:c r="G78" s="190" t="str">
        <x:v>FO POR SMT HDF 3 COL RU 2100X600X35 ESM</x:v>
      </x:c>
      <x:c r="H78" s="190" t="str"/>
      <x:c r="I78" s="190" t="str"/>
      <x:c r="J78" s="190" t="str"/>
      <x:c r="K78" s="190" t="str">
        <x:v>ESMALTE</x:v>
      </x:c>
      <x:c r="L78" s="190" t="str">
        <x:v>BRANCO CARRARA</x:v>
      </x:c>
      <x:c r="M78" s="210" t="n">
        <x:v>216</x:v>
      </x:c>
      <x:c r="N78" s="210" t="n">
        <x:v>2100</x:v>
      </x:c>
      <x:c r="O78" s="210" t="n">
        <x:v>600</x:v>
      </x:c>
      <x:c r="P78" s="210" t="n">
        <x:v>35</x:v>
      </x:c>
      <x:c r="Q78" s="211" t="n">
        <x:v>9.526</x:v>
      </x:c>
      <x:c r="R78" s="207" t="str"/>
      <x:c r="S78" s="207" t="str"/>
      <x:c r="T78" s="207" t="str"/>
      <x:c r="U78" s="207" t="n">
        <x:v>216</x:v>
      </x:c>
      <x:c r="V78" s="208" t="n">
        <x:f>MAX(0,M78-U78)</x:f>
        <x:v>0</x:v>
      </x:c>
      <x:c r="W78" s="209" t="n">
        <x:f>IFERROR(U78/M78,0)</x:f>
        <x:v>1</x:v>
      </x:c>
      <x:c r="X78" s="201" t="str">
        <x:f>IF(U78=0,"Não iniciado",IF(U78&gt;=M78,"Concluído","Parcial"))</x:f>
        <x:v>Concluído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26799</x:v>
      </x:c>
      <x:c r="C79" s="218" t="str">
        <x:v>1</x:v>
      </x:c>
      <x:c r="D79" s="218" t="str">
        <x:v>609395</x:v>
      </x:c>
      <x:c r="E79" s="218" t="str">
        <x:v>3040300046</x:v>
      </x:c>
      <x:c r="F79" s="218" t="str">
        <x:v>PORTA</x:v>
      </x:c>
      <x:c r="G79" s="184" t="str">
        <x:v>FO POR SMT HDF 3 COL RU 2100X600X35 ESM</x:v>
      </x:c>
      <x:c r="H79" s="184" t="str"/>
      <x:c r="I79" s="184" t="str"/>
      <x:c r="J79" s="184" t="str"/>
      <x:c r="K79" s="184" t="str">
        <x:v>ESMALTE</x:v>
      </x:c>
      <x:c r="L79" s="184" t="str">
        <x:v>BRANCO CARRARA</x:v>
      </x:c>
      <x:c r="M79" s="205" t="n">
        <x:v>72</x:v>
      </x:c>
      <x:c r="N79" s="205" t="n">
        <x:v>2100</x:v>
      </x:c>
      <x:c r="O79" s="205" t="n">
        <x:v>600</x:v>
      </x:c>
      <x:c r="P79" s="205" t="n">
        <x:v>35</x:v>
      </x:c>
      <x:c r="Q79" s="206" t="n">
        <x:v>3.175</x:v>
      </x:c>
      <x:c r="R79" s="207" t="str"/>
      <x:c r="S79" s="207" t="str"/>
      <x:c r="T79" s="207" t="str"/>
      <x:c r="U79" s="207" t="n">
        <x:v>72</x:v>
      </x:c>
      <x:c r="V79" s="208" t="n">
        <x:f>MAX(0,M79-U79)</x:f>
        <x:v>0</x:v>
      </x:c>
      <x:c r="W79" s="209" t="n">
        <x:f>IFERROR(U79/M79,0)</x:f>
        <x:v>1</x:v>
      </x:c>
      <x:c r="X79" s="201" t="str">
        <x:f>IF(U79=0,"Não iniciado",IF(U79&gt;=M79,"Concluído","Parcial"))</x:f>
        <x:v>Concluído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26815</x:v>
      </x:c>
      <x:c r="C80" s="220" t="str">
        <x:v>1</x:v>
      </x:c>
      <x:c r="D80" s="220" t="str">
        <x:v>609492</x:v>
      </x:c>
      <x:c r="E80" s="220" t="str">
        <x:v>3040300440</x:v>
      </x:c>
      <x:c r="F80" s="220" t="str">
        <x:v>PORTA</x:v>
      </x:c>
      <x:c r="G80" s="190" t="str">
        <x:v>FO POR SMT HDF 3 COL RU 2100X600X35 ESM</x:v>
      </x:c>
      <x:c r="H80" s="190" t="str"/>
      <x:c r="I80" s="190" t="str"/>
      <x:c r="J80" s="190" t="str"/>
      <x:c r="K80" s="190" t="str">
        <x:v>ESMALTE</x:v>
      </x:c>
      <x:c r="L80" s="190" t="str">
        <x:v>BRANCO CARRARA</x:v>
      </x:c>
      <x:c r="M80" s="210" t="n">
        <x:v>154</x:v>
      </x:c>
      <x:c r="N80" s="210" t="n">
        <x:v>2100</x:v>
      </x:c>
      <x:c r="O80" s="210" t="n">
        <x:v>600</x:v>
      </x:c>
      <x:c r="P80" s="210" t="n">
        <x:v>35</x:v>
      </x:c>
      <x:c r="Q80" s="211" t="n">
        <x:v>6.791</x:v>
      </x:c>
      <x:c r="R80" s="207" t="str"/>
      <x:c r="S80" s="207" t="str"/>
      <x:c r="T80" s="207" t="str"/>
      <x:c r="U80" s="207" t="n">
        <x:v>154</x:v>
      </x:c>
      <x:c r="V80" s="208" t="n">
        <x:f>MAX(0,M80-U80)</x:f>
        <x:v>0</x:v>
      </x:c>
      <x:c r="W80" s="209" t="n">
        <x:f>IFERROR(U80/M80,0)</x:f>
        <x:v>1</x:v>
      </x:c>
      <x:c r="X80" s="201" t="str">
        <x:f>IF(U80=0,"Não iniciado",IF(U80&gt;=M80,"Concluído","Parcial"))</x:f>
        <x:v>Concluído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26815</x:v>
      </x:c>
      <x:c r="C81" s="218" t="str">
        <x:v>2</x:v>
      </x:c>
      <x:c r="D81" s="218" t="str">
        <x:v>609500</x:v>
      </x:c>
      <x:c r="E81" s="218" t="str">
        <x:v>3040300440</x:v>
      </x:c>
      <x:c r="F81" s="218" t="str">
        <x:v>PORTA</x:v>
      </x:c>
      <x:c r="G81" s="184" t="str">
        <x:v>FO POR SMT HDF 3 COL RU 2100X600X35 ESM</x:v>
      </x:c>
      <x:c r="H81" s="184" t="str"/>
      <x:c r="I81" s="184" t="str"/>
      <x:c r="J81" s="184" t="str"/>
      <x:c r="K81" s="184" t="str">
        <x:v>ESMALTE</x:v>
      </x:c>
      <x:c r="L81" s="184" t="str">
        <x:v>BRANCO CARRARA</x:v>
      </x:c>
      <x:c r="M81" s="205" t="n">
        <x:v>10</x:v>
      </x:c>
      <x:c r="N81" s="205" t="n">
        <x:v>2100</x:v>
      </x:c>
      <x:c r="O81" s="205" t="n">
        <x:v>600</x:v>
      </x:c>
      <x:c r="P81" s="205" t="n">
        <x:v>35</x:v>
      </x:c>
      <x:c r="Q81" s="206" t="n">
        <x:v>0.441</x:v>
      </x:c>
      <x:c r="R81" s="207" t="str"/>
      <x:c r="S81" s="207" t="str"/>
      <x:c r="T81" s="207" t="str"/>
      <x:c r="U81" s="207" t="n">
        <x:v>10</x:v>
      </x:c>
      <x:c r="V81" s="208" t="n">
        <x:f>MAX(0,M81-U81)</x:f>
        <x:v>0</x:v>
      </x:c>
      <x:c r="W81" s="209" t="n">
        <x:f>IFERROR(U81/M81,0)</x:f>
        <x:v>1</x:v>
      </x:c>
      <x:c r="X81" s="201" t="str">
        <x:f>IF(U81=0,"Não iniciado",IF(U81&gt;=M81,"Concluído","Parcial"))</x:f>
        <x:v>Concluído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26824</x:v>
      </x:c>
      <x:c r="C82" s="220" t="str">
        <x:v>1</x:v>
      </x:c>
      <x:c r="D82" s="220" t="str">
        <x:v>609585</x:v>
      </x:c>
      <x:c r="E82" s="220" t="str">
        <x:v>3040300046</x:v>
      </x:c>
      <x:c r="F82" s="220" t="str">
        <x:v>PORTA</x:v>
      </x:c>
      <x:c r="G82" s="190" t="str">
        <x:v>FO POR SMT HDF 3 COL RU 2100X600X35 ESM</x:v>
      </x:c>
      <x:c r="H82" s="190" t="str"/>
      <x:c r="I82" s="190" t="str"/>
      <x:c r="J82" s="190" t="str"/>
      <x:c r="K82" s="190" t="str">
        <x:v>ESMALTE</x:v>
      </x:c>
      <x:c r="L82" s="190" t="str">
        <x:v>BRANCO CARRARA</x:v>
      </x:c>
      <x:c r="M82" s="210" t="n">
        <x:v>123</x:v>
      </x:c>
      <x:c r="N82" s="210" t="n">
        <x:v>2100</x:v>
      </x:c>
      <x:c r="O82" s="210" t="n">
        <x:v>600</x:v>
      </x:c>
      <x:c r="P82" s="210" t="n">
        <x:v>35</x:v>
      </x:c>
      <x:c r="Q82" s="211" t="n">
        <x:v>5.424</x:v>
      </x:c>
      <x:c r="R82" s="207" t="str"/>
      <x:c r="S82" s="207" t="str"/>
      <x:c r="T82" s="207" t="str"/>
      <x:c r="U82" s="207" t="n">
        <x:v>123</x:v>
      </x:c>
      <x:c r="V82" s="208" t="n">
        <x:f>MAX(0,M82-U82)</x:f>
        <x:v>0</x:v>
      </x:c>
      <x:c r="W82" s="209" t="n">
        <x:f>IFERROR(U82/M82,0)</x:f>
        <x:v>1</x:v>
      </x:c>
      <x:c r="X82" s="201" t="str">
        <x:f>IF(U82=0,"Não iniciado",IF(U82&gt;=M82,"Concluído","Parcial"))</x:f>
        <x:v>Concluído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26809</x:v>
      </x:c>
      <x:c r="C83" s="218" t="str">
        <x:v>9</x:v>
      </x:c>
      <x:c r="D83" s="218" t="str">
        <x:v>609948</x:v>
      </x:c>
      <x:c r="E83" s="218" t="str">
        <x:v>2010701240</x:v>
      </x:c>
      <x:c r="F83" s="218" t="str">
        <x:v>BATENTE</x:v>
      </x:c>
      <x:c r="G83" s="184" t="str">
        <x:v>M ULTRA PET CAP M 2130X290X30 S/REB R2L</x:v>
      </x:c>
      <x:c r="H83" s="184" t="str">
        <x:v>MDF ULTRA</x:v>
      </x:c>
      <x:c r="I83" s="184" t="str">
        <x:v>S/CANAL</x:v>
      </x:c>
      <x:c r="J83" s="184" t="str">
        <x:v>S/REB</x:v>
      </x:c>
      <x:c r="K83" s="184" t="str">
        <x:v>RECOBERTO PET</x:v>
      </x:c>
      <x:c r="L83" s="184" t="str">
        <x:v>CAPUCCINO MARCHE</x:v>
      </x:c>
      <x:c r="M83" s="205" t="n">
        <x:v>2</x:v>
      </x:c>
      <x:c r="N83" s="205" t="n">
        <x:v>2130</x:v>
      </x:c>
      <x:c r="O83" s="205" t="n">
        <x:v>290</x:v>
      </x:c>
      <x:c r="P83" s="205" t="n">
        <x:v>30</x:v>
      </x:c>
      <x:c r="Q83" s="206" t="n">
        <x:v>0.037</x:v>
      </x:c>
      <x:c r="R83" s="207" t="str"/>
      <x:c r="S83" s="207" t="str"/>
      <x:c r="T83" s="207" t="str"/>
      <x:c r="U83" s="207" t="n">
        <x:v>2</x:v>
      </x:c>
      <x:c r="V83" s="208" t="n">
        <x:f>MAX(0,M83-U83)</x:f>
        <x:v>0</x:v>
      </x:c>
      <x:c r="W83" s="209" t="n">
        <x:f>IFERROR(U83/M83,0)</x:f>
        <x:v>1</x:v>
      </x:c>
      <x:c r="X83" s="201" t="str">
        <x:f>IF(U83=0,"Não iniciado",IF(U83&gt;=M83,"Concluído","Parcial"))</x:f>
        <x:v>Concluído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26809</x:v>
      </x:c>
      <x:c r="C84" s="220" t="str">
        <x:v>9</x:v>
      </x:c>
      <x:c r="D84" s="220" t="str">
        <x:v>609949</x:v>
      </x:c>
      <x:c r="E84" s="220" t="str">
        <x:v>2010701241</x:v>
      </x:c>
      <x:c r="F84" s="220" t="str">
        <x:v>BATENTE</x:v>
      </x:c>
      <x:c r="G84" s="190" t="str">
        <x:v>M ULTRA PET CAP M 1300X290X30 S/REB RG 1</x:v>
      </x:c>
      <x:c r="H84" s="190" t="str">
        <x:v>MDF ULTRA</x:v>
      </x:c>
      <x:c r="I84" s="190" t="str">
        <x:v>S/CANAL</x:v>
      </x:c>
      <x:c r="J84" s="190" t="str">
        <x:v>S/REB</x:v>
      </x:c>
      <x:c r="K84" s="190" t="str">
        <x:v>RECOBERTO PET</x:v>
      </x:c>
      <x:c r="L84" s="190" t="str">
        <x:v>CAPUCCINO MARCHE</x:v>
      </x:c>
      <x:c r="M84" s="210" t="n">
        <x:v>1</x:v>
      </x:c>
      <x:c r="N84" s="210" t="n">
        <x:v>1300</x:v>
      </x:c>
      <x:c r="O84" s="210" t="n">
        <x:v>290</x:v>
      </x:c>
      <x:c r="P84" s="210" t="n">
        <x:v>30</x:v>
      </x:c>
      <x:c r="Q84" s="211" t="n">
        <x:v>0.011</x:v>
      </x:c>
      <x:c r="R84" s="207" t="str"/>
      <x:c r="S84" s="207" t="str"/>
      <x:c r="T84" s="207" t="str"/>
      <x:c r="U84" s="207" t="n">
        <x:v>1</x:v>
      </x:c>
      <x:c r="V84" s="208" t="n">
        <x:f>MAX(0,M84-U84)</x:f>
        <x:v>0</x:v>
      </x:c>
      <x:c r="W84" s="209" t="n">
        <x:f>IFERROR(U84/M84,0)</x:f>
        <x:v>1</x:v>
      </x:c>
      <x:c r="X84" s="201" t="str">
        <x:f>IF(U84=0,"Não iniciado",IF(U84&gt;=M84,"Concluído","Parcial"))</x:f>
        <x:v>Concluído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26809</x:v>
      </x:c>
      <x:c r="C85" s="218" t="str">
        <x:v>2</x:v>
      </x:c>
      <x:c r="D85" s="218" t="str">
        <x:v>609931</x:v>
      </x:c>
      <x:c r="E85" s="218" t="str">
        <x:v>2010701238</x:v>
      </x:c>
      <x:c r="F85" s="218" t="str">
        <x:v>BATENTE</x:v>
      </x:c>
      <x:c r="G85" s="184" t="str">
        <x:v>M ULTRA PET CAP M 2110X270X30 42X10 R2L</x:v>
      </x:c>
      <x:c r="H85" s="184" t="str">
        <x:v>MDF ULTRA</x:v>
      </x:c>
      <x:c r="I85" s="184" t="str">
        <x:v>C/BORRACHA I APLICADA</x:v>
      </x:c>
      <x:c r="J85" s="184" t="str">
        <x:v>C/REB 42X10</x:v>
      </x:c>
      <x:c r="K85" s="184" t="str">
        <x:v>RECOBERTO PET</x:v>
      </x:c>
      <x:c r="L85" s="184" t="str">
        <x:v>CAPUCCINO MARCHE</x:v>
      </x:c>
      <x:c r="M85" s="205" t="n">
        <x:v>2</x:v>
      </x:c>
      <x:c r="N85" s="205" t="n">
        <x:v>2110</x:v>
      </x:c>
      <x:c r="O85" s="205" t="n">
        <x:v>270</x:v>
      </x:c>
      <x:c r="P85" s="205" t="n">
        <x:v>30</x:v>
      </x:c>
      <x:c r="Q85" s="206" t="n">
        <x:v>0.034</x:v>
      </x:c>
      <x:c r="R85" s="207" t="str"/>
      <x:c r="S85" s="207" t="str"/>
      <x:c r="T85" s="207" t="str"/>
      <x:c r="U85" s="207" t="n">
        <x:v>2</x:v>
      </x:c>
      <x:c r="V85" s="208" t="n">
        <x:f>MAX(0,M85-U85)</x:f>
        <x:v>0</x:v>
      </x:c>
      <x:c r="W85" s="209" t="n">
        <x:f>IFERROR(U85/M85,0)</x:f>
        <x:v>1</x:v>
      </x:c>
      <x:c r="X85" s="201" t="str">
        <x:f>IF(U85=0,"Não iniciado",IF(U85&gt;=M85,"Concluído","Parcial"))</x:f>
        <x:v>Concluído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26809</x:v>
      </x:c>
      <x:c r="C86" s="220" t="str">
        <x:v>7</x:v>
      </x:c>
      <x:c r="D86" s="220" t="str">
        <x:v>609944</x:v>
      </x:c>
      <x:c r="E86" s="220" t="str">
        <x:v>2010701238</x:v>
      </x:c>
      <x:c r="F86" s="220" t="str">
        <x:v>BATENTE</x:v>
      </x:c>
      <x:c r="G86" s="190" t="str">
        <x:v>M ULTRA PET CAP M 2110X270X30 42X10 R2L</x:v>
      </x:c>
      <x:c r="H86" s="190" t="str">
        <x:v>MDF ULTRA</x:v>
      </x:c>
      <x:c r="I86" s="190" t="str">
        <x:v>C/BORRACHA I APLICADA</x:v>
      </x:c>
      <x:c r="J86" s="190" t="str">
        <x:v>C/REB 42X10</x:v>
      </x:c>
      <x:c r="K86" s="190" t="str">
        <x:v>RECOBERTO PET</x:v>
      </x:c>
      <x:c r="L86" s="190" t="str">
        <x:v>CAPUCCINO MARCHE</x:v>
      </x:c>
      <x:c r="M86" s="210" t="n">
        <x:v>2</x:v>
      </x:c>
      <x:c r="N86" s="210" t="n">
        <x:v>2110</x:v>
      </x:c>
      <x:c r="O86" s="210" t="n">
        <x:v>270</x:v>
      </x:c>
      <x:c r="P86" s="210" t="n">
        <x:v>30</x:v>
      </x:c>
      <x:c r="Q86" s="211" t="n">
        <x:v>0.034</x:v>
      </x:c>
      <x:c r="R86" s="207" t="str"/>
      <x:c r="S86" s="207" t="str"/>
      <x:c r="T86" s="207" t="str"/>
      <x:c r="U86" s="207" t="n">
        <x:v>2</x:v>
      </x:c>
      <x:c r="V86" s="208" t="n">
        <x:f>MAX(0,M86-U86)</x:f>
        <x:v>0</x:v>
      </x:c>
      <x:c r="W86" s="209" t="n">
        <x:f>IFERROR(U86/M86,0)</x:f>
        <x:v>1</x:v>
      </x:c>
      <x:c r="X86" s="201" t="str">
        <x:f>IF(U86=0,"Não iniciado",IF(U86&gt;=M86,"Concluído","Parcial"))</x:f>
        <x:v>Concluído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26809</x:v>
      </x:c>
      <x:c r="C87" s="218" t="str">
        <x:v>7</x:v>
      </x:c>
      <x:c r="D87" s="218" t="str">
        <x:v>609945</x:v>
      </x:c>
      <x:c r="E87" s="218" t="str">
        <x:v>2010701239</x:v>
      </x:c>
      <x:c r="F87" s="218" t="str">
        <x:v>BATENTE</x:v>
      </x:c>
      <x:c r="G87" s="184" t="str">
        <x:v>M ULTRA PET CAP M 947X270X30 42X10 R2L M</x:v>
      </x:c>
      <x:c r="H87" s="184" t="str">
        <x:v>MDF ULTRA</x:v>
      </x:c>
      <x:c r="I87" s="184" t="str">
        <x:v>C/BORRACHA I APLICADA</x:v>
      </x:c>
      <x:c r="J87" s="184" t="str">
        <x:v>C/REB 42X10</x:v>
      </x:c>
      <x:c r="K87" s="184" t="str">
        <x:v>RECOBERTO PET</x:v>
      </x:c>
      <x:c r="L87" s="184" t="str">
        <x:v>CAPUCCINO MARCHE</x:v>
      </x:c>
      <x:c r="M87" s="205" t="n">
        <x:v>1</x:v>
      </x:c>
      <x:c r="N87" s="205" t="n">
        <x:v>947</x:v>
      </x:c>
      <x:c r="O87" s="205" t="n">
        <x:v>270</x:v>
      </x:c>
      <x:c r="P87" s="205" t="n">
        <x:v>30</x:v>
      </x:c>
      <x:c r="Q87" s="206" t="n">
        <x:v>0.008</x:v>
      </x:c>
      <x:c r="R87" s="207" t="str"/>
      <x:c r="S87" s="207" t="str"/>
      <x:c r="T87" s="207" t="str"/>
      <x:c r="U87" s="207" t="n">
        <x:v>1</x:v>
      </x:c>
      <x:c r="V87" s="208" t="n">
        <x:f>MAX(0,M87-U87)</x:f>
        <x:v>0</x:v>
      </x:c>
      <x:c r="W87" s="209" t="n">
        <x:f>IFERROR(U87/M87,0)</x:f>
        <x:v>1</x:v>
      </x:c>
      <x:c r="X87" s="201" t="str">
        <x:f>IF(U87=0,"Não iniciado",IF(U87&gt;=M87,"Concluído","Parcial"))</x:f>
        <x:v>Concluído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26809</x:v>
      </x:c>
      <x:c r="C88" s="220" t="str">
        <x:v>2</x:v>
      </x:c>
      <x:c r="D88" s="220" t="str">
        <x:v>609932</x:v>
      </x:c>
      <x:c r="E88" s="220" t="str">
        <x:v>2010701242</x:v>
      </x:c>
      <x:c r="F88" s="220" t="str">
        <x:v>BATENTE</x:v>
      </x:c>
      <x:c r="G88" s="190" t="str">
        <x:v>M ULTRA PET CAP M 747X270X30 42X10 R2L M</x:v>
      </x:c>
      <x:c r="H88" s="190" t="str">
        <x:v>MDF ULTRA</x:v>
      </x:c>
      <x:c r="I88" s="190" t="str">
        <x:v>C/BORRACHA I APLICADA</x:v>
      </x:c>
      <x:c r="J88" s="190" t="str">
        <x:v>C/REB 42X10</x:v>
      </x:c>
      <x:c r="K88" s="190" t="str">
        <x:v>RECOBERTO PET</x:v>
      </x:c>
      <x:c r="L88" s="190" t="str">
        <x:v>CAPUCCINO MARCHE</x:v>
      </x:c>
      <x:c r="M88" s="210" t="n">
        <x:v>1</x:v>
      </x:c>
      <x:c r="N88" s="210" t="n">
        <x:v>747</x:v>
      </x:c>
      <x:c r="O88" s="210" t="n">
        <x:v>270</x:v>
      </x:c>
      <x:c r="P88" s="210" t="n">
        <x:v>30</x:v>
      </x:c>
      <x:c r="Q88" s="211" t="n">
        <x:v>0.006</x:v>
      </x:c>
      <x:c r="R88" s="207" t="str"/>
      <x:c r="S88" s="207" t="str"/>
      <x:c r="T88" s="207" t="str"/>
      <x:c r="U88" s="207" t="n">
        <x:v>1</x:v>
      </x:c>
      <x:c r="V88" s="208" t="n">
        <x:f>MAX(0,M88-U88)</x:f>
        <x:v>0</x:v>
      </x:c>
      <x:c r="W88" s="209" t="n">
        <x:f>IFERROR(U88/M88,0)</x:f>
        <x:v>1</x:v>
      </x:c>
      <x:c r="X88" s="201" t="str">
        <x:f>IF(U88=0,"Não iniciado",IF(U88&gt;=M88,"Concluído","Parcial"))</x:f>
        <x:v>Concluído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26809</x:v>
      </x:c>
      <x:c r="C89" s="218" t="str">
        <x:v>6</x:v>
      </x:c>
      <x:c r="D89" s="218" t="str">
        <x:v>609941</x:v>
      </x:c>
      <x:c r="E89" s="218" t="str">
        <x:v>2010701236</x:v>
      </x:c>
      <x:c r="F89" s="218" t="str">
        <x:v>BATENTE</x:v>
      </x:c>
      <x:c r="G89" s="184" t="str">
        <x:v>M ULTRA PET CAP M 2110X250X30 42X10 R2L</x:v>
      </x:c>
      <x:c r="H89" s="184" t="str">
        <x:v>MDF ULTRA</x:v>
      </x:c>
      <x:c r="I89" s="184" t="str">
        <x:v>C/BORRACHA I APLICADA</x:v>
      </x:c>
      <x:c r="J89" s="184" t="str">
        <x:v>C/REB 42X10</x:v>
      </x:c>
      <x:c r="K89" s="184" t="str">
        <x:v>RECOBERTO PET</x:v>
      </x:c>
      <x:c r="L89" s="184" t="str">
        <x:v>CAPUCCINO MARCHE</x:v>
      </x:c>
      <x:c r="M89" s="205" t="n">
        <x:v>6</x:v>
      </x:c>
      <x:c r="N89" s="205" t="n">
        <x:v>2110</x:v>
      </x:c>
      <x:c r="O89" s="205" t="n">
        <x:v>250</x:v>
      </x:c>
      <x:c r="P89" s="205" t="n">
        <x:v>30</x:v>
      </x:c>
      <x:c r="Q89" s="206" t="n">
        <x:v>0.095</x:v>
      </x:c>
      <x:c r="R89" s="207" t="str"/>
      <x:c r="S89" s="207" t="str"/>
      <x:c r="T89" s="207" t="str"/>
      <x:c r="U89" s="207" t="n">
        <x:v>6</x:v>
      </x:c>
      <x:c r="V89" s="208" t="n">
        <x:f>MAX(0,M89-U89)</x:f>
        <x:v>0</x:v>
      </x:c>
      <x:c r="W89" s="209" t="n">
        <x:f>IFERROR(U89/M89,0)</x:f>
        <x:v>1</x:v>
      </x:c>
      <x:c r="X89" s="201" t="str">
        <x:f>IF(U89=0,"Não iniciado",IF(U89&gt;=M89,"Concluído","Parcial"))</x:f>
        <x:v>Concluído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26809</x:v>
      </x:c>
      <x:c r="C90" s="220" t="str">
        <x:v>6</x:v>
      </x:c>
      <x:c r="D90" s="220" t="str">
        <x:v>609942</x:v>
      </x:c>
      <x:c r="E90" s="220" t="str">
        <x:v>2010701237</x:v>
      </x:c>
      <x:c r="F90" s="220" t="str">
        <x:v>BATENTE</x:v>
      </x:c>
      <x:c r="G90" s="190" t="str">
        <x:v>M ULTRA PET CAP M 947X250X30 42X10 R2L M</x:v>
      </x:c>
      <x:c r="H90" s="190" t="str">
        <x:v>MDF ULTRA</x:v>
      </x:c>
      <x:c r="I90" s="190" t="str">
        <x:v>C/BORRACHA I APLICADA</x:v>
      </x:c>
      <x:c r="J90" s="190" t="str">
        <x:v>C/REB 42X10</x:v>
      </x:c>
      <x:c r="K90" s="190" t="str">
        <x:v>RECOBERTO PET</x:v>
      </x:c>
      <x:c r="L90" s="190" t="str">
        <x:v>CAPUCCINO MARCHE</x:v>
      </x:c>
      <x:c r="M90" s="210" t="n">
        <x:v>3</x:v>
      </x:c>
      <x:c r="N90" s="210" t="n">
        <x:v>947</x:v>
      </x:c>
      <x:c r="O90" s="210" t="n">
        <x:v>250</x:v>
      </x:c>
      <x:c r="P90" s="210" t="n">
        <x:v>30</x:v>
      </x:c>
      <x:c r="Q90" s="211" t="n">
        <x:v>0.021</x:v>
      </x:c>
      <x:c r="R90" s="207" t="str"/>
      <x:c r="S90" s="207" t="str"/>
      <x:c r="T90" s="207" t="str"/>
      <x:c r="U90" s="207" t="n">
        <x:v>3</x:v>
      </x:c>
      <x:c r="V90" s="208" t="n">
        <x:f>MAX(0,M90-U90)</x:f>
        <x:v>0</x:v>
      </x:c>
      <x:c r="W90" s="209" t="n">
        <x:f>IFERROR(U90/M90,0)</x:f>
        <x:v>1</x:v>
      </x:c>
      <x:c r="X90" s="201" t="str">
        <x:f>IF(U90=0,"Não iniciado",IF(U90&gt;=M90,"Concluído","Parcial"))</x:f>
        <x:v>Concluído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26750</x:v>
      </x:c>
      <x:c r="C91" s="218" t="str">
        <x:v>3</x:v>
      </x:c>
      <x:c r="D91" s="218" t="str">
        <x:v>609791</x:v>
      </x:c>
      <x:c r="E91" s="218" t="str">
        <x:v>2010701231</x:v>
      </x:c>
      <x:c r="F91" s="218" t="str">
        <x:v>BATENTE</x:v>
      </x:c>
      <x:c r="G91" s="184" t="str">
        <x:v>M ULTRA PVC R BCO 2130X190X30 S/REB R2L</x:v>
      </x:c>
      <x:c r="H91" s="184" t="str">
        <x:v>MDF ULTRA</x:v>
      </x:c>
      <x:c r="I91" s="184" t="str">
        <x:v>S/CANAL</x:v>
      </x:c>
      <x:c r="J91" s="184" t="str">
        <x:v>S/REB</x:v>
      </x:c>
      <x:c r="K91" s="184" t="str">
        <x:v>RECOBERTO PVC RENOLIT</x:v>
      </x:c>
      <x:c r="L91" s="184" t="str">
        <x:v>BRANCO</x:v>
      </x:c>
      <x:c r="M91" s="205" t="n">
        <x:v>4</x:v>
      </x:c>
      <x:c r="N91" s="205" t="n">
        <x:v>2130</x:v>
      </x:c>
      <x:c r="O91" s="205" t="n">
        <x:v>190</x:v>
      </x:c>
      <x:c r="P91" s="205" t="n">
        <x:v>30</x:v>
      </x:c>
      <x:c r="Q91" s="206" t="n">
        <x:v>0.049</x:v>
      </x:c>
      <x:c r="R91" s="207" t="str"/>
      <x:c r="S91" s="207" t="str"/>
      <x:c r="T91" s="207" t="str"/>
      <x:c r="U91" s="207" t="n">
        <x:v>4</x:v>
      </x:c>
      <x:c r="V91" s="208" t="n">
        <x:f>MAX(0,M91-U91)</x:f>
        <x:v>0</x:v>
      </x:c>
      <x:c r="W91" s="209" t="n">
        <x:f>IFERROR(U91/M91,0)</x:f>
        <x:v>1</x:v>
      </x:c>
      <x:c r="X91" s="201" t="str">
        <x:f>IF(U91=0,"Não iniciado",IF(U91&gt;=M91,"Concluído","Parcial"))</x:f>
        <x:v>Concluído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26750</x:v>
      </x:c>
      <x:c r="C92" s="220" t="str">
        <x:v>3</x:v>
      </x:c>
      <x:c r="D92" s="220" t="str">
        <x:v>609792</x:v>
      </x:c>
      <x:c r="E92" s="220" t="str">
        <x:v>2010701232</x:v>
      </x:c>
      <x:c r="F92" s="220" t="str">
        <x:v>BATENTE</x:v>
      </x:c>
      <x:c r="G92" s="190" t="str">
        <x:v>M ULTRA PVC R BCO 1200X190X30 S/REB R2L</x:v>
      </x:c>
      <x:c r="H92" s="190" t="str">
        <x:v>MDF ULTRA</x:v>
      </x:c>
      <x:c r="I92" s="190" t="str">
        <x:v>S/CANAL</x:v>
      </x:c>
      <x:c r="J92" s="190" t="str">
        <x:v>S/REB</x:v>
      </x:c>
      <x:c r="K92" s="190" t="str">
        <x:v>RECOBERTO PVC RENOLIT</x:v>
      </x:c>
      <x:c r="L92" s="190" t="str">
        <x:v>BRANCO</x:v>
      </x:c>
      <x:c r="M92" s="210" t="n">
        <x:v>2</x:v>
      </x:c>
      <x:c r="N92" s="210" t="n">
        <x:v>1200</x:v>
      </x:c>
      <x:c r="O92" s="210" t="n">
        <x:v>190</x:v>
      </x:c>
      <x:c r="P92" s="210" t="n">
        <x:v>30</x:v>
      </x:c>
      <x:c r="Q92" s="211" t="n">
        <x:v>0.014</x:v>
      </x:c>
      <x:c r="R92" s="207" t="str"/>
      <x:c r="S92" s="207" t="str"/>
      <x:c r="T92" s="207" t="str"/>
      <x:c r="U92" s="207" t="n">
        <x:v>2</x:v>
      </x:c>
      <x:c r="V92" s="208" t="n">
        <x:f>MAX(0,M92-U92)</x:f>
        <x:v>0</x:v>
      </x:c>
      <x:c r="W92" s="209" t="n">
        <x:f>IFERROR(U92/M92,0)</x:f>
        <x:v>1</x:v>
      </x:c>
      <x:c r="X92" s="201" t="str">
        <x:f>IF(U92=0,"Não iniciado",IF(U92&gt;=M92,"Concluído","Parcial"))</x:f>
        <x:v>Concluído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26739</x:v>
      </x:c>
      <x:c r="C93" s="218" t="str">
        <x:v>2</x:v>
      </x:c>
      <x:c r="D93" s="218" t="str">
        <x:v>609628</x:v>
      </x:c>
      <x:c r="E93" s="218" t="str">
        <x:v>2010701226</x:v>
      </x:c>
      <x:c r="F93" s="218" t="str">
        <x:v>BATENTE</x:v>
      </x:c>
      <x:c r="G93" s="184" t="str">
        <x:v>M ULTRA PVC R BCO 2130X170X30 S/REB R2L</x:v>
      </x:c>
      <x:c r="H93" s="184" t="str">
        <x:v>MDF ULTRA</x:v>
      </x:c>
      <x:c r="I93" s="184" t="str">
        <x:v>S/CANAL</x:v>
      </x:c>
      <x:c r="J93" s="184" t="str">
        <x:v>S/REB</x:v>
      </x:c>
      <x:c r="K93" s="184" t="str">
        <x:v>RECOBERTO PVC RENOLIT</x:v>
      </x:c>
      <x:c r="L93" s="184" t="str">
        <x:v>BRANCO</x:v>
      </x:c>
      <x:c r="M93" s="205" t="n">
        <x:v>32</x:v>
      </x:c>
      <x:c r="N93" s="205" t="n">
        <x:v>2130</x:v>
      </x:c>
      <x:c r="O93" s="205" t="n">
        <x:v>170</x:v>
      </x:c>
      <x:c r="P93" s="205" t="n">
        <x:v>30</x:v>
      </x:c>
      <x:c r="Q93" s="206" t="n">
        <x:v>0.348</x:v>
      </x:c>
      <x:c r="R93" s="207" t="str"/>
      <x:c r="S93" s="207" t="str"/>
      <x:c r="T93" s="207" t="str"/>
      <x:c r="U93" s="207" t="n">
        <x:v>32</x:v>
      </x:c>
      <x:c r="V93" s="208" t="n">
        <x:f>MAX(0,M93-U93)</x:f>
        <x:v>0</x:v>
      </x:c>
      <x:c r="W93" s="209" t="n">
        <x:f>IFERROR(U93/M93,0)</x:f>
        <x:v>1</x:v>
      </x:c>
      <x:c r="X93" s="201" t="str">
        <x:f>IF(U93=0,"Não iniciado",IF(U93&gt;=M93,"Concluído","Parcial"))</x:f>
        <x:v>Concluído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26750</x:v>
      </x:c>
      <x:c r="C94" s="220" t="str">
        <x:v>2</x:v>
      </x:c>
      <x:c r="D94" s="220" t="str">
        <x:v>609788</x:v>
      </x:c>
      <x:c r="E94" s="220" t="str">
        <x:v>2010701226</x:v>
      </x:c>
      <x:c r="F94" s="220" t="str">
        <x:v>BATENTE</x:v>
      </x:c>
      <x:c r="G94" s="190" t="str">
        <x:v>M ULTRA PVC R BCO 2130X170X30 S/REB R2L</x:v>
      </x:c>
      <x:c r="H94" s="190" t="str">
        <x:v>MDF ULTRA</x:v>
      </x:c>
      <x:c r="I94" s="190" t="str">
        <x:v>S/CANAL</x:v>
      </x:c>
      <x:c r="J94" s="190" t="str">
        <x:v>S/REB</x:v>
      </x:c>
      <x:c r="K94" s="190" t="str">
        <x:v>RECOBERTO PVC RENOLIT</x:v>
      </x:c>
      <x:c r="L94" s="190" t="str">
        <x:v>BRANCO</x:v>
      </x:c>
      <x:c r="M94" s="210" t="n">
        <x:v>18</x:v>
      </x:c>
      <x:c r="N94" s="210" t="n">
        <x:v>2130</x:v>
      </x:c>
      <x:c r="O94" s="210" t="n">
        <x:v>170</x:v>
      </x:c>
      <x:c r="P94" s="210" t="n">
        <x:v>30</x:v>
      </x:c>
      <x:c r="Q94" s="211" t="n">
        <x:v>0.196</x:v>
      </x:c>
      <x:c r="R94" s="207" t="str"/>
      <x:c r="S94" s="207" t="str"/>
      <x:c r="T94" s="207" t="str"/>
      <x:c r="U94" s="207" t="n">
        <x:v>18</x:v>
      </x:c>
      <x:c r="V94" s="208" t="n">
        <x:f>MAX(0,M94-U94)</x:f>
        <x:v>0</x:v>
      </x:c>
      <x:c r="W94" s="209" t="n">
        <x:f>IFERROR(U94/M94,0)</x:f>
        <x:v>1</x:v>
      </x:c>
      <x:c r="X94" s="201" t="str">
        <x:f>IF(U94=0,"Não iniciado",IF(U94&gt;=M94,"Concluído","Parcial"))</x:f>
        <x:v>Concluído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26739</x:v>
      </x:c>
      <x:c r="C95" s="218" t="str">
        <x:v>2</x:v>
      </x:c>
      <x:c r="D95" s="218" t="str">
        <x:v>609629</x:v>
      </x:c>
      <x:c r="E95" s="218" t="str">
        <x:v>2010701227</x:v>
      </x:c>
      <x:c r="F95" s="218" t="str">
        <x:v>BATENTE</x:v>
      </x:c>
      <x:c r="G95" s="184" t="str">
        <x:v>M ULTRA PVC R BCO 1200X170X30 S/REB R2L</x:v>
      </x:c>
      <x:c r="H95" s="184" t="str">
        <x:v>MDF ULTRA</x:v>
      </x:c>
      <x:c r="I95" s="184" t="str">
        <x:v>S/CANAL</x:v>
      </x:c>
      <x:c r="J95" s="184" t="str">
        <x:v>S/REB</x:v>
      </x:c>
      <x:c r="K95" s="184" t="str">
        <x:v>RECOBERTO PVC RENOLIT</x:v>
      </x:c>
      <x:c r="L95" s="184" t="str">
        <x:v>BRANCO</x:v>
      </x:c>
      <x:c r="M95" s="205" t="n">
        <x:v>16</x:v>
      </x:c>
      <x:c r="N95" s="205" t="n">
        <x:v>1200</x:v>
      </x:c>
      <x:c r="O95" s="205" t="n">
        <x:v>170</x:v>
      </x:c>
      <x:c r="P95" s="205" t="n">
        <x:v>30</x:v>
      </x:c>
      <x:c r="Q95" s="206" t="n">
        <x:v>0.098</x:v>
      </x:c>
      <x:c r="R95" s="207" t="str"/>
      <x:c r="S95" s="207" t="str"/>
      <x:c r="T95" s="207" t="str"/>
      <x:c r="U95" s="207" t="n">
        <x:v>16</x:v>
      </x:c>
      <x:c r="V95" s="208" t="n">
        <x:f>MAX(0,M95-U95)</x:f>
        <x:v>0</x:v>
      </x:c>
      <x:c r="W95" s="209" t="n">
        <x:f>IFERROR(U95/M95,0)</x:f>
        <x:v>1</x:v>
      </x:c>
      <x:c r="X95" s="201" t="str">
        <x:f>IF(U95=0,"Não iniciado",IF(U95&gt;=M95,"Concluído","Parcial"))</x:f>
        <x:v>Concluído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26750</x:v>
      </x:c>
      <x:c r="C96" s="220" t="str">
        <x:v>2</x:v>
      </x:c>
      <x:c r="D96" s="220" t="str">
        <x:v>609789</x:v>
      </x:c>
      <x:c r="E96" s="220" t="str">
        <x:v>2010701227</x:v>
      </x:c>
      <x:c r="F96" s="220" t="str">
        <x:v>BATENTE</x:v>
      </x:c>
      <x:c r="G96" s="190" t="str">
        <x:v>M ULTRA PVC R BCO 1200X170X30 S/REB R2L</x:v>
      </x:c>
      <x:c r="H96" s="190" t="str">
        <x:v>MDF ULTRA</x:v>
      </x:c>
      <x:c r="I96" s="190" t="str">
        <x:v>S/CANAL</x:v>
      </x:c>
      <x:c r="J96" s="190" t="str">
        <x:v>S/REB</x:v>
      </x:c>
      <x:c r="K96" s="190" t="str">
        <x:v>RECOBERTO PVC RENOLIT</x:v>
      </x:c>
      <x:c r="L96" s="190" t="str">
        <x:v>BRANCO</x:v>
      </x:c>
      <x:c r="M96" s="210" t="n">
        <x:v>9</x:v>
      </x:c>
      <x:c r="N96" s="210" t="n">
        <x:v>1200</x:v>
      </x:c>
      <x:c r="O96" s="210" t="n">
        <x:v>170</x:v>
      </x:c>
      <x:c r="P96" s="210" t="n">
        <x:v>30</x:v>
      </x:c>
      <x:c r="Q96" s="211" t="n">
        <x:v>0.055</x:v>
      </x:c>
      <x:c r="R96" s="207" t="str"/>
      <x:c r="S96" s="207" t="str"/>
      <x:c r="T96" s="207" t="str"/>
      <x:c r="U96" s="207" t="n">
        <x:v>9</x:v>
      </x:c>
      <x:c r="V96" s="208" t="n">
        <x:f>MAX(0,M96-U96)</x:f>
        <x:v>0</x:v>
      </x:c>
      <x:c r="W96" s="209" t="n">
        <x:f>IFERROR(U96/M96,0)</x:f>
        <x:v>1</x:v>
      </x:c>
      <x:c r="X96" s="201" t="str">
        <x:f>IF(U96=0,"Não iniciado",IF(U96&gt;=M96,"Concluído","Parcial"))</x:f>
        <x:v>Concluído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26747</x:v>
      </x:c>
      <x:c r="C97" s="218" t="str">
        <x:v>13</x:v>
      </x:c>
      <x:c r="D97" s="218" t="str">
        <x:v>609029</x:v>
      </x:c>
      <x:c r="E97" s="218" t="str">
        <x:v>919766</x:v>
      </x:c>
      <x:c r="F97" s="218" t="str">
        <x:v>BATENTE</x:v>
      </x:c>
      <x:c r="G97" s="184" t="str">
        <x:v>2130x150x30 S/REB R2L R1 PET BRC (UL)</x:v>
      </x:c>
      <x:c r="H97" s="184" t="str">
        <x:v>MDF ULTRA</x:v>
      </x:c>
      <x:c r="I97" s="184" t="str">
        <x:v>S/CANAL</x:v>
      </x:c>
      <x:c r="J97" s="184" t="str">
        <x:v>S/REB</x:v>
      </x:c>
      <x:c r="K97" s="184" t="str">
        <x:v>RECOBERTO PET</x:v>
      </x:c>
      <x:c r="L97" s="184" t="str">
        <x:v>BRANCO CARRARA</x:v>
      </x:c>
      <x:c r="M97" s="205" t="n">
        <x:v>2</x:v>
      </x:c>
      <x:c r="N97" s="205" t="n">
        <x:v>2130</x:v>
      </x:c>
      <x:c r="O97" s="205" t="n">
        <x:v>150</x:v>
      </x:c>
      <x:c r="P97" s="205" t="n">
        <x:v>30</x:v>
      </x:c>
      <x:c r="Q97" s="206" t="n">
        <x:v>0</x:v>
      </x:c>
      <x:c r="R97" s="207" t="str"/>
      <x:c r="S97" s="207" t="str"/>
      <x:c r="T97" s="207" t="str"/>
      <x:c r="U97" s="207" t="n">
        <x:v>2</x:v>
      </x:c>
      <x:c r="V97" s="208" t="n">
        <x:f>MAX(0,M97-U97)</x:f>
        <x:v>0</x:v>
      </x:c>
      <x:c r="W97" s="209" t="n">
        <x:f>IFERROR(U97/M97,0)</x:f>
        <x:v>1</x:v>
      </x:c>
      <x:c r="X97" s="201" t="str">
        <x:f>IF(U97=0,"Não iniciado",IF(U97&gt;=M97,"Concluído","Parcial"))</x:f>
        <x:v>Concluído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26747</x:v>
      </x:c>
      <x:c r="C98" s="220" t="str">
        <x:v>13</x:v>
      </x:c>
      <x:c r="D98" s="220" t="str">
        <x:v>609030</x:v>
      </x:c>
      <x:c r="E98" s="220" t="str">
        <x:v>964082</x:v>
      </x:c>
      <x:c r="F98" s="220" t="str">
        <x:v>BATENTE</x:v>
      </x:c>
      <x:c r="G98" s="190" t="str">
        <x:v>1000x150x30 S/REB R1L RTo PET BC (UL)</x:v>
      </x:c>
      <x:c r="H98" s="190" t="str">
        <x:v>MDF ULTRA</x:v>
      </x:c>
      <x:c r="I98" s="190" t="str">
        <x:v>S/CANAL</x:v>
      </x:c>
      <x:c r="J98" s="190" t="str">
        <x:v>S/REB</x:v>
      </x:c>
      <x:c r="K98" s="190" t="str">
        <x:v>RECOBERTO PET</x:v>
      </x:c>
      <x:c r="L98" s="190" t="str">
        <x:v>BRANCO CARRARA</x:v>
      </x:c>
      <x:c r="M98" s="210" t="n">
        <x:v>1</x:v>
      </x:c>
      <x:c r="N98" s="210" t="n">
        <x:v>1000</x:v>
      </x:c>
      <x:c r="O98" s="210" t="n">
        <x:v>150</x:v>
      </x:c>
      <x:c r="P98" s="210" t="n">
        <x:v>30</x:v>
      </x:c>
      <x:c r="Q98" s="211" t="n">
        <x:v>0</x:v>
      </x:c>
      <x:c r="R98" s="207" t="str"/>
      <x:c r="S98" s="207" t="str"/>
      <x:c r="T98" s="207" t="str"/>
      <x:c r="U98" s="207" t="n">
        <x:v>1</x:v>
      </x:c>
      <x:c r="V98" s="208" t="n">
        <x:f>MAX(0,M98-U98)</x:f>
        <x:v>0</x:v>
      </x:c>
      <x:c r="W98" s="209" t="n">
        <x:f>IFERROR(U98/M98,0)</x:f>
        <x:v>1</x:v>
      </x:c>
      <x:c r="X98" s="201" t="str">
        <x:f>IF(U98=0,"Não iniciado",IF(U98&gt;=M98,"Concluído","Parcial"))</x:f>
        <x:v>Concluído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26747</x:v>
      </x:c>
      <x:c r="C99" s="218" t="str">
        <x:v>11</x:v>
      </x:c>
      <x:c r="D99" s="218" t="str">
        <x:v>609021</x:v>
      </x:c>
      <x:c r="E99" s="218" t="str">
        <x:v>957319</x:v>
      </x:c>
      <x:c r="F99" s="218" t="str">
        <x:v>BATENTE</x:v>
      </x:c>
      <x:c r="G99" s="184" t="str">
        <x:v>2130x130x30 S/RB R2L RTO PET BRC (UL)</x:v>
      </x:c>
      <x:c r="H99" s="184" t="str">
        <x:v>MDF ULTRA</x:v>
      </x:c>
      <x:c r="I99" s="184" t="str">
        <x:v>S/CANAL</x:v>
      </x:c>
      <x:c r="J99" s="184" t="str">
        <x:v>S/REB</x:v>
      </x:c>
      <x:c r="K99" s="184" t="str">
        <x:v>RECOBERTO PET</x:v>
      </x:c>
      <x:c r="L99" s="184" t="str">
        <x:v>BRANCO CARRARA</x:v>
      </x:c>
      <x:c r="M99" s="205" t="n">
        <x:v>2</x:v>
      </x:c>
      <x:c r="N99" s="205" t="n">
        <x:v>2130</x:v>
      </x:c>
      <x:c r="O99" s="205" t="n">
        <x:v>130</x:v>
      </x:c>
      <x:c r="P99" s="205" t="n">
        <x:v>30</x:v>
      </x:c>
      <x:c r="Q99" s="206" t="n">
        <x:v>0</x:v>
      </x:c>
      <x:c r="R99" s="207" t="str"/>
      <x:c r="S99" s="207" t="str"/>
      <x:c r="T99" s="207" t="str"/>
      <x:c r="U99" s="207" t="n">
        <x:v>2</x:v>
      </x:c>
      <x:c r="V99" s="208" t="n">
        <x:f>MAX(0,M99-U99)</x:f>
        <x:v>0</x:v>
      </x:c>
      <x:c r="W99" s="209" t="n">
        <x:f>IFERROR(U99/M99,0)</x:f>
        <x:v>1</x:v>
      </x:c>
      <x:c r="X99" s="201" t="str">
        <x:f>IF(U99=0,"Não iniciado",IF(U99&gt;=M99,"Concluído","Parcial"))</x:f>
        <x:v>Concluído</x:v>
      </x:c>
      <x:c r="Y99" s="199" t="str"/>
      <x:c r="Z99" s="188" t="str">
        <x:v>Normal</x:v>
      </x:c>
    </x:row>
    <x:row r="100" ht="22" customHeight="1">
      <x:c r="A100" s="219" t="n">
        <x:v>96</x:v>
      </x:c>
      <x:c r="B100" s="220" t="str">
        <x:v>26747</x:v>
      </x:c>
      <x:c r="C100" s="220" t="str">
        <x:v>11</x:v>
      </x:c>
      <x:c r="D100" s="220" t="str">
        <x:v>609020</x:v>
      </x:c>
      <x:c r="E100" s="220" t="str">
        <x:v>921859</x:v>
      </x:c>
      <x:c r="F100" s="220" t="str">
        <x:v>BATENTE</x:v>
      </x:c>
      <x:c r="G100" s="190" t="str">
        <x:v>1000x130x30 S/RB R1L (MA) PET BC (UL)</x:v>
      </x:c>
      <x:c r="H100" s="190" t="str">
        <x:v>MDF ULTRA</x:v>
      </x:c>
      <x:c r="I100" s="190" t="str">
        <x:v>S/CANAL</x:v>
      </x:c>
      <x:c r="J100" s="190" t="str">
        <x:v>S/REB</x:v>
      </x:c>
      <x:c r="K100" s="190" t="str">
        <x:v>RECOBERTO PET</x:v>
      </x:c>
      <x:c r="L100" s="190" t="str">
        <x:v>BRANCO CARRARA</x:v>
      </x:c>
      <x:c r="M100" s="210" t="n">
        <x:v>1</x:v>
      </x:c>
      <x:c r="N100" s="210" t="n">
        <x:v>1000</x:v>
      </x:c>
      <x:c r="O100" s="210" t="n">
        <x:v>130</x:v>
      </x:c>
      <x:c r="P100" s="210" t="n">
        <x:v>30</x:v>
      </x:c>
      <x:c r="Q100" s="211" t="n">
        <x:v>0</x:v>
      </x:c>
      <x:c r="R100" s="207" t="str"/>
      <x:c r="S100" s="207" t="str"/>
      <x:c r="T100" s="207" t="str"/>
      <x:c r="U100" s="207" t="n">
        <x:v>1</x:v>
      </x:c>
      <x:c r="V100" s="208" t="n">
        <x:f>MAX(0,M100-U100)</x:f>
        <x:v>0</x:v>
      </x:c>
      <x:c r="W100" s="209" t="n">
        <x:f>IFERROR(U100/M100,0)</x:f>
        <x:v>1</x:v>
      </x:c>
      <x:c r="X100" s="201" t="str">
        <x:f>IF(U100=0,"Não iniciado",IF(U100&gt;=M100,"Concluído","Parcial"))</x:f>
        <x:v>Concluído</x:v>
      </x:c>
      <x:c r="Y100" s="199" t="str"/>
      <x:c r="Z100" s="188" t="str">
        <x:v>Normal</x:v>
      </x:c>
    </x:row>
    <x:row r="101" ht="22" customHeight="1">
      <x:c r="A101" s="217" t="n">
        <x:v>97</x:v>
      </x:c>
      <x:c r="B101" s="218" t="str">
        <x:v>26747</x:v>
      </x:c>
      <x:c r="C101" s="218" t="str">
        <x:v>6</x:v>
      </x:c>
      <x:c r="D101" s="218" t="str">
        <x:v>609012</x:v>
      </x:c>
      <x:c r="E101" s="218" t="str">
        <x:v>964779</x:v>
      </x:c>
      <x:c r="F101" s="218" t="str">
        <x:v>BATENTE</x:v>
      </x:c>
      <x:c r="G101" s="184" t="str">
        <x:v>747x130x30 42X10 R2L BIA RT PET BCO (ULT</x:v>
      </x:c>
      <x:c r="H101" s="184" t="str"/>
      <x:c r="I101" s="184" t="str"/>
      <x:c r="J101" s="184" t="str"/>
      <x:c r="K101" s="184" t="str">
        <x:v>RECOBERTO MELAMINICO</x:v>
      </x:c>
      <x:c r="L101" s="184" t="str">
        <x:v>BRANCO CARRARA</x:v>
      </x:c>
      <x:c r="M101" s="205" t="n">
        <x:v>1</x:v>
      </x:c>
      <x:c r="N101" s="205" t="n">
        <x:v>747</x:v>
      </x:c>
      <x:c r="O101" s="205" t="n">
        <x:v>130</x:v>
      </x:c>
      <x:c r="P101" s="205" t="n">
        <x:v>30</x:v>
      </x:c>
      <x:c r="Q101" s="206" t="n">
        <x:v>0</x:v>
      </x:c>
      <x:c r="R101" s="207" t="str"/>
      <x:c r="S101" s="207" t="str"/>
      <x:c r="T101" s="207" t="str"/>
      <x:c r="U101" s="207" t="n">
        <x:v>0</x:v>
      </x:c>
      <x:c r="V101" s="208" t="n">
        <x:f>MAX(0,M101-U101)</x:f>
        <x:v>1</x:v>
      </x:c>
      <x:c r="W101" s="209" t="n">
        <x:f>IFERROR(U101/M101,0)</x:f>
        <x:v>0</x:v>
      </x:c>
      <x:c r="X101" s="201" t="str">
        <x:f>IF(U101=0,"Não iniciado",IF(U101&gt;=M101,"Concluído","Parcial"))</x:f>
        <x:v>Não iniciado</x:v>
      </x:c>
      <x:c r="Y101" s="199" t="str"/>
      <x:c r="Z101" s="188" t="str">
        <x:v>Normal</x:v>
      </x:c>
    </x:row>
    <x:row r="102" ht="22" customHeight="1">
      <x:c r="A102" s="219" t="n">
        <x:v>98</x:v>
      </x:c>
      <x:c r="B102" s="220" t="str">
        <x:v>26825</x:v>
      </x:c>
      <x:c r="C102" s="220" t="str">
        <x:v>2</x:v>
      </x:c>
      <x:c r="D102" s="220" t="str">
        <x:v>609044</x:v>
      </x:c>
      <x:c r="E102" s="220" t="str">
        <x:v>2010701243</x:v>
      </x:c>
      <x:c r="F102" s="220" t="str">
        <x:v>BATENTE</x:v>
      </x:c>
      <x:c r="G102" s="190" t="str">
        <x:v>M ULTRA PET BCO CAR 2130X110X30 S/REB R2</x:v>
      </x:c>
      <x:c r="H102" s="190" t="str">
        <x:v>MDF ULTRA</x:v>
      </x:c>
      <x:c r="I102" s="190" t="str">
        <x:v>S/CANAL</x:v>
      </x:c>
      <x:c r="J102" s="190" t="str">
        <x:v>S/REB</x:v>
      </x:c>
      <x:c r="K102" s="190" t="str">
        <x:v>RECOBERTO PET</x:v>
      </x:c>
      <x:c r="L102" s="190" t="str">
        <x:v>BRANCO CARRARA</x:v>
      </x:c>
      <x:c r="M102" s="210" t="n">
        <x:v>64</x:v>
      </x:c>
      <x:c r="N102" s="210" t="n">
        <x:v>2130</x:v>
      </x:c>
      <x:c r="O102" s="210" t="n">
        <x:v>110</x:v>
      </x:c>
      <x:c r="P102" s="210" t="n">
        <x:v>30</x:v>
      </x:c>
      <x:c r="Q102" s="211" t="n">
        <x:v>0.45</x:v>
      </x:c>
      <x:c r="R102" s="207" t="str"/>
      <x:c r="S102" s="207" t="str"/>
      <x:c r="T102" s="207" t="str"/>
      <x:c r="U102" s="207" t="n">
        <x:v>64</x:v>
      </x:c>
      <x:c r="V102" s="208" t="n">
        <x:f>MAX(0,M102-U102)</x:f>
        <x:v>0</x:v>
      </x:c>
      <x:c r="W102" s="209" t="n">
        <x:f>IFERROR(U102/M102,0)</x:f>
        <x:v>1</x:v>
      </x:c>
      <x:c r="X102" s="201" t="str">
        <x:f>IF(U102=0,"Não iniciado",IF(U102&gt;=M102,"Concluído","Parcial"))</x:f>
        <x:v>Concluído</x:v>
      </x:c>
      <x:c r="Y102" s="199" t="str"/>
      <x:c r="Z102" s="188" t="str">
        <x:v>Normal</x:v>
      </x:c>
    </x:row>
    <x:row r="103" ht="22" customHeight="1">
      <x:c r="A103" s="217" t="n">
        <x:v>99</x:v>
      </x:c>
      <x:c r="B103" s="218" t="str">
        <x:v>26520</x:v>
      </x:c>
      <x:c r="C103" s="218" t="str">
        <x:v>8</x:v>
      </x:c>
      <x:c r="D103" s="218" t="str">
        <x:v>610112</x:v>
      </x:c>
      <x:c r="E103" s="218" t="str">
        <x:v>2010701222</x:v>
      </x:c>
      <x:c r="F103" s="218" t="str">
        <x:v>BATENTE</x:v>
      </x:c>
      <x:c r="G103" s="184" t="str">
        <x:v>M ULTRA PET C RA 2130X110X30 S/REB R2L M</x:v>
      </x:c>
      <x:c r="H103" s="184" t="str">
        <x:v>MDF ULTRA</x:v>
      </x:c>
      <x:c r="I103" s="184" t="str">
        <x:v>S/CANAL</x:v>
      </x:c>
      <x:c r="J103" s="184" t="str">
        <x:v>S/REB</x:v>
      </x:c>
      <x:c r="K103" s="184" t="str">
        <x:v>RECOBERTO PET</x:v>
      </x:c>
      <x:c r="L103" s="184" t="str">
        <x:v>CURUPIXA RAVENNA</x:v>
      </x:c>
      <x:c r="M103" s="205" t="n">
        <x:v>2</x:v>
      </x:c>
      <x:c r="N103" s="205" t="n">
        <x:v>2130</x:v>
      </x:c>
      <x:c r="O103" s="205" t="n">
        <x:v>110</x:v>
      </x:c>
      <x:c r="P103" s="205" t="n">
        <x:v>30</x:v>
      </x:c>
      <x:c r="Q103" s="206" t="n">
        <x:v>0.014</x:v>
      </x:c>
      <x:c r="R103" s="207" t="str"/>
      <x:c r="S103" s="207" t="str"/>
      <x:c r="T103" s="207" t="str"/>
      <x:c r="U103" s="207" t="n">
        <x:v>2</x:v>
      </x:c>
      <x:c r="V103" s="208" t="n">
        <x:f>MAX(0,M103-U103)</x:f>
        <x:v>0</x:v>
      </x:c>
      <x:c r="W103" s="209" t="n">
        <x:f>IFERROR(U103/M103,0)</x:f>
        <x:v>1</x:v>
      </x:c>
      <x:c r="X103" s="201" t="str">
        <x:f>IF(U103=0,"Não iniciado",IF(U103&gt;=M103,"Concluído","Parcial"))</x:f>
        <x:v>Concluído</x:v>
      </x:c>
      <x:c r="Y103" s="199" t="str"/>
      <x:c r="Z103" s="188" t="str">
        <x:v>Normal</x:v>
      </x:c>
    </x:row>
    <x:row r="104" ht="22" customHeight="1">
      <x:c r="A104" s="219" t="n">
        <x:v>100</x:v>
      </x:c>
      <x:c r="B104" s="220" t="str">
        <x:v>26520</x:v>
      </x:c>
      <x:c r="C104" s="220" t="str">
        <x:v>11</x:v>
      </x:c>
      <x:c r="D104" s="220" t="str">
        <x:v>610128</x:v>
      </x:c>
      <x:c r="E104" s="220" t="str">
        <x:v>2010701218</x:v>
      </x:c>
      <x:c r="F104" s="220" t="str">
        <x:v>BATENTE</x:v>
      </x:c>
      <x:c r="G104" s="190" t="str">
        <x:v>M ULTRA PET C RA 2110X110X30 42X10 R2L M</x:v>
      </x:c>
      <x:c r="H104" s="190" t="str"/>
      <x:c r="I104" s="190" t="str"/>
      <x:c r="J104" s="190" t="str"/>
      <x:c r="K104" s="190" t="str">
        <x:v>RECOBERTO PET</x:v>
      </x:c>
      <x:c r="L104" s="190" t="str">
        <x:v>CURUPIXA RAVENNA</x:v>
      </x:c>
      <x:c r="M104" s="210" t="n">
        <x:v>6</x:v>
      </x:c>
      <x:c r="N104" s="210" t="n">
        <x:v>2110</x:v>
      </x:c>
      <x:c r="O104" s="210" t="n">
        <x:v>110</x:v>
      </x:c>
      <x:c r="P104" s="210" t="n">
        <x:v>30</x:v>
      </x:c>
      <x:c r="Q104" s="211" t="n">
        <x:v>0.042</x:v>
      </x:c>
      <x:c r="R104" s="207" t="str"/>
      <x:c r="S104" s="207" t="str"/>
      <x:c r="T104" s="207" t="str"/>
      <x:c r="U104" s="207" t="n">
        <x:v>0</x:v>
      </x:c>
      <x:c r="V104" s="208" t="n">
        <x:f>MAX(0,M104-U104)</x:f>
        <x:v>6</x:v>
      </x:c>
      <x:c r="W104" s="209" t="n">
        <x:f>IFERROR(U104/M104,0)</x:f>
        <x:v>0</x:v>
      </x:c>
      <x:c r="X104" s="201" t="str">
        <x:f>IF(U104=0,"Não iniciado",IF(U104&gt;=M104,"Concluído","Parcial"))</x:f>
        <x:v>Não iniciado</x:v>
      </x:c>
      <x:c r="Y104" s="199" t="str"/>
      <x:c r="Z104" s="188" t="str">
        <x:v>Normal</x:v>
      </x:c>
    </x:row>
    <x:row r="105" ht="22" customHeight="1">
      <x:c r="A105" s="217" t="n">
        <x:v>101</x:v>
      </x:c>
      <x:c r="B105" s="218" t="str">
        <x:v>26825</x:v>
      </x:c>
      <x:c r="C105" s="218" t="str">
        <x:v>2</x:v>
      </x:c>
      <x:c r="D105" s="218" t="str">
        <x:v>609045</x:v>
      </x:c>
      <x:c r="E105" s="218" t="str">
        <x:v>2010701244</x:v>
      </x:c>
      <x:c r="F105" s="218" t="str">
        <x:v>BATENTE</x:v>
      </x:c>
      <x:c r="G105" s="184" t="str">
        <x:v>M ULTRA PET BCO CAR 1100X110X30 S/REB RG</x:v>
      </x:c>
      <x:c r="H105" s="184" t="str">
        <x:v>MDF ULTRA</x:v>
      </x:c>
      <x:c r="I105" s="184" t="str">
        <x:v>S/CANAL</x:v>
      </x:c>
      <x:c r="J105" s="184" t="str">
        <x:v>S/REB</x:v>
      </x:c>
      <x:c r="K105" s="184" t="str">
        <x:v>RECOBERTO PET</x:v>
      </x:c>
      <x:c r="L105" s="184" t="str">
        <x:v>BRANCO CARRARA</x:v>
      </x:c>
      <x:c r="M105" s="205" t="n">
        <x:v>32</x:v>
      </x:c>
      <x:c r="N105" s="205" t="n">
        <x:v>1100</x:v>
      </x:c>
      <x:c r="O105" s="205" t="n">
        <x:v>110</x:v>
      </x:c>
      <x:c r="P105" s="205" t="n">
        <x:v>30</x:v>
      </x:c>
      <x:c r="Q105" s="206" t="n">
        <x:v>0.116</x:v>
      </x:c>
      <x:c r="R105" s="207" t="str"/>
      <x:c r="S105" s="207" t="str"/>
      <x:c r="T105" s="207" t="str"/>
      <x:c r="U105" s="207" t="n">
        <x:v>32</x:v>
      </x:c>
      <x:c r="V105" s="208" t="n">
        <x:f>MAX(0,M105-U105)</x:f>
        <x:v>0</x:v>
      </x:c>
      <x:c r="W105" s="209" t="n">
        <x:f>IFERROR(U105/M105,0)</x:f>
        <x:v>1</x:v>
      </x:c>
      <x:c r="X105" s="201" t="str">
        <x:f>IF(U105=0,"Não iniciado",IF(U105&gt;=M105,"Concluído","Parcial"))</x:f>
        <x:v>Concluído</x:v>
      </x:c>
      <x:c r="Y105" s="199" t="str"/>
      <x:c r="Z105" s="188" t="str">
        <x:v>Normal</x:v>
      </x:c>
    </x:row>
    <x:row r="106" ht="22" customHeight="1">
      <x:c r="A106" s="219" t="n">
        <x:v>102</x:v>
      </x:c>
      <x:c r="B106" s="220" t="str">
        <x:v>26520</x:v>
      </x:c>
      <x:c r="C106" s="220" t="str">
        <x:v>8</x:v>
      </x:c>
      <x:c r="D106" s="220" t="str">
        <x:v>610113</x:v>
      </x:c>
      <x:c r="E106" s="220" t="str">
        <x:v>2010701223</x:v>
      </x:c>
      <x:c r="F106" s="220" t="str">
        <x:v>BATENTE</x:v>
      </x:c>
      <x:c r="G106" s="190" t="str">
        <x:v>M ULTRA PET C RA 1000X110X30 S/REB RG 1</x:v>
      </x:c>
      <x:c r="H106" s="190" t="str">
        <x:v>MDF ULTRA</x:v>
      </x:c>
      <x:c r="I106" s="190" t="str">
        <x:v>S/CANAL</x:v>
      </x:c>
      <x:c r="J106" s="190" t="str">
        <x:v>S/REB</x:v>
      </x:c>
      <x:c r="K106" s="190" t="str">
        <x:v>RECOBERTO PET</x:v>
      </x:c>
      <x:c r="L106" s="190" t="str">
        <x:v>CURUPIXA RAVENNA</x:v>
      </x:c>
      <x:c r="M106" s="210" t="n">
        <x:v>1</x:v>
      </x:c>
      <x:c r="N106" s="210" t="n">
        <x:v>1000</x:v>
      </x:c>
      <x:c r="O106" s="210" t="n">
        <x:v>110</x:v>
      </x:c>
      <x:c r="P106" s="210" t="n">
        <x:v>30</x:v>
      </x:c>
      <x:c r="Q106" s="211" t="n">
        <x:v>0.003</x:v>
      </x:c>
      <x:c r="R106" s="207" t="str"/>
      <x:c r="S106" s="207" t="str"/>
      <x:c r="T106" s="207" t="str"/>
      <x:c r="U106" s="207" t="n">
        <x:v>1</x:v>
      </x:c>
      <x:c r="V106" s="208" t="n">
        <x:f>MAX(0,M106-U106)</x:f>
        <x:v>0</x:v>
      </x:c>
      <x:c r="W106" s="209" t="n">
        <x:f>IFERROR(U106/M106,0)</x:f>
        <x:v>1</x:v>
      </x:c>
      <x:c r="X106" s="201" t="str">
        <x:f>IF(U106=0,"Não iniciado",IF(U106&gt;=M106,"Concluído","Parcial"))</x:f>
        <x:v>Concluído</x:v>
      </x:c>
      <x:c r="Y106" s="199" t="str"/>
      <x:c r="Z106" s="188" t="str">
        <x:v>Normal</x:v>
      </x:c>
    </x:row>
    <x:row r="107" ht="22" customHeight="1">
      <x:c r="A107" s="217" t="n">
        <x:v>103</x:v>
      </x:c>
      <x:c r="B107" s="218" t="str">
        <x:v>26739</x:v>
      </x:c>
      <x:c r="C107" s="218" t="str">
        <x:v>3</x:v>
      </x:c>
      <x:c r="D107" s="218" t="str">
        <x:v>609631</x:v>
      </x:c>
      <x:c r="E107" s="218" t="str">
        <x:v>2020700627</x:v>
      </x:c>
      <x:c r="F107" s="218" t="str">
        <x:v>OUTROS</x:v>
      </x:c>
      <x:c r="G107" s="184" t="str">
        <x:v>A ULTRA PVC R BCO 2250X100X9 RG(80) RTO</x:v>
      </x:c>
      <x:c r="H107" s="184" t="str">
        <x:v>REG 1L(MAIOR 80MM)</x:v>
      </x:c>
      <x:c r="I107" s="184" t="str"/>
      <x:c r="J107" s="184" t="str"/>
      <x:c r="K107" s="184" t="str">
        <x:v>RECOBERTO PVC RENOLIT</x:v>
      </x:c>
      <x:c r="L107" s="184" t="str">
        <x:v>BRANCO</x:v>
      </x:c>
      <x:c r="M107" s="205" t="n">
        <x:v>8</x:v>
      </x:c>
      <x:c r="N107" s="205" t="n">
        <x:v>2250</x:v>
      </x:c>
      <x:c r="O107" s="205" t="n">
        <x:v>100</x:v>
      </x:c>
      <x:c r="P107" s="205" t="n">
        <x:v>9</x:v>
      </x:c>
      <x:c r="Q107" s="206" t="n">
        <x:v>0</x:v>
      </x:c>
      <x:c r="R107" s="207" t="str"/>
      <x:c r="S107" s="207" t="str"/>
      <x:c r="T107" s="207" t="str"/>
      <x:c r="U107" s="207" t="n">
        <x:v>0</x:v>
      </x:c>
      <x:c r="V107" s="208" t="n">
        <x:f>MAX(0,M107-U107)</x:f>
        <x:v>8</x:v>
      </x:c>
      <x:c r="W107" s="209" t="n">
        <x:f>IFERROR(U107/M107,0)</x:f>
        <x:v>0</x:v>
      </x:c>
      <x:c r="X107" s="201" t="str">
        <x:f>IF(U107=0,"Não iniciado",IF(U107&gt;=M107,"Concluído","Parcial"))</x:f>
        <x:v>Não iniciado</x:v>
      </x:c>
      <x:c r="Y107" s="199" t="str"/>
      <x:c r="Z107" s="188" t="str">
        <x:v>Normal</x:v>
      </x:c>
    </x:row>
    <x:row r="108" ht="22" customHeight="1">
      <x:c r="A108" s="219" t="n">
        <x:v>104</x:v>
      </x:c>
      <x:c r="B108" s="220" t="str">
        <x:v>26750</x:v>
      </x:c>
      <x:c r="C108" s="220" t="str">
        <x:v>4</x:v>
      </x:c>
      <x:c r="D108" s="220" t="str">
        <x:v>609794</x:v>
      </x:c>
      <x:c r="E108" s="220" t="str">
        <x:v>2020700627</x:v>
      </x:c>
      <x:c r="F108" s="220" t="str">
        <x:v>OUTROS</x:v>
      </x:c>
      <x:c r="G108" s="190" t="str">
        <x:v>A ULTRA PVC R BCO 2250X100X9 RG(80) RTO</x:v>
      </x:c>
      <x:c r="H108" s="190" t="str">
        <x:v>REG 1L(MAIOR 80MM)</x:v>
      </x:c>
      <x:c r="I108" s="190" t="str"/>
      <x:c r="J108" s="190" t="str"/>
      <x:c r="K108" s="190" t="str">
        <x:v>RECOBERTO PVC RENOLIT</x:v>
      </x:c>
      <x:c r="L108" s="190" t="str">
        <x:v>BRANCO</x:v>
      </x:c>
      <x:c r="M108" s="210" t="n">
        <x:v>6</x:v>
      </x:c>
      <x:c r="N108" s="210" t="n">
        <x:v>2250</x:v>
      </x:c>
      <x:c r="O108" s="210" t="n">
        <x:v>100</x:v>
      </x:c>
      <x:c r="P108" s="210" t="n">
        <x:v>9</x:v>
      </x:c>
      <x:c r="Q108" s="211" t="n">
        <x:v>0</x:v>
      </x:c>
      <x:c r="R108" s="207" t="str"/>
      <x:c r="S108" s="207" t="str"/>
      <x:c r="T108" s="207" t="str"/>
      <x:c r="U108" s="207" t="n">
        <x:v>0</x:v>
      </x:c>
      <x:c r="V108" s="208" t="n">
        <x:f>MAX(0,M108-U108)</x:f>
        <x:v>6</x:v>
      </x:c>
      <x:c r="W108" s="209" t="n">
        <x:f>IFERROR(U108/M108,0)</x:f>
        <x:v>0</x:v>
      </x:c>
      <x:c r="X108" s="201" t="str">
        <x:f>IF(U108=0,"Não iniciado",IF(U108&gt;=M108,"Concluído","Parcial"))</x:f>
        <x:v>Não iniciado</x:v>
      </x:c>
      <x:c r="Y108" s="199" t="str"/>
      <x:c r="Z108" s="188" t="str">
        <x:v>Normal</x:v>
      </x:c>
    </x:row>
    <x:row r="109" ht="22" customHeight="1">
      <x:c r="A109" s="217" t="n">
        <x:v>105</x:v>
      </x:c>
      <x:c r="B109" s="218" t="str">
        <x:v>26766</x:v>
      </x:c>
      <x:c r="C109" s="218" t="str">
        <x:v>8</x:v>
      </x:c>
      <x:c r="D109" s="218" t="str">
        <x:v>610157</x:v>
      </x:c>
      <x:c r="E109" s="218" t="str">
        <x:v>985771</x:v>
      </x:c>
      <x:c r="F109" s="218" t="str">
        <x:v>OUTROS</x:v>
      </x:c>
      <x:c r="G109" s="184" t="str">
        <x:v>TRA ALI 1100X100X9 RT RL80 PET MOG STD</x:v>
      </x:c>
      <x:c r="H109" s="184" t="str">
        <x:v>REG 2L(MAIOR 80MM)</x:v>
      </x:c>
      <x:c r="I109" s="184" t="str"/>
      <x:c r="J109" s="184" t="str"/>
      <x:c r="K109" s="184" t="str">
        <x:v>RECOBERTO PET TXT</x:v>
      </x:c>
      <x:c r="L109" s="184" t="str">
        <x:v>MOGNO BRASILEIRO</x:v>
      </x:c>
      <x:c r="M109" s="205" t="n">
        <x:v>756</x:v>
      </x:c>
      <x:c r="N109" s="205" t="n">
        <x:v>1100</x:v>
      </x:c>
      <x:c r="O109" s="205" t="n">
        <x:v>100</x:v>
      </x:c>
      <x:c r="P109" s="205" t="n">
        <x:v>9</x:v>
      </x:c>
      <x:c r="Q109" s="206" t="n">
        <x:v>0.748</x:v>
      </x:c>
      <x:c r="R109" s="207" t="str"/>
      <x:c r="S109" s="207" t="str"/>
      <x:c r="T109" s="207" t="str"/>
      <x:c r="U109" s="207" t="n">
        <x:v>0</x:v>
      </x:c>
      <x:c r="V109" s="208" t="n">
        <x:f>MAX(0,M109-U109)</x:f>
        <x:v>756</x:v>
      </x:c>
      <x:c r="W109" s="209" t="n">
        <x:f>IFERROR(U109/M109,0)</x:f>
        <x:v>0</x:v>
      </x:c>
      <x:c r="X109" s="201" t="str">
        <x:f>IF(U109=0,"Não iniciado",IF(U109&gt;=M109,"Concluído","Parcial"))</x:f>
        <x:v>Não iniciado</x:v>
      </x:c>
      <x:c r="Y109" s="199" t="str"/>
      <x:c r="Z109" s="188" t="str">
        <x:v>Normal</x:v>
      </x:c>
    </x:row>
    <x:row r="110" ht="22" customHeight="1">
      <x:c r="A110" s="219" t="n">
        <x:v>106</x:v>
      </x:c>
      <x:c r="B110" s="220" t="str">
        <x:v>26766</x:v>
      </x:c>
      <x:c r="C110" s="220" t="str">
        <x:v>8</x:v>
      </x:c>
      <x:c r="D110" s="220" t="str">
        <x:v>610158</x:v>
      </x:c>
      <x:c r="E110" s="220" t="str">
        <x:v>985778</x:v>
      </x:c>
      <x:c r="F110" s="220" t="str">
        <x:v>OUTROS</x:v>
      </x:c>
      <x:c r="G110" s="190" t="str">
        <x:v>TRA ALI 1100X100X9 RT LME PET MOG STD</x:v>
      </x:c>
      <x:c r="H110" s="190" t="str">
        <x:v>REG 2L(MAIOR 80MM)</x:v>
      </x:c>
      <x:c r="I110" s="190" t="str"/>
      <x:c r="J110" s="190" t="str"/>
      <x:c r="K110" s="190" t="str">
        <x:v>RECOBERTO PET TXT</x:v>
      </x:c>
      <x:c r="L110" s="190" t="str">
        <x:v>MOGNO BRASILEIRO</x:v>
      </x:c>
      <x:c r="M110" s="210" t="n">
        <x:v>756</x:v>
      </x:c>
      <x:c r="N110" s="210" t="n">
        <x:v>1100</x:v>
      </x:c>
      <x:c r="O110" s="210" t="n">
        <x:v>100</x:v>
      </x:c>
      <x:c r="P110" s="210" t="n">
        <x:v>9</x:v>
      </x:c>
      <x:c r="Q110" s="211" t="n">
        <x:v>0.748</x:v>
      </x:c>
      <x:c r="R110" s="207" t="str"/>
      <x:c r="S110" s="207" t="str"/>
      <x:c r="T110" s="207" t="str"/>
      <x:c r="U110" s="207" t="n">
        <x:v>0</x:v>
      </x:c>
      <x:c r="V110" s="208" t="n">
        <x:f>MAX(0,M110-U110)</x:f>
        <x:v>756</x:v>
      </x:c>
      <x:c r="W110" s="209" t="n">
        <x:f>IFERROR(U110/M110,0)</x:f>
        <x:v>0</x:v>
      </x:c>
      <x:c r="X110" s="201" t="str">
        <x:f>IF(U110=0,"Não iniciado",IF(U110&gt;=M110,"Concluído","Parcial"))</x:f>
        <x:v>Não iniciado</x:v>
      </x:c>
      <x:c r="Y110" s="199" t="str"/>
      <x:c r="Z110" s="188" t="str">
        <x:v>Normal</x:v>
      </x:c>
    </x:row>
    <x:row r="111" ht="22" customHeight="1">
      <x:c r="A111" s="217" t="n">
        <x:v>107</x:v>
      </x:c>
      <x:c r="B111" s="218" t="str">
        <x:v>26739</x:v>
      </x:c>
      <x:c r="C111" s="218" t="str">
        <x:v>14</x:v>
      </x:c>
      <x:c r="D111" s="218" t="str">
        <x:v>609681</x:v>
      </x:c>
      <x:c r="E111" s="218" t="str">
        <x:v>2010700372</x:v>
      </x:c>
      <x:c r="F111" s="218" t="str">
        <x:v>BATENTE</x:v>
      </x:c>
      <x:c r="G111" s="184" t="str">
        <x:v>M P ULTRA PET BCO CAR 2130X90X30 S/REB R</x:v>
      </x:c>
      <x:c r="H111" s="184" t="str">
        <x:v>MDF ULTRA</x:v>
      </x:c>
      <x:c r="I111" s="184" t="str">
        <x:v>S/CANAL</x:v>
      </x:c>
      <x:c r="J111" s="184" t="str">
        <x:v>S/REB</x:v>
      </x:c>
      <x:c r="K111" s="184" t="str">
        <x:v>RECOBERTO PET</x:v>
      </x:c>
      <x:c r="L111" s="184" t="str">
        <x:v>BRANCO CARRARA</x:v>
      </x:c>
      <x:c r="M111" s="205" t="n">
        <x:v>14</x:v>
      </x:c>
      <x:c r="N111" s="205" t="n">
        <x:v>2130</x:v>
      </x:c>
      <x:c r="O111" s="205" t="n">
        <x:v>90</x:v>
      </x:c>
      <x:c r="P111" s="205" t="n">
        <x:v>30</x:v>
      </x:c>
      <x:c r="Q111" s="206" t="n">
        <x:v>0.081</x:v>
      </x:c>
      <x:c r="R111" s="207" t="str"/>
      <x:c r="S111" s="207" t="str"/>
      <x:c r="T111" s="207" t="str"/>
      <x:c r="U111" s="207" t="n">
        <x:v>14</x:v>
      </x:c>
      <x:c r="V111" s="208" t="n">
        <x:f>MAX(0,M111-U111)</x:f>
        <x:v>0</x:v>
      </x:c>
      <x:c r="W111" s="209" t="n">
        <x:f>IFERROR(U111/M111,0)</x:f>
        <x:v>1</x:v>
      </x:c>
      <x:c r="X111" s="201" t="str">
        <x:f>IF(U111=0,"Não iniciado",IF(U111&gt;=M111,"Concluído","Parcial"))</x:f>
        <x:v>Concluído</x:v>
      </x:c>
      <x:c r="Y111" s="199" t="str"/>
      <x:c r="Z111" s="188" t="str">
        <x:v>Normal</x:v>
      </x:c>
    </x:row>
    <x:row r="112" ht="22" customHeight="1">
      <x:c r="A112" s="219" t="n">
        <x:v>108</x:v>
      </x:c>
      <x:c r="B112" s="220" t="str">
        <x:v>26750</x:v>
      </x:c>
      <x:c r="C112" s="220" t="str">
        <x:v>17</x:v>
      </x:c>
      <x:c r="D112" s="220" t="str">
        <x:v>609854</x:v>
      </x:c>
      <x:c r="E112" s="220" t="str">
        <x:v>2010700372</x:v>
      </x:c>
      <x:c r="F112" s="220" t="str">
        <x:v>BATENTE</x:v>
      </x:c>
      <x:c r="G112" s="190" t="str">
        <x:v>M P ULTRA PET BCO CAR 2130X90X30 S/REB R</x:v>
      </x:c>
      <x:c r="H112" s="190" t="str">
        <x:v>MDF ULTRA</x:v>
      </x:c>
      <x:c r="I112" s="190" t="str">
        <x:v>S/CANAL</x:v>
      </x:c>
      <x:c r="J112" s="190" t="str">
        <x:v>S/REB</x:v>
      </x:c>
      <x:c r="K112" s="190" t="str">
        <x:v>RECOBERTO PET</x:v>
      </x:c>
      <x:c r="L112" s="190" t="str">
        <x:v>BRANCO CARRARA</x:v>
      </x:c>
      <x:c r="M112" s="210" t="n">
        <x:v>14</x:v>
      </x:c>
      <x:c r="N112" s="210" t="n">
        <x:v>2130</x:v>
      </x:c>
      <x:c r="O112" s="210" t="n">
        <x:v>90</x:v>
      </x:c>
      <x:c r="P112" s="210" t="n">
        <x:v>30</x:v>
      </x:c>
      <x:c r="Q112" s="211" t="n">
        <x:v>0.081</x:v>
      </x:c>
      <x:c r="R112" s="207" t="str"/>
      <x:c r="S112" s="207" t="str"/>
      <x:c r="T112" s="207" t="str"/>
      <x:c r="U112" s="207" t="n">
        <x:v>14</x:v>
      </x:c>
      <x:c r="V112" s="208" t="n">
        <x:f>MAX(0,M112-U112)</x:f>
        <x:v>0</x:v>
      </x:c>
      <x:c r="W112" s="209" t="n">
        <x:f>IFERROR(U112/M112,0)</x:f>
        <x:v>1</x:v>
      </x:c>
      <x:c r="X112" s="201" t="str">
        <x:f>IF(U112=0,"Não iniciado",IF(U112&gt;=M112,"Concluído","Parcial"))</x:f>
        <x:v>Concluído</x:v>
      </x:c>
      <x:c r="Y112" s="199" t="str"/>
      <x:c r="Z112" s="188" t="str">
        <x:v>Normal</x:v>
      </x:c>
    </x:row>
    <x:row r="113" ht="22" customHeight="1">
      <x:c r="A113" s="217" t="n">
        <x:v>109</x:v>
      </x:c>
      <x:c r="B113" s="218" t="str">
        <x:v>26739</x:v>
      </x:c>
      <x:c r="C113" s="218" t="str">
        <x:v>14</x:v>
      </x:c>
      <x:c r="D113" s="218" t="str">
        <x:v>609680</x:v>
      </x:c>
      <x:c r="E113" s="218" t="str">
        <x:v>2010700216</x:v>
      </x:c>
      <x:c r="F113" s="218" t="str">
        <x:v>BATENTE</x:v>
      </x:c>
      <x:c r="G113" s="184" t="str">
        <x:v>M T ULTRA PET BCO CAR 1000X90X30 S/REB R</x:v>
      </x:c>
      <x:c r="H113" s="184" t="str">
        <x:v>MDF ULTRA</x:v>
      </x:c>
      <x:c r="I113" s="184" t="str">
        <x:v>S/CANAL</x:v>
      </x:c>
      <x:c r="J113" s="184" t="str">
        <x:v>S/REB</x:v>
      </x:c>
      <x:c r="K113" s="184" t="str">
        <x:v>RECOBERTO PET</x:v>
      </x:c>
      <x:c r="L113" s="184" t="str">
        <x:v>BRANCO CARRARA</x:v>
      </x:c>
      <x:c r="M113" s="205" t="n">
        <x:v>7</x:v>
      </x:c>
      <x:c r="N113" s="205" t="n">
        <x:v>1000</x:v>
      </x:c>
      <x:c r="O113" s="205" t="n">
        <x:v>90</x:v>
      </x:c>
      <x:c r="P113" s="205" t="n">
        <x:v>30</x:v>
      </x:c>
      <x:c r="Q113" s="206" t="n">
        <x:v>0.019</x:v>
      </x:c>
      <x:c r="R113" s="207" t="str"/>
      <x:c r="S113" s="207" t="str"/>
      <x:c r="T113" s="207" t="str"/>
      <x:c r="U113" s="207" t="n">
        <x:v>7</x:v>
      </x:c>
      <x:c r="V113" s="208" t="n">
        <x:f>MAX(0,M113-U113)</x:f>
        <x:v>0</x:v>
      </x:c>
      <x:c r="W113" s="209" t="n">
        <x:f>IFERROR(U113/M113,0)</x:f>
        <x:v>1</x:v>
      </x:c>
      <x:c r="X113" s="201" t="str">
        <x:f>IF(U113=0,"Não iniciado",IF(U113&gt;=M113,"Concluído","Parcial"))</x:f>
        <x:v>Concluído</x:v>
      </x:c>
      <x:c r="Y113" s="199" t="str"/>
      <x:c r="Z113" s="188" t="str">
        <x:v>Normal</x:v>
      </x:c>
    </x:row>
    <x:row r="114" ht="22" customHeight="1">
      <x:c r="A114" s="219" t="n">
        <x:v>110</x:v>
      </x:c>
      <x:c r="B114" s="220" t="str">
        <x:v>26750</x:v>
      </x:c>
      <x:c r="C114" s="220" t="str">
        <x:v>17</x:v>
      </x:c>
      <x:c r="D114" s="220" t="str">
        <x:v>609853</x:v>
      </x:c>
      <x:c r="E114" s="220" t="str">
        <x:v>2010700216</x:v>
      </x:c>
      <x:c r="F114" s="220" t="str">
        <x:v>BATENTE</x:v>
      </x:c>
      <x:c r="G114" s="190" t="str">
        <x:v>M T ULTRA PET BCO CAR 1000X90X30 S/REB R</x:v>
      </x:c>
      <x:c r="H114" s="190" t="str">
        <x:v>MDF ULTRA</x:v>
      </x:c>
      <x:c r="I114" s="190" t="str">
        <x:v>S/CANAL</x:v>
      </x:c>
      <x:c r="J114" s="190" t="str">
        <x:v>S/REB</x:v>
      </x:c>
      <x:c r="K114" s="190" t="str">
        <x:v>RECOBERTO PET</x:v>
      </x:c>
      <x:c r="L114" s="190" t="str">
        <x:v>BRANCO CARRARA</x:v>
      </x:c>
      <x:c r="M114" s="210" t="n">
        <x:v>7</x:v>
      </x:c>
      <x:c r="N114" s="210" t="n">
        <x:v>1000</x:v>
      </x:c>
      <x:c r="O114" s="210" t="n">
        <x:v>90</x:v>
      </x:c>
      <x:c r="P114" s="210" t="n">
        <x:v>30</x:v>
      </x:c>
      <x:c r="Q114" s="211" t="n">
        <x:v>0.019</x:v>
      </x:c>
      <x:c r="R114" s="207" t="str"/>
      <x:c r="S114" s="207" t="str"/>
      <x:c r="T114" s="207" t="str"/>
      <x:c r="U114" s="207" t="n">
        <x:v>7</x:v>
      </x:c>
      <x:c r="V114" s="208" t="n">
        <x:f>MAX(0,M114-U114)</x:f>
        <x:v>0</x:v>
      </x:c>
      <x:c r="W114" s="209" t="n">
        <x:f>IFERROR(U114/M114,0)</x:f>
        <x:v>1</x:v>
      </x:c>
      <x:c r="X114" s="201" t="str">
        <x:f>IF(U114=0,"Não iniciado",IF(U114&gt;=M114,"Concluído","Parcial"))</x:f>
        <x:v>Concluído</x:v>
      </x:c>
      <x:c r="Y114" s="199" t="str"/>
      <x:c r="Z114" s="188" t="str">
        <x:v>Normal</x:v>
      </x:c>
    </x:row>
    <x:row r="115" ht="22" customHeight="1">
      <x:c r="A115" s="217" t="n">
        <x:v>111</x:v>
      </x:c>
      <x:c r="B115" s="218" t="str">
        <x:v>26739</x:v>
      </x:c>
      <x:c r="C115" s="218" t="str">
        <x:v>8</x:v>
      </x:c>
      <x:c r="D115" s="218" t="str">
        <x:v>609643</x:v>
      </x:c>
      <x:c r="E115" s="218" t="str">
        <x:v>2010701021</x:v>
      </x:c>
      <x:c r="F115" s="218" t="str">
        <x:v>BATENTE</x:v>
      </x:c>
      <x:c r="G115" s="184" t="str">
        <x:v>M ULTRA PET BCO CAR 2110X80X30 42X10 R2L</x:v>
      </x:c>
      <x:c r="H115" s="184" t="str"/>
      <x:c r="I115" s="184" t="str"/>
      <x:c r="J115" s="184" t="str"/>
      <x:c r="K115" s="184" t="str">
        <x:v>ESMALTE</x:v>
      </x:c>
      <x:c r="L115" s="184" t="str">
        <x:v>BRANCO CARRARA</x:v>
      </x:c>
      <x:c r="M115" s="205" t="n">
        <x:v>36</x:v>
      </x:c>
      <x:c r="N115" s="205" t="n">
        <x:v>2110</x:v>
      </x:c>
      <x:c r="O115" s="205" t="n">
        <x:v>80</x:v>
      </x:c>
      <x:c r="P115" s="205" t="n">
        <x:v>30</x:v>
      </x:c>
      <x:c r="Q115" s="206" t="n">
        <x:v>36</x:v>
      </x:c>
      <x:c r="R115" s="207" t="str"/>
      <x:c r="S115" s="207" t="str"/>
      <x:c r="T115" s="207" t="str"/>
      <x:c r="U115" s="207" t="n">
        <x:v>36</x:v>
      </x:c>
      <x:c r="V115" s="208" t="n">
        <x:f>MAX(0,M115-U115)</x:f>
        <x:v>0</x:v>
      </x:c>
      <x:c r="W115" s="209" t="n">
        <x:f>IFERROR(U115/M115,0)</x:f>
        <x:v>1</x:v>
      </x:c>
      <x:c r="X115" s="201" t="str">
        <x:f>IF(U115=0,"Não iniciado",IF(U115&gt;=M115,"Concluído","Parcial"))</x:f>
        <x:v>Concluído</x:v>
      </x:c>
      <x:c r="Y115" s="199" t="str"/>
      <x:c r="Z115" s="188" t="str">
        <x:v>Normal</x:v>
      </x:c>
    </x:row>
    <x:row r="116" ht="22" customHeight="1">
      <x:c r="A116" s="219" t="n">
        <x:v>112</x:v>
      </x:c>
      <x:c r="B116" s="220" t="str">
        <x:v>26739</x:v>
      </x:c>
      <x:c r="C116" s="220" t="str">
        <x:v>17</x:v>
      </x:c>
      <x:c r="D116" s="220" t="str">
        <x:v>609699</x:v>
      </x:c>
      <x:c r="E116" s="220" t="str">
        <x:v>2010701021</x:v>
      </x:c>
      <x:c r="F116" s="220" t="str">
        <x:v>BATENTE</x:v>
      </x:c>
      <x:c r="G116" s="190" t="str">
        <x:v>M ULTRA PET BCO CAR 2110X80X30 42X10 R2L</x:v>
      </x:c>
      <x:c r="H116" s="190" t="str"/>
      <x:c r="I116" s="190" t="str"/>
      <x:c r="J116" s="190" t="str"/>
      <x:c r="K116" s="190" t="str">
        <x:v>ESMALTE</x:v>
      </x:c>
      <x:c r="L116" s="190" t="str">
        <x:v>BRANCO CARRARA</x:v>
      </x:c>
      <x:c r="M116" s="210" t="n">
        <x:v>18</x:v>
      </x:c>
      <x:c r="N116" s="210" t="n">
        <x:v>2110</x:v>
      </x:c>
      <x:c r="O116" s="210" t="n">
        <x:v>80</x:v>
      </x:c>
      <x:c r="P116" s="210" t="n">
        <x:v>30</x:v>
      </x:c>
      <x:c r="Q116" s="211" t="n">
        <x:v>18</x:v>
      </x:c>
      <x:c r="R116" s="207" t="str"/>
      <x:c r="S116" s="207" t="str"/>
      <x:c r="T116" s="207" t="str"/>
      <x:c r="U116" s="207" t="n">
        <x:v>18</x:v>
      </x:c>
      <x:c r="V116" s="208" t="n">
        <x:f>MAX(0,M116-U116)</x:f>
        <x:v>0</x:v>
      </x:c>
      <x:c r="W116" s="209" t="n">
        <x:f>IFERROR(U116/M116,0)</x:f>
        <x:v>1</x:v>
      </x:c>
      <x:c r="X116" s="201" t="str">
        <x:f>IF(U116=0,"Não iniciado",IF(U116&gt;=M116,"Concluído","Parcial"))</x:f>
        <x:v>Concluído</x:v>
      </x:c>
      <x:c r="Y116" s="199" t="str"/>
      <x:c r="Z116" s="188" t="str">
        <x:v>Normal</x:v>
      </x:c>
    </x:row>
    <x:row r="117" ht="22" customHeight="1">
      <x:c r="A117" s="217" t="n">
        <x:v>113</x:v>
      </x:c>
      <x:c r="B117" s="218" t="str">
        <x:v>26739</x:v>
      </x:c>
      <x:c r="C117" s="218" t="str">
        <x:v>23</x:v>
      </x:c>
      <x:c r="D117" s="218" t="str">
        <x:v>609749</x:v>
      </x:c>
      <x:c r="E117" s="218" t="str">
        <x:v>2010701021</x:v>
      </x:c>
      <x:c r="F117" s="218" t="str">
        <x:v>BATENTE</x:v>
      </x:c>
      <x:c r="G117" s="184" t="str">
        <x:v>M ULTRA PET BCO CAR 2110X80X30 42X10 R2L</x:v>
      </x:c>
      <x:c r="H117" s="184" t="str"/>
      <x:c r="I117" s="184" t="str"/>
      <x:c r="J117" s="184" t="str"/>
      <x:c r="K117" s="184" t="str">
        <x:v>ESMALTE</x:v>
      </x:c>
      <x:c r="L117" s="184" t="str">
        <x:v>BRANCO CARRARA</x:v>
      </x:c>
      <x:c r="M117" s="205" t="n">
        <x:v>2</x:v>
      </x:c>
      <x:c r="N117" s="205" t="n">
        <x:v>2110</x:v>
      </x:c>
      <x:c r="O117" s="205" t="n">
        <x:v>80</x:v>
      </x:c>
      <x:c r="P117" s="205" t="n">
        <x:v>30</x:v>
      </x:c>
      <x:c r="Q117" s="206" t="n">
        <x:v>2</x:v>
      </x:c>
      <x:c r="R117" s="207" t="str"/>
      <x:c r="S117" s="207" t="str"/>
      <x:c r="T117" s="207" t="str"/>
      <x:c r="U117" s="207" t="n">
        <x:v>2</x:v>
      </x:c>
      <x:c r="V117" s="208" t="n">
        <x:f>MAX(0,M117-U117)</x:f>
        <x:v>0</x:v>
      </x:c>
      <x:c r="W117" s="209" t="n">
        <x:f>IFERROR(U117/M117,0)</x:f>
        <x:v>1</x:v>
      </x:c>
      <x:c r="X117" s="201" t="str">
        <x:f>IF(U117=0,"Não iniciado",IF(U117&gt;=M117,"Concluído","Parcial"))</x:f>
        <x:v>Concluído</x:v>
      </x:c>
      <x:c r="Y117" s="199" t="str"/>
      <x:c r="Z117" s="188" t="str">
        <x:v>Normal</x:v>
      </x:c>
    </x:row>
    <x:row r="118" ht="22" customHeight="1">
      <x:c r="A118" s="219" t="n">
        <x:v>114</x:v>
      </x:c>
      <x:c r="B118" s="220" t="str">
        <x:v>26750</x:v>
      </x:c>
      <x:c r="C118" s="220" t="str">
        <x:v>11</x:v>
      </x:c>
      <x:c r="D118" s="220" t="str">
        <x:v>609816</x:v>
      </x:c>
      <x:c r="E118" s="220" t="str">
        <x:v>2010701021</x:v>
      </x:c>
      <x:c r="F118" s="220" t="str">
        <x:v>BATENTE</x:v>
      </x:c>
      <x:c r="G118" s="190" t="str">
        <x:v>M ULTRA PET BCO CAR 2110X80X30 42X10 R2L</x:v>
      </x:c>
      <x:c r="H118" s="190" t="str"/>
      <x:c r="I118" s="190" t="str"/>
      <x:c r="J118" s="190" t="str"/>
      <x:c r="K118" s="190" t="str">
        <x:v>ESMALTE</x:v>
      </x:c>
      <x:c r="L118" s="190" t="str">
        <x:v>BRANCO CARRARA</x:v>
      </x:c>
      <x:c r="M118" s="210" t="n">
        <x:v>24</x:v>
      </x:c>
      <x:c r="N118" s="210" t="n">
        <x:v>2110</x:v>
      </x:c>
      <x:c r="O118" s="210" t="n">
        <x:v>80</x:v>
      </x:c>
      <x:c r="P118" s="210" t="n">
        <x:v>30</x:v>
      </x:c>
      <x:c r="Q118" s="211" t="n">
        <x:v>0.122</x:v>
      </x:c>
      <x:c r="R118" s="207" t="str"/>
      <x:c r="S118" s="207" t="str"/>
      <x:c r="T118" s="207" t="str"/>
      <x:c r="U118" s="207" t="n">
        <x:v>24</x:v>
      </x:c>
      <x:c r="V118" s="208" t="n">
        <x:f>MAX(0,M118-U118)</x:f>
        <x:v>0</x:v>
      </x:c>
      <x:c r="W118" s="209" t="n">
        <x:f>IFERROR(U118/M118,0)</x:f>
        <x:v>1</x:v>
      </x:c>
      <x:c r="X118" s="201" t="str">
        <x:f>IF(U118=0,"Não iniciado",IF(U118&gt;=M118,"Concluído","Parcial"))</x:f>
        <x:v>Concluído</x:v>
      </x:c>
      <x:c r="Y118" s="199" t="str"/>
      <x:c r="Z118" s="188" t="str">
        <x:v>Normal</x:v>
      </x:c>
    </x:row>
    <x:row r="119" ht="22" customHeight="1">
      <x:c r="A119" s="217" t="n">
        <x:v>115</x:v>
      </x:c>
      <x:c r="B119" s="218" t="str">
        <x:v>26750</x:v>
      </x:c>
      <x:c r="C119" s="218" t="str">
        <x:v>20</x:v>
      </x:c>
      <x:c r="D119" s="218" t="str">
        <x:v>609872</x:v>
      </x:c>
      <x:c r="E119" s="218" t="str">
        <x:v>2010701021</x:v>
      </x:c>
      <x:c r="F119" s="218" t="str">
        <x:v>BATENTE</x:v>
      </x:c>
      <x:c r="G119" s="184" t="str">
        <x:v>M ULTRA PET BCO CAR 2110X80X30 42X10 R2L</x:v>
      </x:c>
      <x:c r="H119" s="184" t="str"/>
      <x:c r="I119" s="184" t="str"/>
      <x:c r="J119" s="184" t="str"/>
      <x:c r="K119" s="184" t="str">
        <x:v>ESMALTE</x:v>
      </x:c>
      <x:c r="L119" s="184" t="str">
        <x:v>BRANCO CARRARA</x:v>
      </x:c>
      <x:c r="M119" s="205" t="n">
        <x:v>18</x:v>
      </x:c>
      <x:c r="N119" s="205" t="n">
        <x:v>2110</x:v>
      </x:c>
      <x:c r="O119" s="205" t="n">
        <x:v>80</x:v>
      </x:c>
      <x:c r="P119" s="205" t="n">
        <x:v>30</x:v>
      </x:c>
      <x:c r="Q119" s="206" t="n">
        <x:v>0.091</x:v>
      </x:c>
      <x:c r="R119" s="207" t="str"/>
      <x:c r="S119" s="207" t="str"/>
      <x:c r="T119" s="207" t="str"/>
      <x:c r="U119" s="207" t="n">
        <x:v>0</x:v>
      </x:c>
      <x:c r="V119" s="208" t="n">
        <x:f>MAX(0,M119-U119)</x:f>
        <x:v>18</x:v>
      </x:c>
      <x:c r="W119" s="209" t="n">
        <x:f>IFERROR(U119/M119,0)</x:f>
        <x:v>0</x:v>
      </x:c>
      <x:c r="X119" s="201" t="str">
        <x:f>IF(U119=0,"Não iniciado",IF(U119&gt;=M119,"Concluído","Parcial"))</x:f>
        <x:v>Não iniciado</x:v>
      </x:c>
      <x:c r="Y119" s="199" t="str"/>
      <x:c r="Z119" s="188" t="str">
        <x:v>Normal</x:v>
      </x:c>
    </x:row>
    <x:row r="120" ht="22" customHeight="1">
      <x:c r="A120" s="219" t="n">
        <x:v>116</x:v>
      </x:c>
      <x:c r="B120" s="220" t="str">
        <x:v>26739</x:v>
      </x:c>
      <x:c r="C120" s="220" t="str">
        <x:v>8</x:v>
      </x:c>
      <x:c r="D120" s="220" t="str">
        <x:v>609644</x:v>
      </x:c>
      <x:c r="E120" s="220" t="str">
        <x:v>2010701245</x:v>
      </x:c>
      <x:c r="F120" s="220" t="str">
        <x:v>BATENTE</x:v>
      </x:c>
      <x:c r="G120" s="190" t="str">
        <x:v>M ULTRA PET BCO CAR 767X80X30 42X10 R2L</x:v>
      </x:c>
      <x:c r="H120" s="190" t="str"/>
      <x:c r="I120" s="190" t="str"/>
      <x:c r="J120" s="190" t="str"/>
      <x:c r="K120" s="190" t="str">
        <x:v>ESMALTE</x:v>
      </x:c>
      <x:c r="L120" s="190" t="str">
        <x:v>BRANCO CARRARA</x:v>
      </x:c>
      <x:c r="M120" s="210" t="n">
        <x:v>18</x:v>
      </x:c>
      <x:c r="N120" s="210" t="n">
        <x:v>767</x:v>
      </x:c>
      <x:c r="O120" s="210" t="n">
        <x:v>80</x:v>
      </x:c>
      <x:c r="P120" s="210" t="n">
        <x:v>30</x:v>
      </x:c>
      <x:c r="Q120" s="211" t="n">
        <x:v>18</x:v>
      </x:c>
      <x:c r="R120" s="207" t="str"/>
      <x:c r="S120" s="207" t="str"/>
      <x:c r="T120" s="207" t="str"/>
      <x:c r="U120" s="207" t="n">
        <x:v>18</x:v>
      </x:c>
      <x:c r="V120" s="208" t="n">
        <x:f>MAX(0,M120-U120)</x:f>
        <x:v>0</x:v>
      </x:c>
      <x:c r="W120" s="209" t="n">
        <x:f>IFERROR(U120/M120,0)</x:f>
        <x:v>1</x:v>
      </x:c>
      <x:c r="X120" s="201" t="str">
        <x:f>IF(U120=0,"Não iniciado",IF(U120&gt;=M120,"Concluído","Parcial"))</x:f>
        <x:v>Concluído</x:v>
      </x:c>
      <x:c r="Y120" s="199" t="str"/>
      <x:c r="Z120" s="188" t="str">
        <x:v>Normal</x:v>
      </x:c>
    </x:row>
    <x:row r="121" ht="22" customHeight="1">
      <x:c r="A121" s="217" t="n">
        <x:v>117</x:v>
      </x:c>
      <x:c r="B121" s="218" t="str">
        <x:v>26750</x:v>
      </x:c>
      <x:c r="C121" s="218" t="str">
        <x:v>11</x:v>
      </x:c>
      <x:c r="D121" s="218" t="str">
        <x:v>609817</x:v>
      </x:c>
      <x:c r="E121" s="218" t="str">
        <x:v>2010701245</x:v>
      </x:c>
      <x:c r="F121" s="218" t="str">
        <x:v>BATENTE</x:v>
      </x:c>
      <x:c r="G121" s="184" t="str">
        <x:v>M ULTRA PET BCO CAR 767X80X30 42X10 R2L</x:v>
      </x:c>
      <x:c r="H121" s="184" t="str"/>
      <x:c r="I121" s="184" t="str"/>
      <x:c r="J121" s="184" t="str"/>
      <x:c r="K121" s="184" t="str">
        <x:v>ESMALTE</x:v>
      </x:c>
      <x:c r="L121" s="184" t="str">
        <x:v>BRANCO CARRARA</x:v>
      </x:c>
      <x:c r="M121" s="205" t="n">
        <x:v>12</x:v>
      </x:c>
      <x:c r="N121" s="205" t="n">
        <x:v>767</x:v>
      </x:c>
      <x:c r="O121" s="205" t="n">
        <x:v>80</x:v>
      </x:c>
      <x:c r="P121" s="205" t="n">
        <x:v>30</x:v>
      </x:c>
      <x:c r="Q121" s="206" t="n">
        <x:v>0.022</x:v>
      </x:c>
      <x:c r="R121" s="207" t="str"/>
      <x:c r="S121" s="207" t="str"/>
      <x:c r="T121" s="207" t="str"/>
      <x:c r="U121" s="207" t="n">
        <x:v>12</x:v>
      </x:c>
      <x:c r="V121" s="208" t="n">
        <x:f>MAX(0,M121-U121)</x:f>
        <x:v>0</x:v>
      </x:c>
      <x:c r="W121" s="209" t="n">
        <x:f>IFERROR(U121/M121,0)</x:f>
        <x:v>1</x:v>
      </x:c>
      <x:c r="X121" s="201" t="str">
        <x:f>IF(U121=0,"Não iniciado",IF(U121&gt;=M121,"Concluído","Parcial"))</x:f>
        <x:v>Concluído</x:v>
      </x:c>
      <x:c r="Y121" s="199" t="str"/>
      <x:c r="Z121" s="188" t="str">
        <x:v>Normal</x:v>
      </x:c>
    </x:row>
    <x:row r="122" ht="22" customHeight="1">
      <x:c r="A122" s="219" t="n">
        <x:v>118</x:v>
      </x:c>
      <x:c r="B122" s="220" t="str">
        <x:v>26739</x:v>
      </x:c>
      <x:c r="C122" s="220" t="str">
        <x:v>17</x:v>
      </x:c>
      <x:c r="D122" s="220" t="str">
        <x:v>609700</x:v>
      </x:c>
      <x:c r="E122" s="220" t="str">
        <x:v>2010701246</x:v>
      </x:c>
      <x:c r="F122" s="220" t="str">
        <x:v>BATENTE</x:v>
      </x:c>
      <x:c r="G122" s="190" t="str">
        <x:v>M ULTRA PET BCO CAR 667X80X30 42X10 R2L</x:v>
      </x:c>
      <x:c r="H122" s="190" t="str"/>
      <x:c r="I122" s="190" t="str"/>
      <x:c r="J122" s="190" t="str"/>
      <x:c r="K122" s="190" t="str">
        <x:v>ESMALTE</x:v>
      </x:c>
      <x:c r="L122" s="190" t="str">
        <x:v>BRANCO CARRARA</x:v>
      </x:c>
      <x:c r="M122" s="210" t="n">
        <x:v>9</x:v>
      </x:c>
      <x:c r="N122" s="210" t="n">
        <x:v>667</x:v>
      </x:c>
      <x:c r="O122" s="210" t="n">
        <x:v>80</x:v>
      </x:c>
      <x:c r="P122" s="210" t="n">
        <x:v>30</x:v>
      </x:c>
      <x:c r="Q122" s="211" t="n">
        <x:v>3</x:v>
      </x:c>
      <x:c r="R122" s="207" t="str"/>
      <x:c r="S122" s="207" t="str"/>
      <x:c r="T122" s="207" t="str"/>
      <x:c r="U122" s="207" t="n">
        <x:v>9</x:v>
      </x:c>
      <x:c r="V122" s="208" t="n">
        <x:f>MAX(0,M122-U122)</x:f>
        <x:v>0</x:v>
      </x:c>
      <x:c r="W122" s="209" t="n">
        <x:f>IFERROR(U122/M122,0)</x:f>
        <x:v>1</x:v>
      </x:c>
      <x:c r="X122" s="201" t="str">
        <x:f>IF(U122=0,"Não iniciado",IF(U122&gt;=M122,"Concluído","Parcial"))</x:f>
        <x:v>Concluído</x:v>
      </x:c>
      <x:c r="Y122" s="199" t="str"/>
      <x:c r="Z122" s="188" t="str">
        <x:v>Normal</x:v>
      </x:c>
    </x:row>
    <x:row r="123" ht="22" customHeight="1">
      <x:c r="A123" s="217" t="n">
        <x:v>119</x:v>
      </x:c>
      <x:c r="B123" s="218" t="str">
        <x:v>26739</x:v>
      </x:c>
      <x:c r="C123" s="218" t="str">
        <x:v>23</x:v>
      </x:c>
      <x:c r="D123" s="218" t="str">
        <x:v>609750</x:v>
      </x:c>
      <x:c r="E123" s="218" t="str">
        <x:v>2010701246</x:v>
      </x:c>
      <x:c r="F123" s="218" t="str">
        <x:v>BATENTE</x:v>
      </x:c>
      <x:c r="G123" s="184" t="str">
        <x:v>M ULTRA PET BCO CAR 667X80X30 42X10 R2L</x:v>
      </x:c>
      <x:c r="H123" s="184" t="str"/>
      <x:c r="I123" s="184" t="str"/>
      <x:c r="J123" s="184" t="str"/>
      <x:c r="K123" s="184" t="str">
        <x:v>ESMALTE</x:v>
      </x:c>
      <x:c r="L123" s="184" t="str">
        <x:v>BRANCO CARRARA</x:v>
      </x:c>
      <x:c r="M123" s="205" t="n">
        <x:v>1</x:v>
      </x:c>
      <x:c r="N123" s="205" t="n">
        <x:v>667</x:v>
      </x:c>
      <x:c r="O123" s="205" t="n">
        <x:v>80</x:v>
      </x:c>
      <x:c r="P123" s="205" t="n">
        <x:v>30</x:v>
      </x:c>
      <x:c r="Q123" s="206" t="n">
        <x:v>0.5</x:v>
      </x:c>
      <x:c r="R123" s="207" t="str"/>
      <x:c r="S123" s="207" t="str"/>
      <x:c r="T123" s="207" t="str"/>
      <x:c r="U123" s="207" t="n">
        <x:v>1</x:v>
      </x:c>
      <x:c r="V123" s="208" t="n">
        <x:f>MAX(0,M123-U123)</x:f>
        <x:v>0</x:v>
      </x:c>
      <x:c r="W123" s="209" t="n">
        <x:f>IFERROR(U123/M123,0)</x:f>
        <x:v>1</x:v>
      </x:c>
      <x:c r="X123" s="201" t="str">
        <x:f>IF(U123=0,"Não iniciado",IF(U123&gt;=M123,"Concluído","Parcial"))</x:f>
        <x:v>Concluído</x:v>
      </x:c>
      <x:c r="Y123" s="199" t="str"/>
      <x:c r="Z123" s="188" t="str">
        <x:v>Normal</x:v>
      </x:c>
    </x:row>
    <x:row r="124" ht="22" customHeight="1">
      <x:c r="A124" s="219" t="n">
        <x:v>120</x:v>
      </x:c>
      <x:c r="B124" s="220" t="str">
        <x:v>26750</x:v>
      </x:c>
      <x:c r="C124" s="220" t="str">
        <x:v>20</x:v>
      </x:c>
      <x:c r="D124" s="220" t="str">
        <x:v>609873</x:v>
      </x:c>
      <x:c r="E124" s="220" t="str">
        <x:v>2010701246</x:v>
      </x:c>
      <x:c r="F124" s="220" t="str">
        <x:v>BATENTE</x:v>
      </x:c>
      <x:c r="G124" s="190" t="str">
        <x:v>M ULTRA PET BCO CAR 667X80X30 42X10 R2L</x:v>
      </x:c>
      <x:c r="H124" s="190" t="str"/>
      <x:c r="I124" s="190" t="str"/>
      <x:c r="J124" s="190" t="str"/>
      <x:c r="K124" s="190" t="str">
        <x:v>ESMALTE</x:v>
      </x:c>
      <x:c r="L124" s="190" t="str">
        <x:v>BRANCO CARRARA</x:v>
      </x:c>
      <x:c r="M124" s="210" t="n">
        <x:v>9</x:v>
      </x:c>
      <x:c r="N124" s="210" t="n">
        <x:v>667</x:v>
      </x:c>
      <x:c r="O124" s="210" t="n">
        <x:v>80</x:v>
      </x:c>
      <x:c r="P124" s="210" t="n">
        <x:v>30</x:v>
      </x:c>
      <x:c r="Q124" s="211" t="n">
        <x:v>0.014</x:v>
      </x:c>
      <x:c r="R124" s="207" t="str"/>
      <x:c r="S124" s="207" t="str"/>
      <x:c r="T124" s="207" t="str"/>
      <x:c r="U124" s="207" t="n">
        <x:v>9</x:v>
      </x:c>
      <x:c r="V124" s="208" t="n">
        <x:f>MAX(0,M124-U124)</x:f>
        <x:v>0</x:v>
      </x:c>
      <x:c r="W124" s="209" t="n">
        <x:f>IFERROR(U124/M124,0)</x:f>
        <x:v>1</x:v>
      </x:c>
      <x:c r="X124" s="201" t="str">
        <x:f>IF(U124=0,"Não iniciado",IF(U124&gt;=M124,"Concluído","Parcial"))</x:f>
        <x:v>Concluído</x:v>
      </x:c>
      <x:c r="Y124" s="199" t="str"/>
      <x:c r="Z124" s="188" t="str">
        <x:v>Normal</x:v>
      </x:c>
    </x:row>
    <x:row r="125" ht="22" customHeight="1">
      <x:c r="A125" s="217" t="n">
        <x:v>121</x:v>
      </x:c>
      <x:c r="B125" s="218" t="str">
        <x:v>26747</x:v>
      </x:c>
      <x:c r="C125" s="218" t="str">
        <x:v>3</x:v>
      </x:c>
      <x:c r="D125" s="218" t="str">
        <x:v>609002</x:v>
      </x:c>
      <x:c r="E125" s="218" t="str">
        <x:v>966183</x:v>
      </x:c>
      <x:c r="F125" s="218" t="str">
        <x:v>ALIZAR</x:v>
      </x:c>
      <x:c r="G125" s="184" t="str">
        <x:v>P A 2250X70X15 RTO RL55 RC PET BCO (UL)</x:v>
      </x:c>
      <x:c r="H125" s="184" t="str">
        <x:v>REG 2L(MAIOR 55MM)</x:v>
      </x:c>
      <x:c r="I125" s="184" t="str"/>
      <x:c r="J125" s="184" t="str"/>
      <x:c r="K125" s="184" t="str">
        <x:v>RECOBERTO PET</x:v>
      </x:c>
      <x:c r="L125" s="184" t="str">
        <x:v>BRANCO CARRARA</x:v>
      </x:c>
      <x:c r="M125" s="205" t="n">
        <x:v>18</x:v>
      </x:c>
      <x:c r="N125" s="205" t="n">
        <x:v>2250</x:v>
      </x:c>
      <x:c r="O125" s="205" t="n">
        <x:v>70</x:v>
      </x:c>
      <x:c r="P125" s="205" t="n">
        <x:v>15</x:v>
      </x:c>
      <x:c r="Q125" s="206" t="n">
        <x:v>0</x:v>
      </x:c>
      <x:c r="R125" s="207" t="str"/>
      <x:c r="S125" s="207" t="str"/>
      <x:c r="T125" s="207" t="str"/>
      <x:c r="U125" s="207" t="n">
        <x:v>0</x:v>
      </x:c>
      <x:c r="V125" s="208" t="n">
        <x:f>MAX(0,M125-U125)</x:f>
        <x:v>18</x:v>
      </x:c>
      <x:c r="W125" s="209" t="n">
        <x:f>IFERROR(U125/M125,0)</x:f>
        <x:v>0</x:v>
      </x:c>
      <x:c r="X125" s="201" t="str">
        <x:f>IF(U125=0,"Não iniciado",IF(U125&gt;=M125,"Concluído","Parcial"))</x:f>
        <x:v>Não iniciado</x:v>
      </x:c>
      <x:c r="Y125" s="199" t="str"/>
      <x:c r="Z125" s="188" t="str">
        <x:v>Normal</x:v>
      </x:c>
    </x:row>
    <x:row r="126" ht="22" customHeight="1">
      <x:c r="A126" s="219" t="n">
        <x:v>122</x:v>
      </x:c>
      <x:c r="B126" s="220" t="str">
        <x:v>26747</x:v>
      </x:c>
      <x:c r="C126" s="220" t="str">
        <x:v>3</x:v>
      </x:c>
      <x:c r="D126" s="220" t="str">
        <x:v>609003</x:v>
      </x:c>
      <x:c r="E126" s="220" t="str">
        <x:v>966186</x:v>
      </x:c>
      <x:c r="F126" s="220" t="str">
        <x:v>ALIZAR</x:v>
      </x:c>
      <x:c r="G126" s="190" t="str">
        <x:v>P A 2250X70X15 RTO LME RC PET BCO (UL)</x:v>
      </x:c>
      <x:c r="H126" s="190" t="str">
        <x:v>REG 2L(MAIOR 55MM)</x:v>
      </x:c>
      <x:c r="I126" s="190" t="str"/>
      <x:c r="J126" s="190" t="str"/>
      <x:c r="K126" s="190" t="str">
        <x:v>RECOBERTO PET</x:v>
      </x:c>
      <x:c r="L126" s="190" t="str">
        <x:v>BRANCO CARRARA</x:v>
      </x:c>
      <x:c r="M126" s="210" t="n">
        <x:v>18</x:v>
      </x:c>
      <x:c r="N126" s="210" t="n">
        <x:v>2250</x:v>
      </x:c>
      <x:c r="O126" s="210" t="n">
        <x:v>70</x:v>
      </x:c>
      <x:c r="P126" s="210" t="n">
        <x:v>15</x:v>
      </x:c>
      <x:c r="Q126" s="211" t="n">
        <x:v>0</x:v>
      </x:c>
      <x:c r="R126" s="207" t="str"/>
      <x:c r="S126" s="207" t="str"/>
      <x:c r="T126" s="207" t="str"/>
      <x:c r="U126" s="207" t="n">
        <x:v>0</x:v>
      </x:c>
      <x:c r="V126" s="208" t="n">
        <x:f>MAX(0,M126-U126)</x:f>
        <x:v>18</x:v>
      </x:c>
      <x:c r="W126" s="209" t="n">
        <x:f>IFERROR(U126/M126,0)</x:f>
        <x:v>0</x:v>
      </x:c>
      <x:c r="X126" s="201" t="str">
        <x:f>IF(U126=0,"Não iniciado",IF(U126&gt;=M126,"Concluído","Parcial"))</x:f>
        <x:v>Não iniciado</x:v>
      </x:c>
      <x:c r="Y126" s="199" t="str"/>
      <x:c r="Z126" s="188" t="str">
        <x:v>Normal</x:v>
      </x:c>
    </x:row>
    <x:row r="127" ht="22" customHeight="1">
      <x:c r="A127" s="217" t="n">
        <x:v>123</x:v>
      </x:c>
      <x:c r="B127" s="218" t="str">
        <x:v>26809</x:v>
      </x:c>
      <x:c r="C127" s="218" t="str">
        <x:v>11</x:v>
      </x:c>
      <x:c r="D127" s="218" t="str">
        <x:v>609957</x:v>
      </x:c>
      <x:c r="E127" s="218" t="str">
        <x:v>968525</x:v>
      </x:c>
      <x:c r="F127" s="218" t="str">
        <x:v>ALIZAR</x:v>
      </x:c>
      <x:c r="G127" s="184" t="str">
        <x:v>P A 2250X70X09 RTO RL55 RC PET CAPUCC UL</x:v>
      </x:c>
      <x:c r="H127" s="184" t="str">
        <x:v>REG 2L(MAIOR 55MM)</x:v>
      </x:c>
      <x:c r="I127" s="184" t="str"/>
      <x:c r="J127" s="184" t="str"/>
      <x:c r="K127" s="184" t="str">
        <x:v>RECOBERTO PET</x:v>
      </x:c>
      <x:c r="L127" s="184" t="str">
        <x:v>CAPUCCINO MARCHE</x:v>
      </x:c>
      <x:c r="M127" s="205" t="n">
        <x:v>24</x:v>
      </x:c>
      <x:c r="N127" s="205" t="n">
        <x:v>2250</x:v>
      </x:c>
      <x:c r="O127" s="205" t="n">
        <x:v>70</x:v>
      </x:c>
      <x:c r="P127" s="205" t="n">
        <x:v>9</x:v>
      </x:c>
      <x:c r="Q127" s="206" t="n">
        <x:v>0.034</x:v>
      </x:c>
      <x:c r="R127" s="207" t="str"/>
      <x:c r="S127" s="207" t="str"/>
      <x:c r="T127" s="207" t="str"/>
      <x:c r="U127" s="207" t="n">
        <x:v>0</x:v>
      </x:c>
      <x:c r="V127" s="208" t="n">
        <x:f>MAX(0,M127-U127)</x:f>
        <x:v>24</x:v>
      </x:c>
      <x:c r="W127" s="209" t="n">
        <x:f>IFERROR(U127/M127,0)</x:f>
        <x:v>0</x:v>
      </x:c>
      <x:c r="X127" s="201" t="str">
        <x:f>IF(U127=0,"Não iniciado",IF(U127&gt;=M127,"Concluído","Parcial"))</x:f>
        <x:v>Não iniciado</x:v>
      </x:c>
      <x:c r="Y127" s="199" t="str"/>
      <x:c r="Z127" s="188" t="str">
        <x:v>Normal</x:v>
      </x:c>
    </x:row>
    <x:row r="128" ht="22" customHeight="1">
      <x:c r="A128" s="219" t="n">
        <x:v>124</x:v>
      </x:c>
      <x:c r="B128" s="220" t="str">
        <x:v>26809</x:v>
      </x:c>
      <x:c r="C128" s="220" t="str">
        <x:v>11</x:v>
      </x:c>
      <x:c r="D128" s="220" t="str">
        <x:v>609959</x:v>
      </x:c>
      <x:c r="E128" s="220" t="str">
        <x:v>968527</x:v>
      </x:c>
      <x:c r="F128" s="220" t="str">
        <x:v>ALIZAR</x:v>
      </x:c>
      <x:c r="G128" s="190" t="str">
        <x:v>P A 2250X70X09 RTO LME RC PET CAPUCC (UL</x:v>
      </x:c>
      <x:c r="H128" s="190" t="str">
        <x:v>REG 2L(MAIOR 55MM)</x:v>
      </x:c>
      <x:c r="I128" s="190" t="str"/>
      <x:c r="J128" s="190" t="str"/>
      <x:c r="K128" s="190" t="str">
        <x:v>RECOBERTO PET</x:v>
      </x:c>
      <x:c r="L128" s="190" t="str">
        <x:v>CAPUCCINO MARCHE</x:v>
      </x:c>
      <x:c r="M128" s="210" t="n">
        <x:v>24</x:v>
      </x:c>
      <x:c r="N128" s="210" t="n">
        <x:v>2250</x:v>
      </x:c>
      <x:c r="O128" s="210" t="n">
        <x:v>70</x:v>
      </x:c>
      <x:c r="P128" s="210" t="n">
        <x:v>9</x:v>
      </x:c>
      <x:c r="Q128" s="211" t="n">
        <x:v>0.034</x:v>
      </x:c>
      <x:c r="R128" s="207" t="str"/>
      <x:c r="S128" s="207" t="str"/>
      <x:c r="T128" s="207" t="str"/>
      <x:c r="U128" s="207" t="n">
        <x:v>0</x:v>
      </x:c>
      <x:c r="V128" s="208" t="n">
        <x:f>MAX(0,M128-U128)</x:f>
        <x:v>24</x:v>
      </x:c>
      <x:c r="W128" s="209" t="n">
        <x:f>IFERROR(U128/M128,0)</x:f>
        <x:v>0</x:v>
      </x:c>
      <x:c r="X128" s="201" t="str">
        <x:f>IF(U128=0,"Não iniciado",IF(U128&gt;=M128,"Concluído","Parcial"))</x:f>
        <x:v>Não iniciado</x:v>
      </x:c>
      <x:c r="Y128" s="199" t="str"/>
      <x:c r="Z128" s="188" t="str">
        <x:v>Normal</x:v>
      </x:c>
    </x:row>
    <x:row r="129" ht="22" customHeight="1">
      <x:c r="A129" s="217" t="n">
        <x:v>125</x:v>
      </x:c>
      <x:c r="B129" s="218" t="str">
        <x:v>26800</x:v>
      </x:c>
      <x:c r="C129" s="218" t="str">
        <x:v>5</x:v>
      </x:c>
      <x:c r="D129" s="218" t="str">
        <x:v>609979</x:v>
      </x:c>
      <x:c r="E129" s="218" t="str">
        <x:v>979737</x:v>
      </x:c>
      <x:c r="F129" s="218" t="str">
        <x:v>ALIZAR</x:v>
      </x:c>
      <x:c r="G129" s="184" t="str">
        <x:v>P A 2250X70X9 RTO RL55 PET MALVA(ULTRA)</x:v>
      </x:c>
      <x:c r="H129" s="184" t="str">
        <x:v>REG 2L(MAIOR 55MM)</x:v>
      </x:c>
      <x:c r="I129" s="184" t="str"/>
      <x:c r="J129" s="184" t="str"/>
      <x:c r="K129" s="184" t="str">
        <x:v>RECOBERTO PET</x:v>
      </x:c>
      <x:c r="L129" s="184" t="str">
        <x:v>CARVALHO MALVA</x:v>
      </x:c>
      <x:c r="M129" s="205" t="n">
        <x:v>12</x:v>
      </x:c>
      <x:c r="N129" s="205" t="n">
        <x:v>2250</x:v>
      </x:c>
      <x:c r="O129" s="205" t="n">
        <x:v>70</x:v>
      </x:c>
      <x:c r="P129" s="205" t="n">
        <x:v>9</x:v>
      </x:c>
      <x:c r="Q129" s="206" t="n">
        <x:v>0</x:v>
      </x:c>
      <x:c r="R129" s="207" t="str"/>
      <x:c r="S129" s="207" t="str"/>
      <x:c r="T129" s="207" t="str"/>
      <x:c r="U129" s="207" t="n">
        <x:v>0</x:v>
      </x:c>
      <x:c r="V129" s="208" t="n">
        <x:f>MAX(0,M129-U129)</x:f>
        <x:v>12</x:v>
      </x:c>
      <x:c r="W129" s="209" t="n">
        <x:f>IFERROR(U129/M129,0)</x:f>
        <x:v>0</x:v>
      </x:c>
      <x:c r="X129" s="201" t="str">
        <x:f>IF(U129=0,"Não iniciado",IF(U129&gt;=M129,"Concluído","Parcial"))</x:f>
        <x:v>Não iniciado</x:v>
      </x:c>
      <x:c r="Y129" s="199" t="str"/>
      <x:c r="Z129" s="188" t="str">
        <x:v>Normal</x:v>
      </x:c>
    </x:row>
    <x:row r="130" ht="22" customHeight="1">
      <x:c r="A130" s="219" t="n">
        <x:v>126</x:v>
      </x:c>
      <x:c r="B130" s="220" t="str">
        <x:v>26684</x:v>
      </x:c>
      <x:c r="C130" s="220" t="str">
        <x:v>1</x:v>
      </x:c>
      <x:c r="D130" s="220" t="str">
        <x:v>609110</x:v>
      </x:c>
      <x:c r="E130" s="220" t="str">
        <x:v>956042</x:v>
      </x:c>
      <x:c r="F130" s="220" t="str">
        <x:v>OUTROS</x:v>
      </x:c>
      <x:c r="G130" s="190" t="str">
        <x:v>2250X70X15 RTO LME REC PET BCO IMP(STD)</x:v>
      </x:c>
      <x:c r="H130" s="190" t="str"/>
      <x:c r="I130" s="190" t="str"/>
      <x:c r="J130" s="190" t="str"/>
      <x:c r="K130" s="190" t="str">
        <x:v>ESMALTE</x:v>
      </x:c>
      <x:c r="L130" s="190" t="str">
        <x:v>BRANCO CARRARA</x:v>
      </x:c>
      <x:c r="M130" s="210" t="n">
        <x:v>2</x:v>
      </x:c>
      <x:c r="N130" s="210" t="n">
        <x:v>2250</x:v>
      </x:c>
      <x:c r="O130" s="210" t="n">
        <x:v>70</x:v>
      </x:c>
      <x:c r="P130" s="210" t="n">
        <x:v>15</x:v>
      </x:c>
      <x:c r="Q130" s="211" t="n">
        <x:v>0</x:v>
      </x:c>
      <x:c r="R130" s="207" t="str"/>
      <x:c r="S130" s="207" t="str"/>
      <x:c r="T130" s="207" t="str"/>
      <x:c r="U130" s="207" t="n">
        <x:v>0</x:v>
      </x:c>
      <x:c r="V130" s="208" t="n">
        <x:f>MAX(0,M130-U130)</x:f>
        <x:v>2</x:v>
      </x:c>
      <x:c r="W130" s="209" t="n">
        <x:f>IFERROR(U130/M130,0)</x:f>
        <x:v>0</x:v>
      </x:c>
      <x:c r="X130" s="201" t="str">
        <x:f>IF(U130=0,"Não iniciado",IF(U130&gt;=M130,"Concluído","Parcial"))</x:f>
        <x:v>Não iniciado</x:v>
      </x:c>
      <x:c r="Y130" s="199" t="str"/>
      <x:c r="Z130" s="188" t="str">
        <x:v>Normal</x:v>
      </x:c>
    </x:row>
    <x:row r="131" ht="22" customHeight="1">
      <x:c r="A131" s="217" t="n">
        <x:v>127</x:v>
      </x:c>
      <x:c r="B131" s="218" t="str">
        <x:v>26684</x:v>
      </x:c>
      <x:c r="C131" s="218" t="str">
        <x:v>1</x:v>
      </x:c>
      <x:c r="D131" s="218" t="str">
        <x:v>609113</x:v>
      </x:c>
      <x:c r="E131" s="218" t="str">
        <x:v>971354</x:v>
      </x:c>
      <x:c r="F131" s="218" t="str">
        <x:v>OUTROS</x:v>
      </x:c>
      <x:c r="G131" s="184" t="str">
        <x:v>PER ALI 2250X70X15 RT RL55RC PET BCO STD</x:v>
      </x:c>
      <x:c r="H131" s="184" t="str"/>
      <x:c r="I131" s="184" t="str"/>
      <x:c r="J131" s="184" t="str"/>
      <x:c r="K131" s="184" t="str">
        <x:v>ESMALTE</x:v>
      </x:c>
      <x:c r="L131" s="184" t="str">
        <x:v>BRANCO CARRARA</x:v>
      </x:c>
      <x:c r="M131" s="205" t="n">
        <x:v>2</x:v>
      </x:c>
      <x:c r="N131" s="205" t="n">
        <x:v>2250</x:v>
      </x:c>
      <x:c r="O131" s="205" t="n">
        <x:v>70</x:v>
      </x:c>
      <x:c r="P131" s="205" t="n">
        <x:v>15</x:v>
      </x:c>
      <x:c r="Q131" s="206" t="n">
        <x:v>0</x:v>
      </x:c>
      <x:c r="R131" s="207" t="str"/>
      <x:c r="S131" s="207" t="str"/>
      <x:c r="T131" s="207" t="str"/>
      <x:c r="U131" s="207" t="n">
        <x:v>0</x:v>
      </x:c>
      <x:c r="V131" s="208" t="n">
        <x:f>MAX(0,M131-U131)</x:f>
        <x:v>2</x:v>
      </x:c>
      <x:c r="W131" s="209" t="n">
        <x:f>IFERROR(U131/M131,0)</x:f>
        <x:v>0</x:v>
      </x:c>
      <x:c r="X131" s="201" t="str">
        <x:f>IF(U131=0,"Não iniciado",IF(U131&gt;=M131,"Concluído","Parcial"))</x:f>
        <x:v>Não iniciado</x:v>
      </x:c>
      <x:c r="Y131" s="199" t="str"/>
      <x:c r="Z131" s="188" t="str">
        <x:v>Normal</x:v>
      </x:c>
    </x:row>
    <x:row r="132" ht="22" customHeight="1">
      <x:c r="A132" s="219" t="n">
        <x:v>128</x:v>
      </x:c>
      <x:c r="B132" s="220" t="str">
        <x:v>26684</x:v>
      </x:c>
      <x:c r="C132" s="220" t="str">
        <x:v>2</x:v>
      </x:c>
      <x:c r="D132" s="220" t="str">
        <x:v>609118</x:v>
      </x:c>
      <x:c r="E132" s="220" t="str">
        <x:v>956042</x:v>
      </x:c>
      <x:c r="F132" s="220" t="str">
        <x:v>OUTROS</x:v>
      </x:c>
      <x:c r="G132" s="190" t="str">
        <x:v>2250X70X15 RTO LME REC PET BCO IMP(STD)</x:v>
      </x:c>
      <x:c r="H132" s="190" t="str"/>
      <x:c r="I132" s="190" t="str"/>
      <x:c r="J132" s="190" t="str"/>
      <x:c r="K132" s="190" t="str">
        <x:v>ESMALTE</x:v>
      </x:c>
      <x:c r="L132" s="190" t="str">
        <x:v>BRANCO CARRARA</x:v>
      </x:c>
      <x:c r="M132" s="210" t="n">
        <x:v>56</x:v>
      </x:c>
      <x:c r="N132" s="210" t="n">
        <x:v>2250</x:v>
      </x:c>
      <x:c r="O132" s="210" t="n">
        <x:v>70</x:v>
      </x:c>
      <x:c r="P132" s="210" t="n">
        <x:v>15</x:v>
      </x:c>
      <x:c r="Q132" s="211" t="n">
        <x:v>0</x:v>
      </x:c>
      <x:c r="R132" s="207" t="str"/>
      <x:c r="S132" s="207" t="str"/>
      <x:c r="T132" s="207" t="str"/>
      <x:c r="U132" s="207" t="n">
        <x:v>0</x:v>
      </x:c>
      <x:c r="V132" s="208" t="n">
        <x:f>MAX(0,M132-U132)</x:f>
        <x:v>56</x:v>
      </x:c>
      <x:c r="W132" s="209" t="n">
        <x:f>IFERROR(U132/M132,0)</x:f>
        <x:v>0</x:v>
      </x:c>
      <x:c r="X132" s="201" t="str">
        <x:f>IF(U132=0,"Não iniciado",IF(U132&gt;=M132,"Concluído","Parcial"))</x:f>
        <x:v>Não iniciado</x:v>
      </x:c>
      <x:c r="Y132" s="199" t="str"/>
      <x:c r="Z132" s="188" t="str">
        <x:v>Normal</x:v>
      </x:c>
    </x:row>
    <x:row r="133" ht="22" customHeight="1">
      <x:c r="A133" s="217" t="n">
        <x:v>129</x:v>
      </x:c>
      <x:c r="B133" s="218" t="str">
        <x:v>26684</x:v>
      </x:c>
      <x:c r="C133" s="218" t="str">
        <x:v>2</x:v>
      </x:c>
      <x:c r="D133" s="218" t="str">
        <x:v>609119</x:v>
      </x:c>
      <x:c r="E133" s="218" t="str">
        <x:v>971354</x:v>
      </x:c>
      <x:c r="F133" s="218" t="str">
        <x:v>OUTROS</x:v>
      </x:c>
      <x:c r="G133" s="184" t="str">
        <x:v>PER ALI 2250X70X15 RT RL55RC PET BCO STD</x:v>
      </x:c>
      <x:c r="H133" s="184" t="str"/>
      <x:c r="I133" s="184" t="str"/>
      <x:c r="J133" s="184" t="str"/>
      <x:c r="K133" s="184" t="str">
        <x:v>ESMALTE</x:v>
      </x:c>
      <x:c r="L133" s="184" t="str">
        <x:v>BRANCO CARRARA</x:v>
      </x:c>
      <x:c r="M133" s="205" t="n">
        <x:v>56</x:v>
      </x:c>
      <x:c r="N133" s="205" t="n">
        <x:v>2250</x:v>
      </x:c>
      <x:c r="O133" s="205" t="n">
        <x:v>70</x:v>
      </x:c>
      <x:c r="P133" s="205" t="n">
        <x:v>15</x:v>
      </x:c>
      <x:c r="Q133" s="206" t="n">
        <x:v>0</x:v>
      </x:c>
      <x:c r="R133" s="207" t="str"/>
      <x:c r="S133" s="207" t="str"/>
      <x:c r="T133" s="207" t="str"/>
      <x:c r="U133" s="207" t="n">
        <x:v>0</x:v>
      </x:c>
      <x:c r="V133" s="208" t="n">
        <x:f>MAX(0,M133-U133)</x:f>
        <x:v>56</x:v>
      </x:c>
      <x:c r="W133" s="209" t="n">
        <x:f>IFERROR(U133/M133,0)</x:f>
        <x:v>0</x:v>
      </x:c>
      <x:c r="X133" s="201" t="str">
        <x:f>IF(U133=0,"Não iniciado",IF(U133&gt;=M133,"Concluído","Parcial"))</x:f>
        <x:v>Não iniciado</x:v>
      </x:c>
      <x:c r="Y133" s="199" t="str"/>
      <x:c r="Z133" s="188" t="str">
        <x:v>Normal</x:v>
      </x:c>
    </x:row>
    <x:row r="134" ht="22" customHeight="1">
      <x:c r="A134" s="219" t="n">
        <x:v>130</x:v>
      </x:c>
      <x:c r="B134" s="220" t="str">
        <x:v>26684</x:v>
      </x:c>
      <x:c r="C134" s="220" t="str">
        <x:v>3</x:v>
      </x:c>
      <x:c r="D134" s="220" t="str">
        <x:v>609126</x:v>
      </x:c>
      <x:c r="E134" s="220" t="str">
        <x:v>956042</x:v>
      </x:c>
      <x:c r="F134" s="220" t="str">
        <x:v>OUTROS</x:v>
      </x:c>
      <x:c r="G134" s="190" t="str">
        <x:v>2250X70X15 RTO LME REC PET BCO IMP(STD)</x:v>
      </x:c>
      <x:c r="H134" s="190" t="str"/>
      <x:c r="I134" s="190" t="str"/>
      <x:c r="J134" s="190" t="str"/>
      <x:c r="K134" s="190" t="str">
        <x:v>ESMALTE</x:v>
      </x:c>
      <x:c r="L134" s="190" t="str">
        <x:v>BRANCO CARRARA</x:v>
      </x:c>
      <x:c r="M134" s="210" t="n">
        <x:v>6</x:v>
      </x:c>
      <x:c r="N134" s="210" t="n">
        <x:v>2250</x:v>
      </x:c>
      <x:c r="O134" s="210" t="n">
        <x:v>70</x:v>
      </x:c>
      <x:c r="P134" s="210" t="n">
        <x:v>15</x:v>
      </x:c>
      <x:c r="Q134" s="211" t="n">
        <x:v>0</x:v>
      </x:c>
      <x:c r="R134" s="207" t="str"/>
      <x:c r="S134" s="207" t="str"/>
      <x:c r="T134" s="207" t="str"/>
      <x:c r="U134" s="207" t="n">
        <x:v>0</x:v>
      </x:c>
      <x:c r="V134" s="208" t="n">
        <x:f>MAX(0,M134-U134)</x:f>
        <x:v>6</x:v>
      </x:c>
      <x:c r="W134" s="209" t="n">
        <x:f>IFERROR(U134/M134,0)</x:f>
        <x:v>0</x:v>
      </x:c>
      <x:c r="X134" s="201" t="str">
        <x:f>IF(U134=0,"Não iniciado",IF(U134&gt;=M134,"Concluído","Parcial"))</x:f>
        <x:v>Não iniciado</x:v>
      </x:c>
      <x:c r="Y134" s="199" t="str"/>
      <x:c r="Z134" s="188" t="str">
        <x:v>Normal</x:v>
      </x:c>
    </x:row>
    <x:row r="135" ht="22" customHeight="1">
      <x:c r="A135" s="217" t="n">
        <x:v>131</x:v>
      </x:c>
      <x:c r="B135" s="218" t="str">
        <x:v>26684</x:v>
      </x:c>
      <x:c r="C135" s="218" t="str">
        <x:v>3</x:v>
      </x:c>
      <x:c r="D135" s="218" t="str">
        <x:v>609129</x:v>
      </x:c>
      <x:c r="E135" s="218" t="str">
        <x:v>971354</x:v>
      </x:c>
      <x:c r="F135" s="218" t="str">
        <x:v>OUTROS</x:v>
      </x:c>
      <x:c r="G135" s="184" t="str">
        <x:v>PER ALI 2250X70X15 RT RL55RC PET BCO STD</x:v>
      </x:c>
      <x:c r="H135" s="184" t="str"/>
      <x:c r="I135" s="184" t="str"/>
      <x:c r="J135" s="184" t="str"/>
      <x:c r="K135" s="184" t="str">
        <x:v>ESMALTE</x:v>
      </x:c>
      <x:c r="L135" s="184" t="str">
        <x:v>BRANCO CARRARA</x:v>
      </x:c>
      <x:c r="M135" s="205" t="n">
        <x:v>6</x:v>
      </x:c>
      <x:c r="N135" s="205" t="n">
        <x:v>2250</x:v>
      </x:c>
      <x:c r="O135" s="205" t="n">
        <x:v>70</x:v>
      </x:c>
      <x:c r="P135" s="205" t="n">
        <x:v>15</x:v>
      </x:c>
      <x:c r="Q135" s="206" t="n">
        <x:v>0</x:v>
      </x:c>
      <x:c r="R135" s="207" t="str"/>
      <x:c r="S135" s="207" t="str"/>
      <x:c r="T135" s="207" t="str"/>
      <x:c r="U135" s="207" t="n">
        <x:v>0</x:v>
      </x:c>
      <x:c r="V135" s="208" t="n">
        <x:f>MAX(0,M135-U135)</x:f>
        <x:v>6</x:v>
      </x:c>
      <x:c r="W135" s="209" t="n">
        <x:f>IFERROR(U135/M135,0)</x:f>
        <x:v>0</x:v>
      </x:c>
      <x:c r="X135" s="201" t="str">
        <x:f>IF(U135=0,"Não iniciado",IF(U135&gt;=M135,"Concluído","Parcial"))</x:f>
        <x:v>Não iniciado</x:v>
      </x:c>
      <x:c r="Y135" s="199" t="str"/>
      <x:c r="Z135" s="188" t="str">
        <x:v>Normal</x:v>
      </x:c>
    </x:row>
    <x:row r="136" ht="22" customHeight="1">
      <x:c r="A136" s="219" t="n">
        <x:v>132</x:v>
      </x:c>
      <x:c r="B136" s="220" t="str">
        <x:v>26684</x:v>
      </x:c>
      <x:c r="C136" s="220" t="str">
        <x:v>4</x:v>
      </x:c>
      <x:c r="D136" s="220" t="str">
        <x:v>609134</x:v>
      </x:c>
      <x:c r="E136" s="220" t="str">
        <x:v>956042</x:v>
      </x:c>
      <x:c r="F136" s="220" t="str">
        <x:v>OUTROS</x:v>
      </x:c>
      <x:c r="G136" s="190" t="str">
        <x:v>2250X70X15 RTO LME REC PET BCO IMP(STD)</x:v>
      </x:c>
      <x:c r="H136" s="190" t="str"/>
      <x:c r="I136" s="190" t="str"/>
      <x:c r="J136" s="190" t="str"/>
      <x:c r="K136" s="190" t="str">
        <x:v>ESMALTE</x:v>
      </x:c>
      <x:c r="L136" s="190" t="str">
        <x:v>BRANCO CARRARA</x:v>
      </x:c>
      <x:c r="M136" s="210" t="n">
        <x:v>110</x:v>
      </x:c>
      <x:c r="N136" s="210" t="n">
        <x:v>2250</x:v>
      </x:c>
      <x:c r="O136" s="210" t="n">
        <x:v>70</x:v>
      </x:c>
      <x:c r="P136" s="210" t="n">
        <x:v>15</x:v>
      </x:c>
      <x:c r="Q136" s="211" t="n">
        <x:v>0</x:v>
      </x:c>
      <x:c r="R136" s="207" t="str"/>
      <x:c r="S136" s="207" t="str"/>
      <x:c r="T136" s="207" t="str"/>
      <x:c r="U136" s="207" t="n">
        <x:v>0</x:v>
      </x:c>
      <x:c r="V136" s="208" t="n">
        <x:f>MAX(0,M136-U136)</x:f>
        <x:v>110</x:v>
      </x:c>
      <x:c r="W136" s="209" t="n">
        <x:f>IFERROR(U136/M136,0)</x:f>
        <x:v>0</x:v>
      </x:c>
      <x:c r="X136" s="201" t="str">
        <x:f>IF(U136=0,"Não iniciado",IF(U136&gt;=M136,"Concluído","Parcial"))</x:f>
        <x:v>Não iniciado</x:v>
      </x:c>
      <x:c r="Y136" s="199" t="str"/>
      <x:c r="Z136" s="188" t="str">
        <x:v>Normal</x:v>
      </x:c>
    </x:row>
    <x:row r="137" ht="22" customHeight="1">
      <x:c r="A137" s="217" t="n">
        <x:v>133</x:v>
      </x:c>
      <x:c r="B137" s="218" t="str">
        <x:v>26684</x:v>
      </x:c>
      <x:c r="C137" s="218" t="str">
        <x:v>4</x:v>
      </x:c>
      <x:c r="D137" s="218" t="str">
        <x:v>609135</x:v>
      </x:c>
      <x:c r="E137" s="218" t="str">
        <x:v>971354</x:v>
      </x:c>
      <x:c r="F137" s="218" t="str">
        <x:v>OUTROS</x:v>
      </x:c>
      <x:c r="G137" s="184" t="str">
        <x:v>PER ALI 2250X70X15 RT RL55RC PET BCO STD</x:v>
      </x:c>
      <x:c r="H137" s="184" t="str"/>
      <x:c r="I137" s="184" t="str"/>
      <x:c r="J137" s="184" t="str"/>
      <x:c r="K137" s="184" t="str">
        <x:v>ESMALTE</x:v>
      </x:c>
      <x:c r="L137" s="184" t="str">
        <x:v>BRANCO CARRARA</x:v>
      </x:c>
      <x:c r="M137" s="205" t="n">
        <x:v>110</x:v>
      </x:c>
      <x:c r="N137" s="205" t="n">
        <x:v>2250</x:v>
      </x:c>
      <x:c r="O137" s="205" t="n">
        <x:v>70</x:v>
      </x:c>
      <x:c r="P137" s="205" t="n">
        <x:v>15</x:v>
      </x:c>
      <x:c r="Q137" s="206" t="n">
        <x:v>0</x:v>
      </x:c>
      <x:c r="R137" s="207" t="str"/>
      <x:c r="S137" s="207" t="str"/>
      <x:c r="T137" s="207" t="str"/>
      <x:c r="U137" s="207" t="n">
        <x:v>0</x:v>
      </x:c>
      <x:c r="V137" s="208" t="n">
        <x:f>MAX(0,M137-U137)</x:f>
        <x:v>110</x:v>
      </x:c>
      <x:c r="W137" s="209" t="n">
        <x:f>IFERROR(U137/M137,0)</x:f>
        <x:v>0</x:v>
      </x:c>
      <x:c r="X137" s="201" t="str">
        <x:f>IF(U137=0,"Não iniciado",IF(U137&gt;=M137,"Concluído","Parcial"))</x:f>
        <x:v>Não iniciado</x:v>
      </x:c>
      <x:c r="Y137" s="199" t="str"/>
      <x:c r="Z137" s="188" t="str">
        <x:v>Normal</x:v>
      </x:c>
    </x:row>
    <x:row r="138" ht="22" customHeight="1">
      <x:c r="A138" s="219" t="n">
        <x:v>134</x:v>
      </x:c>
      <x:c r="B138" s="220" t="str">
        <x:v>26684</x:v>
      </x:c>
      <x:c r="C138" s="220" t="str">
        <x:v>5</x:v>
      </x:c>
      <x:c r="D138" s="220" t="str">
        <x:v>609142</x:v>
      </x:c>
      <x:c r="E138" s="220" t="str">
        <x:v>956042</x:v>
      </x:c>
      <x:c r="F138" s="220" t="str">
        <x:v>OUTROS</x:v>
      </x:c>
      <x:c r="G138" s="190" t="str">
        <x:v>2250X70X15 RTO LME REC PET BCO IMP(STD)</x:v>
      </x:c>
      <x:c r="H138" s="190" t="str"/>
      <x:c r="I138" s="190" t="str"/>
      <x:c r="J138" s="190" t="str"/>
      <x:c r="K138" s="190" t="str">
        <x:v>ESMALTE</x:v>
      </x:c>
      <x:c r="L138" s="190" t="str">
        <x:v>BRANCO CARRARA</x:v>
      </x:c>
      <x:c r="M138" s="210" t="n">
        <x:v>12</x:v>
      </x:c>
      <x:c r="N138" s="210" t="n">
        <x:v>2250</x:v>
      </x:c>
      <x:c r="O138" s="210" t="n">
        <x:v>70</x:v>
      </x:c>
      <x:c r="P138" s="210" t="n">
        <x:v>15</x:v>
      </x:c>
      <x:c r="Q138" s="211" t="n">
        <x:v>0</x:v>
      </x:c>
      <x:c r="R138" s="207" t="str"/>
      <x:c r="S138" s="207" t="str"/>
      <x:c r="T138" s="207" t="str"/>
      <x:c r="U138" s="207" t="n">
        <x:v>0</x:v>
      </x:c>
      <x:c r="V138" s="208" t="n">
        <x:f>MAX(0,M138-U138)</x:f>
        <x:v>12</x:v>
      </x:c>
      <x:c r="W138" s="209" t="n">
        <x:f>IFERROR(U138/M138,0)</x:f>
        <x:v>0</x:v>
      </x:c>
      <x:c r="X138" s="201" t="str">
        <x:f>IF(U138=0,"Não iniciado",IF(U138&gt;=M138,"Concluído","Parcial"))</x:f>
        <x:v>Não iniciado</x:v>
      </x:c>
      <x:c r="Y138" s="199" t="str"/>
      <x:c r="Z138" s="188" t="str">
        <x:v>Normal</x:v>
      </x:c>
    </x:row>
    <x:row r="139" ht="22" customHeight="1">
      <x:c r="A139" s="217" t="n">
        <x:v>135</x:v>
      </x:c>
      <x:c r="B139" s="218" t="str">
        <x:v>26684</x:v>
      </x:c>
      <x:c r="C139" s="218" t="str">
        <x:v>5</x:v>
      </x:c>
      <x:c r="D139" s="218" t="str">
        <x:v>609145</x:v>
      </x:c>
      <x:c r="E139" s="218" t="str">
        <x:v>971354</x:v>
      </x:c>
      <x:c r="F139" s="218" t="str">
        <x:v>OUTROS</x:v>
      </x:c>
      <x:c r="G139" s="184" t="str">
        <x:v>PER ALI 2250X70X15 RT RL55RC PET BCO STD</x:v>
      </x:c>
      <x:c r="H139" s="184" t="str"/>
      <x:c r="I139" s="184" t="str"/>
      <x:c r="J139" s="184" t="str"/>
      <x:c r="K139" s="184" t="str">
        <x:v>ESMALTE</x:v>
      </x:c>
      <x:c r="L139" s="184" t="str">
        <x:v>BRANCO CARRARA</x:v>
      </x:c>
      <x:c r="M139" s="205" t="n">
        <x:v>12</x:v>
      </x:c>
      <x:c r="N139" s="205" t="n">
        <x:v>2250</x:v>
      </x:c>
      <x:c r="O139" s="205" t="n">
        <x:v>70</x:v>
      </x:c>
      <x:c r="P139" s="205" t="n">
        <x:v>15</x:v>
      </x:c>
      <x:c r="Q139" s="206" t="n">
        <x:v>0</x:v>
      </x:c>
      <x:c r="R139" s="207" t="str"/>
      <x:c r="S139" s="207" t="str"/>
      <x:c r="T139" s="207" t="str"/>
      <x:c r="U139" s="207" t="n">
        <x:v>0</x:v>
      </x:c>
      <x:c r="V139" s="208" t="n">
        <x:f>MAX(0,M139-U139)</x:f>
        <x:v>12</x:v>
      </x:c>
      <x:c r="W139" s="209" t="n">
        <x:f>IFERROR(U139/M139,0)</x:f>
        <x:v>0</x:v>
      </x:c>
      <x:c r="X139" s="201" t="str">
        <x:f>IF(U139=0,"Não iniciado",IF(U139&gt;=M139,"Concluído","Parcial"))</x:f>
        <x:v>Não iniciado</x:v>
      </x:c>
      <x:c r="Y139" s="199" t="str"/>
      <x:c r="Z139" s="188" t="str">
        <x:v>Normal</x:v>
      </x:c>
    </x:row>
    <x:row r="140" ht="22" customHeight="1">
      <x:c r="A140" s="219" t="n">
        <x:v>136</x:v>
      </x:c>
      <x:c r="B140" s="220" t="str">
        <x:v>26684</x:v>
      </x:c>
      <x:c r="C140" s="220" t="str">
        <x:v>7</x:v>
      </x:c>
      <x:c r="D140" s="220" t="str">
        <x:v>609158</x:v>
      </x:c>
      <x:c r="E140" s="220" t="str">
        <x:v>956042</x:v>
      </x:c>
      <x:c r="F140" s="220" t="str">
        <x:v>OUTROS</x:v>
      </x:c>
      <x:c r="G140" s="190" t="str">
        <x:v>2250X70X15 RTO LME REC PET BCO IMP(STD)</x:v>
      </x:c>
      <x:c r="H140" s="190" t="str"/>
      <x:c r="I140" s="190" t="str"/>
      <x:c r="J140" s="190" t="str"/>
      <x:c r="K140" s="190" t="str">
        <x:v>ESMALTE</x:v>
      </x:c>
      <x:c r="L140" s="190" t="str">
        <x:v>BRANCO CARRARA</x:v>
      </x:c>
      <x:c r="M140" s="210" t="n">
        <x:v>2</x:v>
      </x:c>
      <x:c r="N140" s="210" t="n">
        <x:v>2250</x:v>
      </x:c>
      <x:c r="O140" s="210" t="n">
        <x:v>70</x:v>
      </x:c>
      <x:c r="P140" s="210" t="n">
        <x:v>15</x:v>
      </x:c>
      <x:c r="Q140" s="211" t="n">
        <x:v>0</x:v>
      </x:c>
      <x:c r="R140" s="207" t="str"/>
      <x:c r="S140" s="207" t="str"/>
      <x:c r="T140" s="207" t="str"/>
      <x:c r="U140" s="207" t="n">
        <x:v>0</x:v>
      </x:c>
      <x:c r="V140" s="208" t="n">
        <x:f>MAX(0,M140-U140)</x:f>
        <x:v>2</x:v>
      </x:c>
      <x:c r="W140" s="209" t="n">
        <x:f>IFERROR(U140/M140,0)</x:f>
        <x:v>0</x:v>
      </x:c>
      <x:c r="X140" s="201" t="str">
        <x:f>IF(U140=0,"Não iniciado",IF(U140&gt;=M140,"Concluído","Parcial"))</x:f>
        <x:v>Não iniciado</x:v>
      </x:c>
      <x:c r="Y140" s="199" t="str"/>
      <x:c r="Z140" s="188" t="str">
        <x:v>Normal</x:v>
      </x:c>
    </x:row>
    <x:row r="141" ht="22" customHeight="1">
      <x:c r="A141" s="217" t="n">
        <x:v>137</x:v>
      </x:c>
      <x:c r="B141" s="218" t="str">
        <x:v>26684</x:v>
      </x:c>
      <x:c r="C141" s="218" t="str">
        <x:v>7</x:v>
      </x:c>
      <x:c r="D141" s="218" t="str">
        <x:v>609161</x:v>
      </x:c>
      <x:c r="E141" s="218" t="str">
        <x:v>971354</x:v>
      </x:c>
      <x:c r="F141" s="218" t="str">
        <x:v>OUTROS</x:v>
      </x:c>
      <x:c r="G141" s="184" t="str">
        <x:v>PER ALI 2250X70X15 RT RL55RC PET BCO STD</x:v>
      </x:c>
      <x:c r="H141" s="184" t="str"/>
      <x:c r="I141" s="184" t="str"/>
      <x:c r="J141" s="184" t="str"/>
      <x:c r="K141" s="184" t="str">
        <x:v>ESMALTE</x:v>
      </x:c>
      <x:c r="L141" s="184" t="str">
        <x:v>BRANCO CARRARA</x:v>
      </x:c>
      <x:c r="M141" s="205" t="n">
        <x:v>2</x:v>
      </x:c>
      <x:c r="N141" s="205" t="n">
        <x:v>2250</x:v>
      </x:c>
      <x:c r="O141" s="205" t="n">
        <x:v>70</x:v>
      </x:c>
      <x:c r="P141" s="205" t="n">
        <x:v>15</x:v>
      </x:c>
      <x:c r="Q141" s="206" t="n">
        <x:v>0</x:v>
      </x:c>
      <x:c r="R141" s="207" t="str"/>
      <x:c r="S141" s="207" t="str"/>
      <x:c r="T141" s="207" t="str"/>
      <x:c r="U141" s="207" t="n">
        <x:v>0</x:v>
      </x:c>
      <x:c r="V141" s="208" t="n">
        <x:f>MAX(0,M141-U141)</x:f>
        <x:v>2</x:v>
      </x:c>
      <x:c r="W141" s="209" t="n">
        <x:f>IFERROR(U141/M141,0)</x:f>
        <x:v>0</x:v>
      </x:c>
      <x:c r="X141" s="201" t="str">
        <x:f>IF(U141=0,"Não iniciado",IF(U141&gt;=M141,"Concluído","Parcial"))</x:f>
        <x:v>Não iniciado</x:v>
      </x:c>
      <x:c r="Y141" s="199" t="str"/>
      <x:c r="Z141" s="188" t="str">
        <x:v>Normal</x:v>
      </x:c>
    </x:row>
    <x:row r="142" ht="22" customHeight="1">
      <x:c r="A142" s="219" t="n">
        <x:v>138</x:v>
      </x:c>
      <x:c r="B142" s="220" t="str">
        <x:v>26684</x:v>
      </x:c>
      <x:c r="C142" s="220" t="str">
        <x:v>8</x:v>
      </x:c>
      <x:c r="D142" s="220" t="str">
        <x:v>609166</x:v>
      </x:c>
      <x:c r="E142" s="220" t="str">
        <x:v>956042</x:v>
      </x:c>
      <x:c r="F142" s="220" t="str">
        <x:v>OUTROS</x:v>
      </x:c>
      <x:c r="G142" s="190" t="str">
        <x:v>2250X70X15 RTO LME REC PET BCO IMP(STD)</x:v>
      </x:c>
      <x:c r="H142" s="190" t="str"/>
      <x:c r="I142" s="190" t="str"/>
      <x:c r="J142" s="190" t="str"/>
      <x:c r="K142" s="190" t="str">
        <x:v>ESMALTE</x:v>
      </x:c>
      <x:c r="L142" s="190" t="str">
        <x:v>BRANCO CARRARA</x:v>
      </x:c>
      <x:c r="M142" s="210" t="n">
        <x:v>10</x:v>
      </x:c>
      <x:c r="N142" s="210" t="n">
        <x:v>2250</x:v>
      </x:c>
      <x:c r="O142" s="210" t="n">
        <x:v>70</x:v>
      </x:c>
      <x:c r="P142" s="210" t="n">
        <x:v>15</x:v>
      </x:c>
      <x:c r="Q142" s="211" t="n">
        <x:v>0</x:v>
      </x:c>
      <x:c r="R142" s="207" t="str"/>
      <x:c r="S142" s="207" t="str"/>
      <x:c r="T142" s="207" t="str"/>
      <x:c r="U142" s="207" t="n">
        <x:v>0</x:v>
      </x:c>
      <x:c r="V142" s="208" t="n">
        <x:f>MAX(0,M142-U142)</x:f>
        <x:v>10</x:v>
      </x:c>
      <x:c r="W142" s="209" t="n">
        <x:f>IFERROR(U142/M142,0)</x:f>
        <x:v>0</x:v>
      </x:c>
      <x:c r="X142" s="201" t="str">
        <x:f>IF(U142=0,"Não iniciado",IF(U142&gt;=M142,"Concluído","Parcial"))</x:f>
        <x:v>Não iniciado</x:v>
      </x:c>
      <x:c r="Y142" s="199" t="str"/>
      <x:c r="Z142" s="188" t="str">
        <x:v>Normal</x:v>
      </x:c>
    </x:row>
    <x:row r="143" ht="22" customHeight="1">
      <x:c r="A143" s="217" t="n">
        <x:v>139</x:v>
      </x:c>
      <x:c r="B143" s="218" t="str">
        <x:v>26684</x:v>
      </x:c>
      <x:c r="C143" s="218" t="str">
        <x:v>8</x:v>
      </x:c>
      <x:c r="D143" s="218" t="str">
        <x:v>609167</x:v>
      </x:c>
      <x:c r="E143" s="218" t="str">
        <x:v>971354</x:v>
      </x:c>
      <x:c r="F143" s="218" t="str">
        <x:v>OUTROS</x:v>
      </x:c>
      <x:c r="G143" s="184" t="str">
        <x:v>PER ALI 2250X70X15 RT RL55RC PET BCO STD</x:v>
      </x:c>
      <x:c r="H143" s="184" t="str"/>
      <x:c r="I143" s="184" t="str"/>
      <x:c r="J143" s="184" t="str"/>
      <x:c r="K143" s="184" t="str">
        <x:v>ESMALTE</x:v>
      </x:c>
      <x:c r="L143" s="184" t="str">
        <x:v>BRANCO CARRARA</x:v>
      </x:c>
      <x:c r="M143" s="205" t="n">
        <x:v>10</x:v>
      </x:c>
      <x:c r="N143" s="205" t="n">
        <x:v>2250</x:v>
      </x:c>
      <x:c r="O143" s="205" t="n">
        <x:v>70</x:v>
      </x:c>
      <x:c r="P143" s="205" t="n">
        <x:v>15</x:v>
      </x:c>
      <x:c r="Q143" s="206" t="n">
        <x:v>0</x:v>
      </x:c>
      <x:c r="R143" s="207" t="str"/>
      <x:c r="S143" s="207" t="str"/>
      <x:c r="T143" s="207" t="str"/>
      <x:c r="U143" s="207" t="n">
        <x:v>0</x:v>
      </x:c>
      <x:c r="V143" s="208" t="n">
        <x:f>MAX(0,M143-U143)</x:f>
        <x:v>10</x:v>
      </x:c>
      <x:c r="W143" s="209" t="n">
        <x:f>IFERROR(U143/M143,0)</x:f>
        <x:v>0</x:v>
      </x:c>
      <x:c r="X143" s="201" t="str">
        <x:f>IF(U143=0,"Não iniciado",IF(U143&gt;=M143,"Concluído","Parcial"))</x:f>
        <x:v>Não iniciado</x:v>
      </x:c>
      <x:c r="Y143" s="199" t="str"/>
      <x:c r="Z143" s="188" t="str">
        <x:v>Normal</x:v>
      </x:c>
    </x:row>
    <x:row r="144" ht="22" customHeight="1">
      <x:c r="A144" s="219" t="n">
        <x:v>140</x:v>
      </x:c>
      <x:c r="B144" s="220" t="str">
        <x:v>26684</x:v>
      </x:c>
      <x:c r="C144" s="220" t="str">
        <x:v>9</x:v>
      </x:c>
      <x:c r="D144" s="220" t="str">
        <x:v>609174</x:v>
      </x:c>
      <x:c r="E144" s="220" t="str">
        <x:v>956042</x:v>
      </x:c>
      <x:c r="F144" s="220" t="str">
        <x:v>OUTROS</x:v>
      </x:c>
      <x:c r="G144" s="190" t="str">
        <x:v>2250X70X15 RTO LME REC PET BCO IMP(STD)</x:v>
      </x:c>
      <x:c r="H144" s="190" t="str"/>
      <x:c r="I144" s="190" t="str"/>
      <x:c r="J144" s="190" t="str"/>
      <x:c r="K144" s="190" t="str">
        <x:v>ESMALTE</x:v>
      </x:c>
      <x:c r="L144" s="190" t="str">
        <x:v>BRANCO CARRARA</x:v>
      </x:c>
      <x:c r="M144" s="210" t="n">
        <x:v>114</x:v>
      </x:c>
      <x:c r="N144" s="210" t="n">
        <x:v>2250</x:v>
      </x:c>
      <x:c r="O144" s="210" t="n">
        <x:v>70</x:v>
      </x:c>
      <x:c r="P144" s="210" t="n">
        <x:v>15</x:v>
      </x:c>
      <x:c r="Q144" s="211" t="n">
        <x:v>0</x:v>
      </x:c>
      <x:c r="R144" s="207" t="str"/>
      <x:c r="S144" s="207" t="str"/>
      <x:c r="T144" s="207" t="str"/>
      <x:c r="U144" s="207" t="n">
        <x:v>0</x:v>
      </x:c>
      <x:c r="V144" s="208" t="n">
        <x:f>MAX(0,M144-U144)</x:f>
        <x:v>114</x:v>
      </x:c>
      <x:c r="W144" s="209" t="n">
        <x:f>IFERROR(U144/M144,0)</x:f>
        <x:v>0</x:v>
      </x:c>
      <x:c r="X144" s="201" t="str">
        <x:f>IF(U144=0,"Não iniciado",IF(U144&gt;=M144,"Concluído","Parcial"))</x:f>
        <x:v>Não iniciado</x:v>
      </x:c>
      <x:c r="Y144" s="199" t="str"/>
      <x:c r="Z144" s="188" t="str">
        <x:v>Normal</x:v>
      </x:c>
    </x:row>
    <x:row r="145" ht="22" customHeight="1">
      <x:c r="A145" s="217" t="n">
        <x:v>141</x:v>
      </x:c>
      <x:c r="B145" s="218" t="str">
        <x:v>26684</x:v>
      </x:c>
      <x:c r="C145" s="218" t="str">
        <x:v>9</x:v>
      </x:c>
      <x:c r="D145" s="218" t="str">
        <x:v>609177</x:v>
      </x:c>
      <x:c r="E145" s="218" t="str">
        <x:v>971354</x:v>
      </x:c>
      <x:c r="F145" s="218" t="str">
        <x:v>OUTROS</x:v>
      </x:c>
      <x:c r="G145" s="184" t="str">
        <x:v>PER ALI 2250X70X15 RT RL55RC PET BCO STD</x:v>
      </x:c>
      <x:c r="H145" s="184" t="str"/>
      <x:c r="I145" s="184" t="str"/>
      <x:c r="J145" s="184" t="str"/>
      <x:c r="K145" s="184" t="str">
        <x:v>ESMALTE</x:v>
      </x:c>
      <x:c r="L145" s="184" t="str">
        <x:v>BRANCO CARRARA</x:v>
      </x:c>
      <x:c r="M145" s="205" t="n">
        <x:v>114</x:v>
      </x:c>
      <x:c r="N145" s="205" t="n">
        <x:v>2250</x:v>
      </x:c>
      <x:c r="O145" s="205" t="n">
        <x:v>70</x:v>
      </x:c>
      <x:c r="P145" s="205" t="n">
        <x:v>15</x:v>
      </x:c>
      <x:c r="Q145" s="206" t="n">
        <x:v>0</x:v>
      </x:c>
      <x:c r="R145" s="207" t="str"/>
      <x:c r="S145" s="207" t="str"/>
      <x:c r="T145" s="207" t="str"/>
      <x:c r="U145" s="207" t="n">
        <x:v>0</x:v>
      </x:c>
      <x:c r="V145" s="208" t="n">
        <x:f>MAX(0,M145-U145)</x:f>
        <x:v>114</x:v>
      </x:c>
      <x:c r="W145" s="209" t="n">
        <x:f>IFERROR(U145/M145,0)</x:f>
        <x:v>0</x:v>
      </x:c>
      <x:c r="X145" s="201" t="str">
        <x:f>IF(U145=0,"Não iniciado",IF(U145&gt;=M145,"Concluído","Parcial"))</x:f>
        <x:v>Não iniciado</x:v>
      </x:c>
      <x:c r="Y145" s="199" t="str"/>
      <x:c r="Z145" s="188" t="str">
        <x:v>Normal</x:v>
      </x:c>
    </x:row>
    <x:row r="146" ht="22" customHeight="1">
      <x:c r="A146" s="219" t="n">
        <x:v>142</x:v>
      </x:c>
      <x:c r="B146" s="220" t="str">
        <x:v>26689</x:v>
      </x:c>
      <x:c r="C146" s="220" t="str">
        <x:v>1</x:v>
      </x:c>
      <x:c r="D146" s="220" t="str">
        <x:v>609077</x:v>
      </x:c>
      <x:c r="E146" s="220" t="str">
        <x:v>956042</x:v>
      </x:c>
      <x:c r="F146" s="220" t="str">
        <x:v>OUTROS</x:v>
      </x:c>
      <x:c r="G146" s="190" t="str">
        <x:v>2250X70X15 RTO LME REC PET BCO IMP(STD)</x:v>
      </x:c>
      <x:c r="H146" s="190" t="str"/>
      <x:c r="I146" s="190" t="str"/>
      <x:c r="J146" s="190" t="str"/>
      <x:c r="K146" s="190" t="str">
        <x:v>ESMALTE</x:v>
      </x:c>
      <x:c r="L146" s="190" t="str">
        <x:v>BRANCO CARRARA</x:v>
      </x:c>
      <x:c r="M146" s="210" t="n">
        <x:v>64</x:v>
      </x:c>
      <x:c r="N146" s="210" t="n">
        <x:v>2250</x:v>
      </x:c>
      <x:c r="O146" s="210" t="n">
        <x:v>70</x:v>
      </x:c>
      <x:c r="P146" s="210" t="n">
        <x:v>15</x:v>
      </x:c>
      <x:c r="Q146" s="211" t="n">
        <x:v>0</x:v>
      </x:c>
      <x:c r="R146" s="207" t="str"/>
      <x:c r="S146" s="207" t="str"/>
      <x:c r="T146" s="207" t="str"/>
      <x:c r="U146" s="207" t="n">
        <x:v>0</x:v>
      </x:c>
      <x:c r="V146" s="208" t="n">
        <x:f>MAX(0,M146-U146)</x:f>
        <x:v>64</x:v>
      </x:c>
      <x:c r="W146" s="209" t="n">
        <x:f>IFERROR(U146/M146,0)</x:f>
        <x:v>0</x:v>
      </x:c>
      <x:c r="X146" s="201" t="str">
        <x:f>IF(U146=0,"Não iniciado",IF(U146&gt;=M146,"Concluído","Parcial"))</x:f>
        <x:v>Não iniciado</x:v>
      </x:c>
      <x:c r="Y146" s="199" t="str"/>
      <x:c r="Z146" s="188" t="str">
        <x:v>Normal</x:v>
      </x:c>
    </x:row>
    <x:row r="147" ht="22" customHeight="1">
      <x:c r="A147" s="217" t="n">
        <x:v>143</x:v>
      </x:c>
      <x:c r="B147" s="218" t="str">
        <x:v>26689</x:v>
      </x:c>
      <x:c r="C147" s="218" t="str">
        <x:v>1</x:v>
      </x:c>
      <x:c r="D147" s="218" t="str">
        <x:v>609078</x:v>
      </x:c>
      <x:c r="E147" s="218" t="str">
        <x:v>971354</x:v>
      </x:c>
      <x:c r="F147" s="218" t="str">
        <x:v>OUTROS</x:v>
      </x:c>
      <x:c r="G147" s="184" t="str">
        <x:v>PER ALI 2250X70X15 RT RL55RC PET BCO STD</x:v>
      </x:c>
      <x:c r="H147" s="184" t="str"/>
      <x:c r="I147" s="184" t="str"/>
      <x:c r="J147" s="184" t="str"/>
      <x:c r="K147" s="184" t="str">
        <x:v>ESMALTE</x:v>
      </x:c>
      <x:c r="L147" s="184" t="str">
        <x:v>BRANCO CARRARA</x:v>
      </x:c>
      <x:c r="M147" s="205" t="n">
        <x:v>64</x:v>
      </x:c>
      <x:c r="N147" s="205" t="n">
        <x:v>2250</x:v>
      </x:c>
      <x:c r="O147" s="205" t="n">
        <x:v>70</x:v>
      </x:c>
      <x:c r="P147" s="205" t="n">
        <x:v>15</x:v>
      </x:c>
      <x:c r="Q147" s="206" t="n">
        <x:v>0</x:v>
      </x:c>
      <x:c r="R147" s="207" t="str"/>
      <x:c r="S147" s="207" t="str"/>
      <x:c r="T147" s="207" t="str"/>
      <x:c r="U147" s="207" t="n">
        <x:v>0</x:v>
      </x:c>
      <x:c r="V147" s="208" t="n">
        <x:f>MAX(0,M147-U147)</x:f>
        <x:v>64</x:v>
      </x:c>
      <x:c r="W147" s="209" t="n">
        <x:f>IFERROR(U147/M147,0)</x:f>
        <x:v>0</x:v>
      </x:c>
      <x:c r="X147" s="201" t="str">
        <x:f>IF(U147=0,"Não iniciado",IF(U147&gt;=M147,"Concluído","Parcial"))</x:f>
        <x:v>Não iniciado</x:v>
      </x:c>
      <x:c r="Y147" s="199" t="str"/>
      <x:c r="Z147" s="188" t="str">
        <x:v>Normal</x:v>
      </x:c>
    </x:row>
    <x:row r="148" ht="22" customHeight="1">
      <x:c r="A148" s="219" t="n">
        <x:v>144</x:v>
      </x:c>
      <x:c r="B148" s="220" t="str">
        <x:v>26689</x:v>
      </x:c>
      <x:c r="C148" s="220" t="str">
        <x:v>2</x:v>
      </x:c>
      <x:c r="D148" s="220" t="str">
        <x:v>609085</x:v>
      </x:c>
      <x:c r="E148" s="220" t="str">
        <x:v>956042</x:v>
      </x:c>
      <x:c r="F148" s="220" t="str">
        <x:v>OUTROS</x:v>
      </x:c>
      <x:c r="G148" s="190" t="str">
        <x:v>2250X70X15 RTO LME REC PET BCO IMP(STD)</x:v>
      </x:c>
      <x:c r="H148" s="190" t="str"/>
      <x:c r="I148" s="190" t="str"/>
      <x:c r="J148" s="190" t="str"/>
      <x:c r="K148" s="190" t="str">
        <x:v>ESMALTE</x:v>
      </x:c>
      <x:c r="L148" s="190" t="str">
        <x:v>BRANCO CARRARA</x:v>
      </x:c>
      <x:c r="M148" s="210" t="n">
        <x:v>128</x:v>
      </x:c>
      <x:c r="N148" s="210" t="n">
        <x:v>2250</x:v>
      </x:c>
      <x:c r="O148" s="210" t="n">
        <x:v>70</x:v>
      </x:c>
      <x:c r="P148" s="210" t="n">
        <x:v>15</x:v>
      </x:c>
      <x:c r="Q148" s="211" t="n">
        <x:v>0</x:v>
      </x:c>
      <x:c r="R148" s="207" t="str"/>
      <x:c r="S148" s="207" t="str"/>
      <x:c r="T148" s="207" t="str"/>
      <x:c r="U148" s="207" t="n">
        <x:v>0</x:v>
      </x:c>
      <x:c r="V148" s="208" t="n">
        <x:f>MAX(0,M148-U148)</x:f>
        <x:v>128</x:v>
      </x:c>
      <x:c r="W148" s="209" t="n">
        <x:f>IFERROR(U148/M148,0)</x:f>
        <x:v>0</x:v>
      </x:c>
      <x:c r="X148" s="201" t="str">
        <x:f>IF(U148=0,"Não iniciado",IF(U148&gt;=M148,"Concluído","Parcial"))</x:f>
        <x:v>Não iniciado</x:v>
      </x:c>
      <x:c r="Y148" s="199" t="str"/>
      <x:c r="Z148" s="188" t="str">
        <x:v>Normal</x:v>
      </x:c>
    </x:row>
    <x:row r="149" ht="22" customHeight="1">
      <x:c r="A149" s="217" t="n">
        <x:v>145</x:v>
      </x:c>
      <x:c r="B149" s="218" t="str">
        <x:v>26689</x:v>
      </x:c>
      <x:c r="C149" s="218" t="str">
        <x:v>2</x:v>
      </x:c>
      <x:c r="D149" s="218" t="str">
        <x:v>609086</x:v>
      </x:c>
      <x:c r="E149" s="218" t="str">
        <x:v>971354</x:v>
      </x:c>
      <x:c r="F149" s="218" t="str">
        <x:v>OUTROS</x:v>
      </x:c>
      <x:c r="G149" s="184" t="str">
        <x:v>PER ALI 2250X70X15 RT RL55RC PET BCO STD</x:v>
      </x:c>
      <x:c r="H149" s="184" t="str"/>
      <x:c r="I149" s="184" t="str"/>
      <x:c r="J149" s="184" t="str"/>
      <x:c r="K149" s="184" t="str">
        <x:v>ESMALTE</x:v>
      </x:c>
      <x:c r="L149" s="184" t="str">
        <x:v>BRANCO CARRARA</x:v>
      </x:c>
      <x:c r="M149" s="205" t="n">
        <x:v>128</x:v>
      </x:c>
      <x:c r="N149" s="205" t="n">
        <x:v>2250</x:v>
      </x:c>
      <x:c r="O149" s="205" t="n">
        <x:v>70</x:v>
      </x:c>
      <x:c r="P149" s="205" t="n">
        <x:v>15</x:v>
      </x:c>
      <x:c r="Q149" s="206" t="n">
        <x:v>0</x:v>
      </x:c>
      <x:c r="R149" s="207" t="str"/>
      <x:c r="S149" s="207" t="str"/>
      <x:c r="T149" s="207" t="str"/>
      <x:c r="U149" s="207" t="n">
        <x:v>0</x:v>
      </x:c>
      <x:c r="V149" s="208" t="n">
        <x:f>MAX(0,M149-U149)</x:f>
        <x:v>128</x:v>
      </x:c>
      <x:c r="W149" s="209" t="n">
        <x:f>IFERROR(U149/M149,0)</x:f>
        <x:v>0</x:v>
      </x:c>
      <x:c r="X149" s="201" t="str">
        <x:f>IF(U149=0,"Não iniciado",IF(U149&gt;=M149,"Concluído","Parcial"))</x:f>
        <x:v>Não iniciado</x:v>
      </x:c>
      <x:c r="Y149" s="199" t="str"/>
      <x:c r="Z149" s="188" t="str">
        <x:v>Normal</x:v>
      </x:c>
    </x:row>
    <x:row r="150" ht="22" customHeight="1">
      <x:c r="A150" s="219" t="n">
        <x:v>146</x:v>
      </x:c>
      <x:c r="B150" s="220" t="str">
        <x:v>26689</x:v>
      </x:c>
      <x:c r="C150" s="220" t="str">
        <x:v>3</x:v>
      </x:c>
      <x:c r="D150" s="220" t="str">
        <x:v>609093</x:v>
      </x:c>
      <x:c r="E150" s="220" t="str">
        <x:v>956042</x:v>
      </x:c>
      <x:c r="F150" s="220" t="str">
        <x:v>OUTROS</x:v>
      </x:c>
      <x:c r="G150" s="190" t="str">
        <x:v>2250X70X15 RTO LME REC PET BCO IMP(STD)</x:v>
      </x:c>
      <x:c r="H150" s="190" t="str"/>
      <x:c r="I150" s="190" t="str"/>
      <x:c r="J150" s="190" t="str"/>
      <x:c r="K150" s="190" t="str">
        <x:v>ESMALTE</x:v>
      </x:c>
      <x:c r="L150" s="190" t="str">
        <x:v>BRANCO CARRARA</x:v>
      </x:c>
      <x:c r="M150" s="210" t="n">
        <x:v>122</x:v>
      </x:c>
      <x:c r="N150" s="210" t="n">
        <x:v>2250</x:v>
      </x:c>
      <x:c r="O150" s="210" t="n">
        <x:v>70</x:v>
      </x:c>
      <x:c r="P150" s="210" t="n">
        <x:v>15</x:v>
      </x:c>
      <x:c r="Q150" s="211" t="n">
        <x:v>0</x:v>
      </x:c>
      <x:c r="R150" s="207" t="str"/>
      <x:c r="S150" s="207" t="str"/>
      <x:c r="T150" s="207" t="str"/>
      <x:c r="U150" s="207" t="n">
        <x:v>0</x:v>
      </x:c>
      <x:c r="V150" s="208" t="n">
        <x:f>MAX(0,M150-U150)</x:f>
        <x:v>122</x:v>
      </x:c>
      <x:c r="W150" s="209" t="n">
        <x:f>IFERROR(U150/M150,0)</x:f>
        <x:v>0</x:v>
      </x:c>
      <x:c r="X150" s="201" t="str">
        <x:f>IF(U150=0,"Não iniciado",IF(U150&gt;=M150,"Concluído","Parcial"))</x:f>
        <x:v>Não iniciado</x:v>
      </x:c>
      <x:c r="Y150" s="199" t="str"/>
      <x:c r="Z150" s="188" t="str">
        <x:v>Normal</x:v>
      </x:c>
    </x:row>
    <x:row r="151" ht="22" customHeight="1">
      <x:c r="A151" s="217" t="n">
        <x:v>147</x:v>
      </x:c>
      <x:c r="B151" s="218" t="str">
        <x:v>26689</x:v>
      </x:c>
      <x:c r="C151" s="218" t="str">
        <x:v>3</x:v>
      </x:c>
      <x:c r="D151" s="218" t="str">
        <x:v>609096</x:v>
      </x:c>
      <x:c r="E151" s="218" t="str">
        <x:v>971354</x:v>
      </x:c>
      <x:c r="F151" s="218" t="str">
        <x:v>OUTROS</x:v>
      </x:c>
      <x:c r="G151" s="184" t="str">
        <x:v>PER ALI 2250X70X15 RT RL55RC PET BCO STD</x:v>
      </x:c>
      <x:c r="H151" s="184" t="str"/>
      <x:c r="I151" s="184" t="str"/>
      <x:c r="J151" s="184" t="str"/>
      <x:c r="K151" s="184" t="str">
        <x:v>ESMALTE</x:v>
      </x:c>
      <x:c r="L151" s="184" t="str">
        <x:v>BRANCO CARRARA</x:v>
      </x:c>
      <x:c r="M151" s="205" t="n">
        <x:v>122</x:v>
      </x:c>
      <x:c r="N151" s="205" t="n">
        <x:v>2250</x:v>
      </x:c>
      <x:c r="O151" s="205" t="n">
        <x:v>70</x:v>
      </x:c>
      <x:c r="P151" s="205" t="n">
        <x:v>15</x:v>
      </x:c>
      <x:c r="Q151" s="206" t="n">
        <x:v>0</x:v>
      </x:c>
      <x:c r="R151" s="207" t="str"/>
      <x:c r="S151" s="207" t="str"/>
      <x:c r="T151" s="207" t="str"/>
      <x:c r="U151" s="207" t="n">
        <x:v>0</x:v>
      </x:c>
      <x:c r="V151" s="208" t="n">
        <x:f>MAX(0,M151-U151)</x:f>
        <x:v>122</x:v>
      </x:c>
      <x:c r="W151" s="209" t="n">
        <x:f>IFERROR(U151/M151,0)</x:f>
        <x:v>0</x:v>
      </x:c>
      <x:c r="X151" s="201" t="str">
        <x:f>IF(U151=0,"Não iniciado",IF(U151&gt;=M151,"Concluído","Parcial"))</x:f>
        <x:v>Não iniciado</x:v>
      </x:c>
      <x:c r="Y151" s="199" t="str"/>
      <x:c r="Z151" s="188" t="str">
        <x:v>Normal</x:v>
      </x:c>
    </x:row>
    <x:row r="152" ht="22" customHeight="1">
      <x:c r="A152" s="219" t="n">
        <x:v>148</x:v>
      </x:c>
      <x:c r="B152" s="220" t="str">
        <x:v>26808</x:v>
      </x:c>
      <x:c r="C152" s="220" t="str">
        <x:v>1</x:v>
      </x:c>
      <x:c r="D152" s="220" t="str">
        <x:v>608901</x:v>
      </x:c>
      <x:c r="E152" s="220" t="str">
        <x:v>962986</x:v>
      </x:c>
      <x:c r="F152" s="220" t="str">
        <x:v>OUTROS</x:v>
      </x:c>
      <x:c r="G152" s="190" t="str">
        <x:v>PE AL 2250X70X9 RTO LME REC PET BCO(ULTR</x:v>
      </x:c>
      <x:c r="H152" s="190" t="str"/>
      <x:c r="I152" s="190" t="str"/>
      <x:c r="J152" s="190" t="str"/>
      <x:c r="K152" s="190" t="str">
        <x:v>ESMALTE</x:v>
      </x:c>
      <x:c r="L152" s="190" t="str">
        <x:v>BRANCO CARRARA</x:v>
      </x:c>
      <x:c r="M152" s="210" t="n">
        <x:v>288</x:v>
      </x:c>
      <x:c r="N152" s="210" t="n">
        <x:v>2250</x:v>
      </x:c>
      <x:c r="O152" s="210" t="n">
        <x:v>70</x:v>
      </x:c>
      <x:c r="P152" s="210" t="n">
        <x:v>9</x:v>
      </x:c>
      <x:c r="Q152" s="211" t="n">
        <x:v>0</x:v>
      </x:c>
      <x:c r="R152" s="207" t="str"/>
      <x:c r="S152" s="207" t="str"/>
      <x:c r="T152" s="207" t="str"/>
      <x:c r="U152" s="207" t="n">
        <x:v>288</x:v>
      </x:c>
      <x:c r="V152" s="208" t="n">
        <x:f>MAX(0,M152-U152)</x:f>
        <x:v>0</x:v>
      </x:c>
      <x:c r="W152" s="209" t="n">
        <x:f>IFERROR(U152/M152,0)</x:f>
        <x:v>1</x:v>
      </x:c>
      <x:c r="X152" s="201" t="str">
        <x:f>IF(U152=0,"Não iniciado",IF(U152&gt;=M152,"Concluído","Parcial"))</x:f>
        <x:v>Concluído</x:v>
      </x:c>
      <x:c r="Y152" s="199" t="str"/>
      <x:c r="Z152" s="188" t="str">
        <x:v>Normal</x:v>
      </x:c>
    </x:row>
    <x:row r="153" ht="22" customHeight="1">
      <x:c r="A153" s="217" t="n">
        <x:v>149</x:v>
      </x:c>
      <x:c r="B153" s="218" t="str">
        <x:v>26808</x:v>
      </x:c>
      <x:c r="C153" s="218" t="str">
        <x:v>2</x:v>
      </x:c>
      <x:c r="D153" s="218" t="str">
        <x:v>608909</x:v>
      </x:c>
      <x:c r="E153" s="218" t="str">
        <x:v>962986</x:v>
      </x:c>
      <x:c r="F153" s="218" t="str">
        <x:v>OUTROS</x:v>
      </x:c>
      <x:c r="G153" s="184" t="str">
        <x:v>PE AL 2250X70X9 RTO LME REC PET BCO(ULTR</x:v>
      </x:c>
      <x:c r="H153" s="184" t="str"/>
      <x:c r="I153" s="184" t="str"/>
      <x:c r="J153" s="184" t="str"/>
      <x:c r="K153" s="184" t="str">
        <x:v>ESMALTE</x:v>
      </x:c>
      <x:c r="L153" s="184" t="str">
        <x:v>BRANCO CARRARA</x:v>
      </x:c>
      <x:c r="M153" s="205" t="n">
        <x:v>32</x:v>
      </x:c>
      <x:c r="N153" s="205" t="n">
        <x:v>2250</x:v>
      </x:c>
      <x:c r="O153" s="205" t="n">
        <x:v>70</x:v>
      </x:c>
      <x:c r="P153" s="205" t="n">
        <x:v>9</x:v>
      </x:c>
      <x:c r="Q153" s="206" t="n">
        <x:v>0</x:v>
      </x:c>
      <x:c r="R153" s="207" t="str"/>
      <x:c r="S153" s="207" t="str"/>
      <x:c r="T153" s="207" t="str"/>
      <x:c r="U153" s="207" t="n">
        <x:v>32</x:v>
      </x:c>
      <x:c r="V153" s="208" t="n">
        <x:f>MAX(0,M153-U153)</x:f>
        <x:v>0</x:v>
      </x:c>
      <x:c r="W153" s="209" t="n">
        <x:f>IFERROR(U153/M153,0)</x:f>
        <x:v>1</x:v>
      </x:c>
      <x:c r="X153" s="201" t="str">
        <x:f>IF(U153=0,"Não iniciado",IF(U153&gt;=M153,"Concluído","Parcial"))</x:f>
        <x:v>Concluído</x:v>
      </x:c>
      <x:c r="Y153" s="199" t="str"/>
      <x:c r="Z153" s="188" t="str">
        <x:v>Normal</x:v>
      </x:c>
    </x:row>
    <x:row r="154" ht="22" customHeight="1">
      <x:c r="A154" s="219" t="n">
        <x:v>150</x:v>
      </x:c>
      <x:c r="B154" s="220" t="str">
        <x:v>26808</x:v>
      </x:c>
      <x:c r="C154" s="220" t="str">
        <x:v>3</x:v>
      </x:c>
      <x:c r="D154" s="220" t="str">
        <x:v>608917</x:v>
      </x:c>
      <x:c r="E154" s="220" t="str">
        <x:v>962986</x:v>
      </x:c>
      <x:c r="F154" s="220" t="str">
        <x:v>OUTROS</x:v>
      </x:c>
      <x:c r="G154" s="190" t="str">
        <x:v>PE AL 2250X70X9 RTO LME REC PET BCO(ULTR</x:v>
      </x:c>
      <x:c r="H154" s="190" t="str"/>
      <x:c r="I154" s="190" t="str"/>
      <x:c r="J154" s="190" t="str"/>
      <x:c r="K154" s="190" t="str">
        <x:v>ESMALTE</x:v>
      </x:c>
      <x:c r="L154" s="190" t="str">
        <x:v>BRANCO CARRARA</x:v>
      </x:c>
      <x:c r="M154" s="210" t="n">
        <x:v>120</x:v>
      </x:c>
      <x:c r="N154" s="210" t="n">
        <x:v>2250</x:v>
      </x:c>
      <x:c r="O154" s="210" t="n">
        <x:v>70</x:v>
      </x:c>
      <x:c r="P154" s="210" t="n">
        <x:v>9</x:v>
      </x:c>
      <x:c r="Q154" s="211" t="n">
        <x:v>0</x:v>
      </x:c>
      <x:c r="R154" s="207" t="str"/>
      <x:c r="S154" s="207" t="str"/>
      <x:c r="T154" s="207" t="str"/>
      <x:c r="U154" s="207" t="n">
        <x:v>120</x:v>
      </x:c>
      <x:c r="V154" s="208" t="n">
        <x:f>MAX(0,M154-U154)</x:f>
        <x:v>0</x:v>
      </x:c>
      <x:c r="W154" s="209" t="n">
        <x:f>IFERROR(U154/M154,0)</x:f>
        <x:v>1</x:v>
      </x:c>
      <x:c r="X154" s="201" t="str">
        <x:f>IF(U154=0,"Não iniciado",IF(U154&gt;=M154,"Concluído","Parcial"))</x:f>
        <x:v>Concluído</x:v>
      </x:c>
      <x:c r="Y154" s="199" t="str"/>
      <x:c r="Z154" s="188" t="str">
        <x:v>Normal</x:v>
      </x:c>
    </x:row>
    <x:row r="155" ht="22" customHeight="1">
      <x:c r="A155" s="217" t="n">
        <x:v>151</x:v>
      </x:c>
      <x:c r="B155" s="218" t="str">
        <x:v>26808</x:v>
      </x:c>
      <x:c r="C155" s="218" t="str">
        <x:v>4</x:v>
      </x:c>
      <x:c r="D155" s="218" t="str">
        <x:v>608925</x:v>
      </x:c>
      <x:c r="E155" s="218" t="str">
        <x:v>962986</x:v>
      </x:c>
      <x:c r="F155" s="218" t="str">
        <x:v>OUTROS</x:v>
      </x:c>
      <x:c r="G155" s="184" t="str">
        <x:v>PE AL 2250X70X9 RTO LME REC PET BCO(ULTR</x:v>
      </x:c>
      <x:c r="H155" s="184" t="str"/>
      <x:c r="I155" s="184" t="str"/>
      <x:c r="J155" s="184" t="str"/>
      <x:c r="K155" s="184" t="str">
        <x:v>ESMALTE</x:v>
      </x:c>
      <x:c r="L155" s="184" t="str">
        <x:v>BRANCO CARRARA</x:v>
      </x:c>
      <x:c r="M155" s="205" t="n">
        <x:v>126</x:v>
      </x:c>
      <x:c r="N155" s="205" t="n">
        <x:v>2250</x:v>
      </x:c>
      <x:c r="O155" s="205" t="n">
        <x:v>70</x:v>
      </x:c>
      <x:c r="P155" s="205" t="n">
        <x:v>9</x:v>
      </x:c>
      <x:c r="Q155" s="206" t="n">
        <x:v>0</x:v>
      </x:c>
      <x:c r="R155" s="207" t="str"/>
      <x:c r="S155" s="207" t="str"/>
      <x:c r="T155" s="207" t="str"/>
      <x:c r="U155" s="207" t="n">
        <x:v>126</x:v>
      </x:c>
      <x:c r="V155" s="208" t="n">
        <x:f>MAX(0,M155-U155)</x:f>
        <x:v>0</x:v>
      </x:c>
      <x:c r="W155" s="209" t="n">
        <x:f>IFERROR(U155/M155,0)</x:f>
        <x:v>1</x:v>
      </x:c>
      <x:c r="X155" s="201" t="str">
        <x:f>IF(U155=0,"Não iniciado",IF(U155&gt;=M155,"Concluído","Parcial"))</x:f>
        <x:v>Concluído</x:v>
      </x:c>
      <x:c r="Y155" s="199" t="str"/>
      <x:c r="Z155" s="188" t="str">
        <x:v>Normal</x:v>
      </x:c>
    </x:row>
    <x:row r="156" ht="22" customHeight="1">
      <x:c r="A156" s="219" t="n">
        <x:v>152</x:v>
      </x:c>
      <x:c r="B156" s="220" t="str">
        <x:v>26808</x:v>
      </x:c>
      <x:c r="C156" s="220" t="str">
        <x:v>5</x:v>
      </x:c>
      <x:c r="D156" s="220" t="str">
        <x:v>608933</x:v>
      </x:c>
      <x:c r="E156" s="220" t="str">
        <x:v>962986</x:v>
      </x:c>
      <x:c r="F156" s="220" t="str">
        <x:v>OUTROS</x:v>
      </x:c>
      <x:c r="G156" s="190" t="str">
        <x:v>PE AL 2250X70X9 RTO LME REC PET BCO(ULTR</x:v>
      </x:c>
      <x:c r="H156" s="190" t="str"/>
      <x:c r="I156" s="190" t="str"/>
      <x:c r="J156" s="190" t="str"/>
      <x:c r="K156" s="190" t="str">
        <x:v>ESMALTE</x:v>
      </x:c>
      <x:c r="L156" s="190" t="str">
        <x:v>BRANCO CARRARA</x:v>
      </x:c>
      <x:c r="M156" s="210" t="n">
        <x:v>2</x:v>
      </x:c>
      <x:c r="N156" s="210" t="n">
        <x:v>2250</x:v>
      </x:c>
      <x:c r="O156" s="210" t="n">
        <x:v>70</x:v>
      </x:c>
      <x:c r="P156" s="210" t="n">
        <x:v>9</x:v>
      </x:c>
      <x:c r="Q156" s="211" t="n">
        <x:v>0</x:v>
      </x:c>
      <x:c r="R156" s="207" t="str"/>
      <x:c r="S156" s="207" t="str"/>
      <x:c r="T156" s="207" t="str"/>
      <x:c r="U156" s="207" t="n">
        <x:v>2</x:v>
      </x:c>
      <x:c r="V156" s="208" t="n">
        <x:f>MAX(0,M156-U156)</x:f>
        <x:v>0</x:v>
      </x:c>
      <x:c r="W156" s="209" t="n">
        <x:f>IFERROR(U156/M156,0)</x:f>
        <x:v>1</x:v>
      </x:c>
      <x:c r="X156" s="201" t="str">
        <x:f>IF(U156=0,"Não iniciado",IF(U156&gt;=M156,"Concluído","Parcial"))</x:f>
        <x:v>Concluído</x:v>
      </x:c>
      <x:c r="Y156" s="199" t="str"/>
      <x:c r="Z156" s="188" t="str">
        <x:v>Normal</x:v>
      </x:c>
    </x:row>
    <x:row r="157" ht="22" customHeight="1">
      <x:c r="A157" s="217" t="n">
        <x:v>153</x:v>
      </x:c>
      <x:c r="B157" s="218" t="str">
        <x:v>26808</x:v>
      </x:c>
      <x:c r="C157" s="218" t="str">
        <x:v>6</x:v>
      </x:c>
      <x:c r="D157" s="218" t="str">
        <x:v>608939</x:v>
      </x:c>
      <x:c r="E157" s="218" t="str">
        <x:v>962986</x:v>
      </x:c>
      <x:c r="F157" s="218" t="str">
        <x:v>OUTROS</x:v>
      </x:c>
      <x:c r="G157" s="184" t="str">
        <x:v>PE AL 2250X70X9 RTO LME REC PET BCO(ULTR</x:v>
      </x:c>
      <x:c r="H157" s="184" t="str"/>
      <x:c r="I157" s="184" t="str"/>
      <x:c r="J157" s="184" t="str"/>
      <x:c r="K157" s="184" t="str">
        <x:v>ESMALTE</x:v>
      </x:c>
      <x:c r="L157" s="184" t="str">
        <x:v>BRANCO CARRARA</x:v>
      </x:c>
      <x:c r="M157" s="205" t="n">
        <x:v>12</x:v>
      </x:c>
      <x:c r="N157" s="205" t="n">
        <x:v>2250</x:v>
      </x:c>
      <x:c r="O157" s="205" t="n">
        <x:v>70</x:v>
      </x:c>
      <x:c r="P157" s="205" t="n">
        <x:v>9</x:v>
      </x:c>
      <x:c r="Q157" s="206" t="n">
        <x:v>0</x:v>
      </x:c>
      <x:c r="R157" s="207" t="str"/>
      <x:c r="S157" s="207" t="str"/>
      <x:c r="T157" s="207" t="str"/>
      <x:c r="U157" s="207" t="n">
        <x:v>12</x:v>
      </x:c>
      <x:c r="V157" s="208" t="n">
        <x:f>MAX(0,M157-U157)</x:f>
        <x:v>0</x:v>
      </x:c>
      <x:c r="W157" s="209" t="n">
        <x:f>IFERROR(U157/M157,0)</x:f>
        <x:v>1</x:v>
      </x:c>
      <x:c r="X157" s="201" t="str">
        <x:f>IF(U157=0,"Não iniciado",IF(U157&gt;=M157,"Concluído","Parcial"))</x:f>
        <x:v>Concluído</x:v>
      </x:c>
      <x:c r="Y157" s="199" t="str"/>
      <x:c r="Z157" s="188" t="str">
        <x:v>Normal</x:v>
      </x:c>
    </x:row>
    <x:row r="158" ht="22" customHeight="1">
      <x:c r="A158" s="219" t="n">
        <x:v>154</x:v>
      </x:c>
      <x:c r="B158" s="220" t="str">
        <x:v>26808</x:v>
      </x:c>
      <x:c r="C158" s="220" t="str">
        <x:v>7</x:v>
      </x:c>
      <x:c r="D158" s="220" t="str">
        <x:v>608949</x:v>
      </x:c>
      <x:c r="E158" s="220" t="str">
        <x:v>962986</x:v>
      </x:c>
      <x:c r="F158" s="220" t="str">
        <x:v>OUTROS</x:v>
      </x:c>
      <x:c r="G158" s="190" t="str">
        <x:v>PE AL 2250X70X9 RTO LME REC PET BCO(ULTR</x:v>
      </x:c>
      <x:c r="H158" s="190" t="str"/>
      <x:c r="I158" s="190" t="str"/>
      <x:c r="J158" s="190" t="str"/>
      <x:c r="K158" s="190" t="str">
        <x:v>ESMALTE</x:v>
      </x:c>
      <x:c r="L158" s="190" t="str">
        <x:v>BRANCO CARRARA</x:v>
      </x:c>
      <x:c r="M158" s="210" t="n">
        <x:v>8</x:v>
      </x:c>
      <x:c r="N158" s="210" t="n">
        <x:v>2250</x:v>
      </x:c>
      <x:c r="O158" s="210" t="n">
        <x:v>70</x:v>
      </x:c>
      <x:c r="P158" s="210" t="n">
        <x:v>9</x:v>
      </x:c>
      <x:c r="Q158" s="211" t="n">
        <x:v>0</x:v>
      </x:c>
      <x:c r="R158" s="207" t="str"/>
      <x:c r="S158" s="207" t="str"/>
      <x:c r="T158" s="207" t="str"/>
      <x:c r="U158" s="207" t="n">
        <x:v>8</x:v>
      </x:c>
      <x:c r="V158" s="208" t="n">
        <x:f>MAX(0,M158-U158)</x:f>
        <x:v>0</x:v>
      </x:c>
      <x:c r="W158" s="209" t="n">
        <x:f>IFERROR(U158/M158,0)</x:f>
        <x:v>1</x:v>
      </x:c>
      <x:c r="X158" s="201" t="str">
        <x:f>IF(U158=0,"Não iniciado",IF(U158&gt;=M158,"Concluído","Parcial"))</x:f>
        <x:v>Concluído</x:v>
      </x:c>
      <x:c r="Y158" s="199" t="str"/>
      <x:c r="Z158" s="188" t="str">
        <x:v>Normal</x:v>
      </x:c>
    </x:row>
    <x:row r="159" ht="22" customHeight="1">
      <x:c r="A159" s="217" t="n">
        <x:v>155</x:v>
      </x:c>
      <x:c r="B159" s="218" t="str">
        <x:v>26808</x:v>
      </x:c>
      <x:c r="C159" s="218" t="str">
        <x:v>8</x:v>
      </x:c>
      <x:c r="D159" s="218" t="str">
        <x:v>608957</x:v>
      </x:c>
      <x:c r="E159" s="218" t="str">
        <x:v>962986</x:v>
      </x:c>
      <x:c r="F159" s="218" t="str">
        <x:v>OUTROS</x:v>
      </x:c>
      <x:c r="G159" s="184" t="str">
        <x:v>PE AL 2250X70X9 RTO LME REC PET BCO(ULTR</x:v>
      </x:c>
      <x:c r="H159" s="184" t="str"/>
      <x:c r="I159" s="184" t="str"/>
      <x:c r="J159" s="184" t="str"/>
      <x:c r="K159" s="184" t="str">
        <x:v>ESMALTE</x:v>
      </x:c>
      <x:c r="L159" s="184" t="str">
        <x:v>BRANCO CARRARA</x:v>
      </x:c>
      <x:c r="M159" s="205" t="n">
        <x:v>44</x:v>
      </x:c>
      <x:c r="N159" s="205" t="n">
        <x:v>2250</x:v>
      </x:c>
      <x:c r="O159" s="205" t="n">
        <x:v>70</x:v>
      </x:c>
      <x:c r="P159" s="205" t="n">
        <x:v>9</x:v>
      </x:c>
      <x:c r="Q159" s="206" t="n">
        <x:v>0</x:v>
      </x:c>
      <x:c r="R159" s="207" t="str"/>
      <x:c r="S159" s="207" t="str"/>
      <x:c r="T159" s="207" t="str"/>
      <x:c r="U159" s="207" t="n">
        <x:v>44</x:v>
      </x:c>
      <x:c r="V159" s="208" t="n">
        <x:f>MAX(0,M159-U159)</x:f>
        <x:v>0</x:v>
      </x:c>
      <x:c r="W159" s="209" t="n">
        <x:f>IFERROR(U159/M159,0)</x:f>
        <x:v>1</x:v>
      </x:c>
      <x:c r="X159" s="201" t="str">
        <x:f>IF(U159=0,"Não iniciado",IF(U159&gt;=M159,"Concluído","Parcial"))</x:f>
        <x:v>Concluído</x:v>
      </x:c>
      <x:c r="Y159" s="199" t="str"/>
      <x:c r="Z159" s="188" t="str">
        <x:v>Normal</x:v>
      </x:c>
    </x:row>
    <x:row r="160" ht="22" customHeight="1">
      <x:c r="A160" s="219" t="n">
        <x:v>156</x:v>
      </x:c>
      <x:c r="B160" s="220" t="str">
        <x:v>26808</x:v>
      </x:c>
      <x:c r="C160" s="220" t="str">
        <x:v>9</x:v>
      </x:c>
      <x:c r="D160" s="220" t="str">
        <x:v>608965</x:v>
      </x:c>
      <x:c r="E160" s="220" t="str">
        <x:v>962986</x:v>
      </x:c>
      <x:c r="F160" s="220" t="str">
        <x:v>OUTROS</x:v>
      </x:c>
      <x:c r="G160" s="190" t="str">
        <x:v>PE AL 2250X70X9 RTO LME REC PET BCO(ULTR</x:v>
      </x:c>
      <x:c r="H160" s="190" t="str"/>
      <x:c r="I160" s="190" t="str"/>
      <x:c r="J160" s="190" t="str"/>
      <x:c r="K160" s="190" t="str">
        <x:v>ESMALTE</x:v>
      </x:c>
      <x:c r="L160" s="190" t="str">
        <x:v>BRANCO CARRARA</x:v>
      </x:c>
      <x:c r="M160" s="210" t="n">
        <x:v>142</x:v>
      </x:c>
      <x:c r="N160" s="210" t="n">
        <x:v>2250</x:v>
      </x:c>
      <x:c r="O160" s="210" t="n">
        <x:v>70</x:v>
      </x:c>
      <x:c r="P160" s="210" t="n">
        <x:v>9</x:v>
      </x:c>
      <x:c r="Q160" s="211" t="n">
        <x:v>0</x:v>
      </x:c>
      <x:c r="R160" s="207" t="str"/>
      <x:c r="S160" s="207" t="str"/>
      <x:c r="T160" s="207" t="str"/>
      <x:c r="U160" s="207" t="n">
        <x:v>142</x:v>
      </x:c>
      <x:c r="V160" s="208" t="n">
        <x:f>MAX(0,M160-U160)</x:f>
        <x:v>0</x:v>
      </x:c>
      <x:c r="W160" s="209" t="n">
        <x:f>IFERROR(U160/M160,0)</x:f>
        <x:v>1</x:v>
      </x:c>
      <x:c r="X160" s="201" t="str">
        <x:f>IF(U160=0,"Não iniciado",IF(U160&gt;=M160,"Concluído","Parcial"))</x:f>
        <x:v>Concluído</x:v>
      </x:c>
      <x:c r="Y160" s="199" t="str"/>
      <x:c r="Z160" s="188" t="str">
        <x:v>Normal</x:v>
      </x:c>
    </x:row>
    <x:row r="161" ht="22" customHeight="1">
      <x:c r="A161" s="217" t="n">
        <x:v>157</x:v>
      </x:c>
      <x:c r="B161" s="218" t="str">
        <x:v>26808</x:v>
      </x:c>
      <x:c r="C161" s="218" t="str">
        <x:v>10</x:v>
      </x:c>
      <x:c r="D161" s="218" t="str">
        <x:v>608973</x:v>
      </x:c>
      <x:c r="E161" s="218" t="str">
        <x:v>962986</x:v>
      </x:c>
      <x:c r="F161" s="218" t="str">
        <x:v>OUTROS</x:v>
      </x:c>
      <x:c r="G161" s="184" t="str">
        <x:v>PE AL 2250X70X9 RTO LME REC PET BCO(ULTR</x:v>
      </x:c>
      <x:c r="H161" s="184" t="str"/>
      <x:c r="I161" s="184" t="str"/>
      <x:c r="J161" s="184" t="str"/>
      <x:c r="K161" s="184" t="str">
        <x:v>ESMALTE</x:v>
      </x:c>
      <x:c r="L161" s="184" t="str">
        <x:v>BRANCO CARRARA</x:v>
      </x:c>
      <x:c r="M161" s="205" t="n">
        <x:v>2</x:v>
      </x:c>
      <x:c r="N161" s="205" t="n">
        <x:v>2250</x:v>
      </x:c>
      <x:c r="O161" s="205" t="n">
        <x:v>70</x:v>
      </x:c>
      <x:c r="P161" s="205" t="n">
        <x:v>9</x:v>
      </x:c>
      <x:c r="Q161" s="206" t="n">
        <x:v>0</x:v>
      </x:c>
      <x:c r="R161" s="207" t="str"/>
      <x:c r="S161" s="207" t="str"/>
      <x:c r="T161" s="207" t="str"/>
      <x:c r="U161" s="207" t="n">
        <x:v>2</x:v>
      </x:c>
      <x:c r="V161" s="208" t="n">
        <x:f>MAX(0,M161-U161)</x:f>
        <x:v>0</x:v>
      </x:c>
      <x:c r="W161" s="209" t="n">
        <x:f>IFERROR(U161/M161,0)</x:f>
        <x:v>1</x:v>
      </x:c>
      <x:c r="X161" s="201" t="str">
        <x:f>IF(U161=0,"Não iniciado",IF(U161&gt;=M161,"Concluído","Parcial"))</x:f>
        <x:v>Concluído</x:v>
      </x:c>
      <x:c r="Y161" s="199" t="str"/>
      <x:c r="Z161" s="188" t="str">
        <x:v>Normal</x:v>
      </x:c>
    </x:row>
    <x:row r="162" ht="22" customHeight="1">
      <x:c r="A162" s="219" t="n">
        <x:v>158</x:v>
      </x:c>
      <x:c r="B162" s="220" t="str">
        <x:v>26808</x:v>
      </x:c>
      <x:c r="C162" s="220" t="str">
        <x:v>11</x:v>
      </x:c>
      <x:c r="D162" s="220" t="str">
        <x:v>608979</x:v>
      </x:c>
      <x:c r="E162" s="220" t="str">
        <x:v>962986</x:v>
      </x:c>
      <x:c r="F162" s="220" t="str">
        <x:v>OUTROS</x:v>
      </x:c>
      <x:c r="G162" s="190" t="str">
        <x:v>PE AL 2250X70X9 RTO LME REC PET BCO(ULTR</x:v>
      </x:c>
      <x:c r="H162" s="190" t="str"/>
      <x:c r="I162" s="190" t="str"/>
      <x:c r="J162" s="190" t="str"/>
      <x:c r="K162" s="190" t="str">
        <x:v>ESMALTE</x:v>
      </x:c>
      <x:c r="L162" s="190" t="str">
        <x:v>BRANCO CARRARA</x:v>
      </x:c>
      <x:c r="M162" s="210" t="n">
        <x:v>2</x:v>
      </x:c>
      <x:c r="N162" s="210" t="n">
        <x:v>2250</x:v>
      </x:c>
      <x:c r="O162" s="210" t="n">
        <x:v>70</x:v>
      </x:c>
      <x:c r="P162" s="210" t="n">
        <x:v>9</x:v>
      </x:c>
      <x:c r="Q162" s="211" t="n">
        <x:v>0</x:v>
      </x:c>
      <x:c r="R162" s="207" t="str"/>
      <x:c r="S162" s="207" t="str"/>
      <x:c r="T162" s="207" t="str"/>
      <x:c r="U162" s="207" t="n">
        <x:v>2</x:v>
      </x:c>
      <x:c r="V162" s="208" t="n">
        <x:f>MAX(0,M162-U162)</x:f>
        <x:v>0</x:v>
      </x:c>
      <x:c r="W162" s="209" t="n">
        <x:f>IFERROR(U162/M162,0)</x:f>
        <x:v>1</x:v>
      </x:c>
      <x:c r="X162" s="201" t="str">
        <x:f>IF(U162=0,"Não iniciado",IF(U162&gt;=M162,"Concluído","Parcial"))</x:f>
        <x:v>Concluído</x:v>
      </x:c>
      <x:c r="Y162" s="199" t="str"/>
      <x:c r="Z162" s="188" t="str">
        <x:v>Normal</x:v>
      </x:c>
    </x:row>
    <x:row r="163" ht="22" customHeight="1">
      <x:c r="A163" s="217" t="n">
        <x:v>159</x:v>
      </x:c>
      <x:c r="B163" s="218" t="str">
        <x:v>26809</x:v>
      </x:c>
      <x:c r="C163" s="218" t="str">
        <x:v>12</x:v>
      </x:c>
      <x:c r="D163" s="218" t="str">
        <x:v>609962</x:v>
      </x:c>
      <x:c r="E163" s="218" t="str">
        <x:v>2020700108</x:v>
      </x:c>
      <x:c r="F163" s="218" t="str">
        <x:v>OUTROS</x:v>
      </x:c>
      <x:c r="G163" s="184" t="str">
        <x:v>A ULTRA PET CAP M 2250X70X9 RG(55) RTO</x:v>
      </x:c>
      <x:c r="H163" s="184" t="str">
        <x:v>REG 2L(MAIOR 55MM)</x:v>
      </x:c>
      <x:c r="I163" s="184" t="str"/>
      <x:c r="J163" s="184" t="str"/>
      <x:c r="K163" s="184" t="str">
        <x:v>RECOBERTO PET</x:v>
      </x:c>
      <x:c r="L163" s="184" t="str">
        <x:v>CAPUCCINO MARCHE</x:v>
      </x:c>
      <x:c r="M163" s="205" t="n">
        <x:v>2</x:v>
      </x:c>
      <x:c r="N163" s="205" t="n">
        <x:v>2250</x:v>
      </x:c>
      <x:c r="O163" s="205" t="n">
        <x:v>70</x:v>
      </x:c>
      <x:c r="P163" s="205" t="n">
        <x:v>9</x:v>
      </x:c>
      <x:c r="Q163" s="206" t="n">
        <x:v>0</x:v>
      </x:c>
      <x:c r="R163" s="207" t="str"/>
      <x:c r="S163" s="207" t="str"/>
      <x:c r="T163" s="207" t="str"/>
      <x:c r="U163" s="207" t="n">
        <x:v>0</x:v>
      </x:c>
      <x:c r="V163" s="208" t="n">
        <x:f>MAX(0,M163-U163)</x:f>
        <x:v>2</x:v>
      </x:c>
      <x:c r="W163" s="209" t="n">
        <x:f>IFERROR(U163/M163,0)</x:f>
        <x:v>0</x:v>
      </x:c>
      <x:c r="X163" s="201" t="str">
        <x:f>IF(U163=0,"Não iniciado",IF(U163&gt;=M163,"Concluído","Parcial"))</x:f>
        <x:v>Não iniciado</x:v>
      </x:c>
      <x:c r="Y163" s="199" t="str"/>
      <x:c r="Z163" s="188" t="str">
        <x:v>Normal</x:v>
      </x:c>
    </x:row>
    <x:row r="164" ht="22" customHeight="1">
      <x:c r="A164" s="219" t="n">
        <x:v>160</x:v>
      </x:c>
      <x:c r="B164" s="220" t="str">
        <x:v>26809</x:v>
      </x:c>
      <x:c r="C164" s="220" t="str">
        <x:v>12</x:v>
      </x:c>
      <x:c r="D164" s="220" t="str">
        <x:v>609963</x:v>
      </x:c>
      <x:c r="E164" s="220" t="str">
        <x:v>2020700109</x:v>
      </x:c>
      <x:c r="F164" s="220" t="str">
        <x:v>OUTROS</x:v>
      </x:c>
      <x:c r="G164" s="190" t="str">
        <x:v>A ULTRA PET CAP M 2250X70X9 RG(ME) RTO</x:v>
      </x:c>
      <x:c r="H164" s="190" t="str">
        <x:v>REG 2L(MAIOR 55MM)</x:v>
      </x:c>
      <x:c r="I164" s="190" t="str"/>
      <x:c r="J164" s="190" t="str"/>
      <x:c r="K164" s="190" t="str">
        <x:v>RECOBERTO PET</x:v>
      </x:c>
      <x:c r="L164" s="190" t="str">
        <x:v>CAPUCCINO MARCHE</x:v>
      </x:c>
      <x:c r="M164" s="210" t="n">
        <x:v>2</x:v>
      </x:c>
      <x:c r="N164" s="210" t="n">
        <x:v>2250</x:v>
      </x:c>
      <x:c r="O164" s="210" t="n">
        <x:v>70</x:v>
      </x:c>
      <x:c r="P164" s="210" t="n">
        <x:v>9</x:v>
      </x:c>
      <x:c r="Q164" s="211" t="n">
        <x:v>0</x:v>
      </x:c>
      <x:c r="R164" s="207" t="str"/>
      <x:c r="S164" s="207" t="str"/>
      <x:c r="T164" s="207" t="str"/>
      <x:c r="U164" s="207" t="n">
        <x:v>0</x:v>
      </x:c>
      <x:c r="V164" s="208" t="n">
        <x:f>MAX(0,M164-U164)</x:f>
        <x:v>2</x:v>
      </x:c>
      <x:c r="W164" s="209" t="n">
        <x:f>IFERROR(U164/M164,0)</x:f>
        <x:v>0</x:v>
      </x:c>
      <x:c r="X164" s="201" t="str">
        <x:f>IF(U164=0,"Não iniciado",IF(U164&gt;=M164,"Concluído","Parcial"))</x:f>
        <x:v>Não iniciado</x:v>
      </x:c>
      <x:c r="Y164" s="199" t="str"/>
      <x:c r="Z164" s="188" t="str">
        <x:v>Normal</x:v>
      </x:c>
    </x:row>
    <x:row r="165" ht="22" customHeight="1">
      <x:c r="A165" s="217" t="n">
        <x:v>161</x:v>
      </x:c>
      <x:c r="B165" s="218" t="str">
        <x:v>26800</x:v>
      </x:c>
      <x:c r="C165" s="218" t="str">
        <x:v>5</x:v>
      </x:c>
      <x:c r="D165" s="218" t="str">
        <x:v>609981</x:v>
      </x:c>
      <x:c r="E165" s="218" t="str">
        <x:v>979740</x:v>
      </x:c>
      <x:c r="F165" s="218" t="str">
        <x:v>OUTROS</x:v>
      </x:c>
      <x:c r="G165" s="184" t="str">
        <x:v>PER ALI 2250X70X9 RTO LME PET MALVA(ULT</x:v>
      </x:c>
      <x:c r="H165" s="184" t="str">
        <x:v>REG 2L(MAIOR 55MM)</x:v>
      </x:c>
      <x:c r="I165" s="184" t="str"/>
      <x:c r="J165" s="184" t="str"/>
      <x:c r="K165" s="184" t="str">
        <x:v>RECOBERTO PET</x:v>
      </x:c>
      <x:c r="L165" s="184" t="str">
        <x:v>CARVALHO MALVA</x:v>
      </x:c>
      <x:c r="M165" s="205" t="n">
        <x:v>12</x:v>
      </x:c>
      <x:c r="N165" s="205" t="n">
        <x:v>2250</x:v>
      </x:c>
      <x:c r="O165" s="205" t="n">
        <x:v>70</x:v>
      </x:c>
      <x:c r="P165" s="205" t="n">
        <x:v>9</x:v>
      </x:c>
      <x:c r="Q165" s="206" t="n">
        <x:v>0</x:v>
      </x:c>
      <x:c r="R165" s="207" t="str"/>
      <x:c r="S165" s="207" t="str"/>
      <x:c r="T165" s="207" t="str"/>
      <x:c r="U165" s="207" t="n">
        <x:v>0</x:v>
      </x:c>
      <x:c r="V165" s="208" t="n">
        <x:f>MAX(0,M165-U165)</x:f>
        <x:v>12</x:v>
      </x:c>
      <x:c r="W165" s="209" t="n">
        <x:f>IFERROR(U165/M165,0)</x:f>
        <x:v>0</x:v>
      </x:c>
      <x:c r="X165" s="201" t="str">
        <x:f>IF(U165=0,"Não iniciado",IF(U165&gt;=M165,"Concluído","Parcial"))</x:f>
        <x:v>Não iniciado</x:v>
      </x:c>
      <x:c r="Y165" s="199" t="str"/>
      <x:c r="Z165" s="188" t="str">
        <x:v>Normal</x:v>
      </x:c>
    </x:row>
    <x:row r="166" ht="22" customHeight="1">
      <x:c r="A166" s="219" t="n">
        <x:v>162</x:v>
      </x:c>
      <x:c r="B166" s="220" t="str">
        <x:v>26766</x:v>
      </x:c>
      <x:c r="C166" s="220" t="str">
        <x:v>8</x:v>
      </x:c>
      <x:c r="D166" s="220" t="str">
        <x:v>610159</x:v>
      </x:c>
      <x:c r="E166" s="220" t="str">
        <x:v>2020600152</x:v>
      </x:c>
      <x:c r="F166" s="220" t="str">
        <x:v>OUTROS</x:v>
      </x:c>
      <x:c r="G166" s="190" t="str">
        <x:v>A STD PET TXT M BR 2250X70X9 RG(80) RTO</x:v>
      </x:c>
      <x:c r="H166" s="190" t="str">
        <x:v>REG 2L(MAIOR 80MM)</x:v>
      </x:c>
      <x:c r="I166" s="190" t="str"/>
      <x:c r="J166" s="190" t="str"/>
      <x:c r="K166" s="190" t="str">
        <x:v>RECOBERTO PET TXT</x:v>
      </x:c>
      <x:c r="L166" s="190" t="str">
        <x:v>MOGNO BRASILEIRO</x:v>
      </x:c>
      <x:c r="M166" s="210" t="n">
        <x:v>1512</x:v>
      </x:c>
      <x:c r="N166" s="210" t="n">
        <x:v>2250</x:v>
      </x:c>
      <x:c r="O166" s="210" t="n">
        <x:v>70</x:v>
      </x:c>
      <x:c r="P166" s="210" t="n">
        <x:v>9</x:v>
      </x:c>
      <x:c r="Q166" s="211" t="n">
        <x:v>0</x:v>
      </x:c>
      <x:c r="R166" s="207" t="str"/>
      <x:c r="S166" s="207" t="str"/>
      <x:c r="T166" s="207" t="str"/>
      <x:c r="U166" s="207" t="n">
        <x:v>1512</x:v>
      </x:c>
      <x:c r="V166" s="208" t="n">
        <x:f>MAX(0,M166-U166)</x:f>
        <x:v>0</x:v>
      </x:c>
      <x:c r="W166" s="209" t="n">
        <x:f>IFERROR(U166/M166,0)</x:f>
        <x:v>1</x:v>
      </x:c>
      <x:c r="X166" s="201" t="str">
        <x:f>IF(U166=0,"Não iniciado",IF(U166&gt;=M166,"Concluído","Parcial"))</x:f>
        <x:v>Concluído</x:v>
      </x:c>
      <x:c r="Y166" s="199" t="str"/>
      <x:c r="Z166" s="188" t="str">
        <x:v>Normal</x:v>
      </x:c>
    </x:row>
    <x:row r="167" ht="22" customHeight="1">
      <x:c r="A167" s="217" t="n">
        <x:v>163</x:v>
      </x:c>
      <x:c r="B167" s="218" t="str">
        <x:v>26766</x:v>
      </x:c>
      <x:c r="C167" s="218" t="str">
        <x:v>8</x:v>
      </x:c>
      <x:c r="D167" s="218" t="str">
        <x:v>610160</x:v>
      </x:c>
      <x:c r="E167" s="218" t="str">
        <x:v>2020600184</x:v>
      </x:c>
      <x:c r="F167" s="218" t="str">
        <x:v>OUTROS</x:v>
      </x:c>
      <x:c r="G167" s="184" t="str">
        <x:v>A STD PET TXT M BR 2250X70X9 RG(ME) RTO</x:v>
      </x:c>
      <x:c r="H167" s="184" t="str">
        <x:v>REG 2L(MAIOR 80MM)</x:v>
      </x:c>
      <x:c r="I167" s="184" t="str"/>
      <x:c r="J167" s="184" t="str"/>
      <x:c r="K167" s="184" t="str">
        <x:v>RECOBERTO PET TXT</x:v>
      </x:c>
      <x:c r="L167" s="184" t="str">
        <x:v>MOGNO BRASILEIRO</x:v>
      </x:c>
      <x:c r="M167" s="205" t="n">
        <x:v>1512</x:v>
      </x:c>
      <x:c r="N167" s="205" t="n">
        <x:v>2250</x:v>
      </x:c>
      <x:c r="O167" s="205" t="n">
        <x:v>70</x:v>
      </x:c>
      <x:c r="P167" s="205" t="n">
        <x:v>9</x:v>
      </x:c>
      <x:c r="Q167" s="206" t="n">
        <x:v>0</x:v>
      </x:c>
      <x:c r="R167" s="207" t="str"/>
      <x:c r="S167" s="207" t="str"/>
      <x:c r="T167" s="207" t="str"/>
      <x:c r="U167" s="207" t="n">
        <x:v>0</x:v>
      </x:c>
      <x:c r="V167" s="208" t="n">
        <x:f>MAX(0,M167-U167)</x:f>
        <x:v>1512</x:v>
      </x:c>
      <x:c r="W167" s="209" t="n">
        <x:f>IFERROR(U167/M167,0)</x:f>
        <x:v>0</x:v>
      </x:c>
      <x:c r="X167" s="201" t="str">
        <x:f>IF(U167=0,"Não iniciado",IF(U167&gt;=M167,"Concluído","Parcial"))</x:f>
        <x:v>Não iniciado</x:v>
      </x:c>
      <x:c r="Y167" s="199" t="str"/>
      <x:c r="Z167" s="188" t="str">
        <x:v>Normal</x:v>
      </x:c>
    </x:row>
    <x:row r="168" ht="22" customHeight="1">
      <x:c r="A168" s="219" t="n">
        <x:v>164</x:v>
      </x:c>
      <x:c r="B168" s="220" t="str">
        <x:v>26520</x:v>
      </x:c>
      <x:c r="C168" s="220" t="str">
        <x:v>1</x:v>
      </x:c>
      <x:c r="D168" s="220" t="str">
        <x:v>610063</x:v>
      </x:c>
      <x:c r="E168" s="220" t="str">
        <x:v>971114</x:v>
      </x:c>
      <x:c r="F168" s="220" t="str">
        <x:v>ALIZAR</x:v>
      </x:c>
      <x:c r="G168" s="190" t="str">
        <x:v>P A 2200X70X9 RTO RL55 PET CIN VER ULTRA</x:v>
      </x:c>
      <x:c r="H168" s="190" t="str"/>
      <x:c r="I168" s="190" t="str"/>
      <x:c r="J168" s="190" t="str"/>
      <x:c r="K168" s="190" t="str">
        <x:v>RECOBERTO PET</x:v>
      </x:c>
      <x:c r="L168" s="190" t="str">
        <x:v>CINZA VERONA</x:v>
      </x:c>
      <x:c r="M168" s="210" t="n">
        <x:v>4</x:v>
      </x:c>
      <x:c r="N168" s="210" t="n">
        <x:v>2200</x:v>
      </x:c>
      <x:c r="O168" s="210" t="n">
        <x:v>70</x:v>
      </x:c>
      <x:c r="P168" s="210" t="n">
        <x:v>9</x:v>
      </x:c>
      <x:c r="Q168" s="211" t="n">
        <x:v>0</x:v>
      </x:c>
      <x:c r="R168" s="207" t="str"/>
      <x:c r="S168" s="207" t="str"/>
      <x:c r="T168" s="207" t="str"/>
      <x:c r="U168" s="207" t="n">
        <x:v>0</x:v>
      </x:c>
      <x:c r="V168" s="208" t="n">
        <x:f>MAX(0,M168-U168)</x:f>
        <x:v>4</x:v>
      </x:c>
      <x:c r="W168" s="209" t="n">
        <x:f>IFERROR(U168/M168,0)</x:f>
        <x:v>0</x:v>
      </x:c>
      <x:c r="X168" s="201" t="str">
        <x:f>IF(U168=0,"Não iniciado",IF(U168&gt;=M168,"Concluído","Parcial"))</x:f>
        <x:v>Não iniciado</x:v>
      </x:c>
      <x:c r="Y168" s="199" t="str"/>
      <x:c r="Z168" s="188" t="str">
        <x:v>Normal</x:v>
      </x:c>
    </x:row>
    <x:row r="169" ht="22" customHeight="1">
      <x:c r="A169" s="217" t="n">
        <x:v>165</x:v>
      </x:c>
      <x:c r="B169" s="218" t="str">
        <x:v>26520</x:v>
      </x:c>
      <x:c r="C169" s="218" t="str">
        <x:v>1</x:v>
      </x:c>
      <x:c r="D169" s="218" t="str">
        <x:v>610064</x:v>
      </x:c>
      <x:c r="E169" s="218" t="str">
        <x:v>971116</x:v>
      </x:c>
      <x:c r="F169" s="218" t="str">
        <x:v>ALIZAR</x:v>
      </x:c>
      <x:c r="G169" s="184" t="str">
        <x:v>P A 2200X70X9 RTO LME PET CIN VER ULTRA</x:v>
      </x:c>
      <x:c r="H169" s="184" t="str"/>
      <x:c r="I169" s="184" t="str"/>
      <x:c r="J169" s="184" t="str"/>
      <x:c r="K169" s="184" t="str">
        <x:v>RECOBERTO PET</x:v>
      </x:c>
      <x:c r="L169" s="184" t="str">
        <x:v>CINZA VERONA</x:v>
      </x:c>
      <x:c r="M169" s="205" t="n">
        <x:v>4</x:v>
      </x:c>
      <x:c r="N169" s="205" t="n">
        <x:v>2200</x:v>
      </x:c>
      <x:c r="O169" s="205" t="n">
        <x:v>70</x:v>
      </x:c>
      <x:c r="P169" s="205" t="n">
        <x:v>9</x:v>
      </x:c>
      <x:c r="Q169" s="206" t="n">
        <x:v>0</x:v>
      </x:c>
      <x:c r="R169" s="207" t="str"/>
      <x:c r="S169" s="207" t="str"/>
      <x:c r="T169" s="207" t="str"/>
      <x:c r="U169" s="207" t="n">
        <x:v>0</x:v>
      </x:c>
      <x:c r="V169" s="208" t="n">
        <x:f>MAX(0,M169-U169)</x:f>
        <x:v>4</x:v>
      </x:c>
      <x:c r="W169" s="209" t="n">
        <x:f>IFERROR(U169/M169,0)</x:f>
        <x:v>0</x:v>
      </x:c>
      <x:c r="X169" s="201" t="str">
        <x:f>IF(U169=0,"Não iniciado",IF(U169&gt;=M169,"Concluído","Parcial"))</x:f>
        <x:v>Não iniciado</x:v>
      </x:c>
      <x:c r="Y169" s="199" t="str"/>
      <x:c r="Z169" s="188" t="str">
        <x:v>Normal</x:v>
      </x:c>
    </x:row>
    <x:row r="170" ht="22" customHeight="1">
      <x:c r="A170" s="219" t="n">
        <x:v>166</x:v>
      </x:c>
      <x:c r="B170" s="220" t="str">
        <x:v>26520</x:v>
      </x:c>
      <x:c r="C170" s="220" t="str">
        <x:v>2</x:v>
      </x:c>
      <x:c r="D170" s="220" t="str">
        <x:v>610071</x:v>
      </x:c>
      <x:c r="E170" s="220" t="str">
        <x:v>971114</x:v>
      </x:c>
      <x:c r="F170" s="220" t="str">
        <x:v>ALIZAR</x:v>
      </x:c>
      <x:c r="G170" s="190" t="str">
        <x:v>P A 2200X70X9 RTO RL55 PET CIN VER ULTRA</x:v>
      </x:c>
      <x:c r="H170" s="190" t="str"/>
      <x:c r="I170" s="190" t="str"/>
      <x:c r="J170" s="190" t="str"/>
      <x:c r="K170" s="190" t="str">
        <x:v>RECOBERTO PET</x:v>
      </x:c>
      <x:c r="L170" s="190" t="str">
        <x:v>CINZA VERONA</x:v>
      </x:c>
      <x:c r="M170" s="210" t="n">
        <x:v>12</x:v>
      </x:c>
      <x:c r="N170" s="210" t="n">
        <x:v>2200</x:v>
      </x:c>
      <x:c r="O170" s="210" t="n">
        <x:v>70</x:v>
      </x:c>
      <x:c r="P170" s="210" t="n">
        <x:v>9</x:v>
      </x:c>
      <x:c r="Q170" s="211" t="n">
        <x:v>0</x:v>
      </x:c>
      <x:c r="R170" s="207" t="str"/>
      <x:c r="S170" s="207" t="str"/>
      <x:c r="T170" s="207" t="str"/>
      <x:c r="U170" s="207" t="n">
        <x:v>0</x:v>
      </x:c>
      <x:c r="V170" s="208" t="n">
        <x:f>MAX(0,M170-U170)</x:f>
        <x:v>12</x:v>
      </x:c>
      <x:c r="W170" s="209" t="n">
        <x:f>IFERROR(U170/M170,0)</x:f>
        <x:v>0</x:v>
      </x:c>
      <x:c r="X170" s="201" t="str">
        <x:f>IF(U170=0,"Não iniciado",IF(U170&gt;=M170,"Concluído","Parcial"))</x:f>
        <x:v>Não iniciado</x:v>
      </x:c>
      <x:c r="Y170" s="199" t="str"/>
      <x:c r="Z170" s="188" t="str">
        <x:v>Normal</x:v>
      </x:c>
    </x:row>
    <x:row r="171" ht="22" customHeight="1">
      <x:c r="A171" s="217" t="n">
        <x:v>167</x:v>
      </x:c>
      <x:c r="B171" s="218" t="str">
        <x:v>26520</x:v>
      </x:c>
      <x:c r="C171" s="218" t="str">
        <x:v>2</x:v>
      </x:c>
      <x:c r="D171" s="218" t="str">
        <x:v>610072</x:v>
      </x:c>
      <x:c r="E171" s="218" t="str">
        <x:v>971116</x:v>
      </x:c>
      <x:c r="F171" s="218" t="str">
        <x:v>ALIZAR</x:v>
      </x:c>
      <x:c r="G171" s="184" t="str">
        <x:v>P A 2200X70X9 RTO LME PET CIN VER ULTRA</x:v>
      </x:c>
      <x:c r="H171" s="184" t="str"/>
      <x:c r="I171" s="184" t="str"/>
      <x:c r="J171" s="184" t="str"/>
      <x:c r="K171" s="184" t="str">
        <x:v>RECOBERTO PET</x:v>
      </x:c>
      <x:c r="L171" s="184" t="str">
        <x:v>CINZA VERONA</x:v>
      </x:c>
      <x:c r="M171" s="205" t="n">
        <x:v>12</x:v>
      </x:c>
      <x:c r="N171" s="205" t="n">
        <x:v>2200</x:v>
      </x:c>
      <x:c r="O171" s="205" t="n">
        <x:v>70</x:v>
      </x:c>
      <x:c r="P171" s="205" t="n">
        <x:v>9</x:v>
      </x:c>
      <x:c r="Q171" s="206" t="n">
        <x:v>0</x:v>
      </x:c>
      <x:c r="R171" s="207" t="str"/>
      <x:c r="S171" s="207" t="str"/>
      <x:c r="T171" s="207" t="str"/>
      <x:c r="U171" s="207" t="n">
        <x:v>0</x:v>
      </x:c>
      <x:c r="V171" s="208" t="n">
        <x:f>MAX(0,M171-U171)</x:f>
        <x:v>12</x:v>
      </x:c>
      <x:c r="W171" s="209" t="n">
        <x:f>IFERROR(U171/M171,0)</x:f>
        <x:v>0</x:v>
      </x:c>
      <x:c r="X171" s="201" t="str">
        <x:f>IF(U171=0,"Não iniciado",IF(U171&gt;=M171,"Concluído","Parcial"))</x:f>
        <x:v>Não iniciado</x:v>
      </x:c>
      <x:c r="Y171" s="199" t="str"/>
      <x:c r="Z171" s="188" t="str">
        <x:v>Normal</x:v>
      </x:c>
    </x:row>
    <x:row r="172" ht="22" customHeight="1">
      <x:c r="A172" s="219" t="n">
        <x:v>168</x:v>
      </x:c>
      <x:c r="B172" s="220" t="str">
        <x:v>26739</x:v>
      </x:c>
      <x:c r="C172" s="220" t="str">
        <x:v>5</x:v>
      </x:c>
      <x:c r="D172" s="220" t="str">
        <x:v>609636</x:v>
      </x:c>
      <x:c r="E172" s="220" t="str">
        <x:v>2020700630</x:v>
      </x:c>
      <x:c r="F172" s="220" t="str">
        <x:v>OUTROS</x:v>
      </x:c>
      <x:c r="G172" s="190" t="str">
        <x:v>A ULTRA PVC R BCO 2200X70X9 RG(80) RTO</x:v>
      </x:c>
      <x:c r="H172" s="190" t="str">
        <x:v>REG 1L(MAIOR 80MM)</x:v>
      </x:c>
      <x:c r="I172" s="190" t="str"/>
      <x:c r="J172" s="190" t="str"/>
      <x:c r="K172" s="190" t="str">
        <x:v>RECOBERTO PVC RENOLIT</x:v>
      </x:c>
      <x:c r="L172" s="190" t="str">
        <x:v>BRANCO</x:v>
      </x:c>
      <x:c r="M172" s="210" t="n">
        <x:v>24</x:v>
      </x:c>
      <x:c r="N172" s="210" t="n">
        <x:v>2200</x:v>
      </x:c>
      <x:c r="O172" s="210" t="n">
        <x:v>70</x:v>
      </x:c>
      <x:c r="P172" s="210" t="n">
        <x:v>9</x:v>
      </x:c>
      <x:c r="Q172" s="211" t="n">
        <x:v>0</x:v>
      </x:c>
      <x:c r="R172" s="207" t="str"/>
      <x:c r="S172" s="207" t="str"/>
      <x:c r="T172" s="207" t="str"/>
      <x:c r="U172" s="207" t="n">
        <x:v>0</x:v>
      </x:c>
      <x:c r="V172" s="208" t="n">
        <x:f>MAX(0,M172-U172)</x:f>
        <x:v>24</x:v>
      </x:c>
      <x:c r="W172" s="209" t="n">
        <x:f>IFERROR(U172/M172,0)</x:f>
        <x:v>0</x:v>
      </x:c>
      <x:c r="X172" s="201" t="str">
        <x:f>IF(U172=0,"Não iniciado",IF(U172&gt;=M172,"Concluído","Parcial"))</x:f>
        <x:v>Não iniciado</x:v>
      </x:c>
      <x:c r="Y172" s="199" t="str"/>
      <x:c r="Z172" s="188" t="str">
        <x:v>Normal</x:v>
      </x:c>
    </x:row>
    <x:row r="173" ht="22" customHeight="1">
      <x:c r="A173" s="217" t="n">
        <x:v>169</x:v>
      </x:c>
      <x:c r="B173" s="218" t="str">
        <x:v>26750</x:v>
      </x:c>
      <x:c r="C173" s="218" t="str">
        <x:v>6</x:v>
      </x:c>
      <x:c r="D173" s="218" t="str">
        <x:v>609799</x:v>
      </x:c>
      <x:c r="E173" s="218" t="str">
        <x:v>2020700630</x:v>
      </x:c>
      <x:c r="F173" s="218" t="str">
        <x:v>OUTROS</x:v>
      </x:c>
      <x:c r="G173" s="184" t="str">
        <x:v>A ULTRA PVC R BCO 2200X70X9 RG(80) RTO</x:v>
      </x:c>
      <x:c r="H173" s="184" t="str">
        <x:v>REG 1L(MAIOR 80MM)</x:v>
      </x:c>
      <x:c r="I173" s="184" t="str"/>
      <x:c r="J173" s="184" t="str"/>
      <x:c r="K173" s="184" t="str">
        <x:v>RECOBERTO PVC RENOLIT</x:v>
      </x:c>
      <x:c r="L173" s="184" t="str">
        <x:v>BRANCO</x:v>
      </x:c>
      <x:c r="M173" s="205" t="n">
        <x:v>16</x:v>
      </x:c>
      <x:c r="N173" s="205" t="n">
        <x:v>2200</x:v>
      </x:c>
      <x:c r="O173" s="205" t="n">
        <x:v>70</x:v>
      </x:c>
      <x:c r="P173" s="205" t="n">
        <x:v>9</x:v>
      </x:c>
      <x:c r="Q173" s="206" t="n">
        <x:v>0</x:v>
      </x:c>
      <x:c r="R173" s="207" t="str"/>
      <x:c r="S173" s="207" t="str"/>
      <x:c r="T173" s="207" t="str"/>
      <x:c r="U173" s="207" t="n">
        <x:v>0</x:v>
      </x:c>
      <x:c r="V173" s="208" t="n">
        <x:f>MAX(0,M173-U173)</x:f>
        <x:v>16</x:v>
      </x:c>
      <x:c r="W173" s="209" t="n">
        <x:f>IFERROR(U173/M173,0)</x:f>
        <x:v>0</x:v>
      </x:c>
      <x:c r="X173" s="201" t="str">
        <x:f>IF(U173=0,"Não iniciado",IF(U173&gt;=M173,"Concluído","Parcial"))</x:f>
        <x:v>Não iniciado</x:v>
      </x:c>
      <x:c r="Y173" s="199" t="str"/>
      <x:c r="Z173" s="188" t="str">
        <x:v>Normal</x:v>
      </x:c>
    </x:row>
    <x:row r="174" ht="22" customHeight="1">
      <x:c r="A174" s="219" t="n">
        <x:v>170</x:v>
      </x:c>
      <x:c r="B174" s="220" t="str">
        <x:v>26684</x:v>
      </x:c>
      <x:c r="C174" s="220" t="str">
        <x:v>6</x:v>
      </x:c>
      <x:c r="D174" s="220" t="str">
        <x:v>609150</x:v>
      </x:c>
      <x:c r="E174" s="220" t="str">
        <x:v>971353</x:v>
      </x:c>
      <x:c r="F174" s="220" t="str">
        <x:v>OUTROS</x:v>
      </x:c>
      <x:c r="G174" s="190" t="str">
        <x:v>2200X70X15 RTO RL55 REC PET BCO IMP(STD)</x:v>
      </x:c>
      <x:c r="H174" s="190" t="str"/>
      <x:c r="I174" s="190" t="str"/>
      <x:c r="J174" s="190" t="str"/>
      <x:c r="K174" s="190" t="str">
        <x:v>ESMALTE</x:v>
      </x:c>
      <x:c r="L174" s="190" t="str">
        <x:v>BRANCO CARRARA</x:v>
      </x:c>
      <x:c r="M174" s="210" t="n">
        <x:v>4</x:v>
      </x:c>
      <x:c r="N174" s="210" t="n">
        <x:v>2200</x:v>
      </x:c>
      <x:c r="O174" s="210" t="n">
        <x:v>70</x:v>
      </x:c>
      <x:c r="P174" s="210" t="n">
        <x:v>15</x:v>
      </x:c>
      <x:c r="Q174" s="211" t="n">
        <x:v>0.009</x:v>
      </x:c>
      <x:c r="R174" s="207" t="str"/>
      <x:c r="S174" s="207" t="str"/>
      <x:c r="T174" s="207" t="str"/>
      <x:c r="U174" s="207" t="n">
        <x:v>0</x:v>
      </x:c>
      <x:c r="V174" s="208" t="n">
        <x:f>MAX(0,M174-U174)</x:f>
        <x:v>4</x:v>
      </x:c>
      <x:c r="W174" s="209" t="n">
        <x:f>IFERROR(U174/M174,0)</x:f>
        <x:v>0</x:v>
      </x:c>
      <x:c r="X174" s="201" t="str">
        <x:f>IF(U174=0,"Não iniciado",IF(U174&gt;=M174,"Concluído","Parcial"))</x:f>
        <x:v>Não iniciado</x:v>
      </x:c>
      <x:c r="Y174" s="199" t="str"/>
      <x:c r="Z174" s="188" t="str">
        <x:v>Normal</x:v>
      </x:c>
    </x:row>
    <x:row r="175" ht="22" customHeight="1">
      <x:c r="A175" s="217" t="n">
        <x:v>171</x:v>
      </x:c>
      <x:c r="B175" s="218" t="str">
        <x:v>26684</x:v>
      </x:c>
      <x:c r="C175" s="218" t="str">
        <x:v>6</x:v>
      </x:c>
      <x:c r="D175" s="218" t="str">
        <x:v>609154</x:v>
      </x:c>
      <x:c r="E175" s="218" t="str">
        <x:v>981167</x:v>
      </x:c>
      <x:c r="F175" s="218" t="str">
        <x:v>OUTROS</x:v>
      </x:c>
      <x:c r="G175" s="184" t="str">
        <x:v>2200X70X15 RTO LME REC PET BCO IMP(STD)</x:v>
      </x:c>
      <x:c r="H175" s="184" t="str"/>
      <x:c r="I175" s="184" t="str"/>
      <x:c r="J175" s="184" t="str"/>
      <x:c r="K175" s="184" t="str">
        <x:v>ESMALTE</x:v>
      </x:c>
      <x:c r="L175" s="184" t="str">
        <x:v>BRANCO CARRARA</x:v>
      </x:c>
      <x:c r="M175" s="205" t="n">
        <x:v>4</x:v>
      </x:c>
      <x:c r="N175" s="205" t="n">
        <x:v>2200</x:v>
      </x:c>
      <x:c r="O175" s="205" t="n">
        <x:v>70</x:v>
      </x:c>
      <x:c r="P175" s="205" t="n">
        <x:v>15</x:v>
      </x:c>
      <x:c r="Q175" s="206" t="n">
        <x:v>0</x:v>
      </x:c>
      <x:c r="R175" s="207" t="str"/>
      <x:c r="S175" s="207" t="str"/>
      <x:c r="T175" s="207" t="str"/>
      <x:c r="U175" s="207" t="n">
        <x:v>0</x:v>
      </x:c>
      <x:c r="V175" s="208" t="n">
        <x:f>MAX(0,M175-U175)</x:f>
        <x:v>4</x:v>
      </x:c>
      <x:c r="W175" s="209" t="n">
        <x:f>IFERROR(U175/M175,0)</x:f>
        <x:v>0</x:v>
      </x:c>
      <x:c r="X175" s="201" t="str">
        <x:f>IF(U175=0,"Não iniciado",IF(U175&gt;=M175,"Concluído","Parcial"))</x:f>
        <x:v>Não iniciado</x:v>
      </x:c>
      <x:c r="Y175" s="199" t="str"/>
      <x:c r="Z175" s="188" t="str">
        <x:v>Normal</x:v>
      </x:c>
    </x:row>
    <x:row r="176" ht="22" customHeight="1">
      <x:c r="A176" s="219" t="n">
        <x:v>172</x:v>
      </x:c>
      <x:c r="B176" s="220" t="str">
        <x:v>26684</x:v>
      </x:c>
      <x:c r="C176" s="220" t="str">
        <x:v>10</x:v>
      </x:c>
      <x:c r="D176" s="220" t="str">
        <x:v>609182</x:v>
      </x:c>
      <x:c r="E176" s="220" t="str">
        <x:v>971353</x:v>
      </x:c>
      <x:c r="F176" s="220" t="str">
        <x:v>OUTROS</x:v>
      </x:c>
      <x:c r="G176" s="190" t="str">
        <x:v>2200X70X15 RTO RL55 REC PET BCO IMP(STD)</x:v>
      </x:c>
      <x:c r="H176" s="190" t="str"/>
      <x:c r="I176" s="190" t="str"/>
      <x:c r="J176" s="190" t="str"/>
      <x:c r="K176" s="190" t="str">
        <x:v>ESMALTE</x:v>
      </x:c>
      <x:c r="L176" s="190" t="str">
        <x:v>BRANCO CARRARA</x:v>
      </x:c>
      <x:c r="M176" s="210" t="n">
        <x:v>4</x:v>
      </x:c>
      <x:c r="N176" s="210" t="n">
        <x:v>2200</x:v>
      </x:c>
      <x:c r="O176" s="210" t="n">
        <x:v>70</x:v>
      </x:c>
      <x:c r="P176" s="210" t="n">
        <x:v>15</x:v>
      </x:c>
      <x:c r="Q176" s="211" t="n">
        <x:v>0.009</x:v>
      </x:c>
      <x:c r="R176" s="207" t="str"/>
      <x:c r="S176" s="207" t="str"/>
      <x:c r="T176" s="207" t="str"/>
      <x:c r="U176" s="207" t="n">
        <x:v>0</x:v>
      </x:c>
      <x:c r="V176" s="208" t="n">
        <x:f>MAX(0,M176-U176)</x:f>
        <x:v>4</x:v>
      </x:c>
      <x:c r="W176" s="209" t="n">
        <x:f>IFERROR(U176/M176,0)</x:f>
        <x:v>0</x:v>
      </x:c>
      <x:c r="X176" s="201" t="str">
        <x:f>IF(U176=0,"Não iniciado",IF(U176&gt;=M176,"Concluído","Parcial"))</x:f>
        <x:v>Não iniciado</x:v>
      </x:c>
      <x:c r="Y176" s="199" t="str"/>
      <x:c r="Z176" s="188" t="str">
        <x:v>Normal</x:v>
      </x:c>
    </x:row>
    <x:row r="177" ht="22" customHeight="1">
      <x:c r="A177" s="217" t="n">
        <x:v>173</x:v>
      </x:c>
      <x:c r="B177" s="218" t="str">
        <x:v>26684</x:v>
      </x:c>
      <x:c r="C177" s="218" t="str">
        <x:v>10</x:v>
      </x:c>
      <x:c r="D177" s="218" t="str">
        <x:v>609186</x:v>
      </x:c>
      <x:c r="E177" s="218" t="str">
        <x:v>981167</x:v>
      </x:c>
      <x:c r="F177" s="218" t="str">
        <x:v>OUTROS</x:v>
      </x:c>
      <x:c r="G177" s="184" t="str">
        <x:v>2200X70X15 RTO LME REC PET BCO IMP(STD)</x:v>
      </x:c>
      <x:c r="H177" s="184" t="str"/>
      <x:c r="I177" s="184" t="str"/>
      <x:c r="J177" s="184" t="str"/>
      <x:c r="K177" s="184" t="str">
        <x:v>ESMALTE</x:v>
      </x:c>
      <x:c r="L177" s="184" t="str">
        <x:v>BRANCO CARRARA</x:v>
      </x:c>
      <x:c r="M177" s="205" t="n">
        <x:v>4</x:v>
      </x:c>
      <x:c r="N177" s="205" t="n">
        <x:v>2200</x:v>
      </x:c>
      <x:c r="O177" s="205" t="n">
        <x:v>70</x:v>
      </x:c>
      <x:c r="P177" s="205" t="n">
        <x:v>15</x:v>
      </x:c>
      <x:c r="Q177" s="206" t="n">
        <x:v>0</x:v>
      </x:c>
      <x:c r="R177" s="207" t="str"/>
      <x:c r="S177" s="207" t="str"/>
      <x:c r="T177" s="207" t="str"/>
      <x:c r="U177" s="207" t="n">
        <x:v>0</x:v>
      </x:c>
      <x:c r="V177" s="208" t="n">
        <x:f>MAX(0,M177-U177)</x:f>
        <x:v>4</x:v>
      </x:c>
      <x:c r="W177" s="209" t="n">
        <x:f>IFERROR(U177/M177,0)</x:f>
        <x:v>0</x:v>
      </x:c>
      <x:c r="X177" s="201" t="str">
        <x:f>IF(U177=0,"Não iniciado",IF(U177&gt;=M177,"Concluído","Parcial"))</x:f>
        <x:v>Não iniciado</x:v>
      </x:c>
      <x:c r="Y177" s="199" t="str"/>
      <x:c r="Z177" s="188" t="str">
        <x:v>Normal</x:v>
      </x:c>
    </x:row>
    <x:row r="178" ht="22" customHeight="1">
      <x:c r="A178" s="219" t="n">
        <x:v>174</x:v>
      </x:c>
      <x:c r="B178" s="220" t="str">
        <x:v>26689</x:v>
      </x:c>
      <x:c r="C178" s="220" t="str">
        <x:v>4</x:v>
      </x:c>
      <x:c r="D178" s="220" t="str">
        <x:v>609101</x:v>
      </x:c>
      <x:c r="E178" s="220" t="str">
        <x:v>971353</x:v>
      </x:c>
      <x:c r="F178" s="220" t="str">
        <x:v>OUTROS</x:v>
      </x:c>
      <x:c r="G178" s="190" t="str">
        <x:v>2200X70X15 RTO RL55 REC PET BCO IMP(STD)</x:v>
      </x:c>
      <x:c r="H178" s="190" t="str"/>
      <x:c r="I178" s="190" t="str"/>
      <x:c r="J178" s="190" t="str"/>
      <x:c r="K178" s="190" t="str">
        <x:v>ESMALTE</x:v>
      </x:c>
      <x:c r="L178" s="190" t="str">
        <x:v>BRANCO CARRARA</x:v>
      </x:c>
      <x:c r="M178" s="210" t="n">
        <x:v>6</x:v>
      </x:c>
      <x:c r="N178" s="210" t="n">
        <x:v>2200</x:v>
      </x:c>
      <x:c r="O178" s="210" t="n">
        <x:v>70</x:v>
      </x:c>
      <x:c r="P178" s="210" t="n">
        <x:v>15</x:v>
      </x:c>
      <x:c r="Q178" s="211" t="n">
        <x:v>0.014</x:v>
      </x:c>
      <x:c r="R178" s="207" t="str"/>
      <x:c r="S178" s="207" t="str"/>
      <x:c r="T178" s="207" t="str"/>
      <x:c r="U178" s="207" t="n">
        <x:v>0</x:v>
      </x:c>
      <x:c r="V178" s="208" t="n">
        <x:f>MAX(0,M178-U178)</x:f>
        <x:v>6</x:v>
      </x:c>
      <x:c r="W178" s="209" t="n">
        <x:f>IFERROR(U178/M178,0)</x:f>
        <x:v>0</x:v>
      </x:c>
      <x:c r="X178" s="201" t="str">
        <x:f>IF(U178=0,"Não iniciado",IF(U178&gt;=M178,"Concluído","Parcial"))</x:f>
        <x:v>Não iniciado</x:v>
      </x:c>
      <x:c r="Y178" s="199" t="str"/>
      <x:c r="Z178" s="188" t="str">
        <x:v>Normal</x:v>
      </x:c>
    </x:row>
    <x:row r="179" ht="22" customHeight="1">
      <x:c r="A179" s="217" t="n">
        <x:v>175</x:v>
      </x:c>
      <x:c r="B179" s="218" t="str">
        <x:v>26689</x:v>
      </x:c>
      <x:c r="C179" s="218" t="str">
        <x:v>4</x:v>
      </x:c>
      <x:c r="D179" s="218" t="str">
        <x:v>609105</x:v>
      </x:c>
      <x:c r="E179" s="218" t="str">
        <x:v>981167</x:v>
      </x:c>
      <x:c r="F179" s="218" t="str">
        <x:v>OUTROS</x:v>
      </x:c>
      <x:c r="G179" s="184" t="str">
        <x:v>2200X70X15 RTO LME REC PET BCO IMP(STD)</x:v>
      </x:c>
      <x:c r="H179" s="184" t="str"/>
      <x:c r="I179" s="184" t="str"/>
      <x:c r="J179" s="184" t="str"/>
      <x:c r="K179" s="184" t="str">
        <x:v>ESMALTE</x:v>
      </x:c>
      <x:c r="L179" s="184" t="str">
        <x:v>BRANCO CARRARA</x:v>
      </x:c>
      <x:c r="M179" s="205" t="n">
        <x:v>6</x:v>
      </x:c>
      <x:c r="N179" s="205" t="n">
        <x:v>2200</x:v>
      </x:c>
      <x:c r="O179" s="205" t="n">
        <x:v>70</x:v>
      </x:c>
      <x:c r="P179" s="205" t="n">
        <x:v>15</x:v>
      </x:c>
      <x:c r="Q179" s="206" t="n">
        <x:v>0</x:v>
      </x:c>
      <x:c r="R179" s="207" t="str"/>
      <x:c r="S179" s="207" t="str"/>
      <x:c r="T179" s="207" t="str"/>
      <x:c r="U179" s="207" t="n">
        <x:v>0</x:v>
      </x:c>
      <x:c r="V179" s="208" t="n">
        <x:f>MAX(0,M179-U179)</x:f>
        <x:v>6</x:v>
      </x:c>
      <x:c r="W179" s="209" t="n">
        <x:f>IFERROR(U179/M179,0)</x:f>
        <x:v>0</x:v>
      </x:c>
      <x:c r="X179" s="201" t="str">
        <x:f>IF(U179=0,"Não iniciado",IF(U179&gt;=M179,"Concluído","Parcial"))</x:f>
        <x:v>Não iniciado</x:v>
      </x:c>
      <x:c r="Y179" s="199" t="str"/>
      <x:c r="Z179" s="188" t="str">
        <x:v>Normal</x:v>
      </x:c>
    </x:row>
    <x:row r="180" ht="22" customHeight="1">
      <x:c r="A180" s="219" t="n">
        <x:v>176</x:v>
      </x:c>
      <x:c r="B180" s="220" t="str">
        <x:v>26808</x:v>
      </x:c>
      <x:c r="C180" s="220" t="str">
        <x:v>1</x:v>
      </x:c>
      <x:c r="D180" s="220" t="str">
        <x:v>608899</x:v>
      </x:c>
      <x:c r="E180" s="220" t="str">
        <x:v>962766</x:v>
      </x:c>
      <x:c r="F180" s="220" t="str">
        <x:v>OUTROS</x:v>
      </x:c>
      <x:c r="G180" s="190" t="str">
        <x:v>PE AL 2200X70X9 RTO RL35 REC PET BCO(ULT</x:v>
      </x:c>
      <x:c r="H180" s="190" t="str"/>
      <x:c r="I180" s="190" t="str"/>
      <x:c r="J180" s="190" t="str"/>
      <x:c r="K180" s="190" t="str">
        <x:v>ESMALTE</x:v>
      </x:c>
      <x:c r="L180" s="190" t="str">
        <x:v>BRANCO CARRARA</x:v>
      </x:c>
      <x:c r="M180" s="210" t="n">
        <x:v>288</x:v>
      </x:c>
      <x:c r="N180" s="210" t="n">
        <x:v>2200</x:v>
      </x:c>
      <x:c r="O180" s="210" t="n">
        <x:v>70</x:v>
      </x:c>
      <x:c r="P180" s="210" t="n">
        <x:v>9</x:v>
      </x:c>
      <x:c r="Q180" s="211" t="n">
        <x:v>0</x:v>
      </x:c>
      <x:c r="R180" s="207" t="str"/>
      <x:c r="S180" s="207" t="str"/>
      <x:c r="T180" s="207" t="str"/>
      <x:c r="U180" s="207" t="n">
        <x:v>288</x:v>
      </x:c>
      <x:c r="V180" s="208" t="n">
        <x:f>MAX(0,M180-U180)</x:f>
        <x:v>0</x:v>
      </x:c>
      <x:c r="W180" s="209" t="n">
        <x:f>IFERROR(U180/M180,0)</x:f>
        <x:v>1</x:v>
      </x:c>
      <x:c r="X180" s="201" t="str">
        <x:f>IF(U180=0,"Não iniciado",IF(U180&gt;=M180,"Concluído","Parcial"))</x:f>
        <x:v>Concluído</x:v>
      </x:c>
      <x:c r="Y180" s="199" t="str"/>
      <x:c r="Z180" s="188" t="str">
        <x:v>Normal</x:v>
      </x:c>
    </x:row>
    <x:row r="181" ht="22" customHeight="1">
      <x:c r="A181" s="217" t="n">
        <x:v>177</x:v>
      </x:c>
      <x:c r="B181" s="218" t="str">
        <x:v>26808</x:v>
      </x:c>
      <x:c r="C181" s="218" t="str">
        <x:v>2</x:v>
      </x:c>
      <x:c r="D181" s="218" t="str">
        <x:v>608907</x:v>
      </x:c>
      <x:c r="E181" s="218" t="str">
        <x:v>962766</x:v>
      </x:c>
      <x:c r="F181" s="218" t="str">
        <x:v>OUTROS</x:v>
      </x:c>
      <x:c r="G181" s="184" t="str">
        <x:v>PE AL 2200X70X9 RTO RL35 REC PET BCO(ULT</x:v>
      </x:c>
      <x:c r="H181" s="184" t="str"/>
      <x:c r="I181" s="184" t="str"/>
      <x:c r="J181" s="184" t="str"/>
      <x:c r="K181" s="184" t="str">
        <x:v>ESMALTE</x:v>
      </x:c>
      <x:c r="L181" s="184" t="str">
        <x:v>BRANCO CARRARA</x:v>
      </x:c>
      <x:c r="M181" s="205" t="n">
        <x:v>32</x:v>
      </x:c>
      <x:c r="N181" s="205" t="n">
        <x:v>2200</x:v>
      </x:c>
      <x:c r="O181" s="205" t="n">
        <x:v>70</x:v>
      </x:c>
      <x:c r="P181" s="205" t="n">
        <x:v>9</x:v>
      </x:c>
      <x:c r="Q181" s="206" t="n">
        <x:v>0</x:v>
      </x:c>
      <x:c r="R181" s="207" t="str"/>
      <x:c r="S181" s="207" t="str"/>
      <x:c r="T181" s="207" t="str"/>
      <x:c r="U181" s="207" t="n">
        <x:v>32</x:v>
      </x:c>
      <x:c r="V181" s="208" t="n">
        <x:f>MAX(0,M181-U181)</x:f>
        <x:v>0</x:v>
      </x:c>
      <x:c r="W181" s="209" t="n">
        <x:f>IFERROR(U181/M181,0)</x:f>
        <x:v>1</x:v>
      </x:c>
      <x:c r="X181" s="201" t="str">
        <x:f>IF(U181=0,"Não iniciado",IF(U181&gt;=M181,"Concluído","Parcial"))</x:f>
        <x:v>Concluído</x:v>
      </x:c>
      <x:c r="Y181" s="199" t="str"/>
      <x:c r="Z181" s="188" t="str">
        <x:v>Normal</x:v>
      </x:c>
    </x:row>
    <x:row r="182" ht="22" customHeight="1">
      <x:c r="A182" s="219" t="n">
        <x:v>178</x:v>
      </x:c>
      <x:c r="B182" s="220" t="str">
        <x:v>26808</x:v>
      </x:c>
      <x:c r="C182" s="220" t="str">
        <x:v>3</x:v>
      </x:c>
      <x:c r="D182" s="220" t="str">
        <x:v>608915</x:v>
      </x:c>
      <x:c r="E182" s="220" t="str">
        <x:v>962766</x:v>
      </x:c>
      <x:c r="F182" s="220" t="str">
        <x:v>OUTROS</x:v>
      </x:c>
      <x:c r="G182" s="190" t="str">
        <x:v>PE AL 2200X70X9 RTO RL35 REC PET BCO(ULT</x:v>
      </x:c>
      <x:c r="H182" s="190" t="str"/>
      <x:c r="I182" s="190" t="str"/>
      <x:c r="J182" s="190" t="str"/>
      <x:c r="K182" s="190" t="str">
        <x:v>ESMALTE</x:v>
      </x:c>
      <x:c r="L182" s="190" t="str">
        <x:v>BRANCO CARRARA</x:v>
      </x:c>
      <x:c r="M182" s="210" t="n">
        <x:v>120</x:v>
      </x:c>
      <x:c r="N182" s="210" t="n">
        <x:v>2200</x:v>
      </x:c>
      <x:c r="O182" s="210" t="n">
        <x:v>70</x:v>
      </x:c>
      <x:c r="P182" s="210" t="n">
        <x:v>9</x:v>
      </x:c>
      <x:c r="Q182" s="211" t="n">
        <x:v>0</x:v>
      </x:c>
      <x:c r="R182" s="207" t="str"/>
      <x:c r="S182" s="207" t="str"/>
      <x:c r="T182" s="207" t="str"/>
      <x:c r="U182" s="207" t="n">
        <x:v>120</x:v>
      </x:c>
      <x:c r="V182" s="208" t="n">
        <x:f>MAX(0,M182-U182)</x:f>
        <x:v>0</x:v>
      </x:c>
      <x:c r="W182" s="209" t="n">
        <x:f>IFERROR(U182/M182,0)</x:f>
        <x:v>1</x:v>
      </x:c>
      <x:c r="X182" s="201" t="str">
        <x:f>IF(U182=0,"Não iniciado",IF(U182&gt;=M182,"Concluído","Parcial"))</x:f>
        <x:v>Concluído</x:v>
      </x:c>
      <x:c r="Y182" s="199" t="str"/>
      <x:c r="Z182" s="188" t="str">
        <x:v>Normal</x:v>
      </x:c>
    </x:row>
    <x:row r="183" ht="22" customHeight="1">
      <x:c r="A183" s="217" t="n">
        <x:v>179</x:v>
      </x:c>
      <x:c r="B183" s="218" t="str">
        <x:v>26808</x:v>
      </x:c>
      <x:c r="C183" s="218" t="str">
        <x:v>4</x:v>
      </x:c>
      <x:c r="D183" s="218" t="str">
        <x:v>608923</x:v>
      </x:c>
      <x:c r="E183" s="218" t="str">
        <x:v>962766</x:v>
      </x:c>
      <x:c r="F183" s="218" t="str">
        <x:v>OUTROS</x:v>
      </x:c>
      <x:c r="G183" s="184" t="str">
        <x:v>PE AL 2200X70X9 RTO RL35 REC PET BCO(ULT</x:v>
      </x:c>
      <x:c r="H183" s="184" t="str"/>
      <x:c r="I183" s="184" t="str"/>
      <x:c r="J183" s="184" t="str"/>
      <x:c r="K183" s="184" t="str">
        <x:v>ESMALTE</x:v>
      </x:c>
      <x:c r="L183" s="184" t="str">
        <x:v>BRANCO CARRARA</x:v>
      </x:c>
      <x:c r="M183" s="205" t="n">
        <x:v>126</x:v>
      </x:c>
      <x:c r="N183" s="205" t="n">
        <x:v>2200</x:v>
      </x:c>
      <x:c r="O183" s="205" t="n">
        <x:v>70</x:v>
      </x:c>
      <x:c r="P183" s="205" t="n">
        <x:v>9</x:v>
      </x:c>
      <x:c r="Q183" s="206" t="n">
        <x:v>0</x:v>
      </x:c>
      <x:c r="R183" s="207" t="str"/>
      <x:c r="S183" s="207" t="str"/>
      <x:c r="T183" s="207" t="str"/>
      <x:c r="U183" s="207" t="n">
        <x:v>126</x:v>
      </x:c>
      <x:c r="V183" s="208" t="n">
        <x:f>MAX(0,M183-U183)</x:f>
        <x:v>0</x:v>
      </x:c>
      <x:c r="W183" s="209" t="n">
        <x:f>IFERROR(U183/M183,0)</x:f>
        <x:v>1</x:v>
      </x:c>
      <x:c r="X183" s="201" t="str">
        <x:f>IF(U183=0,"Não iniciado",IF(U183&gt;=M183,"Concluído","Parcial"))</x:f>
        <x:v>Concluído</x:v>
      </x:c>
      <x:c r="Y183" s="199" t="str"/>
      <x:c r="Z183" s="188" t="str">
        <x:v>Normal</x:v>
      </x:c>
    </x:row>
    <x:row r="184" ht="22" customHeight="1">
      <x:c r="A184" s="219" t="n">
        <x:v>180</x:v>
      </x:c>
      <x:c r="B184" s="220" t="str">
        <x:v>26808</x:v>
      </x:c>
      <x:c r="C184" s="220" t="str">
        <x:v>5</x:v>
      </x:c>
      <x:c r="D184" s="220" t="str">
        <x:v>608931</x:v>
      </x:c>
      <x:c r="E184" s="220" t="str">
        <x:v>962766</x:v>
      </x:c>
      <x:c r="F184" s="220" t="str">
        <x:v>OUTROS</x:v>
      </x:c>
      <x:c r="G184" s="190" t="str">
        <x:v>PE AL 2200X70X9 RTO RL35 REC PET BCO(ULT</x:v>
      </x:c>
      <x:c r="H184" s="190" t="str"/>
      <x:c r="I184" s="190" t="str"/>
      <x:c r="J184" s="190" t="str"/>
      <x:c r="K184" s="190" t="str">
        <x:v>ESMALTE</x:v>
      </x:c>
      <x:c r="L184" s="190" t="str">
        <x:v>BRANCO CARRARA</x:v>
      </x:c>
      <x:c r="M184" s="210" t="n">
        <x:v>2</x:v>
      </x:c>
      <x:c r="N184" s="210" t="n">
        <x:v>2200</x:v>
      </x:c>
      <x:c r="O184" s="210" t="n">
        <x:v>70</x:v>
      </x:c>
      <x:c r="P184" s="210" t="n">
        <x:v>9</x:v>
      </x:c>
      <x:c r="Q184" s="211" t="n">
        <x:v>0</x:v>
      </x:c>
      <x:c r="R184" s="207" t="str"/>
      <x:c r="S184" s="207" t="str"/>
      <x:c r="T184" s="207" t="str"/>
      <x:c r="U184" s="207" t="n">
        <x:v>2</x:v>
      </x:c>
      <x:c r="V184" s="208" t="n">
        <x:f>MAX(0,M184-U184)</x:f>
        <x:v>0</x:v>
      </x:c>
      <x:c r="W184" s="209" t="n">
        <x:f>IFERROR(U184/M184,0)</x:f>
        <x:v>1</x:v>
      </x:c>
      <x:c r="X184" s="201" t="str">
        <x:f>IF(U184=0,"Não iniciado",IF(U184&gt;=M184,"Concluído","Parcial"))</x:f>
        <x:v>Concluído</x:v>
      </x:c>
      <x:c r="Y184" s="199" t="str"/>
      <x:c r="Z184" s="188" t="str">
        <x:v>Normal</x:v>
      </x:c>
    </x:row>
    <x:row r="185" ht="22" customHeight="1">
      <x:c r="A185" s="217" t="n">
        <x:v>181</x:v>
      </x:c>
      <x:c r="B185" s="218" t="str">
        <x:v>26808</x:v>
      </x:c>
      <x:c r="C185" s="218" t="str">
        <x:v>6</x:v>
      </x:c>
      <x:c r="D185" s="218" t="str">
        <x:v>608937</x:v>
      </x:c>
      <x:c r="E185" s="218" t="str">
        <x:v>962766</x:v>
      </x:c>
      <x:c r="F185" s="218" t="str">
        <x:v>OUTROS</x:v>
      </x:c>
      <x:c r="G185" s="184" t="str">
        <x:v>PE AL 2200X70X9 RTO RL35 REC PET BCO(ULT</x:v>
      </x:c>
      <x:c r="H185" s="184" t="str"/>
      <x:c r="I185" s="184" t="str"/>
      <x:c r="J185" s="184" t="str"/>
      <x:c r="K185" s="184" t="str">
        <x:v>ESMALTE</x:v>
      </x:c>
      <x:c r="L185" s="184" t="str">
        <x:v>BRANCO CARRARA</x:v>
      </x:c>
      <x:c r="M185" s="205" t="n">
        <x:v>12</x:v>
      </x:c>
      <x:c r="N185" s="205" t="n">
        <x:v>2200</x:v>
      </x:c>
      <x:c r="O185" s="205" t="n">
        <x:v>70</x:v>
      </x:c>
      <x:c r="P185" s="205" t="n">
        <x:v>9</x:v>
      </x:c>
      <x:c r="Q185" s="206" t="n">
        <x:v>0</x:v>
      </x:c>
      <x:c r="R185" s="207" t="str"/>
      <x:c r="S185" s="207" t="str"/>
      <x:c r="T185" s="207" t="str"/>
      <x:c r="U185" s="207" t="n">
        <x:v>12</x:v>
      </x:c>
      <x:c r="V185" s="208" t="n">
        <x:f>MAX(0,M185-U185)</x:f>
        <x:v>0</x:v>
      </x:c>
      <x:c r="W185" s="209" t="n">
        <x:f>IFERROR(U185/M185,0)</x:f>
        <x:v>1</x:v>
      </x:c>
      <x:c r="X185" s="201" t="str">
        <x:f>IF(U185=0,"Não iniciado",IF(U185&gt;=M185,"Concluído","Parcial"))</x:f>
        <x:v>Concluído</x:v>
      </x:c>
      <x:c r="Y185" s="199" t="str"/>
      <x:c r="Z185" s="188" t="str">
        <x:v>Normal</x:v>
      </x:c>
    </x:row>
    <x:row r="186" ht="22" customHeight="1">
      <x:c r="A186" s="219" t="n">
        <x:v>182</x:v>
      </x:c>
      <x:c r="B186" s="220" t="str">
        <x:v>26808</x:v>
      </x:c>
      <x:c r="C186" s="220" t="str">
        <x:v>7</x:v>
      </x:c>
      <x:c r="D186" s="220" t="str">
        <x:v>608947</x:v>
      </x:c>
      <x:c r="E186" s="220" t="str">
        <x:v>962766</x:v>
      </x:c>
      <x:c r="F186" s="220" t="str">
        <x:v>OUTROS</x:v>
      </x:c>
      <x:c r="G186" s="190" t="str">
        <x:v>PE AL 2200X70X9 RTO RL35 REC PET BCO(ULT</x:v>
      </x:c>
      <x:c r="H186" s="190" t="str"/>
      <x:c r="I186" s="190" t="str"/>
      <x:c r="J186" s="190" t="str"/>
      <x:c r="K186" s="190" t="str">
        <x:v>ESMALTE</x:v>
      </x:c>
      <x:c r="L186" s="190" t="str">
        <x:v>BRANCO CARRARA</x:v>
      </x:c>
      <x:c r="M186" s="210" t="n">
        <x:v>8</x:v>
      </x:c>
      <x:c r="N186" s="210" t="n">
        <x:v>2200</x:v>
      </x:c>
      <x:c r="O186" s="210" t="n">
        <x:v>70</x:v>
      </x:c>
      <x:c r="P186" s="210" t="n">
        <x:v>9</x:v>
      </x:c>
      <x:c r="Q186" s="211" t="n">
        <x:v>0</x:v>
      </x:c>
      <x:c r="R186" s="207" t="str"/>
      <x:c r="S186" s="207" t="str"/>
      <x:c r="T186" s="207" t="str"/>
      <x:c r="U186" s="207" t="n">
        <x:v>8</x:v>
      </x:c>
      <x:c r="V186" s="208" t="n">
        <x:f>MAX(0,M186-U186)</x:f>
        <x:v>0</x:v>
      </x:c>
      <x:c r="W186" s="209" t="n">
        <x:f>IFERROR(U186/M186,0)</x:f>
        <x:v>1</x:v>
      </x:c>
      <x:c r="X186" s="201" t="str">
        <x:f>IF(U186=0,"Não iniciado",IF(U186&gt;=M186,"Concluído","Parcial"))</x:f>
        <x:v>Concluído</x:v>
      </x:c>
      <x:c r="Y186" s="199" t="str"/>
      <x:c r="Z186" s="188" t="str">
        <x:v>Normal</x:v>
      </x:c>
    </x:row>
    <x:row r="187" ht="22" customHeight="1">
      <x:c r="A187" s="217" t="n">
        <x:v>183</x:v>
      </x:c>
      <x:c r="B187" s="218" t="str">
        <x:v>26808</x:v>
      </x:c>
      <x:c r="C187" s="218" t="str">
        <x:v>8</x:v>
      </x:c>
      <x:c r="D187" s="218" t="str">
        <x:v>608955</x:v>
      </x:c>
      <x:c r="E187" s="218" t="str">
        <x:v>962766</x:v>
      </x:c>
      <x:c r="F187" s="218" t="str">
        <x:v>OUTROS</x:v>
      </x:c>
      <x:c r="G187" s="184" t="str">
        <x:v>PE AL 2200X70X9 RTO RL35 REC PET BCO(ULT</x:v>
      </x:c>
      <x:c r="H187" s="184" t="str"/>
      <x:c r="I187" s="184" t="str"/>
      <x:c r="J187" s="184" t="str"/>
      <x:c r="K187" s="184" t="str">
        <x:v>ESMALTE</x:v>
      </x:c>
      <x:c r="L187" s="184" t="str">
        <x:v>BRANCO CARRARA</x:v>
      </x:c>
      <x:c r="M187" s="205" t="n">
        <x:v>44</x:v>
      </x:c>
      <x:c r="N187" s="205" t="n">
        <x:v>2200</x:v>
      </x:c>
      <x:c r="O187" s="205" t="n">
        <x:v>70</x:v>
      </x:c>
      <x:c r="P187" s="205" t="n">
        <x:v>9</x:v>
      </x:c>
      <x:c r="Q187" s="206" t="n">
        <x:v>0</x:v>
      </x:c>
      <x:c r="R187" s="207" t="str"/>
      <x:c r="S187" s="207" t="str"/>
      <x:c r="T187" s="207" t="str"/>
      <x:c r="U187" s="207" t="n">
        <x:v>44</x:v>
      </x:c>
      <x:c r="V187" s="208" t="n">
        <x:f>MAX(0,M187-U187)</x:f>
        <x:v>0</x:v>
      </x:c>
      <x:c r="W187" s="209" t="n">
        <x:f>IFERROR(U187/M187,0)</x:f>
        <x:v>1</x:v>
      </x:c>
      <x:c r="X187" s="201" t="str">
        <x:f>IF(U187=0,"Não iniciado",IF(U187&gt;=M187,"Concluído","Parcial"))</x:f>
        <x:v>Concluído</x:v>
      </x:c>
      <x:c r="Y187" s="199" t="str"/>
      <x:c r="Z187" s="188" t="str">
        <x:v>Normal</x:v>
      </x:c>
    </x:row>
    <x:row r="188" ht="22" customHeight="1">
      <x:c r="A188" s="219" t="n">
        <x:v>184</x:v>
      </x:c>
      <x:c r="B188" s="220" t="str">
        <x:v>26808</x:v>
      </x:c>
      <x:c r="C188" s="220" t="str">
        <x:v>9</x:v>
      </x:c>
      <x:c r="D188" s="220" t="str">
        <x:v>608963</x:v>
      </x:c>
      <x:c r="E188" s="220" t="str">
        <x:v>962766</x:v>
      </x:c>
      <x:c r="F188" s="220" t="str">
        <x:v>OUTROS</x:v>
      </x:c>
      <x:c r="G188" s="190" t="str">
        <x:v>PE AL 2200X70X9 RTO RL35 REC PET BCO(ULT</x:v>
      </x:c>
      <x:c r="H188" s="190" t="str"/>
      <x:c r="I188" s="190" t="str"/>
      <x:c r="J188" s="190" t="str"/>
      <x:c r="K188" s="190" t="str">
        <x:v>ESMALTE</x:v>
      </x:c>
      <x:c r="L188" s="190" t="str">
        <x:v>BRANCO CARRARA</x:v>
      </x:c>
      <x:c r="M188" s="210" t="n">
        <x:v>142</x:v>
      </x:c>
      <x:c r="N188" s="210" t="n">
        <x:v>2200</x:v>
      </x:c>
      <x:c r="O188" s="210" t="n">
        <x:v>70</x:v>
      </x:c>
      <x:c r="P188" s="210" t="n">
        <x:v>9</x:v>
      </x:c>
      <x:c r="Q188" s="211" t="n">
        <x:v>0</x:v>
      </x:c>
      <x:c r="R188" s="207" t="str"/>
      <x:c r="S188" s="207" t="str"/>
      <x:c r="T188" s="207" t="str"/>
      <x:c r="U188" s="207" t="n">
        <x:v>142</x:v>
      </x:c>
      <x:c r="V188" s="208" t="n">
        <x:f>MAX(0,M188-U188)</x:f>
        <x:v>0</x:v>
      </x:c>
      <x:c r="W188" s="209" t="n">
        <x:f>IFERROR(U188/M188,0)</x:f>
        <x:v>1</x:v>
      </x:c>
      <x:c r="X188" s="201" t="str">
        <x:f>IF(U188=0,"Não iniciado",IF(U188&gt;=M188,"Concluído","Parcial"))</x:f>
        <x:v>Concluído</x:v>
      </x:c>
      <x:c r="Y188" s="199" t="str"/>
      <x:c r="Z188" s="188" t="str">
        <x:v>Normal</x:v>
      </x:c>
    </x:row>
    <x:row r="189" ht="22" customHeight="1">
      <x:c r="A189" s="217" t="n">
        <x:v>185</x:v>
      </x:c>
      <x:c r="B189" s="218" t="str">
        <x:v>26808</x:v>
      </x:c>
      <x:c r="C189" s="218" t="str">
        <x:v>10</x:v>
      </x:c>
      <x:c r="D189" s="218" t="str">
        <x:v>608971</x:v>
      </x:c>
      <x:c r="E189" s="218" t="str">
        <x:v>962766</x:v>
      </x:c>
      <x:c r="F189" s="218" t="str">
        <x:v>OUTROS</x:v>
      </x:c>
      <x:c r="G189" s="184" t="str">
        <x:v>PE AL 2200X70X9 RTO RL35 REC PET BCO(ULT</x:v>
      </x:c>
      <x:c r="H189" s="184" t="str"/>
      <x:c r="I189" s="184" t="str"/>
      <x:c r="J189" s="184" t="str"/>
      <x:c r="K189" s="184" t="str">
        <x:v>ESMALTE</x:v>
      </x:c>
      <x:c r="L189" s="184" t="str">
        <x:v>BRANCO CARRARA</x:v>
      </x:c>
      <x:c r="M189" s="205" t="n">
        <x:v>2</x:v>
      </x:c>
      <x:c r="N189" s="205" t="n">
        <x:v>2200</x:v>
      </x:c>
      <x:c r="O189" s="205" t="n">
        <x:v>70</x:v>
      </x:c>
      <x:c r="P189" s="205" t="n">
        <x:v>9</x:v>
      </x:c>
      <x:c r="Q189" s="206" t="n">
        <x:v>0</x:v>
      </x:c>
      <x:c r="R189" s="207" t="str"/>
      <x:c r="S189" s="207" t="str"/>
      <x:c r="T189" s="207" t="str"/>
      <x:c r="U189" s="207" t="n">
        <x:v>2</x:v>
      </x:c>
      <x:c r="V189" s="208" t="n">
        <x:f>MAX(0,M189-U189)</x:f>
        <x:v>0</x:v>
      </x:c>
      <x:c r="W189" s="209" t="n">
        <x:f>IFERROR(U189/M189,0)</x:f>
        <x:v>1</x:v>
      </x:c>
      <x:c r="X189" s="201" t="str">
        <x:f>IF(U189=0,"Não iniciado",IF(U189&gt;=M189,"Concluído","Parcial"))</x:f>
        <x:v>Concluído</x:v>
      </x:c>
      <x:c r="Y189" s="199" t="str"/>
      <x:c r="Z189" s="188" t="str">
        <x:v>Normal</x:v>
      </x:c>
    </x:row>
    <x:row r="190" ht="22" customHeight="1">
      <x:c r="A190" s="219" t="n">
        <x:v>186</x:v>
      </x:c>
      <x:c r="B190" s="220" t="str">
        <x:v>26808</x:v>
      </x:c>
      <x:c r="C190" s="220" t="str">
        <x:v>11</x:v>
      </x:c>
      <x:c r="D190" s="220" t="str">
        <x:v>608976</x:v>
      </x:c>
      <x:c r="E190" s="220" t="str">
        <x:v>962766</x:v>
      </x:c>
      <x:c r="F190" s="220" t="str">
        <x:v>OUTROS</x:v>
      </x:c>
      <x:c r="G190" s="190" t="str">
        <x:v>PE AL 2200X70X9 RTO RL35 REC PET BCO(ULT</x:v>
      </x:c>
      <x:c r="H190" s="190" t="str"/>
      <x:c r="I190" s="190" t="str"/>
      <x:c r="J190" s="190" t="str"/>
      <x:c r="K190" s="190" t="str">
        <x:v>ESMALTE</x:v>
      </x:c>
      <x:c r="L190" s="190" t="str">
        <x:v>BRANCO CARRARA</x:v>
      </x:c>
      <x:c r="M190" s="210" t="n">
        <x:v>2</x:v>
      </x:c>
      <x:c r="N190" s="210" t="n">
        <x:v>2200</x:v>
      </x:c>
      <x:c r="O190" s="210" t="n">
        <x:v>70</x:v>
      </x:c>
      <x:c r="P190" s="210" t="n">
        <x:v>9</x:v>
      </x:c>
      <x:c r="Q190" s="211" t="n">
        <x:v>0</x:v>
      </x:c>
      <x:c r="R190" s="207" t="str"/>
      <x:c r="S190" s="207" t="str"/>
      <x:c r="T190" s="207" t="str"/>
      <x:c r="U190" s="207" t="n">
        <x:v>2</x:v>
      </x:c>
      <x:c r="V190" s="208" t="n">
        <x:f>MAX(0,M190-U190)</x:f>
        <x:v>0</x:v>
      </x:c>
      <x:c r="W190" s="209" t="n">
        <x:f>IFERROR(U190/M190,0)</x:f>
        <x:v>1</x:v>
      </x:c>
      <x:c r="X190" s="201" t="str">
        <x:f>IF(U190=0,"Não iniciado",IF(U190&gt;=M190,"Concluído","Parcial"))</x:f>
        <x:v>Concluído</x:v>
      </x:c>
      <x:c r="Y190" s="199" t="str"/>
      <x:c r="Z190" s="188" t="str">
        <x:v>Normal</x:v>
      </x:c>
    </x:row>
    <x:row r="191" ht="22" customHeight="1">
      <x:c r="A191" s="217" t="n">
        <x:v>187</x:v>
      </x:c>
      <x:c r="B191" s="218" t="str">
        <x:v>26806</x:v>
      </x:c>
      <x:c r="C191" s="218" t="str">
        <x:v>1</x:v>
      </x:c>
      <x:c r="D191" s="218" t="str">
        <x:v>610061</x:v>
      </x:c>
      <x:c r="E191" s="218" t="str">
        <x:v>924644</x:v>
      </x:c>
      <x:c r="F191" s="218" t="str">
        <x:v>OUTROS</x:v>
      </x:c>
      <x:c r="G191" s="184" t="str">
        <x:v>ROD.MDF S/F UL.2160x70x09 RT PET.BRCO</x:v>
      </x:c>
      <x:c r="H191" s="184" t="str">
        <x:v>S/ REGULAGEM</x:v>
      </x:c>
      <x:c r="I191" s="184" t="str">
        <x:v>PADRAO</x:v>
      </x:c>
      <x:c r="J191" s="184" t="str"/>
      <x:c r="K191" s="184" t="str">
        <x:v>RECOBERTO PET</x:v>
      </x:c>
      <x:c r="L191" s="184" t="str">
        <x:v>BRANCO CARRARA</x:v>
      </x:c>
      <x:c r="M191" s="205" t="n">
        <x:v>1220</x:v>
      </x:c>
      <x:c r="N191" s="205" t="n">
        <x:v>2160</x:v>
      </x:c>
      <x:c r="O191" s="205" t="n">
        <x:v>70</x:v>
      </x:c>
      <x:c r="P191" s="205" t="n">
        <x:v>9</x:v>
      </x:c>
      <x:c r="Q191" s="206" t="n">
        <x:v>1.66</x:v>
      </x:c>
      <x:c r="R191" s="207" t="str"/>
      <x:c r="S191" s="207" t="str"/>
      <x:c r="T191" s="207" t="str"/>
      <x:c r="U191" s="207" t="n">
        <x:v>1220</x:v>
      </x:c>
      <x:c r="V191" s="208" t="n">
        <x:f>MAX(0,M191-U191)</x:f>
        <x:v>0</x:v>
      </x:c>
      <x:c r="W191" s="209" t="n">
        <x:f>IFERROR(U191/M191,0)</x:f>
        <x:v>1</x:v>
      </x:c>
      <x:c r="X191" s="201" t="str">
        <x:f>IF(U191=0,"Não iniciado",IF(U191&gt;=M191,"Concluído","Parcial"))</x:f>
        <x:v>Concluído</x:v>
      </x:c>
      <x:c r="Y191" s="199" t="str"/>
      <x:c r="Z191" s="188" t="str">
        <x:v>Normal</x:v>
      </x:c>
    </x:row>
    <x:row r="192" ht="22" customHeight="1">
      <x:c r="A192" s="219" t="n">
        <x:v>188</x:v>
      </x:c>
      <x:c r="B192" s="220" t="str">
        <x:v>26520</x:v>
      </x:c>
      <x:c r="C192" s="220" t="str">
        <x:v>6</x:v>
      </x:c>
      <x:c r="D192" s="220" t="str">
        <x:v>610107</x:v>
      </x:c>
      <x:c r="E192" s="220" t="str">
        <x:v>2010700125</x:v>
      </x:c>
      <x:c r="F192" s="220" t="str">
        <x:v>BATENTE</x:v>
      </x:c>
      <x:c r="G192" s="190" t="str">
        <x:v>M P ULTRA PET CI VE 2110X70X30 42X10 R2L</x:v>
      </x:c>
      <x:c r="H192" s="190" t="str"/>
      <x:c r="I192" s="190" t="str"/>
      <x:c r="J192" s="190" t="str"/>
      <x:c r="K192" s="190" t="str">
        <x:v>RECOBERTO PET</x:v>
      </x:c>
      <x:c r="L192" s="190" t="str">
        <x:v>CINZA VERONA</x:v>
      </x:c>
      <x:c r="M192" s="210" t="n">
        <x:v>2</x:v>
      </x:c>
      <x:c r="N192" s="210" t="n">
        <x:v>2110</x:v>
      </x:c>
      <x:c r="O192" s="210" t="n">
        <x:v>70</x:v>
      </x:c>
      <x:c r="P192" s="210" t="n">
        <x:v>30</x:v>
      </x:c>
      <x:c r="Q192" s="211" t="n">
        <x:v>0.009</x:v>
      </x:c>
      <x:c r="R192" s="207" t="str"/>
      <x:c r="S192" s="207" t="str"/>
      <x:c r="T192" s="207" t="str"/>
      <x:c r="U192" s="207" t="n">
        <x:v>2</x:v>
      </x:c>
      <x:c r="V192" s="208" t="n">
        <x:f>MAX(0,M192-U192)</x:f>
        <x:v>0</x:v>
      </x:c>
      <x:c r="W192" s="209" t="n">
        <x:f>IFERROR(U192/M192,0)</x:f>
        <x:v>1</x:v>
      </x:c>
      <x:c r="X192" s="201" t="str">
        <x:f>IF(U192=0,"Não iniciado",IF(U192&gt;=M192,"Concluído","Parcial"))</x:f>
        <x:v>Concluído</x:v>
      </x:c>
      <x:c r="Y192" s="199" t="str"/>
      <x:c r="Z192" s="188" t="str">
        <x:v>Normal</x:v>
      </x:c>
    </x:row>
    <x:row r="193" ht="22" customHeight="1">
      <x:c r="A193" s="217" t="n">
        <x:v>189</x:v>
      </x:c>
      <x:c r="B193" s="218" t="str">
        <x:v>26809</x:v>
      </x:c>
      <x:c r="C193" s="218" t="str">
        <x:v>12</x:v>
      </x:c>
      <x:c r="D193" s="218" t="str">
        <x:v>609964</x:v>
      </x:c>
      <x:c r="E193" s="218" t="str">
        <x:v>2020700635</x:v>
      </x:c>
      <x:c r="F193" s="218" t="str">
        <x:v>OUTROS</x:v>
      </x:c>
      <x:c r="G193" s="184" t="str">
        <x:v>A ULTRA PET CAP M 1400X70X9 RG(55) RTO</x:v>
      </x:c>
      <x:c r="H193" s="184" t="str">
        <x:v>REG 2L(MAIOR 55MM)</x:v>
      </x:c>
      <x:c r="I193" s="184" t="str"/>
      <x:c r="J193" s="184" t="str"/>
      <x:c r="K193" s="184" t="str">
        <x:v>RECOBERTO PET</x:v>
      </x:c>
      <x:c r="L193" s="184" t="str">
        <x:v>CAPUCCINO MARCHE</x:v>
      </x:c>
      <x:c r="M193" s="205" t="n">
        <x:v>1</x:v>
      </x:c>
      <x:c r="N193" s="205" t="n">
        <x:v>1400</x:v>
      </x:c>
      <x:c r="O193" s="205" t="n">
        <x:v>70</x:v>
      </x:c>
      <x:c r="P193" s="205" t="n">
        <x:v>9</x:v>
      </x:c>
      <x:c r="Q193" s="206" t="n">
        <x:v>0</x:v>
      </x:c>
      <x:c r="R193" s="207" t="str"/>
      <x:c r="S193" s="207" t="str"/>
      <x:c r="T193" s="207" t="str"/>
      <x:c r="U193" s="207" t="n">
        <x:v>0</x:v>
      </x:c>
      <x:c r="V193" s="208" t="n">
        <x:f>MAX(0,M193-U193)</x:f>
        <x:v>1</x:v>
      </x:c>
      <x:c r="W193" s="209" t="n">
        <x:f>IFERROR(U193/M193,0)</x:f>
        <x:v>0</x:v>
      </x:c>
      <x:c r="X193" s="201" t="str">
        <x:f>IF(U193=0,"Não iniciado",IF(U193&gt;=M193,"Concluído","Parcial"))</x:f>
        <x:v>Não iniciado</x:v>
      </x:c>
      <x:c r="Y193" s="199" t="str"/>
      <x:c r="Z193" s="188" t="str">
        <x:v>Normal</x:v>
      </x:c>
    </x:row>
    <x:row r="194" ht="22" customHeight="1">
      <x:c r="A194" s="219" t="n">
        <x:v>190</x:v>
      </x:c>
      <x:c r="B194" s="220" t="str">
        <x:v>26809</x:v>
      </x:c>
      <x:c r="C194" s="220" t="str">
        <x:v>12</x:v>
      </x:c>
      <x:c r="D194" s="220" t="str">
        <x:v>609965</x:v>
      </x:c>
      <x:c r="E194" s="220" t="str">
        <x:v>2020700636</x:v>
      </x:c>
      <x:c r="F194" s="220" t="str">
        <x:v>OUTROS</x:v>
      </x:c>
      <x:c r="G194" s="190" t="str">
        <x:v>A ULTRA PET CAP M 1400X70X9 RG(ME) RTO</x:v>
      </x:c>
      <x:c r="H194" s="190" t="str">
        <x:v>REG 2L(MAIOR 55MM)</x:v>
      </x:c>
      <x:c r="I194" s="190" t="str"/>
      <x:c r="J194" s="190" t="str"/>
      <x:c r="K194" s="190" t="str">
        <x:v>RECOBERTO PET</x:v>
      </x:c>
      <x:c r="L194" s="190" t="str">
        <x:v>CAPUCCINO MARCHE</x:v>
      </x:c>
      <x:c r="M194" s="210" t="n">
        <x:v>1</x:v>
      </x:c>
      <x:c r="N194" s="210" t="n">
        <x:v>1400</x:v>
      </x:c>
      <x:c r="O194" s="210" t="n">
        <x:v>70</x:v>
      </x:c>
      <x:c r="P194" s="210" t="n">
        <x:v>9</x:v>
      </x:c>
      <x:c r="Q194" s="211" t="n">
        <x:v>0</x:v>
      </x:c>
      <x:c r="R194" s="207" t="str"/>
      <x:c r="S194" s="207" t="str"/>
      <x:c r="T194" s="207" t="str"/>
      <x:c r="U194" s="207" t="n">
        <x:v>0</x:v>
      </x:c>
      <x:c r="V194" s="208" t="n">
        <x:f>MAX(0,M194-U194)</x:f>
        <x:v>1</x:v>
      </x:c>
      <x:c r="W194" s="209" t="n">
        <x:f>IFERROR(U194/M194,0)</x:f>
        <x:v>0</x:v>
      </x:c>
      <x:c r="X194" s="201" t="str">
        <x:f>IF(U194=0,"Não iniciado",IF(U194&gt;=M194,"Concluído","Parcial"))</x:f>
        <x:v>Não iniciado</x:v>
      </x:c>
      <x:c r="Y194" s="199" t="str"/>
      <x:c r="Z194" s="188" t="str">
        <x:v>Normal</x:v>
      </x:c>
    </x:row>
    <x:row r="195" ht="22" customHeight="1">
      <x:c r="A195" s="217" t="n">
        <x:v>191</x:v>
      </x:c>
      <x:c r="B195" s="218" t="str">
        <x:v>26808</x:v>
      </x:c>
      <x:c r="C195" s="218" t="str">
        <x:v>11</x:v>
      </x:c>
      <x:c r="D195" s="218" t="str">
        <x:v>608977</x:v>
      </x:c>
      <x:c r="E195" s="218" t="str">
        <x:v>962769</x:v>
      </x:c>
      <x:c r="F195" s="218" t="str">
        <x:v>OUTROS</x:v>
      </x:c>
      <x:c r="G195" s="184" t="str">
        <x:v>TR AL 1200X70X9 RTO RL35 REC PET BCO (UL</x:v>
      </x:c>
      <x:c r="H195" s="184" t="str"/>
      <x:c r="I195" s="184" t="str"/>
      <x:c r="J195" s="184" t="str"/>
      <x:c r="K195" s="184" t="str">
        <x:v>ESMALTE</x:v>
      </x:c>
      <x:c r="L195" s="184" t="str">
        <x:v>BRANCO CARRARA</x:v>
      </x:c>
      <x:c r="M195" s="205" t="n">
        <x:v>1</x:v>
      </x:c>
      <x:c r="N195" s="205" t="n">
        <x:v>1200</x:v>
      </x:c>
      <x:c r="O195" s="205" t="n">
        <x:v>70</x:v>
      </x:c>
      <x:c r="P195" s="205" t="n">
        <x:v>9</x:v>
      </x:c>
      <x:c r="Q195" s="206" t="n">
        <x:v>0</x:v>
      </x:c>
      <x:c r="R195" s="207" t="str"/>
      <x:c r="S195" s="207" t="str"/>
      <x:c r="T195" s="207" t="str"/>
      <x:c r="U195" s="207" t="n">
        <x:v>1</x:v>
      </x:c>
      <x:c r="V195" s="208" t="n">
        <x:f>MAX(0,M195-U195)</x:f>
        <x:v>0</x:v>
      </x:c>
      <x:c r="W195" s="209" t="n">
        <x:f>IFERROR(U195/M195,0)</x:f>
        <x:v>1</x:v>
      </x:c>
      <x:c r="X195" s="201" t="str">
        <x:f>IF(U195=0,"Não iniciado",IF(U195&gt;=M195,"Concluído","Parcial"))</x:f>
        <x:v>Concluído</x:v>
      </x:c>
      <x:c r="Y195" s="199" t="str"/>
      <x:c r="Z195" s="188" t="str">
        <x:v>Normal</x:v>
      </x:c>
    </x:row>
    <x:row r="196" ht="22" customHeight="1">
      <x:c r="A196" s="219" t="n">
        <x:v>192</x:v>
      </x:c>
      <x:c r="B196" s="220" t="str">
        <x:v>26808</x:v>
      </x:c>
      <x:c r="C196" s="220" t="str">
        <x:v>11</x:v>
      </x:c>
      <x:c r="D196" s="220" t="str">
        <x:v>608978</x:v>
      </x:c>
      <x:c r="E196" s="220" t="str">
        <x:v>962770</x:v>
      </x:c>
      <x:c r="F196" s="220" t="str">
        <x:v>OUTROS</x:v>
      </x:c>
      <x:c r="G196" s="190" t="str">
        <x:v>TR ALI 1200X70X9 RTO LME REC PET BCO(ULT</x:v>
      </x:c>
      <x:c r="H196" s="190" t="str"/>
      <x:c r="I196" s="190" t="str"/>
      <x:c r="J196" s="190" t="str"/>
      <x:c r="K196" s="190" t="str">
        <x:v>ESMALTE</x:v>
      </x:c>
      <x:c r="L196" s="190" t="str">
        <x:v>BRANCO CARRARA</x:v>
      </x:c>
      <x:c r="M196" s="210" t="n">
        <x:v>1</x:v>
      </x:c>
      <x:c r="N196" s="210" t="n">
        <x:v>1200</x:v>
      </x:c>
      <x:c r="O196" s="210" t="n">
        <x:v>70</x:v>
      </x:c>
      <x:c r="P196" s="210" t="n">
        <x:v>9</x:v>
      </x:c>
      <x:c r="Q196" s="211" t="n">
        <x:v>0</x:v>
      </x:c>
      <x:c r="R196" s="207" t="str"/>
      <x:c r="S196" s="207" t="str"/>
      <x:c r="T196" s="207" t="str"/>
      <x:c r="U196" s="207" t="n">
        <x:v>1</x:v>
      </x:c>
      <x:c r="V196" s="208" t="n">
        <x:f>MAX(0,M196-U196)</x:f>
        <x:v>0</x:v>
      </x:c>
      <x:c r="W196" s="209" t="n">
        <x:f>IFERROR(U196/M196,0)</x:f>
        <x:v>1</x:v>
      </x:c>
      <x:c r="X196" s="201" t="str">
        <x:f>IF(U196=0,"Não iniciado",IF(U196&gt;=M196,"Concluído","Parcial"))</x:f>
        <x:v>Concluído</x:v>
      </x:c>
      <x:c r="Y196" s="199" t="str"/>
      <x:c r="Z196" s="188" t="str">
        <x:v>Normal</x:v>
      </x:c>
    </x:row>
    <x:row r="197" ht="22" customHeight="1">
      <x:c r="A197" s="217" t="n">
        <x:v>193</x:v>
      </x:c>
      <x:c r="B197" s="218" t="str">
        <x:v>26684</x:v>
      </x:c>
      <x:c r="C197" s="218" t="str">
        <x:v>1</x:v>
      </x:c>
      <x:c r="D197" s="218" t="str">
        <x:v>609114</x:v>
      </x:c>
      <x:c r="E197" s="218" t="str">
        <x:v>981166</x:v>
      </x:c>
      <x:c r="F197" s="218" t="str">
        <x:v>ALIZAR</x:v>
      </x:c>
      <x:c r="G197" s="184" t="str">
        <x:v>T A 1100X70X15 RTO RL55 REC PET BCO(STD)</x:v>
      </x:c>
      <x:c r="H197" s="184" t="str"/>
      <x:c r="I197" s="184" t="str"/>
      <x:c r="J197" s="184" t="str"/>
      <x:c r="K197" s="184" t="str">
        <x:v>ESMALTE</x:v>
      </x:c>
      <x:c r="L197" s="184" t="str">
        <x:v>BRANCO CARRARA</x:v>
      </x:c>
      <x:c r="M197" s="205" t="n">
        <x:v>1</x:v>
      </x:c>
      <x:c r="N197" s="205" t="n">
        <x:v>1100</x:v>
      </x:c>
      <x:c r="O197" s="205" t="n">
        <x:v>70</x:v>
      </x:c>
      <x:c r="P197" s="205" t="n">
        <x:v>15</x:v>
      </x:c>
      <x:c r="Q197" s="206" t="n">
        <x:v>0</x:v>
      </x:c>
      <x:c r="R197" s="207" t="str"/>
      <x:c r="S197" s="207" t="str"/>
      <x:c r="T197" s="207" t="str"/>
      <x:c r="U197" s="207" t="n">
        <x:v>0</x:v>
      </x:c>
      <x:c r="V197" s="208" t="n">
        <x:f>MAX(0,M197-U197)</x:f>
        <x:v>1</x:v>
      </x:c>
      <x:c r="W197" s="209" t="n">
        <x:f>IFERROR(U197/M197,0)</x:f>
        <x:v>0</x:v>
      </x:c>
      <x:c r="X197" s="201" t="str">
        <x:f>IF(U197=0,"Não iniciado",IF(U197&gt;=M197,"Concluído","Parcial"))</x:f>
        <x:v>Não iniciado</x:v>
      </x:c>
      <x:c r="Y197" s="199" t="str"/>
      <x:c r="Z197" s="188" t="str">
        <x:v>Normal</x:v>
      </x:c>
    </x:row>
    <x:row r="198" ht="22" customHeight="1">
      <x:c r="A198" s="219" t="n">
        <x:v>194</x:v>
      </x:c>
      <x:c r="B198" s="220" t="str">
        <x:v>26684</x:v>
      </x:c>
      <x:c r="C198" s="220" t="str">
        <x:v>1</x:v>
      </x:c>
      <x:c r="D198" s="220" t="str">
        <x:v>609115</x:v>
      </x:c>
      <x:c r="E198" s="220" t="str">
        <x:v>981556</x:v>
      </x:c>
      <x:c r="F198" s="220" t="str">
        <x:v>ALIZAR</x:v>
      </x:c>
      <x:c r="G198" s="190" t="str">
        <x:v>T A 1100X70X15 RTO LMN REC PET BCO(STD)</x:v>
      </x:c>
      <x:c r="H198" s="190" t="str"/>
      <x:c r="I198" s="190" t="str"/>
      <x:c r="J198" s="190" t="str"/>
      <x:c r="K198" s="190" t="str">
        <x:v>ESMALTE</x:v>
      </x:c>
      <x:c r="L198" s="190" t="str">
        <x:v>BRANCO CARRARA</x:v>
      </x:c>
      <x:c r="M198" s="210" t="n">
        <x:v>1</x:v>
      </x:c>
      <x:c r="N198" s="210" t="n">
        <x:v>1100</x:v>
      </x:c>
      <x:c r="O198" s="210" t="n">
        <x:v>70</x:v>
      </x:c>
      <x:c r="P198" s="210" t="n">
        <x:v>15</x:v>
      </x:c>
      <x:c r="Q198" s="211" t="n">
        <x:v>0</x:v>
      </x:c>
      <x:c r="R198" s="207" t="str"/>
      <x:c r="S198" s="207" t="str"/>
      <x:c r="T198" s="207" t="str"/>
      <x:c r="U198" s="207" t="n">
        <x:v>0</x:v>
      </x:c>
      <x:c r="V198" s="208" t="n">
        <x:f>MAX(0,M198-U198)</x:f>
        <x:v>1</x:v>
      </x:c>
      <x:c r="W198" s="209" t="n">
        <x:f>IFERROR(U198/M198,0)</x:f>
        <x:v>0</x:v>
      </x:c>
      <x:c r="X198" s="201" t="str">
        <x:f>IF(U198=0,"Não iniciado",IF(U198&gt;=M198,"Concluído","Parcial"))</x:f>
        <x:v>Não iniciado</x:v>
      </x:c>
      <x:c r="Y198" s="199" t="str"/>
      <x:c r="Z198" s="188" t="str">
        <x:v>Normal</x:v>
      </x:c>
    </x:row>
    <x:row r="199" ht="22" customHeight="1">
      <x:c r="A199" s="217" t="n">
        <x:v>195</x:v>
      </x:c>
      <x:c r="B199" s="218" t="str">
        <x:v>26684</x:v>
      </x:c>
      <x:c r="C199" s="218" t="str">
        <x:v>2</x:v>
      </x:c>
      <x:c r="D199" s="218" t="str">
        <x:v>609120</x:v>
      </x:c>
      <x:c r="E199" s="218" t="str">
        <x:v>981166</x:v>
      </x:c>
      <x:c r="F199" s="218" t="str">
        <x:v>ALIZAR</x:v>
      </x:c>
      <x:c r="G199" s="184" t="str">
        <x:v>T A 1100X70X15 RTO RL55 REC PET BCO(STD)</x:v>
      </x:c>
      <x:c r="H199" s="184" t="str"/>
      <x:c r="I199" s="184" t="str"/>
      <x:c r="J199" s="184" t="str"/>
      <x:c r="K199" s="184" t="str">
        <x:v>ESMALTE</x:v>
      </x:c>
      <x:c r="L199" s="184" t="str">
        <x:v>BRANCO CARRARA</x:v>
      </x:c>
      <x:c r="M199" s="205" t="n">
        <x:v>28</x:v>
      </x:c>
      <x:c r="N199" s="205" t="n">
        <x:v>1100</x:v>
      </x:c>
      <x:c r="O199" s="205" t="n">
        <x:v>70</x:v>
      </x:c>
      <x:c r="P199" s="205" t="n">
        <x:v>15</x:v>
      </x:c>
      <x:c r="Q199" s="206" t="n">
        <x:v>0</x:v>
      </x:c>
      <x:c r="R199" s="207" t="str"/>
      <x:c r="S199" s="207" t="str"/>
      <x:c r="T199" s="207" t="str"/>
      <x:c r="U199" s="207" t="n">
        <x:v>0</x:v>
      </x:c>
      <x:c r="V199" s="208" t="n">
        <x:f>MAX(0,M199-U199)</x:f>
        <x:v>28</x:v>
      </x:c>
      <x:c r="W199" s="209" t="n">
        <x:f>IFERROR(U199/M199,0)</x:f>
        <x:v>0</x:v>
      </x:c>
      <x:c r="X199" s="201" t="str">
        <x:f>IF(U199=0,"Não iniciado",IF(U199&gt;=M199,"Concluído","Parcial"))</x:f>
        <x:v>Não iniciado</x:v>
      </x:c>
      <x:c r="Y199" s="199" t="str"/>
      <x:c r="Z199" s="188" t="str">
        <x:v>Normal</x:v>
      </x:c>
    </x:row>
    <x:row r="200" ht="22" customHeight="1">
      <x:c r="A200" s="219" t="n">
        <x:v>196</x:v>
      </x:c>
      <x:c r="B200" s="220" t="str">
        <x:v>26684</x:v>
      </x:c>
      <x:c r="C200" s="220" t="str">
        <x:v>2</x:v>
      </x:c>
      <x:c r="D200" s="220" t="str">
        <x:v>609121</x:v>
      </x:c>
      <x:c r="E200" s="220" t="str">
        <x:v>981556</x:v>
      </x:c>
      <x:c r="F200" s="220" t="str">
        <x:v>ALIZAR</x:v>
      </x:c>
      <x:c r="G200" s="190" t="str">
        <x:v>T A 1100X70X15 RTO LMN REC PET BCO(STD)</x:v>
      </x:c>
      <x:c r="H200" s="190" t="str"/>
      <x:c r="I200" s="190" t="str"/>
      <x:c r="J200" s="190" t="str"/>
      <x:c r="K200" s="190" t="str">
        <x:v>ESMALTE</x:v>
      </x:c>
      <x:c r="L200" s="190" t="str">
        <x:v>BRANCO CARRARA</x:v>
      </x:c>
      <x:c r="M200" s="210" t="n">
        <x:v>28</x:v>
      </x:c>
      <x:c r="N200" s="210" t="n">
        <x:v>1100</x:v>
      </x:c>
      <x:c r="O200" s="210" t="n">
        <x:v>70</x:v>
      </x:c>
      <x:c r="P200" s="210" t="n">
        <x:v>15</x:v>
      </x:c>
      <x:c r="Q200" s="211" t="n">
        <x:v>0</x:v>
      </x:c>
      <x:c r="R200" s="207" t="str"/>
      <x:c r="S200" s="207" t="str"/>
      <x:c r="T200" s="207" t="str"/>
      <x:c r="U200" s="207" t="n">
        <x:v>0</x:v>
      </x:c>
      <x:c r="V200" s="208" t="n">
        <x:f>MAX(0,M200-U200)</x:f>
        <x:v>28</x:v>
      </x:c>
      <x:c r="W200" s="209" t="n">
        <x:f>IFERROR(U200/M200,0)</x:f>
        <x:v>0</x:v>
      </x:c>
      <x:c r="X200" s="201" t="str">
        <x:f>IF(U200=0,"Não iniciado",IF(U200&gt;=M200,"Concluído","Parcial"))</x:f>
        <x:v>Não iniciado</x:v>
      </x:c>
      <x:c r="Y200" s="199" t="str"/>
      <x:c r="Z200" s="188" t="str">
        <x:v>Normal</x:v>
      </x:c>
    </x:row>
    <x:row r="201" ht="22" customHeight="1">
      <x:c r="A201" s="217" t="n">
        <x:v>197</x:v>
      </x:c>
      <x:c r="B201" s="218" t="str">
        <x:v>26684</x:v>
      </x:c>
      <x:c r="C201" s="218" t="str">
        <x:v>3</x:v>
      </x:c>
      <x:c r="D201" s="218" t="str">
        <x:v>609130</x:v>
      </x:c>
      <x:c r="E201" s="218" t="str">
        <x:v>981166</x:v>
      </x:c>
      <x:c r="F201" s="218" t="str">
        <x:v>ALIZAR</x:v>
      </x:c>
      <x:c r="G201" s="184" t="str">
        <x:v>T A 1100X70X15 RTO RL55 REC PET BCO(STD)</x:v>
      </x:c>
      <x:c r="H201" s="184" t="str"/>
      <x:c r="I201" s="184" t="str"/>
      <x:c r="J201" s="184" t="str"/>
      <x:c r="K201" s="184" t="str">
        <x:v>ESMALTE</x:v>
      </x:c>
      <x:c r="L201" s="184" t="str">
        <x:v>BRANCO CARRARA</x:v>
      </x:c>
      <x:c r="M201" s="205" t="n">
        <x:v>3</x:v>
      </x:c>
      <x:c r="N201" s="205" t="n">
        <x:v>1100</x:v>
      </x:c>
      <x:c r="O201" s="205" t="n">
        <x:v>70</x:v>
      </x:c>
      <x:c r="P201" s="205" t="n">
        <x:v>15</x:v>
      </x:c>
      <x:c r="Q201" s="206" t="n">
        <x:v>0</x:v>
      </x:c>
      <x:c r="R201" s="207" t="str"/>
      <x:c r="S201" s="207" t="str"/>
      <x:c r="T201" s="207" t="str"/>
      <x:c r="U201" s="207" t="n">
        <x:v>0</x:v>
      </x:c>
      <x:c r="V201" s="208" t="n">
        <x:f>MAX(0,M201-U201)</x:f>
        <x:v>3</x:v>
      </x:c>
      <x:c r="W201" s="209" t="n">
        <x:f>IFERROR(U201/M201,0)</x:f>
        <x:v>0</x:v>
      </x:c>
      <x:c r="X201" s="201" t="str">
        <x:f>IF(U201=0,"Não iniciado",IF(U201&gt;=M201,"Concluído","Parcial"))</x:f>
        <x:v>Não iniciado</x:v>
      </x:c>
      <x:c r="Y201" s="199" t="str"/>
      <x:c r="Z201" s="188" t="str">
        <x:v>Normal</x:v>
      </x:c>
    </x:row>
    <x:row r="202" ht="22" customHeight="1">
      <x:c r="A202" s="219" t="n">
        <x:v>198</x:v>
      </x:c>
      <x:c r="B202" s="220" t="str">
        <x:v>26684</x:v>
      </x:c>
      <x:c r="C202" s="220" t="str">
        <x:v>3</x:v>
      </x:c>
      <x:c r="D202" s="220" t="str">
        <x:v>609131</x:v>
      </x:c>
      <x:c r="E202" s="220" t="str">
        <x:v>981556</x:v>
      </x:c>
      <x:c r="F202" s="220" t="str">
        <x:v>ALIZAR</x:v>
      </x:c>
      <x:c r="G202" s="190" t="str">
        <x:v>T A 1100X70X15 RTO LMN REC PET BCO(STD)</x:v>
      </x:c>
      <x:c r="H202" s="190" t="str"/>
      <x:c r="I202" s="190" t="str"/>
      <x:c r="J202" s="190" t="str"/>
      <x:c r="K202" s="190" t="str">
        <x:v>ESMALTE</x:v>
      </x:c>
      <x:c r="L202" s="190" t="str">
        <x:v>BRANCO CARRARA</x:v>
      </x:c>
      <x:c r="M202" s="210" t="n">
        <x:v>3</x:v>
      </x:c>
      <x:c r="N202" s="210" t="n">
        <x:v>1100</x:v>
      </x:c>
      <x:c r="O202" s="210" t="n">
        <x:v>70</x:v>
      </x:c>
      <x:c r="P202" s="210" t="n">
        <x:v>15</x:v>
      </x:c>
      <x:c r="Q202" s="211" t="n">
        <x:v>0</x:v>
      </x:c>
      <x:c r="R202" s="207" t="str"/>
      <x:c r="S202" s="207" t="str"/>
      <x:c r="T202" s="207" t="str"/>
      <x:c r="U202" s="207" t="n">
        <x:v>0</x:v>
      </x:c>
      <x:c r="V202" s="208" t="n">
        <x:f>MAX(0,M202-U202)</x:f>
        <x:v>3</x:v>
      </x:c>
      <x:c r="W202" s="209" t="n">
        <x:f>IFERROR(U202/M202,0)</x:f>
        <x:v>0</x:v>
      </x:c>
      <x:c r="X202" s="201" t="str">
        <x:f>IF(U202=0,"Não iniciado",IF(U202&gt;=M202,"Concluído","Parcial"))</x:f>
        <x:v>Não iniciado</x:v>
      </x:c>
      <x:c r="Y202" s="199" t="str"/>
      <x:c r="Z202" s="188" t="str">
        <x:v>Normal</x:v>
      </x:c>
    </x:row>
    <x:row r="203" ht="22" customHeight="1">
      <x:c r="A203" s="217" t="n">
        <x:v>199</x:v>
      </x:c>
      <x:c r="B203" s="218" t="str">
        <x:v>26684</x:v>
      </x:c>
      <x:c r="C203" s="218" t="str">
        <x:v>4</x:v>
      </x:c>
      <x:c r="D203" s="218" t="str">
        <x:v>609138</x:v>
      </x:c>
      <x:c r="E203" s="218" t="str">
        <x:v>981166</x:v>
      </x:c>
      <x:c r="F203" s="218" t="str">
        <x:v>ALIZAR</x:v>
      </x:c>
      <x:c r="G203" s="184" t="str">
        <x:v>T A 1100X70X15 RTO RL55 REC PET BCO(STD)</x:v>
      </x:c>
      <x:c r="H203" s="184" t="str"/>
      <x:c r="I203" s="184" t="str"/>
      <x:c r="J203" s="184" t="str"/>
      <x:c r="K203" s="184" t="str">
        <x:v>ESMALTE</x:v>
      </x:c>
      <x:c r="L203" s="184" t="str">
        <x:v>BRANCO CARRARA</x:v>
      </x:c>
      <x:c r="M203" s="205" t="n">
        <x:v>55</x:v>
      </x:c>
      <x:c r="N203" s="205" t="n">
        <x:v>1100</x:v>
      </x:c>
      <x:c r="O203" s="205" t="n">
        <x:v>70</x:v>
      </x:c>
      <x:c r="P203" s="205" t="n">
        <x:v>15</x:v>
      </x:c>
      <x:c r="Q203" s="206" t="n">
        <x:v>0</x:v>
      </x:c>
      <x:c r="R203" s="207" t="str"/>
      <x:c r="S203" s="207" t="str"/>
      <x:c r="T203" s="207" t="str"/>
      <x:c r="U203" s="207" t="n">
        <x:v>0</x:v>
      </x:c>
      <x:c r="V203" s="208" t="n">
        <x:f>MAX(0,M203-U203)</x:f>
        <x:v>55</x:v>
      </x:c>
      <x:c r="W203" s="209" t="n">
        <x:f>IFERROR(U203/M203,0)</x:f>
        <x:v>0</x:v>
      </x:c>
      <x:c r="X203" s="201" t="str">
        <x:f>IF(U203=0,"Não iniciado",IF(U203&gt;=M203,"Concluído","Parcial"))</x:f>
        <x:v>Não iniciado</x:v>
      </x:c>
      <x:c r="Y203" s="199" t="str"/>
      <x:c r="Z203" s="188" t="str">
        <x:v>Normal</x:v>
      </x:c>
    </x:row>
    <x:row r="204" ht="22" customHeight="1">
      <x:c r="A204" s="219" t="n">
        <x:v>200</x:v>
      </x:c>
      <x:c r="B204" s="220" t="str">
        <x:v>26684</x:v>
      </x:c>
      <x:c r="C204" s="220" t="str">
        <x:v>4</x:v>
      </x:c>
      <x:c r="D204" s="220" t="str">
        <x:v>609139</x:v>
      </x:c>
      <x:c r="E204" s="220" t="str">
        <x:v>981556</x:v>
      </x:c>
      <x:c r="F204" s="220" t="str">
        <x:v>ALIZAR</x:v>
      </x:c>
      <x:c r="G204" s="190" t="str">
        <x:v>T A 1100X70X15 RTO LMN REC PET BCO(STD)</x:v>
      </x:c>
      <x:c r="H204" s="190" t="str"/>
      <x:c r="I204" s="190" t="str"/>
      <x:c r="J204" s="190" t="str"/>
      <x:c r="K204" s="190" t="str">
        <x:v>ESMALTE</x:v>
      </x:c>
      <x:c r="L204" s="190" t="str">
        <x:v>BRANCO CARRARA</x:v>
      </x:c>
      <x:c r="M204" s="210" t="n">
        <x:v>55</x:v>
      </x:c>
      <x:c r="N204" s="210" t="n">
        <x:v>1100</x:v>
      </x:c>
      <x:c r="O204" s="210" t="n">
        <x:v>70</x:v>
      </x:c>
      <x:c r="P204" s="210" t="n">
        <x:v>15</x:v>
      </x:c>
      <x:c r="Q204" s="211" t="n">
        <x:v>0</x:v>
      </x:c>
      <x:c r="R204" s="207" t="str"/>
      <x:c r="S204" s="207" t="str"/>
      <x:c r="T204" s="207" t="str"/>
      <x:c r="U204" s="207" t="n">
        <x:v>0</x:v>
      </x:c>
      <x:c r="V204" s="208" t="n">
        <x:f>MAX(0,M204-U204)</x:f>
        <x:v>55</x:v>
      </x:c>
      <x:c r="W204" s="209" t="n">
        <x:f>IFERROR(U204/M204,0)</x:f>
        <x:v>0</x:v>
      </x:c>
      <x:c r="X204" s="201" t="str">
        <x:f>IF(U204=0,"Não iniciado",IF(U204&gt;=M204,"Concluído","Parcial"))</x:f>
        <x:v>Não iniciado</x:v>
      </x:c>
      <x:c r="Y204" s="199" t="str"/>
      <x:c r="Z204" s="188" t="str">
        <x:v>Normal</x:v>
      </x:c>
    </x:row>
    <x:row r="205" ht="22" customHeight="1">
      <x:c r="A205" s="217" t="n">
        <x:v>201</x:v>
      </x:c>
      <x:c r="B205" s="218" t="str">
        <x:v>26684</x:v>
      </x:c>
      <x:c r="C205" s="218" t="str">
        <x:v>5</x:v>
      </x:c>
      <x:c r="D205" s="218" t="str">
        <x:v>609146</x:v>
      </x:c>
      <x:c r="E205" s="218" t="str">
        <x:v>981166</x:v>
      </x:c>
      <x:c r="F205" s="218" t="str">
        <x:v>ALIZAR</x:v>
      </x:c>
      <x:c r="G205" s="184" t="str">
        <x:v>T A 1100X70X15 RTO RL55 REC PET BCO(STD)</x:v>
      </x:c>
      <x:c r="H205" s="184" t="str"/>
      <x:c r="I205" s="184" t="str"/>
      <x:c r="J205" s="184" t="str"/>
      <x:c r="K205" s="184" t="str">
        <x:v>ESMALTE</x:v>
      </x:c>
      <x:c r="L205" s="184" t="str">
        <x:v>BRANCO CARRARA</x:v>
      </x:c>
      <x:c r="M205" s="205" t="n">
        <x:v>6</x:v>
      </x:c>
      <x:c r="N205" s="205" t="n">
        <x:v>1100</x:v>
      </x:c>
      <x:c r="O205" s="205" t="n">
        <x:v>70</x:v>
      </x:c>
      <x:c r="P205" s="205" t="n">
        <x:v>15</x:v>
      </x:c>
      <x:c r="Q205" s="206" t="n">
        <x:v>0</x:v>
      </x:c>
      <x:c r="R205" s="207" t="str"/>
      <x:c r="S205" s="207" t="str"/>
      <x:c r="T205" s="207" t="str"/>
      <x:c r="U205" s="207" t="n">
        <x:v>0</x:v>
      </x:c>
      <x:c r="V205" s="208" t="n">
        <x:f>MAX(0,M205-U205)</x:f>
        <x:v>6</x:v>
      </x:c>
      <x:c r="W205" s="209" t="n">
        <x:f>IFERROR(U205/M205,0)</x:f>
        <x:v>0</x:v>
      </x:c>
      <x:c r="X205" s="201" t="str">
        <x:f>IF(U205=0,"Não iniciado",IF(U205&gt;=M205,"Concluído","Parcial"))</x:f>
        <x:v>Não iniciado</x:v>
      </x:c>
      <x:c r="Y205" s="199" t="str"/>
      <x:c r="Z205" s="188" t="str">
        <x:v>Normal</x:v>
      </x:c>
    </x:row>
    <x:row r="206" ht="22" customHeight="1">
      <x:c r="A206" s="219" t="n">
        <x:v>202</x:v>
      </x:c>
      <x:c r="B206" s="220" t="str">
        <x:v>26684</x:v>
      </x:c>
      <x:c r="C206" s="220" t="str">
        <x:v>5</x:v>
      </x:c>
      <x:c r="D206" s="220" t="str">
        <x:v>609147</x:v>
      </x:c>
      <x:c r="E206" s="220" t="str">
        <x:v>981556</x:v>
      </x:c>
      <x:c r="F206" s="220" t="str">
        <x:v>ALIZAR</x:v>
      </x:c>
      <x:c r="G206" s="190" t="str">
        <x:v>T A 1100X70X15 RTO LMN REC PET BCO(STD)</x:v>
      </x:c>
      <x:c r="H206" s="190" t="str"/>
      <x:c r="I206" s="190" t="str"/>
      <x:c r="J206" s="190" t="str"/>
      <x:c r="K206" s="190" t="str">
        <x:v>ESMALTE</x:v>
      </x:c>
      <x:c r="L206" s="190" t="str">
        <x:v>BRANCO CARRARA</x:v>
      </x:c>
      <x:c r="M206" s="210" t="n">
        <x:v>6</x:v>
      </x:c>
      <x:c r="N206" s="210" t="n">
        <x:v>1100</x:v>
      </x:c>
      <x:c r="O206" s="210" t="n">
        <x:v>70</x:v>
      </x:c>
      <x:c r="P206" s="210" t="n">
        <x:v>15</x:v>
      </x:c>
      <x:c r="Q206" s="211" t="n">
        <x:v>0</x:v>
      </x:c>
      <x:c r="R206" s="207" t="str"/>
      <x:c r="S206" s="207" t="str"/>
      <x:c r="T206" s="207" t="str"/>
      <x:c r="U206" s="207" t="n">
        <x:v>0</x:v>
      </x:c>
      <x:c r="V206" s="208" t="n">
        <x:f>MAX(0,M206-U206)</x:f>
        <x:v>6</x:v>
      </x:c>
      <x:c r="W206" s="209" t="n">
        <x:f>IFERROR(U206/M206,0)</x:f>
        <x:v>0</x:v>
      </x:c>
      <x:c r="X206" s="201" t="str">
        <x:f>IF(U206=0,"Não iniciado",IF(U206&gt;=M206,"Concluído","Parcial"))</x:f>
        <x:v>Não iniciado</x:v>
      </x:c>
      <x:c r="Y206" s="199" t="str"/>
      <x:c r="Z206" s="188" t="str">
        <x:v>Normal</x:v>
      </x:c>
    </x:row>
    <x:row r="207" ht="22" customHeight="1">
      <x:c r="A207" s="217" t="n">
        <x:v>203</x:v>
      </x:c>
      <x:c r="B207" s="218" t="str">
        <x:v>26684</x:v>
      </x:c>
      <x:c r="C207" s="218" t="str">
        <x:v>6</x:v>
      </x:c>
      <x:c r="D207" s="218" t="str">
        <x:v>609153</x:v>
      </x:c>
      <x:c r="E207" s="218" t="str">
        <x:v>981166</x:v>
      </x:c>
      <x:c r="F207" s="218" t="str">
        <x:v>ALIZAR</x:v>
      </x:c>
      <x:c r="G207" s="184" t="str">
        <x:v>T A 1100X70X15 RTO RL55 REC PET BCO(STD)</x:v>
      </x:c>
      <x:c r="H207" s="184" t="str"/>
      <x:c r="I207" s="184" t="str"/>
      <x:c r="J207" s="184" t="str"/>
      <x:c r="K207" s="184" t="str">
        <x:v>ESMALTE</x:v>
      </x:c>
      <x:c r="L207" s="184" t="str">
        <x:v>BRANCO CARRARA</x:v>
      </x:c>
      <x:c r="M207" s="205" t="n">
        <x:v>2</x:v>
      </x:c>
      <x:c r="N207" s="205" t="n">
        <x:v>1100</x:v>
      </x:c>
      <x:c r="O207" s="205" t="n">
        <x:v>70</x:v>
      </x:c>
      <x:c r="P207" s="205" t="n">
        <x:v>15</x:v>
      </x:c>
      <x:c r="Q207" s="206" t="n">
        <x:v>0</x:v>
      </x:c>
      <x:c r="R207" s="207" t="str"/>
      <x:c r="S207" s="207" t="str"/>
      <x:c r="T207" s="207" t="str"/>
      <x:c r="U207" s="207" t="n">
        <x:v>0</x:v>
      </x:c>
      <x:c r="V207" s="208" t="n">
        <x:f>MAX(0,M207-U207)</x:f>
        <x:v>2</x:v>
      </x:c>
      <x:c r="W207" s="209" t="n">
        <x:f>IFERROR(U207/M207,0)</x:f>
        <x:v>0</x:v>
      </x:c>
      <x:c r="X207" s="201" t="str">
        <x:f>IF(U207=0,"Não iniciado",IF(U207&gt;=M207,"Concluído","Parcial"))</x:f>
        <x:v>Não iniciado</x:v>
      </x:c>
      <x:c r="Y207" s="199" t="str"/>
      <x:c r="Z207" s="188" t="str">
        <x:v>Normal</x:v>
      </x:c>
    </x:row>
    <x:row r="208" ht="22" customHeight="1">
      <x:c r="A208" s="219" t="n">
        <x:v>204</x:v>
      </x:c>
      <x:c r="B208" s="220" t="str">
        <x:v>26684</x:v>
      </x:c>
      <x:c r="C208" s="220" t="str">
        <x:v>7</x:v>
      </x:c>
      <x:c r="D208" s="220" t="str">
        <x:v>609162</x:v>
      </x:c>
      <x:c r="E208" s="220" t="str">
        <x:v>981166</x:v>
      </x:c>
      <x:c r="F208" s="220" t="str">
        <x:v>ALIZAR</x:v>
      </x:c>
      <x:c r="G208" s="190" t="str">
        <x:v>T A 1100X70X15 RTO RL55 REC PET BCO(STD)</x:v>
      </x:c>
      <x:c r="H208" s="190" t="str"/>
      <x:c r="I208" s="190" t="str"/>
      <x:c r="J208" s="190" t="str"/>
      <x:c r="K208" s="190" t="str">
        <x:v>ESMALTE</x:v>
      </x:c>
      <x:c r="L208" s="190" t="str">
        <x:v>BRANCO CARRARA</x:v>
      </x:c>
      <x:c r="M208" s="210" t="n">
        <x:v>1</x:v>
      </x:c>
      <x:c r="N208" s="210" t="n">
        <x:v>1100</x:v>
      </x:c>
      <x:c r="O208" s="210" t="n">
        <x:v>70</x:v>
      </x:c>
      <x:c r="P208" s="210" t="n">
        <x:v>15</x:v>
      </x:c>
      <x:c r="Q208" s="211" t="n">
        <x:v>0</x:v>
      </x:c>
      <x:c r="R208" s="207" t="str"/>
      <x:c r="S208" s="207" t="str"/>
      <x:c r="T208" s="207" t="str"/>
      <x:c r="U208" s="207" t="n">
        <x:v>0</x:v>
      </x:c>
      <x:c r="V208" s="208" t="n">
        <x:f>MAX(0,M208-U208)</x:f>
        <x:v>1</x:v>
      </x:c>
      <x:c r="W208" s="209" t="n">
        <x:f>IFERROR(U208/M208,0)</x:f>
        <x:v>0</x:v>
      </x:c>
      <x:c r="X208" s="201" t="str">
        <x:f>IF(U208=0,"Não iniciado",IF(U208&gt;=M208,"Concluído","Parcial"))</x:f>
        <x:v>Não iniciado</x:v>
      </x:c>
      <x:c r="Y208" s="199" t="str"/>
      <x:c r="Z208" s="188" t="str">
        <x:v>Normal</x:v>
      </x:c>
    </x:row>
    <x:row r="209" ht="22" customHeight="1">
      <x:c r="A209" s="217" t="n">
        <x:v>205</x:v>
      </x:c>
      <x:c r="B209" s="218" t="str">
        <x:v>26684</x:v>
      </x:c>
      <x:c r="C209" s="218" t="str">
        <x:v>7</x:v>
      </x:c>
      <x:c r="D209" s="218" t="str">
        <x:v>609163</x:v>
      </x:c>
      <x:c r="E209" s="218" t="str">
        <x:v>981556</x:v>
      </x:c>
      <x:c r="F209" s="218" t="str">
        <x:v>ALIZAR</x:v>
      </x:c>
      <x:c r="G209" s="184" t="str">
        <x:v>T A 1100X70X15 RTO LMN REC PET BCO(STD)</x:v>
      </x:c>
      <x:c r="H209" s="184" t="str"/>
      <x:c r="I209" s="184" t="str"/>
      <x:c r="J209" s="184" t="str"/>
      <x:c r="K209" s="184" t="str">
        <x:v>ESMALTE</x:v>
      </x:c>
      <x:c r="L209" s="184" t="str">
        <x:v>BRANCO CARRARA</x:v>
      </x:c>
      <x:c r="M209" s="205" t="n">
        <x:v>1</x:v>
      </x:c>
      <x:c r="N209" s="205" t="n">
        <x:v>1100</x:v>
      </x:c>
      <x:c r="O209" s="205" t="n">
        <x:v>70</x:v>
      </x:c>
      <x:c r="P209" s="205" t="n">
        <x:v>15</x:v>
      </x:c>
      <x:c r="Q209" s="206" t="n">
        <x:v>0</x:v>
      </x:c>
      <x:c r="R209" s="207" t="str"/>
      <x:c r="S209" s="207" t="str"/>
      <x:c r="T209" s="207" t="str"/>
      <x:c r="U209" s="207" t="n">
        <x:v>0</x:v>
      </x:c>
      <x:c r="V209" s="208" t="n">
        <x:f>MAX(0,M209-U209)</x:f>
        <x:v>1</x:v>
      </x:c>
      <x:c r="W209" s="209" t="n">
        <x:f>IFERROR(U209/M209,0)</x:f>
        <x:v>0</x:v>
      </x:c>
      <x:c r="X209" s="201" t="str">
        <x:f>IF(U209=0,"Não iniciado",IF(U209&gt;=M209,"Concluído","Parcial"))</x:f>
        <x:v>Não iniciado</x:v>
      </x:c>
      <x:c r="Y209" s="199" t="str"/>
      <x:c r="Z209" s="188" t="str">
        <x:v>Normal</x:v>
      </x:c>
    </x:row>
    <x:row r="210" ht="22" customHeight="1">
      <x:c r="A210" s="219" t="n">
        <x:v>206</x:v>
      </x:c>
      <x:c r="B210" s="220" t="str">
        <x:v>26684</x:v>
      </x:c>
      <x:c r="C210" s="220" t="str">
        <x:v>8</x:v>
      </x:c>
      <x:c r="D210" s="220" t="str">
        <x:v>609170</x:v>
      </x:c>
      <x:c r="E210" s="220" t="str">
        <x:v>981166</x:v>
      </x:c>
      <x:c r="F210" s="220" t="str">
        <x:v>ALIZAR</x:v>
      </x:c>
      <x:c r="G210" s="190" t="str">
        <x:v>T A 1100X70X15 RTO RL55 REC PET BCO(STD)</x:v>
      </x:c>
      <x:c r="H210" s="190" t="str"/>
      <x:c r="I210" s="190" t="str"/>
      <x:c r="J210" s="190" t="str"/>
      <x:c r="K210" s="190" t="str">
        <x:v>ESMALTE</x:v>
      </x:c>
      <x:c r="L210" s="190" t="str">
        <x:v>BRANCO CARRARA</x:v>
      </x:c>
      <x:c r="M210" s="210" t="n">
        <x:v>5</x:v>
      </x:c>
      <x:c r="N210" s="210" t="n">
        <x:v>1100</x:v>
      </x:c>
      <x:c r="O210" s="210" t="n">
        <x:v>70</x:v>
      </x:c>
      <x:c r="P210" s="210" t="n">
        <x:v>15</x:v>
      </x:c>
      <x:c r="Q210" s="211" t="n">
        <x:v>0</x:v>
      </x:c>
      <x:c r="R210" s="207" t="str"/>
      <x:c r="S210" s="207" t="str"/>
      <x:c r="T210" s="207" t="str"/>
      <x:c r="U210" s="207" t="n">
        <x:v>0</x:v>
      </x:c>
      <x:c r="V210" s="208" t="n">
        <x:f>MAX(0,M210-U210)</x:f>
        <x:v>5</x:v>
      </x:c>
      <x:c r="W210" s="209" t="n">
        <x:f>IFERROR(U210/M210,0)</x:f>
        <x:v>0</x:v>
      </x:c>
      <x:c r="X210" s="201" t="str">
        <x:f>IF(U210=0,"Não iniciado",IF(U210&gt;=M210,"Concluído","Parcial"))</x:f>
        <x:v>Não iniciado</x:v>
      </x:c>
      <x:c r="Y210" s="199" t="str"/>
      <x:c r="Z210" s="188" t="str">
        <x:v>Normal</x:v>
      </x:c>
    </x:row>
    <x:row r="211" ht="22" customHeight="1">
      <x:c r="A211" s="217" t="n">
        <x:v>207</x:v>
      </x:c>
      <x:c r="B211" s="218" t="str">
        <x:v>26684</x:v>
      </x:c>
      <x:c r="C211" s="218" t="str">
        <x:v>8</x:v>
      </x:c>
      <x:c r="D211" s="218" t="str">
        <x:v>609171</x:v>
      </x:c>
      <x:c r="E211" s="218" t="str">
        <x:v>981556</x:v>
      </x:c>
      <x:c r="F211" s="218" t="str">
        <x:v>ALIZAR</x:v>
      </x:c>
      <x:c r="G211" s="184" t="str">
        <x:v>T A 1100X70X15 RTO LMN REC PET BCO(STD)</x:v>
      </x:c>
      <x:c r="H211" s="184" t="str"/>
      <x:c r="I211" s="184" t="str"/>
      <x:c r="J211" s="184" t="str"/>
      <x:c r="K211" s="184" t="str">
        <x:v>ESMALTE</x:v>
      </x:c>
      <x:c r="L211" s="184" t="str">
        <x:v>BRANCO CARRARA</x:v>
      </x:c>
      <x:c r="M211" s="205" t="n">
        <x:v>5</x:v>
      </x:c>
      <x:c r="N211" s="205" t="n">
        <x:v>1100</x:v>
      </x:c>
      <x:c r="O211" s="205" t="n">
        <x:v>70</x:v>
      </x:c>
      <x:c r="P211" s="205" t="n">
        <x:v>15</x:v>
      </x:c>
      <x:c r="Q211" s="206" t="n">
        <x:v>0</x:v>
      </x:c>
      <x:c r="R211" s="207" t="str"/>
      <x:c r="S211" s="207" t="str"/>
      <x:c r="T211" s="207" t="str"/>
      <x:c r="U211" s="207" t="n">
        <x:v>0</x:v>
      </x:c>
      <x:c r="V211" s="208" t="n">
        <x:f>MAX(0,M211-U211)</x:f>
        <x:v>5</x:v>
      </x:c>
      <x:c r="W211" s="209" t="n">
        <x:f>IFERROR(U211/M211,0)</x:f>
        <x:v>0</x:v>
      </x:c>
      <x:c r="X211" s="201" t="str">
        <x:f>IF(U211=0,"Não iniciado",IF(U211&gt;=M211,"Concluído","Parcial"))</x:f>
        <x:v>Não iniciado</x:v>
      </x:c>
      <x:c r="Y211" s="199" t="str"/>
      <x:c r="Z211" s="188" t="str">
        <x:v>Normal</x:v>
      </x:c>
    </x:row>
    <x:row r="212" ht="22" customHeight="1">
      <x:c r="A212" s="219" t="n">
        <x:v>208</x:v>
      </x:c>
      <x:c r="B212" s="220" t="str">
        <x:v>26684</x:v>
      </x:c>
      <x:c r="C212" s="220" t="str">
        <x:v>9</x:v>
      </x:c>
      <x:c r="D212" s="220" t="str">
        <x:v>609178</x:v>
      </x:c>
      <x:c r="E212" s="220" t="str">
        <x:v>981166</x:v>
      </x:c>
      <x:c r="F212" s="220" t="str">
        <x:v>ALIZAR</x:v>
      </x:c>
      <x:c r="G212" s="190" t="str">
        <x:v>T A 1100X70X15 RTO RL55 REC PET BCO(STD)</x:v>
      </x:c>
      <x:c r="H212" s="190" t="str"/>
      <x:c r="I212" s="190" t="str"/>
      <x:c r="J212" s="190" t="str"/>
      <x:c r="K212" s="190" t="str">
        <x:v>ESMALTE</x:v>
      </x:c>
      <x:c r="L212" s="190" t="str">
        <x:v>BRANCO CARRARA</x:v>
      </x:c>
      <x:c r="M212" s="210" t="n">
        <x:v>57</x:v>
      </x:c>
      <x:c r="N212" s="210" t="n">
        <x:v>1100</x:v>
      </x:c>
      <x:c r="O212" s="210" t="n">
        <x:v>70</x:v>
      </x:c>
      <x:c r="P212" s="210" t="n">
        <x:v>15</x:v>
      </x:c>
      <x:c r="Q212" s="211" t="n">
        <x:v>0</x:v>
      </x:c>
      <x:c r="R212" s="207" t="str"/>
      <x:c r="S212" s="207" t="str"/>
      <x:c r="T212" s="207" t="str"/>
      <x:c r="U212" s="207" t="n">
        <x:v>0</x:v>
      </x:c>
      <x:c r="V212" s="208" t="n">
        <x:f>MAX(0,M212-U212)</x:f>
        <x:v>57</x:v>
      </x:c>
      <x:c r="W212" s="209" t="n">
        <x:f>IFERROR(U212/M212,0)</x:f>
        <x:v>0</x:v>
      </x:c>
      <x:c r="X212" s="201" t="str">
        <x:f>IF(U212=0,"Não iniciado",IF(U212&gt;=M212,"Concluído","Parcial"))</x:f>
        <x:v>Não iniciado</x:v>
      </x:c>
      <x:c r="Y212" s="199" t="str"/>
      <x:c r="Z212" s="188" t="str">
        <x:v>Normal</x:v>
      </x:c>
    </x:row>
    <x:row r="213" ht="22" customHeight="1">
      <x:c r="A213" s="217" t="n">
        <x:v>209</x:v>
      </x:c>
      <x:c r="B213" s="218" t="str">
        <x:v>26684</x:v>
      </x:c>
      <x:c r="C213" s="218" t="str">
        <x:v>9</x:v>
      </x:c>
      <x:c r="D213" s="218" t="str">
        <x:v>609179</x:v>
      </x:c>
      <x:c r="E213" s="218" t="str">
        <x:v>981556</x:v>
      </x:c>
      <x:c r="F213" s="218" t="str">
        <x:v>ALIZAR</x:v>
      </x:c>
      <x:c r="G213" s="184" t="str">
        <x:v>T A 1100X70X15 RTO LMN REC PET BCO(STD)</x:v>
      </x:c>
      <x:c r="H213" s="184" t="str"/>
      <x:c r="I213" s="184" t="str"/>
      <x:c r="J213" s="184" t="str"/>
      <x:c r="K213" s="184" t="str">
        <x:v>ESMALTE</x:v>
      </x:c>
      <x:c r="L213" s="184" t="str">
        <x:v>BRANCO CARRARA</x:v>
      </x:c>
      <x:c r="M213" s="205" t="n">
        <x:v>57</x:v>
      </x:c>
      <x:c r="N213" s="205" t="n">
        <x:v>1100</x:v>
      </x:c>
      <x:c r="O213" s="205" t="n">
        <x:v>70</x:v>
      </x:c>
      <x:c r="P213" s="205" t="n">
        <x:v>15</x:v>
      </x:c>
      <x:c r="Q213" s="206" t="n">
        <x:v>0</x:v>
      </x:c>
      <x:c r="R213" s="207" t="str"/>
      <x:c r="S213" s="207" t="str"/>
      <x:c r="T213" s="207" t="str"/>
      <x:c r="U213" s="207" t="n">
        <x:v>0</x:v>
      </x:c>
      <x:c r="V213" s="208" t="n">
        <x:f>MAX(0,M213-U213)</x:f>
        <x:v>57</x:v>
      </x:c>
      <x:c r="W213" s="209" t="n">
        <x:f>IFERROR(U213/M213,0)</x:f>
        <x:v>0</x:v>
      </x:c>
      <x:c r="X213" s="201" t="str">
        <x:f>IF(U213=0,"Não iniciado",IF(U213&gt;=M213,"Concluído","Parcial"))</x:f>
        <x:v>Não iniciado</x:v>
      </x:c>
      <x:c r="Y213" s="199" t="str"/>
      <x:c r="Z213" s="188" t="str">
        <x:v>Normal</x:v>
      </x:c>
    </x:row>
    <x:row r="214" ht="22" customHeight="1">
      <x:c r="A214" s="219" t="n">
        <x:v>210</x:v>
      </x:c>
      <x:c r="B214" s="220" t="str">
        <x:v>26684</x:v>
      </x:c>
      <x:c r="C214" s="220" t="str">
        <x:v>10</x:v>
      </x:c>
      <x:c r="D214" s="220" t="str">
        <x:v>609185</x:v>
      </x:c>
      <x:c r="E214" s="220" t="str">
        <x:v>981166</x:v>
      </x:c>
      <x:c r="F214" s="220" t="str">
        <x:v>ALIZAR</x:v>
      </x:c>
      <x:c r="G214" s="190" t="str">
        <x:v>T A 1100X70X15 RTO RL55 REC PET BCO(STD)</x:v>
      </x:c>
      <x:c r="H214" s="190" t="str"/>
      <x:c r="I214" s="190" t="str"/>
      <x:c r="J214" s="190" t="str"/>
      <x:c r="K214" s="190" t="str">
        <x:v>ESMALTE</x:v>
      </x:c>
      <x:c r="L214" s="190" t="str">
        <x:v>BRANCO CARRARA</x:v>
      </x:c>
      <x:c r="M214" s="210" t="n">
        <x:v>2</x:v>
      </x:c>
      <x:c r="N214" s="210" t="n">
        <x:v>1100</x:v>
      </x:c>
      <x:c r="O214" s="210" t="n">
        <x:v>70</x:v>
      </x:c>
      <x:c r="P214" s="210" t="n">
        <x:v>15</x:v>
      </x:c>
      <x:c r="Q214" s="211" t="n">
        <x:v>0</x:v>
      </x:c>
      <x:c r="R214" s="207" t="str"/>
      <x:c r="S214" s="207" t="str"/>
      <x:c r="T214" s="207" t="str"/>
      <x:c r="U214" s="207" t="n">
        <x:v>0</x:v>
      </x:c>
      <x:c r="V214" s="208" t="n">
        <x:f>MAX(0,M214-U214)</x:f>
        <x:v>2</x:v>
      </x:c>
      <x:c r="W214" s="209" t="n">
        <x:f>IFERROR(U214/M214,0)</x:f>
        <x:v>0</x:v>
      </x:c>
      <x:c r="X214" s="201" t="str">
        <x:f>IF(U214=0,"Não iniciado",IF(U214&gt;=M214,"Concluído","Parcial"))</x:f>
        <x:v>Não iniciado</x:v>
      </x:c>
      <x:c r="Y214" s="199" t="str"/>
      <x:c r="Z214" s="188" t="str">
        <x:v>Normal</x:v>
      </x:c>
    </x:row>
    <x:row r="215" ht="22" customHeight="1">
      <x:c r="A215" s="217" t="n">
        <x:v>211</x:v>
      </x:c>
      <x:c r="B215" s="218" t="str">
        <x:v>26689</x:v>
      </x:c>
      <x:c r="C215" s="218" t="str">
        <x:v>1</x:v>
      </x:c>
      <x:c r="D215" s="218" t="str">
        <x:v>609079</x:v>
      </x:c>
      <x:c r="E215" s="218" t="str">
        <x:v>981166</x:v>
      </x:c>
      <x:c r="F215" s="218" t="str">
        <x:v>ALIZAR</x:v>
      </x:c>
      <x:c r="G215" s="184" t="str">
        <x:v>T A 1100X70X15 RTO RL55 REC PET BCO(STD)</x:v>
      </x:c>
      <x:c r="H215" s="184" t="str"/>
      <x:c r="I215" s="184" t="str"/>
      <x:c r="J215" s="184" t="str"/>
      <x:c r="K215" s="184" t="str">
        <x:v>ESMALTE</x:v>
      </x:c>
      <x:c r="L215" s="184" t="str">
        <x:v>BRANCO CARRARA</x:v>
      </x:c>
      <x:c r="M215" s="205" t="n">
        <x:v>32</x:v>
      </x:c>
      <x:c r="N215" s="205" t="n">
        <x:v>1100</x:v>
      </x:c>
      <x:c r="O215" s="205" t="n">
        <x:v>70</x:v>
      </x:c>
      <x:c r="P215" s="205" t="n">
        <x:v>15</x:v>
      </x:c>
      <x:c r="Q215" s="206" t="n">
        <x:v>0</x:v>
      </x:c>
      <x:c r="R215" s="207" t="str"/>
      <x:c r="S215" s="207" t="str"/>
      <x:c r="T215" s="207" t="str"/>
      <x:c r="U215" s="207" t="n">
        <x:v>0</x:v>
      </x:c>
      <x:c r="V215" s="208" t="n">
        <x:f>MAX(0,M215-U215)</x:f>
        <x:v>32</x:v>
      </x:c>
      <x:c r="W215" s="209" t="n">
        <x:f>IFERROR(U215/M215,0)</x:f>
        <x:v>0</x:v>
      </x:c>
      <x:c r="X215" s="201" t="str">
        <x:f>IF(U215=0,"Não iniciado",IF(U215&gt;=M215,"Concluído","Parcial"))</x:f>
        <x:v>Não iniciado</x:v>
      </x:c>
      <x:c r="Y215" s="199" t="str"/>
      <x:c r="Z215" s="188" t="str">
        <x:v>Normal</x:v>
      </x:c>
    </x:row>
    <x:row r="216" ht="22" customHeight="1">
      <x:c r="A216" s="219" t="n">
        <x:v>212</x:v>
      </x:c>
      <x:c r="B216" s="220" t="str">
        <x:v>26689</x:v>
      </x:c>
      <x:c r="C216" s="220" t="str">
        <x:v>1</x:v>
      </x:c>
      <x:c r="D216" s="220" t="str">
        <x:v>609080</x:v>
      </x:c>
      <x:c r="E216" s="220" t="str">
        <x:v>981556</x:v>
      </x:c>
      <x:c r="F216" s="220" t="str">
        <x:v>ALIZAR</x:v>
      </x:c>
      <x:c r="G216" s="190" t="str">
        <x:v>T A 1100X70X15 RTO LMN REC PET BCO(STD)</x:v>
      </x:c>
      <x:c r="H216" s="190" t="str"/>
      <x:c r="I216" s="190" t="str"/>
      <x:c r="J216" s="190" t="str"/>
      <x:c r="K216" s="190" t="str">
        <x:v>ESMALTE</x:v>
      </x:c>
      <x:c r="L216" s="190" t="str">
        <x:v>BRANCO CARRARA</x:v>
      </x:c>
      <x:c r="M216" s="210" t="n">
        <x:v>32</x:v>
      </x:c>
      <x:c r="N216" s="210" t="n">
        <x:v>1100</x:v>
      </x:c>
      <x:c r="O216" s="210" t="n">
        <x:v>70</x:v>
      </x:c>
      <x:c r="P216" s="210" t="n">
        <x:v>15</x:v>
      </x:c>
      <x:c r="Q216" s="211" t="n">
        <x:v>0</x:v>
      </x:c>
      <x:c r="R216" s="207" t="str"/>
      <x:c r="S216" s="207" t="str"/>
      <x:c r="T216" s="207" t="str"/>
      <x:c r="U216" s="207" t="n">
        <x:v>0</x:v>
      </x:c>
      <x:c r="V216" s="208" t="n">
        <x:f>MAX(0,M216-U216)</x:f>
        <x:v>32</x:v>
      </x:c>
      <x:c r="W216" s="209" t="n">
        <x:f>IFERROR(U216/M216,0)</x:f>
        <x:v>0</x:v>
      </x:c>
      <x:c r="X216" s="201" t="str">
        <x:f>IF(U216=0,"Não iniciado",IF(U216&gt;=M216,"Concluído","Parcial"))</x:f>
        <x:v>Não iniciado</x:v>
      </x:c>
      <x:c r="Y216" s="199" t="str"/>
      <x:c r="Z216" s="188" t="str">
        <x:v>Normal</x:v>
      </x:c>
    </x:row>
    <x:row r="217" ht="22" customHeight="1">
      <x:c r="A217" s="217" t="n">
        <x:v>213</x:v>
      </x:c>
      <x:c r="B217" s="218" t="str">
        <x:v>26689</x:v>
      </x:c>
      <x:c r="C217" s="218" t="str">
        <x:v>2</x:v>
      </x:c>
      <x:c r="D217" s="218" t="str">
        <x:v>609089</x:v>
      </x:c>
      <x:c r="E217" s="218" t="str">
        <x:v>981166</x:v>
      </x:c>
      <x:c r="F217" s="218" t="str">
        <x:v>ALIZAR</x:v>
      </x:c>
      <x:c r="G217" s="184" t="str">
        <x:v>T A 1100X70X15 RTO RL55 REC PET BCO(STD)</x:v>
      </x:c>
      <x:c r="H217" s="184" t="str"/>
      <x:c r="I217" s="184" t="str"/>
      <x:c r="J217" s="184" t="str"/>
      <x:c r="K217" s="184" t="str">
        <x:v>ESMALTE</x:v>
      </x:c>
      <x:c r="L217" s="184" t="str">
        <x:v>BRANCO CARRARA</x:v>
      </x:c>
      <x:c r="M217" s="205" t="n">
        <x:v>64</x:v>
      </x:c>
      <x:c r="N217" s="205" t="n">
        <x:v>1100</x:v>
      </x:c>
      <x:c r="O217" s="205" t="n">
        <x:v>70</x:v>
      </x:c>
      <x:c r="P217" s="205" t="n">
        <x:v>15</x:v>
      </x:c>
      <x:c r="Q217" s="206" t="n">
        <x:v>0</x:v>
      </x:c>
      <x:c r="R217" s="207" t="str"/>
      <x:c r="S217" s="207" t="str"/>
      <x:c r="T217" s="207" t="str"/>
      <x:c r="U217" s="207" t="n">
        <x:v>0</x:v>
      </x:c>
      <x:c r="V217" s="208" t="n">
        <x:f>MAX(0,M217-U217)</x:f>
        <x:v>64</x:v>
      </x:c>
      <x:c r="W217" s="209" t="n">
        <x:f>IFERROR(U217/M217,0)</x:f>
        <x:v>0</x:v>
      </x:c>
      <x:c r="X217" s="201" t="str">
        <x:f>IF(U217=0,"Não iniciado",IF(U217&gt;=M217,"Concluído","Parcial"))</x:f>
        <x:v>Não iniciado</x:v>
      </x:c>
      <x:c r="Y217" s="199" t="str"/>
      <x:c r="Z217" s="188" t="str">
        <x:v>Normal</x:v>
      </x:c>
    </x:row>
    <x:row r="218" ht="22" customHeight="1">
      <x:c r="A218" s="219" t="n">
        <x:v>214</x:v>
      </x:c>
      <x:c r="B218" s="220" t="str">
        <x:v>26689</x:v>
      </x:c>
      <x:c r="C218" s="220" t="str">
        <x:v>2</x:v>
      </x:c>
      <x:c r="D218" s="220" t="str">
        <x:v>609090</x:v>
      </x:c>
      <x:c r="E218" s="220" t="str">
        <x:v>981556</x:v>
      </x:c>
      <x:c r="F218" s="220" t="str">
        <x:v>ALIZAR</x:v>
      </x:c>
      <x:c r="G218" s="190" t="str">
        <x:v>T A 1100X70X15 RTO LMN REC PET BCO(STD)</x:v>
      </x:c>
      <x:c r="H218" s="190" t="str"/>
      <x:c r="I218" s="190" t="str"/>
      <x:c r="J218" s="190" t="str"/>
      <x:c r="K218" s="190" t="str">
        <x:v>ESMALTE</x:v>
      </x:c>
      <x:c r="L218" s="190" t="str">
        <x:v>BRANCO CARRARA</x:v>
      </x:c>
      <x:c r="M218" s="210" t="n">
        <x:v>64</x:v>
      </x:c>
      <x:c r="N218" s="210" t="n">
        <x:v>1100</x:v>
      </x:c>
      <x:c r="O218" s="210" t="n">
        <x:v>70</x:v>
      </x:c>
      <x:c r="P218" s="210" t="n">
        <x:v>15</x:v>
      </x:c>
      <x:c r="Q218" s="211" t="n">
        <x:v>0</x:v>
      </x:c>
      <x:c r="R218" s="207" t="str"/>
      <x:c r="S218" s="207" t="str"/>
      <x:c r="T218" s="207" t="str"/>
      <x:c r="U218" s="207" t="n">
        <x:v>0</x:v>
      </x:c>
      <x:c r="V218" s="208" t="n">
        <x:f>MAX(0,M218-U218)</x:f>
        <x:v>64</x:v>
      </x:c>
      <x:c r="W218" s="209" t="n">
        <x:f>IFERROR(U218/M218,0)</x:f>
        <x:v>0</x:v>
      </x:c>
      <x:c r="X218" s="201" t="str">
        <x:f>IF(U218=0,"Não iniciado",IF(U218&gt;=M218,"Concluído","Parcial"))</x:f>
        <x:v>Não iniciado</x:v>
      </x:c>
      <x:c r="Y218" s="199" t="str"/>
      <x:c r="Z218" s="188" t="str">
        <x:v>Normal</x:v>
      </x:c>
    </x:row>
    <x:row r="219" ht="22" customHeight="1">
      <x:c r="A219" s="217" t="n">
        <x:v>215</x:v>
      </x:c>
      <x:c r="B219" s="218" t="str">
        <x:v>26689</x:v>
      </x:c>
      <x:c r="C219" s="218" t="str">
        <x:v>3</x:v>
      </x:c>
      <x:c r="D219" s="218" t="str">
        <x:v>609097</x:v>
      </x:c>
      <x:c r="E219" s="218" t="str">
        <x:v>981166</x:v>
      </x:c>
      <x:c r="F219" s="218" t="str">
        <x:v>ALIZAR</x:v>
      </x:c>
      <x:c r="G219" s="184" t="str">
        <x:v>T A 1100X70X15 RTO RL55 REC PET BCO(STD)</x:v>
      </x:c>
      <x:c r="H219" s="184" t="str"/>
      <x:c r="I219" s="184" t="str"/>
      <x:c r="J219" s="184" t="str"/>
      <x:c r="K219" s="184" t="str">
        <x:v>ESMALTE</x:v>
      </x:c>
      <x:c r="L219" s="184" t="str">
        <x:v>BRANCO CARRARA</x:v>
      </x:c>
      <x:c r="M219" s="205" t="n">
        <x:v>61</x:v>
      </x:c>
      <x:c r="N219" s="205" t="n">
        <x:v>1100</x:v>
      </x:c>
      <x:c r="O219" s="205" t="n">
        <x:v>70</x:v>
      </x:c>
      <x:c r="P219" s="205" t="n">
        <x:v>15</x:v>
      </x:c>
      <x:c r="Q219" s="206" t="n">
        <x:v>0</x:v>
      </x:c>
      <x:c r="R219" s="207" t="str"/>
      <x:c r="S219" s="207" t="str"/>
      <x:c r="T219" s="207" t="str"/>
      <x:c r="U219" s="207" t="n">
        <x:v>0</x:v>
      </x:c>
      <x:c r="V219" s="208" t="n">
        <x:f>MAX(0,M219-U219)</x:f>
        <x:v>61</x:v>
      </x:c>
      <x:c r="W219" s="209" t="n">
        <x:f>IFERROR(U219/M219,0)</x:f>
        <x:v>0</x:v>
      </x:c>
      <x:c r="X219" s="201" t="str">
        <x:f>IF(U219=0,"Não iniciado",IF(U219&gt;=M219,"Concluído","Parcial"))</x:f>
        <x:v>Não iniciado</x:v>
      </x:c>
      <x:c r="Y219" s="199" t="str"/>
      <x:c r="Z219" s="188" t="str">
        <x:v>Normal</x:v>
      </x:c>
    </x:row>
    <x:row r="220" ht="22" customHeight="1">
      <x:c r="A220" s="219" t="n">
        <x:v>216</x:v>
      </x:c>
      <x:c r="B220" s="220" t="str">
        <x:v>26689</x:v>
      </x:c>
      <x:c r="C220" s="220" t="str">
        <x:v>3</x:v>
      </x:c>
      <x:c r="D220" s="220" t="str">
        <x:v>609098</x:v>
      </x:c>
      <x:c r="E220" s="220" t="str">
        <x:v>981556</x:v>
      </x:c>
      <x:c r="F220" s="220" t="str">
        <x:v>ALIZAR</x:v>
      </x:c>
      <x:c r="G220" s="190" t="str">
        <x:v>T A 1100X70X15 RTO LMN REC PET BCO(STD)</x:v>
      </x:c>
      <x:c r="H220" s="190" t="str"/>
      <x:c r="I220" s="190" t="str"/>
      <x:c r="J220" s="190" t="str"/>
      <x:c r="K220" s="190" t="str">
        <x:v>ESMALTE</x:v>
      </x:c>
      <x:c r="L220" s="190" t="str">
        <x:v>BRANCO CARRARA</x:v>
      </x:c>
      <x:c r="M220" s="210" t="n">
        <x:v>61</x:v>
      </x:c>
      <x:c r="N220" s="210" t="n">
        <x:v>1100</x:v>
      </x:c>
      <x:c r="O220" s="210" t="n">
        <x:v>70</x:v>
      </x:c>
      <x:c r="P220" s="210" t="n">
        <x:v>15</x:v>
      </x:c>
      <x:c r="Q220" s="211" t="n">
        <x:v>0</x:v>
      </x:c>
      <x:c r="R220" s="207" t="str"/>
      <x:c r="S220" s="207" t="str"/>
      <x:c r="T220" s="207" t="str"/>
      <x:c r="U220" s="207" t="n">
        <x:v>0</x:v>
      </x:c>
      <x:c r="V220" s="208" t="n">
        <x:f>MAX(0,M220-U220)</x:f>
        <x:v>61</x:v>
      </x:c>
      <x:c r="W220" s="209" t="n">
        <x:f>IFERROR(U220/M220,0)</x:f>
        <x:v>0</x:v>
      </x:c>
      <x:c r="X220" s="201" t="str">
        <x:f>IF(U220=0,"Não iniciado",IF(U220&gt;=M220,"Concluído","Parcial"))</x:f>
        <x:v>Não iniciado</x:v>
      </x:c>
      <x:c r="Y220" s="199" t="str"/>
      <x:c r="Z220" s="188" t="str">
        <x:v>Normal</x:v>
      </x:c>
    </x:row>
    <x:row r="221" ht="22" customHeight="1">
      <x:c r="A221" s="217" t="n">
        <x:v>217</x:v>
      </x:c>
      <x:c r="B221" s="218" t="str">
        <x:v>26689</x:v>
      </x:c>
      <x:c r="C221" s="218" t="str">
        <x:v>4</x:v>
      </x:c>
      <x:c r="D221" s="218" t="str">
        <x:v>609104</x:v>
      </x:c>
      <x:c r="E221" s="218" t="str">
        <x:v>981166</x:v>
      </x:c>
      <x:c r="F221" s="218" t="str">
        <x:v>ALIZAR</x:v>
      </x:c>
      <x:c r="G221" s="184" t="str">
        <x:v>T A 1100X70X15 RTO RL55 REC PET BCO(STD)</x:v>
      </x:c>
      <x:c r="H221" s="184" t="str"/>
      <x:c r="I221" s="184" t="str"/>
      <x:c r="J221" s="184" t="str"/>
      <x:c r="K221" s="184" t="str">
        <x:v>ESMALTE</x:v>
      </x:c>
      <x:c r="L221" s="184" t="str">
        <x:v>BRANCO CARRARA</x:v>
      </x:c>
      <x:c r="M221" s="205" t="n">
        <x:v>3</x:v>
      </x:c>
      <x:c r="N221" s="205" t="n">
        <x:v>1100</x:v>
      </x:c>
      <x:c r="O221" s="205" t="n">
        <x:v>70</x:v>
      </x:c>
      <x:c r="P221" s="205" t="n">
        <x:v>15</x:v>
      </x:c>
      <x:c r="Q221" s="206" t="n">
        <x:v>0</x:v>
      </x:c>
      <x:c r="R221" s="207" t="str"/>
      <x:c r="S221" s="207" t="str"/>
      <x:c r="T221" s="207" t="str"/>
      <x:c r="U221" s="207" t="n">
        <x:v>0</x:v>
      </x:c>
      <x:c r="V221" s="208" t="n">
        <x:f>MAX(0,M221-U221)</x:f>
        <x:v>3</x:v>
      </x:c>
      <x:c r="W221" s="209" t="n">
        <x:f>IFERROR(U221/M221,0)</x:f>
        <x:v>0</x:v>
      </x:c>
      <x:c r="X221" s="201" t="str">
        <x:f>IF(U221=0,"Não iniciado",IF(U221&gt;=M221,"Concluído","Parcial"))</x:f>
        <x:v>Não iniciado</x:v>
      </x:c>
      <x:c r="Y221" s="199" t="str"/>
      <x:c r="Z221" s="188" t="str">
        <x:v>Normal</x:v>
      </x:c>
    </x:row>
    <x:row r="222" ht="22" customHeight="1">
      <x:c r="A222" s="219" t="n">
        <x:v>218</x:v>
      </x:c>
      <x:c r="B222" s="220" t="str">
        <x:v>26809</x:v>
      </x:c>
      <x:c r="C222" s="220" t="str">
        <x:v>11</x:v>
      </x:c>
      <x:c r="D222" s="220" t="str">
        <x:v>609958</x:v>
      </x:c>
      <x:c r="E222" s="220" t="str">
        <x:v>968526</x:v>
      </x:c>
      <x:c r="F222" s="220" t="str">
        <x:v>ALIZAR</x:v>
      </x:c>
      <x:c r="G222" s="190" t="str">
        <x:v>T A 1100X70X09 RTO RL55 RC PET CAPUC ULT</x:v>
      </x:c>
      <x:c r="H222" s="190" t="str">
        <x:v>REG 2L(MAIOR 55MM)</x:v>
      </x:c>
      <x:c r="I222" s="190" t="str"/>
      <x:c r="J222" s="190" t="str"/>
      <x:c r="K222" s="190" t="str">
        <x:v>RECOBERTO PET</x:v>
      </x:c>
      <x:c r="L222" s="190" t="str">
        <x:v>CAPUCCINO MARCHE</x:v>
      </x:c>
      <x:c r="M222" s="210" t="n">
        <x:v>12</x:v>
      </x:c>
      <x:c r="N222" s="210" t="n">
        <x:v>1100</x:v>
      </x:c>
      <x:c r="O222" s="210" t="n">
        <x:v>70</x:v>
      </x:c>
      <x:c r="P222" s="210" t="n">
        <x:v>9</x:v>
      </x:c>
      <x:c r="Q222" s="211" t="n">
        <x:v>0.008</x:v>
      </x:c>
      <x:c r="R222" s="207" t="str"/>
      <x:c r="S222" s="207" t="str"/>
      <x:c r="T222" s="207" t="str"/>
      <x:c r="U222" s="207" t="n">
        <x:v>0</x:v>
      </x:c>
      <x:c r="V222" s="208" t="n">
        <x:f>MAX(0,M222-U222)</x:f>
        <x:v>12</x:v>
      </x:c>
      <x:c r="W222" s="209" t="n">
        <x:f>IFERROR(U222/M222,0)</x:f>
        <x:v>0</x:v>
      </x:c>
      <x:c r="X222" s="201" t="str">
        <x:f>IF(U222=0,"Não iniciado",IF(U222&gt;=M222,"Concluído","Parcial"))</x:f>
        <x:v>Não iniciado</x:v>
      </x:c>
      <x:c r="Y222" s="199" t="str"/>
      <x:c r="Z222" s="188" t="str">
        <x:v>Normal</x:v>
      </x:c>
    </x:row>
    <x:row r="223" ht="22" customHeight="1">
      <x:c r="A223" s="217" t="n">
        <x:v>219</x:v>
      </x:c>
      <x:c r="B223" s="218" t="str">
        <x:v>26809</x:v>
      </x:c>
      <x:c r="C223" s="218" t="str">
        <x:v>11</x:v>
      </x:c>
      <x:c r="D223" s="218" t="str">
        <x:v>609960</x:v>
      </x:c>
      <x:c r="E223" s="218" t="str">
        <x:v>968528</x:v>
      </x:c>
      <x:c r="F223" s="218" t="str">
        <x:v>ALIZAR</x:v>
      </x:c>
      <x:c r="G223" s="184" t="str">
        <x:v>T A 1100X70X09 RTO LME RC PET CAPUCC (UL</x:v>
      </x:c>
      <x:c r="H223" s="184" t="str">
        <x:v>REG 2L(MAIOR 55MM)</x:v>
      </x:c>
      <x:c r="I223" s="184" t="str"/>
      <x:c r="J223" s="184" t="str"/>
      <x:c r="K223" s="184" t="str">
        <x:v>RECOBERTO PET</x:v>
      </x:c>
      <x:c r="L223" s="184" t="str">
        <x:v>CAPUCCINO MARCHE</x:v>
      </x:c>
      <x:c r="M223" s="205" t="n">
        <x:v>12</x:v>
      </x:c>
      <x:c r="N223" s="205" t="n">
        <x:v>1100</x:v>
      </x:c>
      <x:c r="O223" s="205" t="n">
        <x:v>70</x:v>
      </x:c>
      <x:c r="P223" s="205" t="n">
        <x:v>9</x:v>
      </x:c>
      <x:c r="Q223" s="206" t="n">
        <x:v>0.008</x:v>
      </x:c>
      <x:c r="R223" s="207" t="str"/>
      <x:c r="S223" s="207" t="str"/>
      <x:c r="T223" s="207" t="str"/>
      <x:c r="U223" s="207" t="n">
        <x:v>0</x:v>
      </x:c>
      <x:c r="V223" s="208" t="n">
        <x:f>MAX(0,M223-U223)</x:f>
        <x:v>12</x:v>
      </x:c>
      <x:c r="W223" s="209" t="n">
        <x:f>IFERROR(U223/M223,0)</x:f>
        <x:v>0</x:v>
      </x:c>
      <x:c r="X223" s="201" t="str">
        <x:f>IF(U223=0,"Não iniciado",IF(U223&gt;=M223,"Concluído","Parcial"))</x:f>
        <x:v>Não iniciado</x:v>
      </x:c>
      <x:c r="Y223" s="199" t="str"/>
      <x:c r="Z223" s="188" t="str">
        <x:v>Normal</x:v>
      </x:c>
    </x:row>
    <x:row r="224" ht="22" customHeight="1">
      <x:c r="A224" s="219" t="n">
        <x:v>220</x:v>
      </x:c>
      <x:c r="B224" s="220" t="str">
        <x:v>26520</x:v>
      </x:c>
      <x:c r="C224" s="220" t="str">
        <x:v>1</x:v>
      </x:c>
      <x:c r="D224" s="220" t="str">
        <x:v>610066</x:v>
      </x:c>
      <x:c r="E224" s="220" t="str">
        <x:v>976441</x:v>
      </x:c>
      <x:c r="F224" s="220" t="str">
        <x:v>ALIZAR</x:v>
      </x:c>
      <x:c r="G224" s="190" t="str">
        <x:v>T A 1100X70X09 RTO RL55 PET CNZ VE ULT</x:v>
      </x:c>
      <x:c r="H224" s="190" t="str"/>
      <x:c r="I224" s="190" t="str"/>
      <x:c r="J224" s="190" t="str"/>
      <x:c r="K224" s="190" t="str">
        <x:v>RECOBERTO PET</x:v>
      </x:c>
      <x:c r="L224" s="190" t="str">
        <x:v>CINZA VERONA</x:v>
      </x:c>
      <x:c r="M224" s="210" t="n">
        <x:v>2</x:v>
      </x:c>
      <x:c r="N224" s="210" t="n">
        <x:v>1100</x:v>
      </x:c>
      <x:c r="O224" s="210" t="n">
        <x:v>70</x:v>
      </x:c>
      <x:c r="P224" s="210" t="n">
        <x:v>9</x:v>
      </x:c>
      <x:c r="Q224" s="211" t="n">
        <x:v>0.001</x:v>
      </x:c>
      <x:c r="R224" s="207" t="str"/>
      <x:c r="S224" s="207" t="str"/>
      <x:c r="T224" s="207" t="str"/>
      <x:c r="U224" s="207" t="n">
        <x:v>0</x:v>
      </x:c>
      <x:c r="V224" s="208" t="n">
        <x:f>MAX(0,M224-U224)</x:f>
        <x:v>2</x:v>
      </x:c>
      <x:c r="W224" s="209" t="n">
        <x:f>IFERROR(U224/M224,0)</x:f>
        <x:v>0</x:v>
      </x:c>
      <x:c r="X224" s="201" t="str">
        <x:f>IF(U224=0,"Não iniciado",IF(U224&gt;=M224,"Concluído","Parcial"))</x:f>
        <x:v>Não iniciado</x:v>
      </x:c>
      <x:c r="Y224" s="199" t="str"/>
      <x:c r="Z224" s="188" t="str">
        <x:v>Normal</x:v>
      </x:c>
    </x:row>
    <x:row r="225" ht="22" customHeight="1">
      <x:c r="A225" s="217" t="n">
        <x:v>221</x:v>
      </x:c>
      <x:c r="B225" s="218" t="str">
        <x:v>26520</x:v>
      </x:c>
      <x:c r="C225" s="218" t="str">
        <x:v>1</x:v>
      </x:c>
      <x:c r="D225" s="218" t="str">
        <x:v>610067</x:v>
      </x:c>
      <x:c r="E225" s="218" t="str">
        <x:v>976443</x:v>
      </x:c>
      <x:c r="F225" s="218" t="str">
        <x:v>ALIZAR</x:v>
      </x:c>
      <x:c r="G225" s="184" t="str">
        <x:v>T A 1100X70X09 RTO LME PET CNZ VE (UL</x:v>
      </x:c>
      <x:c r="H225" s="184" t="str"/>
      <x:c r="I225" s="184" t="str"/>
      <x:c r="J225" s="184" t="str"/>
      <x:c r="K225" s="184" t="str">
        <x:v>RECOBERTO PET</x:v>
      </x:c>
      <x:c r="L225" s="184" t="str">
        <x:v>CINZA VERONA</x:v>
      </x:c>
      <x:c r="M225" s="205" t="n">
        <x:v>2</x:v>
      </x:c>
      <x:c r="N225" s="205" t="n">
        <x:v>1100</x:v>
      </x:c>
      <x:c r="O225" s="205" t="n">
        <x:v>70</x:v>
      </x:c>
      <x:c r="P225" s="205" t="n">
        <x:v>9</x:v>
      </x:c>
      <x:c r="Q225" s="206" t="n">
        <x:v>0.001</x:v>
      </x:c>
      <x:c r="R225" s="207" t="str"/>
      <x:c r="S225" s="207" t="str"/>
      <x:c r="T225" s="207" t="str"/>
      <x:c r="U225" s="207" t="n">
        <x:v>0</x:v>
      </x:c>
      <x:c r="V225" s="208" t="n">
        <x:f>MAX(0,M225-U225)</x:f>
        <x:v>2</x:v>
      </x:c>
      <x:c r="W225" s="209" t="n">
        <x:f>IFERROR(U225/M225,0)</x:f>
        <x:v>0</x:v>
      </x:c>
      <x:c r="X225" s="201" t="str">
        <x:f>IF(U225=0,"Não iniciado",IF(U225&gt;=M225,"Concluído","Parcial"))</x:f>
        <x:v>Não iniciado</x:v>
      </x:c>
      <x:c r="Y225" s="199" t="str"/>
      <x:c r="Z225" s="188" t="str">
        <x:v>Normal</x:v>
      </x:c>
    </x:row>
    <x:row r="226" ht="22" customHeight="1">
      <x:c r="A226" s="219" t="n">
        <x:v>222</x:v>
      </x:c>
      <x:c r="B226" s="220" t="str">
        <x:v>26520</x:v>
      </x:c>
      <x:c r="C226" s="220" t="str">
        <x:v>2</x:v>
      </x:c>
      <x:c r="D226" s="220" t="str">
        <x:v>610074</x:v>
      </x:c>
      <x:c r="E226" s="220" t="str">
        <x:v>976441</x:v>
      </x:c>
      <x:c r="F226" s="220" t="str">
        <x:v>ALIZAR</x:v>
      </x:c>
      <x:c r="G226" s="190" t="str">
        <x:v>T A 1100X70X09 RTO RL55 PET CNZ VE ULT</x:v>
      </x:c>
      <x:c r="H226" s="190" t="str"/>
      <x:c r="I226" s="190" t="str"/>
      <x:c r="J226" s="190" t="str"/>
      <x:c r="K226" s="190" t="str">
        <x:v>RECOBERTO PET</x:v>
      </x:c>
      <x:c r="L226" s="190" t="str">
        <x:v>CINZA VERONA</x:v>
      </x:c>
      <x:c r="M226" s="210" t="n">
        <x:v>6</x:v>
      </x:c>
      <x:c r="N226" s="210" t="n">
        <x:v>1100</x:v>
      </x:c>
      <x:c r="O226" s="210" t="n">
        <x:v>70</x:v>
      </x:c>
      <x:c r="P226" s="210" t="n">
        <x:v>9</x:v>
      </x:c>
      <x:c r="Q226" s="211" t="n">
        <x:v>0.004</x:v>
      </x:c>
      <x:c r="R226" s="207" t="str"/>
      <x:c r="S226" s="207" t="str"/>
      <x:c r="T226" s="207" t="str"/>
      <x:c r="U226" s="207" t="n">
        <x:v>0</x:v>
      </x:c>
      <x:c r="V226" s="208" t="n">
        <x:f>MAX(0,M226-U226)</x:f>
        <x:v>6</x:v>
      </x:c>
      <x:c r="W226" s="209" t="n">
        <x:f>IFERROR(U226/M226,0)</x:f>
        <x:v>0</x:v>
      </x:c>
      <x:c r="X226" s="201" t="str">
        <x:f>IF(U226=0,"Não iniciado",IF(U226&gt;=M226,"Concluído","Parcial"))</x:f>
        <x:v>Não iniciado</x:v>
      </x:c>
      <x:c r="Y226" s="199" t="str"/>
      <x:c r="Z226" s="188" t="str">
        <x:v>Normal</x:v>
      </x:c>
    </x:row>
    <x:row r="227" ht="22" customHeight="1">
      <x:c r="A227" s="217" t="n">
        <x:v>223</x:v>
      </x:c>
      <x:c r="B227" s="218" t="str">
        <x:v>26520</x:v>
      </x:c>
      <x:c r="C227" s="218" t="str">
        <x:v>2</x:v>
      </x:c>
      <x:c r="D227" s="218" t="str">
        <x:v>610075</x:v>
      </x:c>
      <x:c r="E227" s="218" t="str">
        <x:v>976443</x:v>
      </x:c>
      <x:c r="F227" s="218" t="str">
        <x:v>ALIZAR</x:v>
      </x:c>
      <x:c r="G227" s="184" t="str">
        <x:v>T A 1100X70X09 RTO LME PET CNZ VE (UL</x:v>
      </x:c>
      <x:c r="H227" s="184" t="str"/>
      <x:c r="I227" s="184" t="str"/>
      <x:c r="J227" s="184" t="str"/>
      <x:c r="K227" s="184" t="str">
        <x:v>RECOBERTO PET</x:v>
      </x:c>
      <x:c r="L227" s="184" t="str">
        <x:v>CINZA VERONA</x:v>
      </x:c>
      <x:c r="M227" s="205" t="n">
        <x:v>6</x:v>
      </x:c>
      <x:c r="N227" s="205" t="n">
        <x:v>1100</x:v>
      </x:c>
      <x:c r="O227" s="205" t="n">
        <x:v>70</x:v>
      </x:c>
      <x:c r="P227" s="205" t="n">
        <x:v>9</x:v>
      </x:c>
      <x:c r="Q227" s="206" t="n">
        <x:v>0.004</x:v>
      </x:c>
      <x:c r="R227" s="207" t="str"/>
      <x:c r="S227" s="207" t="str"/>
      <x:c r="T227" s="207" t="str"/>
      <x:c r="U227" s="207" t="n">
        <x:v>0</x:v>
      </x:c>
      <x:c r="V227" s="208" t="n">
        <x:f>MAX(0,M227-U227)</x:f>
        <x:v>6</x:v>
      </x:c>
      <x:c r="W227" s="209" t="n">
        <x:f>IFERROR(U227/M227,0)</x:f>
        <x:v>0</x:v>
      </x:c>
      <x:c r="X227" s="201" t="str">
        <x:f>IF(U227=0,"Não iniciado",IF(U227&gt;=M227,"Concluído","Parcial"))</x:f>
        <x:v>Não iniciado</x:v>
      </x:c>
      <x:c r="Y227" s="199" t="str"/>
      <x:c r="Z227" s="188" t="str">
        <x:v>Normal</x:v>
      </x:c>
    </x:row>
    <x:row r="228" ht="22" customHeight="1">
      <x:c r="A228" s="219" t="n">
        <x:v>224</x:v>
      </x:c>
      <x:c r="B228" s="220" t="str">
        <x:v>26808</x:v>
      </x:c>
      <x:c r="C228" s="220" t="str">
        <x:v>1</x:v>
      </x:c>
      <x:c r="D228" s="220" t="str">
        <x:v>608898</x:v>
      </x:c>
      <x:c r="E228" s="220" t="str">
        <x:v>962391</x:v>
      </x:c>
      <x:c r="F228" s="220" t="str">
        <x:v>OUTROS</x:v>
      </x:c>
      <x:c r="G228" s="190" t="str">
        <x:v>TR ALI 1100X70X9 RTO LME REC PET BCO(ULT</x:v>
      </x:c>
      <x:c r="H228" s="190" t="str"/>
      <x:c r="I228" s="190" t="str"/>
      <x:c r="J228" s="190" t="str"/>
      <x:c r="K228" s="190" t="str">
        <x:v>ESMALTE</x:v>
      </x:c>
      <x:c r="L228" s="190" t="str">
        <x:v>BRANCO CARRARA</x:v>
      </x:c>
      <x:c r="M228" s="210" t="n">
        <x:v>144</x:v>
      </x:c>
      <x:c r="N228" s="210" t="n">
        <x:v>1100</x:v>
      </x:c>
      <x:c r="O228" s="210" t="n">
        <x:v>70</x:v>
      </x:c>
      <x:c r="P228" s="210" t="n">
        <x:v>9</x:v>
      </x:c>
      <x:c r="Q228" s="211" t="n">
        <x:v>0</x:v>
      </x:c>
      <x:c r="R228" s="207" t="str"/>
      <x:c r="S228" s="207" t="str"/>
      <x:c r="T228" s="207" t="str"/>
      <x:c r="U228" s="207" t="n">
        <x:v>144</x:v>
      </x:c>
      <x:c r="V228" s="208" t="n">
        <x:f>MAX(0,M228-U228)</x:f>
        <x:v>0</x:v>
      </x:c>
      <x:c r="W228" s="209" t="n">
        <x:f>IFERROR(U228/M228,0)</x:f>
        <x:v>1</x:v>
      </x:c>
      <x:c r="X228" s="201" t="str">
        <x:f>IF(U228=0,"Não iniciado",IF(U228&gt;=M228,"Concluído","Parcial"))</x:f>
        <x:v>Concluído</x:v>
      </x:c>
      <x:c r="Y228" s="199" t="str"/>
      <x:c r="Z228" s="188" t="str">
        <x:v>Normal</x:v>
      </x:c>
    </x:row>
    <x:row r="229" ht="22" customHeight="1">
      <x:c r="A229" s="217" t="n">
        <x:v>225</x:v>
      </x:c>
      <x:c r="B229" s="218" t="str">
        <x:v>26808</x:v>
      </x:c>
      <x:c r="C229" s="218" t="str">
        <x:v>1</x:v>
      </x:c>
      <x:c r="D229" s="218" t="str">
        <x:v>608900</x:v>
      </x:c>
      <x:c r="E229" s="218" t="str">
        <x:v>962969</x:v>
      </x:c>
      <x:c r="F229" s="218" t="str">
        <x:v>OUTROS</x:v>
      </x:c>
      <x:c r="G229" s="184" t="str">
        <x:v>TR AL 1100X70X9 RTO RL35 REC PET BCO (UL</x:v>
      </x:c>
      <x:c r="H229" s="184" t="str"/>
      <x:c r="I229" s="184" t="str"/>
      <x:c r="J229" s="184" t="str"/>
      <x:c r="K229" s="184" t="str">
        <x:v>ESMALTE</x:v>
      </x:c>
      <x:c r="L229" s="184" t="str">
        <x:v>BRANCO CARRARA</x:v>
      </x:c>
      <x:c r="M229" s="205" t="n">
        <x:v>144</x:v>
      </x:c>
      <x:c r="N229" s="205" t="n">
        <x:v>1100</x:v>
      </x:c>
      <x:c r="O229" s="205" t="n">
        <x:v>70</x:v>
      </x:c>
      <x:c r="P229" s="205" t="n">
        <x:v>9</x:v>
      </x:c>
      <x:c r="Q229" s="206" t="n">
        <x:v>0</x:v>
      </x:c>
      <x:c r="R229" s="207" t="str"/>
      <x:c r="S229" s="207" t="str"/>
      <x:c r="T229" s="207" t="str"/>
      <x:c r="U229" s="207" t="n">
        <x:v>144</x:v>
      </x:c>
      <x:c r="V229" s="208" t="n">
        <x:f>MAX(0,M229-U229)</x:f>
        <x:v>0</x:v>
      </x:c>
      <x:c r="W229" s="209" t="n">
        <x:f>IFERROR(U229/M229,0)</x:f>
        <x:v>1</x:v>
      </x:c>
      <x:c r="X229" s="201" t="str">
        <x:f>IF(U229=0,"Não iniciado",IF(U229&gt;=M229,"Concluído","Parcial"))</x:f>
        <x:v>Concluído</x:v>
      </x:c>
      <x:c r="Y229" s="199" t="str"/>
      <x:c r="Z229" s="188" t="str">
        <x:v>Normal</x:v>
      </x:c>
    </x:row>
    <x:row r="230" ht="22" customHeight="1">
      <x:c r="A230" s="219" t="n">
        <x:v>226</x:v>
      </x:c>
      <x:c r="B230" s="220" t="str">
        <x:v>26808</x:v>
      </x:c>
      <x:c r="C230" s="220" t="str">
        <x:v>2</x:v>
      </x:c>
      <x:c r="D230" s="220" t="str">
        <x:v>608906</x:v>
      </x:c>
      <x:c r="E230" s="220" t="str">
        <x:v>962391</x:v>
      </x:c>
      <x:c r="F230" s="220" t="str">
        <x:v>OUTROS</x:v>
      </x:c>
      <x:c r="G230" s="190" t="str">
        <x:v>TR ALI 1100X70X9 RTO LME REC PET BCO(ULT</x:v>
      </x:c>
      <x:c r="H230" s="190" t="str"/>
      <x:c r="I230" s="190" t="str"/>
      <x:c r="J230" s="190" t="str"/>
      <x:c r="K230" s="190" t="str">
        <x:v>ESMALTE</x:v>
      </x:c>
      <x:c r="L230" s="190" t="str">
        <x:v>BRANCO CARRARA</x:v>
      </x:c>
      <x:c r="M230" s="210" t="n">
        <x:v>16</x:v>
      </x:c>
      <x:c r="N230" s="210" t="n">
        <x:v>1100</x:v>
      </x:c>
      <x:c r="O230" s="210" t="n">
        <x:v>70</x:v>
      </x:c>
      <x:c r="P230" s="210" t="n">
        <x:v>9</x:v>
      </x:c>
      <x:c r="Q230" s="211" t="n">
        <x:v>0</x:v>
      </x:c>
      <x:c r="R230" s="207" t="str"/>
      <x:c r="S230" s="207" t="str"/>
      <x:c r="T230" s="207" t="str"/>
      <x:c r="U230" s="207" t="n">
        <x:v>16</x:v>
      </x:c>
      <x:c r="V230" s="208" t="n">
        <x:f>MAX(0,M230-U230)</x:f>
        <x:v>0</x:v>
      </x:c>
      <x:c r="W230" s="209" t="n">
        <x:f>IFERROR(U230/M230,0)</x:f>
        <x:v>1</x:v>
      </x:c>
      <x:c r="X230" s="201" t="str">
        <x:f>IF(U230=0,"Não iniciado",IF(U230&gt;=M230,"Concluído","Parcial"))</x:f>
        <x:v>Concluído</x:v>
      </x:c>
      <x:c r="Y230" s="199" t="str"/>
      <x:c r="Z230" s="188" t="str">
        <x:v>Normal</x:v>
      </x:c>
    </x:row>
    <x:row r="231" ht="22" customHeight="1">
      <x:c r="A231" s="217" t="n">
        <x:v>227</x:v>
      </x:c>
      <x:c r="B231" s="218" t="str">
        <x:v>26808</x:v>
      </x:c>
      <x:c r="C231" s="218" t="str">
        <x:v>2</x:v>
      </x:c>
      <x:c r="D231" s="218" t="str">
        <x:v>608908</x:v>
      </x:c>
      <x:c r="E231" s="218" t="str">
        <x:v>962969</x:v>
      </x:c>
      <x:c r="F231" s="218" t="str">
        <x:v>OUTROS</x:v>
      </x:c>
      <x:c r="G231" s="184" t="str">
        <x:v>TR AL 1100X70X9 RTO RL35 REC PET BCO (UL</x:v>
      </x:c>
      <x:c r="H231" s="184" t="str"/>
      <x:c r="I231" s="184" t="str"/>
      <x:c r="J231" s="184" t="str"/>
      <x:c r="K231" s="184" t="str">
        <x:v>ESMALTE</x:v>
      </x:c>
      <x:c r="L231" s="184" t="str">
        <x:v>BRANCO CARRARA</x:v>
      </x:c>
      <x:c r="M231" s="205" t="n">
        <x:v>16</x:v>
      </x:c>
      <x:c r="N231" s="205" t="n">
        <x:v>1100</x:v>
      </x:c>
      <x:c r="O231" s="205" t="n">
        <x:v>70</x:v>
      </x:c>
      <x:c r="P231" s="205" t="n">
        <x:v>9</x:v>
      </x:c>
      <x:c r="Q231" s="206" t="n">
        <x:v>0</x:v>
      </x:c>
      <x:c r="R231" s="207" t="str"/>
      <x:c r="S231" s="207" t="str"/>
      <x:c r="T231" s="207" t="str"/>
      <x:c r="U231" s="207" t="n">
        <x:v>16</x:v>
      </x:c>
      <x:c r="V231" s="208" t="n">
        <x:f>MAX(0,M231-U231)</x:f>
        <x:v>0</x:v>
      </x:c>
      <x:c r="W231" s="209" t="n">
        <x:f>IFERROR(U231/M231,0)</x:f>
        <x:v>1</x:v>
      </x:c>
      <x:c r="X231" s="201" t="str">
        <x:f>IF(U231=0,"Não iniciado",IF(U231&gt;=M231,"Concluído","Parcial"))</x:f>
        <x:v>Concluído</x:v>
      </x:c>
      <x:c r="Y231" s="199" t="str"/>
      <x:c r="Z231" s="188" t="str">
        <x:v>Normal</x:v>
      </x:c>
    </x:row>
    <x:row r="232" ht="22" customHeight="1">
      <x:c r="A232" s="219" t="n">
        <x:v>228</x:v>
      </x:c>
      <x:c r="B232" s="220" t="str">
        <x:v>26808</x:v>
      </x:c>
      <x:c r="C232" s="220" t="str">
        <x:v>3</x:v>
      </x:c>
      <x:c r="D232" s="220" t="str">
        <x:v>608914</x:v>
      </x:c>
      <x:c r="E232" s="220" t="str">
        <x:v>962391</x:v>
      </x:c>
      <x:c r="F232" s="220" t="str">
        <x:v>OUTROS</x:v>
      </x:c>
      <x:c r="G232" s="190" t="str">
        <x:v>TR ALI 1100X70X9 RTO LME REC PET BCO(ULT</x:v>
      </x:c>
      <x:c r="H232" s="190" t="str"/>
      <x:c r="I232" s="190" t="str"/>
      <x:c r="J232" s="190" t="str"/>
      <x:c r="K232" s="190" t="str">
        <x:v>ESMALTE</x:v>
      </x:c>
      <x:c r="L232" s="190" t="str">
        <x:v>BRANCO CARRARA</x:v>
      </x:c>
      <x:c r="M232" s="210" t="n">
        <x:v>60</x:v>
      </x:c>
      <x:c r="N232" s="210" t="n">
        <x:v>1100</x:v>
      </x:c>
      <x:c r="O232" s="210" t="n">
        <x:v>70</x:v>
      </x:c>
      <x:c r="P232" s="210" t="n">
        <x:v>9</x:v>
      </x:c>
      <x:c r="Q232" s="211" t="n">
        <x:v>0</x:v>
      </x:c>
      <x:c r="R232" s="207" t="str"/>
      <x:c r="S232" s="207" t="str"/>
      <x:c r="T232" s="207" t="str"/>
      <x:c r="U232" s="207" t="n">
        <x:v>60</x:v>
      </x:c>
      <x:c r="V232" s="208" t="n">
        <x:f>MAX(0,M232-U232)</x:f>
        <x:v>0</x:v>
      </x:c>
      <x:c r="W232" s="209" t="n">
        <x:f>IFERROR(U232/M232,0)</x:f>
        <x:v>1</x:v>
      </x:c>
      <x:c r="X232" s="201" t="str">
        <x:f>IF(U232=0,"Não iniciado",IF(U232&gt;=M232,"Concluído","Parcial"))</x:f>
        <x:v>Concluído</x:v>
      </x:c>
      <x:c r="Y232" s="199" t="str"/>
      <x:c r="Z232" s="188" t="str">
        <x:v>Normal</x:v>
      </x:c>
    </x:row>
    <x:row r="233" ht="22" customHeight="1">
      <x:c r="A233" s="217" t="n">
        <x:v>229</x:v>
      </x:c>
      <x:c r="B233" s="218" t="str">
        <x:v>26808</x:v>
      </x:c>
      <x:c r="C233" s="218" t="str">
        <x:v>3</x:v>
      </x:c>
      <x:c r="D233" s="218" t="str">
        <x:v>608916</x:v>
      </x:c>
      <x:c r="E233" s="218" t="str">
        <x:v>962969</x:v>
      </x:c>
      <x:c r="F233" s="218" t="str">
        <x:v>OUTROS</x:v>
      </x:c>
      <x:c r="G233" s="184" t="str">
        <x:v>TR AL 1100X70X9 RTO RL35 REC PET BCO (UL</x:v>
      </x:c>
      <x:c r="H233" s="184" t="str"/>
      <x:c r="I233" s="184" t="str"/>
      <x:c r="J233" s="184" t="str"/>
      <x:c r="K233" s="184" t="str">
        <x:v>ESMALTE</x:v>
      </x:c>
      <x:c r="L233" s="184" t="str">
        <x:v>BRANCO CARRARA</x:v>
      </x:c>
      <x:c r="M233" s="205" t="n">
        <x:v>60</x:v>
      </x:c>
      <x:c r="N233" s="205" t="n">
        <x:v>1100</x:v>
      </x:c>
      <x:c r="O233" s="205" t="n">
        <x:v>70</x:v>
      </x:c>
      <x:c r="P233" s="205" t="n">
        <x:v>9</x:v>
      </x:c>
      <x:c r="Q233" s="206" t="n">
        <x:v>0</x:v>
      </x:c>
      <x:c r="R233" s="207" t="str"/>
      <x:c r="S233" s="207" t="str"/>
      <x:c r="T233" s="207" t="str"/>
      <x:c r="U233" s="207" t="n">
        <x:v>60</x:v>
      </x:c>
      <x:c r="V233" s="208" t="n">
        <x:f>MAX(0,M233-U233)</x:f>
        <x:v>0</x:v>
      </x:c>
      <x:c r="W233" s="209" t="n">
        <x:f>IFERROR(U233/M233,0)</x:f>
        <x:v>1</x:v>
      </x:c>
      <x:c r="X233" s="201" t="str">
        <x:f>IF(U233=0,"Não iniciado",IF(U233&gt;=M233,"Concluído","Parcial"))</x:f>
        <x:v>Concluído</x:v>
      </x:c>
      <x:c r="Y233" s="199" t="str"/>
      <x:c r="Z233" s="188" t="str">
        <x:v>Normal</x:v>
      </x:c>
    </x:row>
    <x:row r="234" ht="22" customHeight="1">
      <x:c r="A234" s="219" t="n">
        <x:v>230</x:v>
      </x:c>
      <x:c r="B234" s="220" t="str">
        <x:v>26808</x:v>
      </x:c>
      <x:c r="C234" s="220" t="str">
        <x:v>4</x:v>
      </x:c>
      <x:c r="D234" s="220" t="str">
        <x:v>608922</x:v>
      </x:c>
      <x:c r="E234" s="220" t="str">
        <x:v>962391</x:v>
      </x:c>
      <x:c r="F234" s="220" t="str">
        <x:v>OUTROS</x:v>
      </x:c>
      <x:c r="G234" s="190" t="str">
        <x:v>TR ALI 1100X70X9 RTO LME REC PET BCO(ULT</x:v>
      </x:c>
      <x:c r="H234" s="190" t="str"/>
      <x:c r="I234" s="190" t="str"/>
      <x:c r="J234" s="190" t="str"/>
      <x:c r="K234" s="190" t="str">
        <x:v>ESMALTE</x:v>
      </x:c>
      <x:c r="L234" s="190" t="str">
        <x:v>BRANCO CARRARA</x:v>
      </x:c>
      <x:c r="M234" s="210" t="n">
        <x:v>63</x:v>
      </x:c>
      <x:c r="N234" s="210" t="n">
        <x:v>1100</x:v>
      </x:c>
      <x:c r="O234" s="210" t="n">
        <x:v>70</x:v>
      </x:c>
      <x:c r="P234" s="210" t="n">
        <x:v>9</x:v>
      </x:c>
      <x:c r="Q234" s="211" t="n">
        <x:v>0</x:v>
      </x:c>
      <x:c r="R234" s="207" t="str"/>
      <x:c r="S234" s="207" t="str"/>
      <x:c r="T234" s="207" t="str"/>
      <x:c r="U234" s="207" t="n">
        <x:v>63</x:v>
      </x:c>
      <x:c r="V234" s="208" t="n">
        <x:f>MAX(0,M234-U234)</x:f>
        <x:v>0</x:v>
      </x:c>
      <x:c r="W234" s="209" t="n">
        <x:f>IFERROR(U234/M234,0)</x:f>
        <x:v>1</x:v>
      </x:c>
      <x:c r="X234" s="201" t="str">
        <x:f>IF(U234=0,"Não iniciado",IF(U234&gt;=M234,"Concluído","Parcial"))</x:f>
        <x:v>Concluído</x:v>
      </x:c>
      <x:c r="Y234" s="199" t="str"/>
      <x:c r="Z234" s="188" t="str">
        <x:v>Normal</x:v>
      </x:c>
    </x:row>
    <x:row r="235" ht="22" customHeight="1">
      <x:c r="A235" s="217" t="n">
        <x:v>231</x:v>
      </x:c>
      <x:c r="B235" s="218" t="str">
        <x:v>26808</x:v>
      </x:c>
      <x:c r="C235" s="218" t="str">
        <x:v>4</x:v>
      </x:c>
      <x:c r="D235" s="218" t="str">
        <x:v>608924</x:v>
      </x:c>
      <x:c r="E235" s="218" t="str">
        <x:v>962969</x:v>
      </x:c>
      <x:c r="F235" s="218" t="str">
        <x:v>OUTROS</x:v>
      </x:c>
      <x:c r="G235" s="184" t="str">
        <x:v>TR AL 1100X70X9 RTO RL35 REC PET BCO (UL</x:v>
      </x:c>
      <x:c r="H235" s="184" t="str"/>
      <x:c r="I235" s="184" t="str"/>
      <x:c r="J235" s="184" t="str"/>
      <x:c r="K235" s="184" t="str">
        <x:v>ESMALTE</x:v>
      </x:c>
      <x:c r="L235" s="184" t="str">
        <x:v>BRANCO CARRARA</x:v>
      </x:c>
      <x:c r="M235" s="205" t="n">
        <x:v>63</x:v>
      </x:c>
      <x:c r="N235" s="205" t="n">
        <x:v>1100</x:v>
      </x:c>
      <x:c r="O235" s="205" t="n">
        <x:v>70</x:v>
      </x:c>
      <x:c r="P235" s="205" t="n">
        <x:v>9</x:v>
      </x:c>
      <x:c r="Q235" s="206" t="n">
        <x:v>0</x:v>
      </x:c>
      <x:c r="R235" s="207" t="str"/>
      <x:c r="S235" s="207" t="str"/>
      <x:c r="T235" s="207" t="str"/>
      <x:c r="U235" s="207" t="n">
        <x:v>63</x:v>
      </x:c>
      <x:c r="V235" s="208" t="n">
        <x:f>MAX(0,M235-U235)</x:f>
        <x:v>0</x:v>
      </x:c>
      <x:c r="W235" s="209" t="n">
        <x:f>IFERROR(U235/M235,0)</x:f>
        <x:v>1</x:v>
      </x:c>
      <x:c r="X235" s="201" t="str">
        <x:f>IF(U235=0,"Não iniciado",IF(U235&gt;=M235,"Concluído","Parcial"))</x:f>
        <x:v>Concluído</x:v>
      </x:c>
      <x:c r="Y235" s="199" t="str"/>
      <x:c r="Z235" s="188" t="str">
        <x:v>Normal</x:v>
      </x:c>
    </x:row>
    <x:row r="236" ht="22" customHeight="1">
      <x:c r="A236" s="219" t="n">
        <x:v>232</x:v>
      </x:c>
      <x:c r="B236" s="220" t="str">
        <x:v>26808</x:v>
      </x:c>
      <x:c r="C236" s="220" t="str">
        <x:v>5</x:v>
      </x:c>
      <x:c r="D236" s="220" t="str">
        <x:v>608930</x:v>
      </x:c>
      <x:c r="E236" s="220" t="str">
        <x:v>962391</x:v>
      </x:c>
      <x:c r="F236" s="220" t="str">
        <x:v>OUTROS</x:v>
      </x:c>
      <x:c r="G236" s="190" t="str">
        <x:v>TR ALI 1100X70X9 RTO LME REC PET BCO(ULT</x:v>
      </x:c>
      <x:c r="H236" s="190" t="str"/>
      <x:c r="I236" s="190" t="str"/>
      <x:c r="J236" s="190" t="str"/>
      <x:c r="K236" s="190" t="str">
        <x:v>ESMALTE</x:v>
      </x:c>
      <x:c r="L236" s="190" t="str">
        <x:v>BRANCO CARRARA</x:v>
      </x:c>
      <x:c r="M236" s="210" t="n">
        <x:v>1</x:v>
      </x:c>
      <x:c r="N236" s="210" t="n">
        <x:v>1100</x:v>
      </x:c>
      <x:c r="O236" s="210" t="n">
        <x:v>70</x:v>
      </x:c>
      <x:c r="P236" s="210" t="n">
        <x:v>9</x:v>
      </x:c>
      <x:c r="Q236" s="211" t="n">
        <x:v>0</x:v>
      </x:c>
      <x:c r="R236" s="207" t="str"/>
      <x:c r="S236" s="207" t="str"/>
      <x:c r="T236" s="207" t="str"/>
      <x:c r="U236" s="207" t="n">
        <x:v>1</x:v>
      </x:c>
      <x:c r="V236" s="208" t="n">
        <x:f>MAX(0,M236-U236)</x:f>
        <x:v>0</x:v>
      </x:c>
      <x:c r="W236" s="209" t="n">
        <x:f>IFERROR(U236/M236,0)</x:f>
        <x:v>1</x:v>
      </x:c>
      <x:c r="X236" s="201" t="str">
        <x:f>IF(U236=0,"Não iniciado",IF(U236&gt;=M236,"Concluído","Parcial"))</x:f>
        <x:v>Concluído</x:v>
      </x:c>
      <x:c r="Y236" s="199" t="str"/>
      <x:c r="Z236" s="188" t="str">
        <x:v>Normal</x:v>
      </x:c>
    </x:row>
    <x:row r="237" ht="22" customHeight="1">
      <x:c r="A237" s="217" t="n">
        <x:v>233</x:v>
      </x:c>
      <x:c r="B237" s="218" t="str">
        <x:v>26808</x:v>
      </x:c>
      <x:c r="C237" s="218" t="str">
        <x:v>5</x:v>
      </x:c>
      <x:c r="D237" s="218" t="str">
        <x:v>608932</x:v>
      </x:c>
      <x:c r="E237" s="218" t="str">
        <x:v>962969</x:v>
      </x:c>
      <x:c r="F237" s="218" t="str">
        <x:v>OUTROS</x:v>
      </x:c>
      <x:c r="G237" s="184" t="str">
        <x:v>TR AL 1100X70X9 RTO RL35 REC PET BCO (UL</x:v>
      </x:c>
      <x:c r="H237" s="184" t="str"/>
      <x:c r="I237" s="184" t="str"/>
      <x:c r="J237" s="184" t="str"/>
      <x:c r="K237" s="184" t="str">
        <x:v>ESMALTE</x:v>
      </x:c>
      <x:c r="L237" s="184" t="str">
        <x:v>BRANCO CARRARA</x:v>
      </x:c>
      <x:c r="M237" s="205" t="n">
        <x:v>1</x:v>
      </x:c>
      <x:c r="N237" s="205" t="n">
        <x:v>1100</x:v>
      </x:c>
      <x:c r="O237" s="205" t="n">
        <x:v>70</x:v>
      </x:c>
      <x:c r="P237" s="205" t="n">
        <x:v>9</x:v>
      </x:c>
      <x:c r="Q237" s="206" t="n">
        <x:v>0</x:v>
      </x:c>
      <x:c r="R237" s="207" t="str"/>
      <x:c r="S237" s="207" t="str"/>
      <x:c r="T237" s="207" t="str"/>
      <x:c r="U237" s="207" t="n">
        <x:v>1</x:v>
      </x:c>
      <x:c r="V237" s="208" t="n">
        <x:f>MAX(0,M237-U237)</x:f>
        <x:v>0</x:v>
      </x:c>
      <x:c r="W237" s="209" t="n">
        <x:f>IFERROR(U237/M237,0)</x:f>
        <x:v>1</x:v>
      </x:c>
      <x:c r="X237" s="201" t="str">
        <x:f>IF(U237=0,"Não iniciado",IF(U237&gt;=M237,"Concluído","Parcial"))</x:f>
        <x:v>Concluído</x:v>
      </x:c>
      <x:c r="Y237" s="199" t="str"/>
      <x:c r="Z237" s="188" t="str">
        <x:v>Normal</x:v>
      </x:c>
    </x:row>
    <x:row r="238" ht="22" customHeight="1">
      <x:c r="A238" s="219" t="n">
        <x:v>234</x:v>
      </x:c>
      <x:c r="B238" s="220" t="str">
        <x:v>26808</x:v>
      </x:c>
      <x:c r="C238" s="220" t="str">
        <x:v>6</x:v>
      </x:c>
      <x:c r="D238" s="220" t="str">
        <x:v>608936</x:v>
      </x:c>
      <x:c r="E238" s="220" t="str">
        <x:v>962391</x:v>
      </x:c>
      <x:c r="F238" s="220" t="str">
        <x:v>OUTROS</x:v>
      </x:c>
      <x:c r="G238" s="190" t="str">
        <x:v>TR ALI 1100X70X9 RTO LME REC PET BCO(ULT</x:v>
      </x:c>
      <x:c r="H238" s="190" t="str"/>
      <x:c r="I238" s="190" t="str"/>
      <x:c r="J238" s="190" t="str"/>
      <x:c r="K238" s="190" t="str">
        <x:v>ESMALTE</x:v>
      </x:c>
      <x:c r="L238" s="190" t="str">
        <x:v>BRANCO CARRARA</x:v>
      </x:c>
      <x:c r="M238" s="210" t="n">
        <x:v>6</x:v>
      </x:c>
      <x:c r="N238" s="210" t="n">
        <x:v>1100</x:v>
      </x:c>
      <x:c r="O238" s="210" t="n">
        <x:v>70</x:v>
      </x:c>
      <x:c r="P238" s="210" t="n">
        <x:v>9</x:v>
      </x:c>
      <x:c r="Q238" s="211" t="n">
        <x:v>0</x:v>
      </x:c>
      <x:c r="R238" s="207" t="str"/>
      <x:c r="S238" s="207" t="str"/>
      <x:c r="T238" s="207" t="str"/>
      <x:c r="U238" s="207" t="n">
        <x:v>6</x:v>
      </x:c>
      <x:c r="V238" s="208" t="n">
        <x:f>MAX(0,M238-U238)</x:f>
        <x:v>0</x:v>
      </x:c>
      <x:c r="W238" s="209" t="n">
        <x:f>IFERROR(U238/M238,0)</x:f>
        <x:v>1</x:v>
      </x:c>
      <x:c r="X238" s="201" t="str">
        <x:f>IF(U238=0,"Não iniciado",IF(U238&gt;=M238,"Concluído","Parcial"))</x:f>
        <x:v>Concluído</x:v>
      </x:c>
      <x:c r="Y238" s="199" t="str"/>
      <x:c r="Z238" s="188" t="str">
        <x:v>Normal</x:v>
      </x:c>
    </x:row>
    <x:row r="239" ht="22" customHeight="1">
      <x:c r="A239" s="217" t="n">
        <x:v>235</x:v>
      </x:c>
      <x:c r="B239" s="218" t="str">
        <x:v>26808</x:v>
      </x:c>
      <x:c r="C239" s="218" t="str">
        <x:v>6</x:v>
      </x:c>
      <x:c r="D239" s="218" t="str">
        <x:v>608938</x:v>
      </x:c>
      <x:c r="E239" s="218" t="str">
        <x:v>962969</x:v>
      </x:c>
      <x:c r="F239" s="218" t="str">
        <x:v>OUTROS</x:v>
      </x:c>
      <x:c r="G239" s="184" t="str">
        <x:v>TR AL 1100X70X9 RTO RL35 REC PET BCO (UL</x:v>
      </x:c>
      <x:c r="H239" s="184" t="str"/>
      <x:c r="I239" s="184" t="str"/>
      <x:c r="J239" s="184" t="str"/>
      <x:c r="K239" s="184" t="str">
        <x:v>ESMALTE</x:v>
      </x:c>
      <x:c r="L239" s="184" t="str">
        <x:v>BRANCO CARRARA</x:v>
      </x:c>
      <x:c r="M239" s="205" t="n">
        <x:v>6</x:v>
      </x:c>
      <x:c r="N239" s="205" t="n">
        <x:v>1100</x:v>
      </x:c>
      <x:c r="O239" s="205" t="n">
        <x:v>70</x:v>
      </x:c>
      <x:c r="P239" s="205" t="n">
        <x:v>9</x:v>
      </x:c>
      <x:c r="Q239" s="206" t="n">
        <x:v>0</x:v>
      </x:c>
      <x:c r="R239" s="207" t="str"/>
      <x:c r="S239" s="207" t="str"/>
      <x:c r="T239" s="207" t="str"/>
      <x:c r="U239" s="207" t="n">
        <x:v>6</x:v>
      </x:c>
      <x:c r="V239" s="208" t="n">
        <x:f>MAX(0,M239-U239)</x:f>
        <x:v>0</x:v>
      </x:c>
      <x:c r="W239" s="209" t="n">
        <x:f>IFERROR(U239/M239,0)</x:f>
        <x:v>1</x:v>
      </x:c>
      <x:c r="X239" s="201" t="str">
        <x:f>IF(U239=0,"Não iniciado",IF(U239&gt;=M239,"Concluído","Parcial"))</x:f>
        <x:v>Concluído</x:v>
      </x:c>
      <x:c r="Y239" s="199" t="str"/>
      <x:c r="Z239" s="188" t="str">
        <x:v>Normal</x:v>
      </x:c>
    </x:row>
    <x:row r="240" ht="22" customHeight="1">
      <x:c r="A240" s="219" t="n">
        <x:v>236</x:v>
      </x:c>
      <x:c r="B240" s="220" t="str">
        <x:v>26808</x:v>
      </x:c>
      <x:c r="C240" s="220" t="str">
        <x:v>7</x:v>
      </x:c>
      <x:c r="D240" s="220" t="str">
        <x:v>608946</x:v>
      </x:c>
      <x:c r="E240" s="220" t="str">
        <x:v>962391</x:v>
      </x:c>
      <x:c r="F240" s="220" t="str">
        <x:v>OUTROS</x:v>
      </x:c>
      <x:c r="G240" s="190" t="str">
        <x:v>TR ALI 1100X70X9 RTO LME REC PET BCO(ULT</x:v>
      </x:c>
      <x:c r="H240" s="190" t="str"/>
      <x:c r="I240" s="190" t="str"/>
      <x:c r="J240" s="190" t="str"/>
      <x:c r="K240" s="190" t="str">
        <x:v>ESMALTE</x:v>
      </x:c>
      <x:c r="L240" s="190" t="str">
        <x:v>BRANCO CARRARA</x:v>
      </x:c>
      <x:c r="M240" s="210" t="n">
        <x:v>4</x:v>
      </x:c>
      <x:c r="N240" s="210" t="n">
        <x:v>1100</x:v>
      </x:c>
      <x:c r="O240" s="210" t="n">
        <x:v>70</x:v>
      </x:c>
      <x:c r="P240" s="210" t="n">
        <x:v>9</x:v>
      </x:c>
      <x:c r="Q240" s="211" t="n">
        <x:v>0</x:v>
      </x:c>
      <x:c r="R240" s="207" t="str"/>
      <x:c r="S240" s="207" t="str"/>
      <x:c r="T240" s="207" t="str"/>
      <x:c r="U240" s="207" t="n">
        <x:v>4</x:v>
      </x:c>
      <x:c r="V240" s="208" t="n">
        <x:f>MAX(0,M240-U240)</x:f>
        <x:v>0</x:v>
      </x:c>
      <x:c r="W240" s="209" t="n">
        <x:f>IFERROR(U240/M240,0)</x:f>
        <x:v>1</x:v>
      </x:c>
      <x:c r="X240" s="201" t="str">
        <x:f>IF(U240=0,"Não iniciado",IF(U240&gt;=M240,"Concluído","Parcial"))</x:f>
        <x:v>Concluído</x:v>
      </x:c>
      <x:c r="Y240" s="199" t="str"/>
      <x:c r="Z240" s="188" t="str">
        <x:v>Normal</x:v>
      </x:c>
    </x:row>
    <x:row r="241" ht="22" customHeight="1">
      <x:c r="A241" s="217" t="n">
        <x:v>237</x:v>
      </x:c>
      <x:c r="B241" s="218" t="str">
        <x:v>26808</x:v>
      </x:c>
      <x:c r="C241" s="218" t="str">
        <x:v>7</x:v>
      </x:c>
      <x:c r="D241" s="218" t="str">
        <x:v>608948</x:v>
      </x:c>
      <x:c r="E241" s="218" t="str">
        <x:v>962969</x:v>
      </x:c>
      <x:c r="F241" s="218" t="str">
        <x:v>OUTROS</x:v>
      </x:c>
      <x:c r="G241" s="184" t="str">
        <x:v>TR AL 1100X70X9 RTO RL35 REC PET BCO (UL</x:v>
      </x:c>
      <x:c r="H241" s="184" t="str"/>
      <x:c r="I241" s="184" t="str"/>
      <x:c r="J241" s="184" t="str"/>
      <x:c r="K241" s="184" t="str">
        <x:v>ESMALTE</x:v>
      </x:c>
      <x:c r="L241" s="184" t="str">
        <x:v>BRANCO CARRARA</x:v>
      </x:c>
      <x:c r="M241" s="205" t="n">
        <x:v>4</x:v>
      </x:c>
      <x:c r="N241" s="205" t="n">
        <x:v>1100</x:v>
      </x:c>
      <x:c r="O241" s="205" t="n">
        <x:v>70</x:v>
      </x:c>
      <x:c r="P241" s="205" t="n">
        <x:v>9</x:v>
      </x:c>
      <x:c r="Q241" s="206" t="n">
        <x:v>0</x:v>
      </x:c>
      <x:c r="R241" s="207" t="str"/>
      <x:c r="S241" s="207" t="str"/>
      <x:c r="T241" s="207" t="str"/>
      <x:c r="U241" s="207" t="n">
        <x:v>4</x:v>
      </x:c>
      <x:c r="V241" s="208" t="n">
        <x:f>MAX(0,M241-U241)</x:f>
        <x:v>0</x:v>
      </x:c>
      <x:c r="W241" s="209" t="n">
        <x:f>IFERROR(U241/M241,0)</x:f>
        <x:v>1</x:v>
      </x:c>
      <x:c r="X241" s="201" t="str">
        <x:f>IF(U241=0,"Não iniciado",IF(U241&gt;=M241,"Concluído","Parcial"))</x:f>
        <x:v>Concluído</x:v>
      </x:c>
      <x:c r="Y241" s="199" t="str"/>
      <x:c r="Z241" s="188" t="str">
        <x:v>Normal</x:v>
      </x:c>
    </x:row>
    <x:row r="242" ht="22" customHeight="1">
      <x:c r="A242" s="219" t="n">
        <x:v>238</x:v>
      </x:c>
      <x:c r="B242" s="220" t="str">
        <x:v>26808</x:v>
      </x:c>
      <x:c r="C242" s="220" t="str">
        <x:v>8</x:v>
      </x:c>
      <x:c r="D242" s="220" t="str">
        <x:v>608954</x:v>
      </x:c>
      <x:c r="E242" s="220" t="str">
        <x:v>962391</x:v>
      </x:c>
      <x:c r="F242" s="220" t="str">
        <x:v>OUTROS</x:v>
      </x:c>
      <x:c r="G242" s="190" t="str">
        <x:v>TR ALI 1100X70X9 RTO LME REC PET BCO(ULT</x:v>
      </x:c>
      <x:c r="H242" s="190" t="str"/>
      <x:c r="I242" s="190" t="str"/>
      <x:c r="J242" s="190" t="str"/>
      <x:c r="K242" s="190" t="str">
        <x:v>ESMALTE</x:v>
      </x:c>
      <x:c r="L242" s="190" t="str">
        <x:v>BRANCO CARRARA</x:v>
      </x:c>
      <x:c r="M242" s="210" t="n">
        <x:v>22</x:v>
      </x:c>
      <x:c r="N242" s="210" t="n">
        <x:v>1100</x:v>
      </x:c>
      <x:c r="O242" s="210" t="n">
        <x:v>70</x:v>
      </x:c>
      <x:c r="P242" s="210" t="n">
        <x:v>9</x:v>
      </x:c>
      <x:c r="Q242" s="211" t="n">
        <x:v>0</x:v>
      </x:c>
      <x:c r="R242" s="207" t="str"/>
      <x:c r="S242" s="207" t="str"/>
      <x:c r="T242" s="207" t="str"/>
      <x:c r="U242" s="207" t="n">
        <x:v>22</x:v>
      </x:c>
      <x:c r="V242" s="208" t="n">
        <x:f>MAX(0,M242-U242)</x:f>
        <x:v>0</x:v>
      </x:c>
      <x:c r="W242" s="209" t="n">
        <x:f>IFERROR(U242/M242,0)</x:f>
        <x:v>1</x:v>
      </x:c>
      <x:c r="X242" s="201" t="str">
        <x:f>IF(U242=0,"Não iniciado",IF(U242&gt;=M242,"Concluído","Parcial"))</x:f>
        <x:v>Concluído</x:v>
      </x:c>
      <x:c r="Y242" s="199" t="str"/>
      <x:c r="Z242" s="188" t="str">
        <x:v>Normal</x:v>
      </x:c>
    </x:row>
    <x:row r="243" ht="22" customHeight="1">
      <x:c r="A243" s="217" t="n">
        <x:v>239</x:v>
      </x:c>
      <x:c r="B243" s="218" t="str">
        <x:v>26808</x:v>
      </x:c>
      <x:c r="C243" s="218" t="str">
        <x:v>8</x:v>
      </x:c>
      <x:c r="D243" s="218" t="str">
        <x:v>608956</x:v>
      </x:c>
      <x:c r="E243" s="218" t="str">
        <x:v>962969</x:v>
      </x:c>
      <x:c r="F243" s="218" t="str">
        <x:v>OUTROS</x:v>
      </x:c>
      <x:c r="G243" s="184" t="str">
        <x:v>TR AL 1100X70X9 RTO RL35 REC PET BCO (UL</x:v>
      </x:c>
      <x:c r="H243" s="184" t="str"/>
      <x:c r="I243" s="184" t="str"/>
      <x:c r="J243" s="184" t="str"/>
      <x:c r="K243" s="184" t="str">
        <x:v>ESMALTE</x:v>
      </x:c>
      <x:c r="L243" s="184" t="str">
        <x:v>BRANCO CARRARA</x:v>
      </x:c>
      <x:c r="M243" s="205" t="n">
        <x:v>22</x:v>
      </x:c>
      <x:c r="N243" s="205" t="n">
        <x:v>1100</x:v>
      </x:c>
      <x:c r="O243" s="205" t="n">
        <x:v>70</x:v>
      </x:c>
      <x:c r="P243" s="205" t="n">
        <x:v>9</x:v>
      </x:c>
      <x:c r="Q243" s="206" t="n">
        <x:v>0</x:v>
      </x:c>
      <x:c r="R243" s="207" t="str"/>
      <x:c r="S243" s="207" t="str"/>
      <x:c r="T243" s="207" t="str"/>
      <x:c r="U243" s="207" t="n">
        <x:v>22</x:v>
      </x:c>
      <x:c r="V243" s="208" t="n">
        <x:f>MAX(0,M243-U243)</x:f>
        <x:v>0</x:v>
      </x:c>
      <x:c r="W243" s="209" t="n">
        <x:f>IFERROR(U243/M243,0)</x:f>
        <x:v>1</x:v>
      </x:c>
      <x:c r="X243" s="201" t="str">
        <x:f>IF(U243=0,"Não iniciado",IF(U243&gt;=M243,"Concluído","Parcial"))</x:f>
        <x:v>Concluído</x:v>
      </x:c>
      <x:c r="Y243" s="199" t="str"/>
      <x:c r="Z243" s="188" t="str">
        <x:v>Normal</x:v>
      </x:c>
    </x:row>
    <x:row r="244" ht="22" customHeight="1">
      <x:c r="A244" s="219" t="n">
        <x:v>240</x:v>
      </x:c>
      <x:c r="B244" s="220" t="str">
        <x:v>26808</x:v>
      </x:c>
      <x:c r="C244" s="220" t="str">
        <x:v>9</x:v>
      </x:c>
      <x:c r="D244" s="220" t="str">
        <x:v>608962</x:v>
      </x:c>
      <x:c r="E244" s="220" t="str">
        <x:v>962391</x:v>
      </x:c>
      <x:c r="F244" s="220" t="str">
        <x:v>OUTROS</x:v>
      </x:c>
      <x:c r="G244" s="190" t="str">
        <x:v>TR ALI 1100X70X9 RTO LME REC PET BCO(ULT</x:v>
      </x:c>
      <x:c r="H244" s="190" t="str"/>
      <x:c r="I244" s="190" t="str"/>
      <x:c r="J244" s="190" t="str"/>
      <x:c r="K244" s="190" t="str">
        <x:v>ESMALTE</x:v>
      </x:c>
      <x:c r="L244" s="190" t="str">
        <x:v>BRANCO CARRARA</x:v>
      </x:c>
      <x:c r="M244" s="210" t="n">
        <x:v>71</x:v>
      </x:c>
      <x:c r="N244" s="210" t="n">
        <x:v>1100</x:v>
      </x:c>
      <x:c r="O244" s="210" t="n">
        <x:v>70</x:v>
      </x:c>
      <x:c r="P244" s="210" t="n">
        <x:v>9</x:v>
      </x:c>
      <x:c r="Q244" s="211" t="n">
        <x:v>0</x:v>
      </x:c>
      <x:c r="R244" s="207" t="str"/>
      <x:c r="S244" s="207" t="str"/>
      <x:c r="T244" s="207" t="str"/>
      <x:c r="U244" s="207" t="n">
        <x:v>71</x:v>
      </x:c>
      <x:c r="V244" s="208" t="n">
        <x:f>MAX(0,M244-U244)</x:f>
        <x:v>0</x:v>
      </x:c>
      <x:c r="W244" s="209" t="n">
        <x:f>IFERROR(U244/M244,0)</x:f>
        <x:v>1</x:v>
      </x:c>
      <x:c r="X244" s="201" t="str">
        <x:f>IF(U244=0,"Não iniciado",IF(U244&gt;=M244,"Concluído","Parcial"))</x:f>
        <x:v>Concluído</x:v>
      </x:c>
      <x:c r="Y244" s="199" t="str"/>
      <x:c r="Z244" s="188" t="str">
        <x:v>Normal</x:v>
      </x:c>
    </x:row>
    <x:row r="245" ht="22" customHeight="1">
      <x:c r="A245" s="217" t="n">
        <x:v>241</x:v>
      </x:c>
      <x:c r="B245" s="218" t="str">
        <x:v>26808</x:v>
      </x:c>
      <x:c r="C245" s="218" t="str">
        <x:v>9</x:v>
      </x:c>
      <x:c r="D245" s="218" t="str">
        <x:v>608964</x:v>
      </x:c>
      <x:c r="E245" s="218" t="str">
        <x:v>962969</x:v>
      </x:c>
      <x:c r="F245" s="218" t="str">
        <x:v>OUTROS</x:v>
      </x:c>
      <x:c r="G245" s="184" t="str">
        <x:v>TR AL 1100X70X9 RTO RL35 REC PET BCO (UL</x:v>
      </x:c>
      <x:c r="H245" s="184" t="str"/>
      <x:c r="I245" s="184" t="str"/>
      <x:c r="J245" s="184" t="str"/>
      <x:c r="K245" s="184" t="str">
        <x:v>ESMALTE</x:v>
      </x:c>
      <x:c r="L245" s="184" t="str">
        <x:v>BRANCO CARRARA</x:v>
      </x:c>
      <x:c r="M245" s="205" t="n">
        <x:v>71</x:v>
      </x:c>
      <x:c r="N245" s="205" t="n">
        <x:v>1100</x:v>
      </x:c>
      <x:c r="O245" s="205" t="n">
        <x:v>70</x:v>
      </x:c>
      <x:c r="P245" s="205" t="n">
        <x:v>9</x:v>
      </x:c>
      <x:c r="Q245" s="206" t="n">
        <x:v>0</x:v>
      </x:c>
      <x:c r="R245" s="207" t="str"/>
      <x:c r="S245" s="207" t="str"/>
      <x:c r="T245" s="207" t="str"/>
      <x:c r="U245" s="207" t="n">
        <x:v>71</x:v>
      </x:c>
      <x:c r="V245" s="208" t="n">
        <x:f>MAX(0,M245-U245)</x:f>
        <x:v>0</x:v>
      </x:c>
      <x:c r="W245" s="209" t="n">
        <x:f>IFERROR(U245/M245,0)</x:f>
        <x:v>1</x:v>
      </x:c>
      <x:c r="X245" s="201" t="str">
        <x:f>IF(U245=0,"Não iniciado",IF(U245&gt;=M245,"Concluído","Parcial"))</x:f>
        <x:v>Concluído</x:v>
      </x:c>
      <x:c r="Y245" s="199" t="str"/>
      <x:c r="Z245" s="188" t="str">
        <x:v>Normal</x:v>
      </x:c>
    </x:row>
    <x:row r="246" ht="22" customHeight="1">
      <x:c r="A246" s="219" t="n">
        <x:v>242</x:v>
      </x:c>
      <x:c r="B246" s="220" t="str">
        <x:v>26808</x:v>
      </x:c>
      <x:c r="C246" s="220" t="str">
        <x:v>10</x:v>
      </x:c>
      <x:c r="D246" s="220" t="str">
        <x:v>608970</x:v>
      </x:c>
      <x:c r="E246" s="220" t="str">
        <x:v>962391</x:v>
      </x:c>
      <x:c r="F246" s="220" t="str">
        <x:v>OUTROS</x:v>
      </x:c>
      <x:c r="G246" s="190" t="str">
        <x:v>TR ALI 1100X70X9 RTO LME REC PET BCO(ULT</x:v>
      </x:c>
      <x:c r="H246" s="190" t="str"/>
      <x:c r="I246" s="190" t="str"/>
      <x:c r="J246" s="190" t="str"/>
      <x:c r="K246" s="190" t="str">
        <x:v>ESMALTE</x:v>
      </x:c>
      <x:c r="L246" s="190" t="str">
        <x:v>BRANCO CARRARA</x:v>
      </x:c>
      <x:c r="M246" s="210" t="n">
        <x:v>1</x:v>
      </x:c>
      <x:c r="N246" s="210" t="n">
        <x:v>1100</x:v>
      </x:c>
      <x:c r="O246" s="210" t="n">
        <x:v>70</x:v>
      </x:c>
      <x:c r="P246" s="210" t="n">
        <x:v>9</x:v>
      </x:c>
      <x:c r="Q246" s="211" t="n">
        <x:v>0</x:v>
      </x:c>
      <x:c r="R246" s="207" t="str"/>
      <x:c r="S246" s="207" t="str"/>
      <x:c r="T246" s="207" t="str"/>
      <x:c r="U246" s="207" t="n">
        <x:v>1</x:v>
      </x:c>
      <x:c r="V246" s="208" t="n">
        <x:f>MAX(0,M246-U246)</x:f>
        <x:v>0</x:v>
      </x:c>
      <x:c r="W246" s="209" t="n">
        <x:f>IFERROR(U246/M246,0)</x:f>
        <x:v>1</x:v>
      </x:c>
      <x:c r="X246" s="201" t="str">
        <x:f>IF(U246=0,"Não iniciado",IF(U246&gt;=M246,"Concluído","Parcial"))</x:f>
        <x:v>Concluído</x:v>
      </x:c>
      <x:c r="Y246" s="199" t="str"/>
      <x:c r="Z246" s="188" t="str">
        <x:v>Normal</x:v>
      </x:c>
    </x:row>
    <x:row r="247" ht="22" customHeight="1">
      <x:c r="A247" s="217" t="n">
        <x:v>243</x:v>
      </x:c>
      <x:c r="B247" s="218" t="str">
        <x:v>26808</x:v>
      </x:c>
      <x:c r="C247" s="218" t="str">
        <x:v>10</x:v>
      </x:c>
      <x:c r="D247" s="218" t="str">
        <x:v>608972</x:v>
      </x:c>
      <x:c r="E247" s="218" t="str">
        <x:v>962969</x:v>
      </x:c>
      <x:c r="F247" s="218" t="str">
        <x:v>OUTROS</x:v>
      </x:c>
      <x:c r="G247" s="184" t="str">
        <x:v>TR AL 1100X70X9 RTO RL35 REC PET BCO (UL</x:v>
      </x:c>
      <x:c r="H247" s="184" t="str"/>
      <x:c r="I247" s="184" t="str"/>
      <x:c r="J247" s="184" t="str"/>
      <x:c r="K247" s="184" t="str">
        <x:v>ESMALTE</x:v>
      </x:c>
      <x:c r="L247" s="184" t="str">
        <x:v>BRANCO CARRARA</x:v>
      </x:c>
      <x:c r="M247" s="205" t="n">
        <x:v>1</x:v>
      </x:c>
      <x:c r="N247" s="205" t="n">
        <x:v>1100</x:v>
      </x:c>
      <x:c r="O247" s="205" t="n">
        <x:v>70</x:v>
      </x:c>
      <x:c r="P247" s="205" t="n">
        <x:v>9</x:v>
      </x:c>
      <x:c r="Q247" s="206" t="n">
        <x:v>0</x:v>
      </x:c>
      <x:c r="R247" s="207" t="str"/>
      <x:c r="S247" s="207" t="str"/>
      <x:c r="T247" s="207" t="str"/>
      <x:c r="U247" s="207" t="n">
        <x:v>1</x:v>
      </x:c>
      <x:c r="V247" s="208" t="n">
        <x:f>MAX(0,M247-U247)</x:f>
        <x:v>0</x:v>
      </x:c>
      <x:c r="W247" s="209" t="n">
        <x:f>IFERROR(U247/M247,0)</x:f>
        <x:v>1</x:v>
      </x:c>
      <x:c r="X247" s="201" t="str">
        <x:f>IF(U247=0,"Não iniciado",IF(U247&gt;=M247,"Concluído","Parcial"))</x:f>
        <x:v>Concluído</x:v>
      </x:c>
      <x:c r="Y247" s="199" t="str"/>
      <x:c r="Z247" s="188" t="str">
        <x:v>Normal</x:v>
      </x:c>
    </x:row>
    <x:row r="248" ht="22" customHeight="1">
      <x:c r="A248" s="219" t="n">
        <x:v>244</x:v>
      </x:c>
      <x:c r="B248" s="220" t="str">
        <x:v>26800</x:v>
      </x:c>
      <x:c r="C248" s="220" t="str">
        <x:v>5</x:v>
      </x:c>
      <x:c r="D248" s="220" t="str">
        <x:v>609980</x:v>
      </x:c>
      <x:c r="E248" s="220" t="str">
        <x:v>979739</x:v>
      </x:c>
      <x:c r="F248" s="220" t="str">
        <x:v>OUTROS</x:v>
      </x:c>
      <x:c r="G248" s="190" t="str">
        <x:v>TR ALI 1100X70X9 RTO RL55 PET MALVA (UL</x:v>
      </x:c>
      <x:c r="H248" s="190" t="str">
        <x:v>REG 2L(MAIOR 55MM)</x:v>
      </x:c>
      <x:c r="I248" s="190" t="str"/>
      <x:c r="J248" s="190" t="str"/>
      <x:c r="K248" s="190" t="str">
        <x:v>RECOBERTO PET</x:v>
      </x:c>
      <x:c r="L248" s="190" t="str">
        <x:v>CARVALHO MALVA</x:v>
      </x:c>
      <x:c r="M248" s="210" t="n">
        <x:v>6</x:v>
      </x:c>
      <x:c r="N248" s="210" t="n">
        <x:v>1100</x:v>
      </x:c>
      <x:c r="O248" s="210" t="n">
        <x:v>70</x:v>
      </x:c>
      <x:c r="P248" s="210" t="n">
        <x:v>9</x:v>
      </x:c>
      <x:c r="Q248" s="211" t="n">
        <x:v>0</x:v>
      </x:c>
      <x:c r="R248" s="207" t="str"/>
      <x:c r="S248" s="207" t="str"/>
      <x:c r="T248" s="207" t="str"/>
      <x:c r="U248" s="207" t="n">
        <x:v>0</x:v>
      </x:c>
      <x:c r="V248" s="208" t="n">
        <x:f>MAX(0,M248-U248)</x:f>
        <x:v>6</x:v>
      </x:c>
      <x:c r="W248" s="209" t="n">
        <x:f>IFERROR(U248/M248,0)</x:f>
        <x:v>0</x:v>
      </x:c>
      <x:c r="X248" s="201" t="str">
        <x:f>IF(U248=0,"Não iniciado",IF(U248&gt;=M248,"Concluído","Parcial"))</x:f>
        <x:v>Não iniciado</x:v>
      </x:c>
      <x:c r="Y248" s="199" t="str"/>
      <x:c r="Z248" s="188" t="str">
        <x:v>Normal</x:v>
      </x:c>
    </x:row>
    <x:row r="249" ht="22" customHeight="1">
      <x:c r="A249" s="217" t="n">
        <x:v>245</x:v>
      </x:c>
      <x:c r="B249" s="218" t="str">
        <x:v>26800</x:v>
      </x:c>
      <x:c r="C249" s="218" t="str">
        <x:v>5</x:v>
      </x:c>
      <x:c r="D249" s="218" t="str">
        <x:v>609982</x:v>
      </x:c>
      <x:c r="E249" s="218" t="str">
        <x:v>979741</x:v>
      </x:c>
      <x:c r="F249" s="218" t="str">
        <x:v>OUTROS</x:v>
      </x:c>
      <x:c r="G249" s="184" t="str">
        <x:v>TR ALI 1100X70X9 RTO LME PET MALVA (ULT</x:v>
      </x:c>
      <x:c r="H249" s="184" t="str">
        <x:v>REG 2L(MAIOR 55MM)</x:v>
      </x:c>
      <x:c r="I249" s="184" t="str"/>
      <x:c r="J249" s="184" t="str"/>
      <x:c r="K249" s="184" t="str">
        <x:v>RECOBERTO PET</x:v>
      </x:c>
      <x:c r="L249" s="184" t="str">
        <x:v>CARVALHO MALVA</x:v>
      </x:c>
      <x:c r="M249" s="205" t="n">
        <x:v>6</x:v>
      </x:c>
      <x:c r="N249" s="205" t="n">
        <x:v>1100</x:v>
      </x:c>
      <x:c r="O249" s="205" t="n">
        <x:v>70</x:v>
      </x:c>
      <x:c r="P249" s="205" t="n">
        <x:v>9</x:v>
      </x:c>
      <x:c r="Q249" s="206" t="n">
        <x:v>0</x:v>
      </x:c>
      <x:c r="R249" s="207" t="str"/>
      <x:c r="S249" s="207" t="str"/>
      <x:c r="T249" s="207" t="str"/>
      <x:c r="U249" s="207" t="n">
        <x:v>0</x:v>
      </x:c>
      <x:c r="V249" s="208" t="n">
        <x:f>MAX(0,M249-U249)</x:f>
        <x:v>6</x:v>
      </x:c>
      <x:c r="W249" s="209" t="n">
        <x:f>IFERROR(U249/M249,0)</x:f>
        <x:v>0</x:v>
      </x:c>
      <x:c r="X249" s="201" t="str">
        <x:f>IF(U249=0,"Não iniciado",IF(U249&gt;=M249,"Concluído","Parcial"))</x:f>
        <x:v>Não iniciado</x:v>
      </x:c>
      <x:c r="Y249" s="199" t="str"/>
      <x:c r="Z249" s="188" t="str">
        <x:v>Normal</x:v>
      </x:c>
    </x:row>
    <x:row r="250" ht="22" customHeight="1">
      <x:c r="A250" s="219" t="n">
        <x:v>246</x:v>
      </x:c>
      <x:c r="B250" s="220" t="str">
        <x:v>26684</x:v>
      </x:c>
      <x:c r="C250" s="220" t="str">
        <x:v>6</x:v>
      </x:c>
      <x:c r="D250" s="220" t="str">
        <x:v>609155</x:v>
      </x:c>
      <x:c r="E250" s="220" t="str">
        <x:v>981168</x:v>
      </x:c>
      <x:c r="F250" s="220" t="str">
        <x:v>ALIZAR</x:v>
      </x:c>
      <x:c r="G250" s="190" t="str">
        <x:v>T A 1000X70X15 RTO LMN REC PET BCO(STD)</x:v>
      </x:c>
      <x:c r="H250" s="190" t="str"/>
      <x:c r="I250" s="190" t="str"/>
      <x:c r="J250" s="190" t="str"/>
      <x:c r="K250" s="190" t="str">
        <x:v>ESMALTE</x:v>
      </x:c>
      <x:c r="L250" s="190" t="str">
        <x:v>BRANCO CARRARA</x:v>
      </x:c>
      <x:c r="M250" s="210" t="n">
        <x:v>2</x:v>
      </x:c>
      <x:c r="N250" s="210" t="n">
        <x:v>1000</x:v>
      </x:c>
      <x:c r="O250" s="210" t="n">
        <x:v>70</x:v>
      </x:c>
      <x:c r="P250" s="210" t="n">
        <x:v>15</x:v>
      </x:c>
      <x:c r="Q250" s="211" t="n">
        <x:v>0</x:v>
      </x:c>
      <x:c r="R250" s="207" t="str"/>
      <x:c r="S250" s="207" t="str"/>
      <x:c r="T250" s="207" t="str"/>
      <x:c r="U250" s="207" t="n">
        <x:v>0</x:v>
      </x:c>
      <x:c r="V250" s="208" t="n">
        <x:f>MAX(0,M250-U250)</x:f>
        <x:v>2</x:v>
      </x:c>
      <x:c r="W250" s="209" t="n">
        <x:f>IFERROR(U250/M250,0)</x:f>
        <x:v>0</x:v>
      </x:c>
      <x:c r="X250" s="201" t="str">
        <x:f>IF(U250=0,"Não iniciado",IF(U250&gt;=M250,"Concluído","Parcial"))</x:f>
        <x:v>Não iniciado</x:v>
      </x:c>
      <x:c r="Y250" s="199" t="str"/>
      <x:c r="Z250" s="188" t="str">
        <x:v>Normal</x:v>
      </x:c>
    </x:row>
    <x:row r="251" ht="22" customHeight="1">
      <x:c r="A251" s="217" t="n">
        <x:v>247</x:v>
      </x:c>
      <x:c r="B251" s="218" t="str">
        <x:v>26684</x:v>
      </x:c>
      <x:c r="C251" s="218" t="str">
        <x:v>10</x:v>
      </x:c>
      <x:c r="D251" s="218" t="str">
        <x:v>609187</x:v>
      </x:c>
      <x:c r="E251" s="218" t="str">
        <x:v>981168</x:v>
      </x:c>
      <x:c r="F251" s="218" t="str">
        <x:v>ALIZAR</x:v>
      </x:c>
      <x:c r="G251" s="184" t="str">
        <x:v>T A 1000X70X15 RTO LMN REC PET BCO(STD)</x:v>
      </x:c>
      <x:c r="H251" s="184" t="str"/>
      <x:c r="I251" s="184" t="str"/>
      <x:c r="J251" s="184" t="str"/>
      <x:c r="K251" s="184" t="str">
        <x:v>ESMALTE</x:v>
      </x:c>
      <x:c r="L251" s="184" t="str">
        <x:v>BRANCO CARRARA</x:v>
      </x:c>
      <x:c r="M251" s="205" t="n">
        <x:v>2</x:v>
      </x:c>
      <x:c r="N251" s="205" t="n">
        <x:v>1000</x:v>
      </x:c>
      <x:c r="O251" s="205" t="n">
        <x:v>70</x:v>
      </x:c>
      <x:c r="P251" s="205" t="n">
        <x:v>15</x:v>
      </x:c>
      <x:c r="Q251" s="206" t="n">
        <x:v>0</x:v>
      </x:c>
      <x:c r="R251" s="207" t="str"/>
      <x:c r="S251" s="207" t="str"/>
      <x:c r="T251" s="207" t="str"/>
      <x:c r="U251" s="207" t="n">
        <x:v>0</x:v>
      </x:c>
      <x:c r="V251" s="208" t="n">
        <x:f>MAX(0,M251-U251)</x:f>
        <x:v>2</x:v>
      </x:c>
      <x:c r="W251" s="209" t="n">
        <x:f>IFERROR(U251/M251,0)</x:f>
        <x:v>0</x:v>
      </x:c>
      <x:c r="X251" s="201" t="str">
        <x:f>IF(U251=0,"Não iniciado",IF(U251&gt;=M251,"Concluído","Parcial"))</x:f>
        <x:v>Não iniciado</x:v>
      </x:c>
      <x:c r="Y251" s="199" t="str"/>
      <x:c r="Z251" s="188" t="str">
        <x:v>Normal</x:v>
      </x:c>
    </x:row>
    <x:row r="252" ht="22" customHeight="1">
      <x:c r="A252" s="219" t="n">
        <x:v>248</x:v>
      </x:c>
      <x:c r="B252" s="220" t="str">
        <x:v>26689</x:v>
      </x:c>
      <x:c r="C252" s="220" t="str">
        <x:v>4</x:v>
      </x:c>
      <x:c r="D252" s="220" t="str">
        <x:v>609106</x:v>
      </x:c>
      <x:c r="E252" s="220" t="str">
        <x:v>981168</x:v>
      </x:c>
      <x:c r="F252" s="220" t="str">
        <x:v>ALIZAR</x:v>
      </x:c>
      <x:c r="G252" s="190" t="str">
        <x:v>T A 1000X70X15 RTO LMN REC PET BCO(STD)</x:v>
      </x:c>
      <x:c r="H252" s="190" t="str"/>
      <x:c r="I252" s="190" t="str"/>
      <x:c r="J252" s="190" t="str"/>
      <x:c r="K252" s="190" t="str">
        <x:v>ESMALTE</x:v>
      </x:c>
      <x:c r="L252" s="190" t="str">
        <x:v>BRANCO CARRARA</x:v>
      </x:c>
      <x:c r="M252" s="210" t="n">
        <x:v>3</x:v>
      </x:c>
      <x:c r="N252" s="210" t="n">
        <x:v>1000</x:v>
      </x:c>
      <x:c r="O252" s="210" t="n">
        <x:v>70</x:v>
      </x:c>
      <x:c r="P252" s="210" t="n">
        <x:v>15</x:v>
      </x:c>
      <x:c r="Q252" s="211" t="n">
        <x:v>0</x:v>
      </x:c>
      <x:c r="R252" s="207" t="str"/>
      <x:c r="S252" s="207" t="str"/>
      <x:c r="T252" s="207" t="str"/>
      <x:c r="U252" s="207" t="n">
        <x:v>0</x:v>
      </x:c>
      <x:c r="V252" s="208" t="n">
        <x:f>MAX(0,M252-U252)</x:f>
        <x:v>3</x:v>
      </x:c>
      <x:c r="W252" s="209" t="n">
        <x:f>IFERROR(U252/M252,0)</x:f>
        <x:v>0</x:v>
      </x:c>
      <x:c r="X252" s="201" t="str">
        <x:f>IF(U252=0,"Não iniciado",IF(U252&gt;=M252,"Concluído","Parcial"))</x:f>
        <x:v>Não iniciado</x:v>
      </x:c>
      <x:c r="Y252" s="199" t="str"/>
      <x:c r="Z252" s="188" t="str">
        <x:v>Normal</x:v>
      </x:c>
    </x:row>
    <x:row r="253" ht="22" customHeight="1">
      <x:c r="A253" s="217" t="n">
        <x:v>249</x:v>
      </x:c>
      <x:c r="B253" s="218" t="str">
        <x:v>26747</x:v>
      </x:c>
      <x:c r="C253" s="218" t="str">
        <x:v>3</x:v>
      </x:c>
      <x:c r="D253" s="218" t="str">
        <x:v>609004</x:v>
      </x:c>
      <x:c r="E253" s="218" t="str">
        <x:v>980487</x:v>
      </x:c>
      <x:c r="F253" s="218" t="str">
        <x:v>OUTROS</x:v>
      </x:c>
      <x:c r="G253" s="184" t="str">
        <x:v>TRA ALI 1000X70X12 RT LME RC PET BCO(ULT</x:v>
      </x:c>
      <x:c r="H253" s="184" t="str">
        <x:v>REG 2L(MAIOR 55MM)</x:v>
      </x:c>
      <x:c r="I253" s="184" t="str"/>
      <x:c r="J253" s="184" t="str"/>
      <x:c r="K253" s="184" t="str">
        <x:v>RECOBERTO PET</x:v>
      </x:c>
      <x:c r="L253" s="184" t="str">
        <x:v>BRANCO CARRARA</x:v>
      </x:c>
      <x:c r="M253" s="205" t="n">
        <x:v>9</x:v>
      </x:c>
      <x:c r="N253" s="205" t="n">
        <x:v>1000</x:v>
      </x:c>
      <x:c r="O253" s="205" t="n">
        <x:v>70</x:v>
      </x:c>
      <x:c r="P253" s="205" t="n">
        <x:v>12</x:v>
      </x:c>
      <x:c r="Q253" s="206" t="n">
        <x:v>0</x:v>
      </x:c>
      <x:c r="R253" s="207" t="str"/>
      <x:c r="S253" s="207" t="str"/>
      <x:c r="T253" s="207" t="str"/>
      <x:c r="U253" s="207" t="n">
        <x:v>0</x:v>
      </x:c>
      <x:c r="V253" s="208" t="n">
        <x:f>MAX(0,M253-U253)</x:f>
        <x:v>9</x:v>
      </x:c>
      <x:c r="W253" s="209" t="n">
        <x:f>IFERROR(U253/M253,0)</x:f>
        <x:v>0</x:v>
      </x:c>
      <x:c r="X253" s="201" t="str">
        <x:f>IF(U253=0,"Não iniciado",IF(U253&gt;=M253,"Concluído","Parcial"))</x:f>
        <x:v>Não iniciado</x:v>
      </x:c>
      <x:c r="Y253" s="199" t="str"/>
      <x:c r="Z253" s="188" t="str">
        <x:v>Normal</x:v>
      </x:c>
    </x:row>
    <x:row r="254" ht="22" customHeight="1">
      <x:c r="A254" s="219" t="n">
        <x:v>250</x:v>
      </x:c>
      <x:c r="B254" s="220" t="str">
        <x:v>26747</x:v>
      </x:c>
      <x:c r="C254" s="220" t="str">
        <x:v>3</x:v>
      </x:c>
      <x:c r="D254" s="220" t="str">
        <x:v>609005</x:v>
      </x:c>
      <x:c r="E254" s="220" t="str">
        <x:v>980492</x:v>
      </x:c>
      <x:c r="F254" s="220" t="str">
        <x:v>OUTROS</x:v>
      </x:c>
      <x:c r="G254" s="190" t="str">
        <x:v>TRA ALI 1000X70X12 RT RL55 RC PET BCO(UL</x:v>
      </x:c>
      <x:c r="H254" s="190" t="str">
        <x:v>REG 2L(MAIOR 55MM)</x:v>
      </x:c>
      <x:c r="I254" s="190" t="str"/>
      <x:c r="J254" s="190" t="str"/>
      <x:c r="K254" s="190" t="str">
        <x:v>RECOBERTO PET</x:v>
      </x:c>
      <x:c r="L254" s="190" t="str">
        <x:v>BRANCO CARRARA</x:v>
      </x:c>
      <x:c r="M254" s="210" t="n">
        <x:v>9</x:v>
      </x:c>
      <x:c r="N254" s="210" t="n">
        <x:v>1000</x:v>
      </x:c>
      <x:c r="O254" s="210" t="n">
        <x:v>70</x:v>
      </x:c>
      <x:c r="P254" s="210" t="n">
        <x:v>12</x:v>
      </x:c>
      <x:c r="Q254" s="211" t="n">
        <x:v>0</x:v>
      </x:c>
      <x:c r="R254" s="207" t="str"/>
      <x:c r="S254" s="207" t="str"/>
      <x:c r="T254" s="207" t="str"/>
      <x:c r="U254" s="207" t="n">
        <x:v>0</x:v>
      </x:c>
      <x:c r="V254" s="208" t="n">
        <x:f>MAX(0,M254-U254)</x:f>
        <x:v>9</x:v>
      </x:c>
      <x:c r="W254" s="209" t="n">
        <x:f>IFERROR(U254/M254,0)</x:f>
        <x:v>0</x:v>
      </x:c>
      <x:c r="X254" s="201" t="str">
        <x:f>IF(U254=0,"Não iniciado",IF(U254&gt;=M254,"Concluído","Parcial"))</x:f>
        <x:v>Não iniciado</x:v>
      </x:c>
      <x:c r="Y254" s="199" t="str"/>
      <x:c r="Z254" s="188" t="str">
        <x:v>Normal</x:v>
      </x:c>
    </x:row>
    <x:row r="255" ht="22" customHeight="1">
      <x:c r="A255" s="217" t="n">
        <x:v>251</x:v>
      </x:c>
      <x:c r="B255" s="218" t="str">
        <x:v>26520</x:v>
      </x:c>
      <x:c r="C255" s="218" t="str">
        <x:v>6</x:v>
      </x:c>
      <x:c r="D255" s="218" t="str">
        <x:v>610108</x:v>
      </x:c>
      <x:c r="E255" s="218" t="str">
        <x:v>2010701217</x:v>
      </x:c>
      <x:c r="F255" s="218" t="str">
        <x:v>BATENTE</x:v>
      </x:c>
      <x:c r="G255" s="184" t="str">
        <x:v>M ULTRA PET CI VE 647X70X30 42X10 R2L ME</x:v>
      </x:c>
      <x:c r="H255" s="184" t="str"/>
      <x:c r="I255" s="184" t="str"/>
      <x:c r="J255" s="184" t="str"/>
      <x:c r="K255" s="184" t="str">
        <x:v>RECOBERTO PET</x:v>
      </x:c>
      <x:c r="L255" s="184" t="str">
        <x:v>CINZA VERONA</x:v>
      </x:c>
      <x:c r="M255" s="205" t="n">
        <x:v>1</x:v>
      </x:c>
      <x:c r="N255" s="205" t="n">
        <x:v>647</x:v>
      </x:c>
      <x:c r="O255" s="205" t="n">
        <x:v>70</x:v>
      </x:c>
      <x:c r="P255" s="205" t="n">
        <x:v>30</x:v>
      </x:c>
      <x:c r="Q255" s="206" t="n">
        <x:v>0.001</x:v>
      </x:c>
      <x:c r="R255" s="207" t="str"/>
      <x:c r="S255" s="207" t="str"/>
      <x:c r="T255" s="207" t="str"/>
      <x:c r="U255" s="207" t="n">
        <x:v>1</x:v>
      </x:c>
      <x:c r="V255" s="208" t="n">
        <x:f>MAX(0,M255-U255)</x:f>
        <x:v>0</x:v>
      </x:c>
      <x:c r="W255" s="209" t="n">
        <x:f>IFERROR(U255/M255,0)</x:f>
        <x:v>1</x:v>
      </x:c>
      <x:c r="X255" s="201" t="str">
        <x:f>IF(U255=0,"Não iniciado",IF(U255&gt;=M255,"Concluído","Parcial"))</x:f>
        <x:v>Concluído</x:v>
      </x:c>
      <x:c r="Y255" s="199" t="str"/>
      <x:c r="Z255" s="188" t="str">
        <x:v>Normal</x:v>
      </x:c>
    </x:row>
    <x:row r="256" ht="22" customHeight="1">
      <x:c r="A256" s="219" t="n">
        <x:v>252</x:v>
      </x:c>
      <x:c r="B256" s="220" t="str">
        <x:v>26792</x:v>
      </x:c>
      <x:c r="C256" s="220" t="str">
        <x:v>5</x:v>
      </x:c>
      <x:c r="D256" s="220" t="str">
        <x:v>609459</x:v>
      </x:c>
      <x:c r="E256" s="220" t="str">
        <x:v>2020600242</x:v>
      </x:c>
      <x:c r="F256" s="220" t="str">
        <x:v>OUTROS</x:v>
      </x:c>
      <x:c r="G256" s="190" t="str">
        <x:v>A STD PET TXT BCO 2690X60X12 RG(55) RTO</x:v>
      </x:c>
      <x:c r="H256" s="190" t="str"/>
      <x:c r="I256" s="190" t="str"/>
      <x:c r="J256" s="190" t="str"/>
      <x:c r="K256" s="190" t="str">
        <x:v>ESMALTE</x:v>
      </x:c>
      <x:c r="L256" s="190" t="str">
        <x:v>BRANCO CARRARA</x:v>
      </x:c>
      <x:c r="M256" s="210" t="n">
        <x:v>108</x:v>
      </x:c>
      <x:c r="N256" s="210" t="n">
        <x:v>2690</x:v>
      </x:c>
      <x:c r="O256" s="210" t="n">
        <x:v>60</x:v>
      </x:c>
      <x:c r="P256" s="210" t="n">
        <x:v>12</x:v>
      </x:c>
      <x:c r="Q256" s="211" t="n">
        <x:v>0</x:v>
      </x:c>
      <x:c r="R256" s="207" t="str"/>
      <x:c r="S256" s="207" t="str"/>
      <x:c r="T256" s="207" t="str"/>
      <x:c r="U256" s="207" t="n">
        <x:v>0</x:v>
      </x:c>
      <x:c r="V256" s="208" t="n">
        <x:f>MAX(0,M256-U256)</x:f>
        <x:v>108</x:v>
      </x:c>
      <x:c r="W256" s="209" t="n">
        <x:f>IFERROR(U256/M256,0)</x:f>
        <x:v>0</x:v>
      </x:c>
      <x:c r="X256" s="201" t="str">
        <x:f>IF(U256=0,"Não iniciado",IF(U256&gt;=M256,"Concluído","Parcial"))</x:f>
        <x:v>Não iniciado</x:v>
      </x:c>
      <x:c r="Y256" s="199" t="str"/>
      <x:c r="Z256" s="188" t="str">
        <x:v>Normal</x:v>
      </x:c>
    </x:row>
    <x:row r="257" ht="22" customHeight="1">
      <x:c r="A257" s="217" t="n">
        <x:v>253</x:v>
      </x:c>
      <x:c r="B257" s="218" t="str">
        <x:v>26792</x:v>
      </x:c>
      <x:c r="C257" s="218" t="str">
        <x:v>6</x:v>
      </x:c>
      <x:c r="D257" s="218" t="str">
        <x:v>609476</x:v>
      </x:c>
      <x:c r="E257" s="218" t="str">
        <x:v>2020600243</x:v>
      </x:c>
      <x:c r="F257" s="218" t="str">
        <x:v>OUTROS</x:v>
      </x:c>
      <x:c r="G257" s="184" t="str">
        <x:v>A STD PET TXT BCO 2690X60X12 RG(80) RTO</x:v>
      </x:c>
      <x:c r="H257" s="184" t="str"/>
      <x:c r="I257" s="184" t="str"/>
      <x:c r="J257" s="184" t="str"/>
      <x:c r="K257" s="184" t="str">
        <x:v>ESMALTE</x:v>
      </x:c>
      <x:c r="L257" s="184" t="str">
        <x:v>BRANCO CARRARA</x:v>
      </x:c>
      <x:c r="M257" s="205" t="n">
        <x:v>20</x:v>
      </x:c>
      <x:c r="N257" s="205" t="n">
        <x:v>2690</x:v>
      </x:c>
      <x:c r="O257" s="205" t="n">
        <x:v>60</x:v>
      </x:c>
      <x:c r="P257" s="205" t="n">
        <x:v>12</x:v>
      </x:c>
      <x:c r="Q257" s="206" t="n">
        <x:v>0</x:v>
      </x:c>
      <x:c r="R257" s="207" t="str"/>
      <x:c r="S257" s="207" t="str"/>
      <x:c r="T257" s="207" t="str"/>
      <x:c r="U257" s="207" t="n">
        <x:v>0</x:v>
      </x:c>
      <x:c r="V257" s="208" t="n">
        <x:f>MAX(0,M257-U257)</x:f>
        <x:v>20</x:v>
      </x:c>
      <x:c r="W257" s="209" t="n">
        <x:f>IFERROR(U257/M257,0)</x:f>
        <x:v>0</x:v>
      </x:c>
      <x:c r="X257" s="201" t="str">
        <x:f>IF(U257=0,"Não iniciado",IF(U257&gt;=M257,"Concluído","Parcial"))</x:f>
        <x:v>Não iniciado</x:v>
      </x:c>
      <x:c r="Y257" s="199" t="str"/>
      <x:c r="Z257" s="188" t="str">
        <x:v>Normal</x:v>
      </x:c>
    </x:row>
    <x:row r="258" ht="22" customHeight="1">
      <x:c r="A258" s="219" t="n">
        <x:v>254</x:v>
      </x:c>
      <x:c r="B258" s="220" t="str">
        <x:v>26815</x:v>
      </x:c>
      <x:c r="C258" s="220" t="str">
        <x:v>4</x:v>
      </x:c>
      <x:c r="D258" s="220" t="str">
        <x:v>609520</x:v>
      </x:c>
      <x:c r="E258" s="220" t="str">
        <x:v>2020600242</x:v>
      </x:c>
      <x:c r="F258" s="220" t="str">
        <x:v>OUTROS</x:v>
      </x:c>
      <x:c r="G258" s="190" t="str">
        <x:v>A STD PET TXT BCO 2690X60X12 RG(55) RTO</x:v>
      </x:c>
      <x:c r="H258" s="190" t="str"/>
      <x:c r="I258" s="190" t="str"/>
      <x:c r="J258" s="190" t="str"/>
      <x:c r="K258" s="190" t="str">
        <x:v>ESMALTE</x:v>
      </x:c>
      <x:c r="L258" s="190" t="str">
        <x:v>BRANCO CARRARA</x:v>
      </x:c>
      <x:c r="M258" s="210" t="n">
        <x:v>134</x:v>
      </x:c>
      <x:c r="N258" s="210" t="n">
        <x:v>2690</x:v>
      </x:c>
      <x:c r="O258" s="210" t="n">
        <x:v>60</x:v>
      </x:c>
      <x:c r="P258" s="210" t="n">
        <x:v>12</x:v>
      </x:c>
      <x:c r="Q258" s="211" t="n">
        <x:v>0</x:v>
      </x:c>
      <x:c r="R258" s="207" t="str"/>
      <x:c r="S258" s="207" t="str"/>
      <x:c r="T258" s="207" t="str"/>
      <x:c r="U258" s="207" t="n">
        <x:v>0</x:v>
      </x:c>
      <x:c r="V258" s="208" t="n">
        <x:f>MAX(0,M258-U258)</x:f>
        <x:v>134</x:v>
      </x:c>
      <x:c r="W258" s="209" t="n">
        <x:f>IFERROR(U258/M258,0)</x:f>
        <x:v>0</x:v>
      </x:c>
      <x:c r="X258" s="201" t="str">
        <x:f>IF(U258=0,"Não iniciado",IF(U258&gt;=M258,"Concluído","Parcial"))</x:f>
        <x:v>Não iniciado</x:v>
      </x:c>
      <x:c r="Y258" s="199" t="str"/>
      <x:c r="Z258" s="188" t="str">
        <x:v>Normal</x:v>
      </x:c>
    </x:row>
    <x:row r="259" ht="22" customHeight="1">
      <x:c r="A259" s="217" t="n">
        <x:v>255</x:v>
      </x:c>
      <x:c r="B259" s="218" t="str">
        <x:v>26815</x:v>
      </x:c>
      <x:c r="C259" s="218" t="str">
        <x:v>5</x:v>
      </x:c>
      <x:c r="D259" s="218" t="str">
        <x:v>609537</x:v>
      </x:c>
      <x:c r="E259" s="218" t="str">
        <x:v>2020600242</x:v>
      </x:c>
      <x:c r="F259" s="218" t="str">
        <x:v>OUTROS</x:v>
      </x:c>
      <x:c r="G259" s="184" t="str">
        <x:v>A STD PET TXT BCO 2690X60X12 RG(55) RTO</x:v>
      </x:c>
      <x:c r="H259" s="184" t="str"/>
      <x:c r="I259" s="184" t="str"/>
      <x:c r="J259" s="184" t="str"/>
      <x:c r="K259" s="184" t="str">
        <x:v>ESMALTE</x:v>
      </x:c>
      <x:c r="L259" s="184" t="str">
        <x:v>BRANCO CARRARA</x:v>
      </x:c>
      <x:c r="M259" s="205" t="n">
        <x:v>16</x:v>
      </x:c>
      <x:c r="N259" s="205" t="n">
        <x:v>2690</x:v>
      </x:c>
      <x:c r="O259" s="205" t="n">
        <x:v>60</x:v>
      </x:c>
      <x:c r="P259" s="205" t="n">
        <x:v>12</x:v>
      </x:c>
      <x:c r="Q259" s="206" t="n">
        <x:v>0</x:v>
      </x:c>
      <x:c r="R259" s="207" t="str"/>
      <x:c r="S259" s="207" t="str"/>
      <x:c r="T259" s="207" t="str"/>
      <x:c r="U259" s="207" t="n">
        <x:v>0</x:v>
      </x:c>
      <x:c r="V259" s="208" t="n">
        <x:f>MAX(0,M259-U259)</x:f>
        <x:v>16</x:v>
      </x:c>
      <x:c r="W259" s="209" t="n">
        <x:f>IFERROR(U259/M259,0)</x:f>
        <x:v>0</x:v>
      </x:c>
      <x:c r="X259" s="201" t="str">
        <x:f>IF(U259=0,"Não iniciado",IF(U259&gt;=M259,"Concluído","Parcial"))</x:f>
        <x:v>Não iniciado</x:v>
      </x:c>
      <x:c r="Y259" s="199" t="str"/>
      <x:c r="Z259" s="188" t="str">
        <x:v>Normal</x:v>
      </x:c>
    </x:row>
    <x:row r="260" ht="22" customHeight="1">
      <x:c r="A260" s="219" t="n">
        <x:v>256</x:v>
      </x:c>
      <x:c r="B260" s="220" t="str">
        <x:v>26815</x:v>
      </x:c>
      <x:c r="C260" s="220" t="str">
        <x:v>6</x:v>
      </x:c>
      <x:c r="D260" s="220" t="str">
        <x:v>609554</x:v>
      </x:c>
      <x:c r="E260" s="220" t="str">
        <x:v>2020600242</x:v>
      </x:c>
      <x:c r="F260" s="220" t="str">
        <x:v>OUTROS</x:v>
      </x:c>
      <x:c r="G260" s="190" t="str">
        <x:v>A STD PET TXT BCO 2690X60X12 RG(55) RTO</x:v>
      </x:c>
      <x:c r="H260" s="190" t="str"/>
      <x:c r="I260" s="190" t="str"/>
      <x:c r="J260" s="190" t="str"/>
      <x:c r="K260" s="190" t="str">
        <x:v>ESMALTE</x:v>
      </x:c>
      <x:c r="L260" s="190" t="str">
        <x:v>BRANCO CARRARA</x:v>
      </x:c>
      <x:c r="M260" s="210" t="n">
        <x:v>54</x:v>
      </x:c>
      <x:c r="N260" s="210" t="n">
        <x:v>2690</x:v>
      </x:c>
      <x:c r="O260" s="210" t="n">
        <x:v>60</x:v>
      </x:c>
      <x:c r="P260" s="210" t="n">
        <x:v>12</x:v>
      </x:c>
      <x:c r="Q260" s="211" t="n">
        <x:v>0</x:v>
      </x:c>
      <x:c r="R260" s="207" t="str"/>
      <x:c r="S260" s="207" t="str"/>
      <x:c r="T260" s="207" t="str"/>
      <x:c r="U260" s="207" t="n">
        <x:v>0</x:v>
      </x:c>
      <x:c r="V260" s="208" t="n">
        <x:f>MAX(0,M260-U260)</x:f>
        <x:v>54</x:v>
      </x:c>
      <x:c r="W260" s="209" t="n">
        <x:f>IFERROR(U260/M260,0)</x:f>
        <x:v>0</x:v>
      </x:c>
      <x:c r="X260" s="201" t="str">
        <x:f>IF(U260=0,"Não iniciado",IF(U260&gt;=M260,"Concluído","Parcial"))</x:f>
        <x:v>Não iniciado</x:v>
      </x:c>
      <x:c r="Y260" s="199" t="str"/>
      <x:c r="Z260" s="188" t="str">
        <x:v>Normal</x:v>
      </x:c>
    </x:row>
    <x:row r="261" ht="22" customHeight="1">
      <x:c r="A261" s="217" t="n">
        <x:v>257</x:v>
      </x:c>
      <x:c r="B261" s="218" t="str">
        <x:v>26815</x:v>
      </x:c>
      <x:c r="C261" s="218" t="str">
        <x:v>7</x:v>
      </x:c>
      <x:c r="D261" s="218" t="str">
        <x:v>609571</x:v>
      </x:c>
      <x:c r="E261" s="218" t="str">
        <x:v>2020600243</x:v>
      </x:c>
      <x:c r="F261" s="218" t="str">
        <x:v>OUTROS</x:v>
      </x:c>
      <x:c r="G261" s="184" t="str">
        <x:v>A STD PET TXT BCO 2690X60X12 RG(80) RTO</x:v>
      </x:c>
      <x:c r="H261" s="184" t="str"/>
      <x:c r="I261" s="184" t="str"/>
      <x:c r="J261" s="184" t="str"/>
      <x:c r="K261" s="184" t="str">
        <x:v>ESMALTE</x:v>
      </x:c>
      <x:c r="L261" s="184" t="str">
        <x:v>BRANCO CARRARA</x:v>
      </x:c>
      <x:c r="M261" s="205" t="n">
        <x:v>10</x:v>
      </x:c>
      <x:c r="N261" s="205" t="n">
        <x:v>2690</x:v>
      </x:c>
      <x:c r="O261" s="205" t="n">
        <x:v>60</x:v>
      </x:c>
      <x:c r="P261" s="205" t="n">
        <x:v>12</x:v>
      </x:c>
      <x:c r="Q261" s="206" t="n">
        <x:v>0</x:v>
      </x:c>
      <x:c r="R261" s="207" t="str"/>
      <x:c r="S261" s="207" t="str"/>
      <x:c r="T261" s="207" t="str"/>
      <x:c r="U261" s="207" t="n">
        <x:v>0</x:v>
      </x:c>
      <x:c r="V261" s="208" t="n">
        <x:f>MAX(0,M261-U261)</x:f>
        <x:v>10</x:v>
      </x:c>
      <x:c r="W261" s="209" t="n">
        <x:f>IFERROR(U261/M261,0)</x:f>
        <x:v>0</x:v>
      </x:c>
      <x:c r="X261" s="201" t="str">
        <x:f>IF(U261=0,"Não iniciado",IF(U261&gt;=M261,"Concluído","Parcial"))</x:f>
        <x:v>Não iniciado</x:v>
      </x:c>
      <x:c r="Y261" s="199" t="str"/>
      <x:c r="Z261" s="188" t="str">
        <x:v>Normal</x:v>
      </x:c>
    </x:row>
    <x:row r="262" ht="22" customHeight="1">
      <x:c r="A262" s="219" t="n">
        <x:v>258</x:v>
      </x:c>
      <x:c r="B262" s="220" t="str">
        <x:v>26792</x:v>
      </x:c>
      <x:c r="C262" s="220" t="str">
        <x:v>4</x:v>
      </x:c>
      <x:c r="D262" s="220" t="str">
        <x:v>609443</x:v>
      </x:c>
      <x:c r="E262" s="220" t="str">
        <x:v>2020600203</x:v>
      </x:c>
      <x:c r="F262" s="220" t="str">
        <x:v>OUTROS</x:v>
      </x:c>
      <x:c r="G262" s="190" t="str">
        <x:v>A STD PET TXT BCO 2200X60X9 RG(35) RTO</x:v>
      </x:c>
      <x:c r="H262" s="190" t="str"/>
      <x:c r="I262" s="190" t="str"/>
      <x:c r="J262" s="190" t="str"/>
      <x:c r="K262" s="190" t="str">
        <x:v>ESMALTE</x:v>
      </x:c>
      <x:c r="L262" s="190" t="str">
        <x:v>BRANCO</x:v>
      </x:c>
      <x:c r="M262" s="210" t="n">
        <x:v>288</x:v>
      </x:c>
      <x:c r="N262" s="210" t="n">
        <x:v>2200</x:v>
      </x:c>
      <x:c r="O262" s="210" t="n">
        <x:v>60</x:v>
      </x:c>
      <x:c r="P262" s="210" t="n">
        <x:v>9</x:v>
      </x:c>
      <x:c r="Q262" s="211" t="n">
        <x:v>0</x:v>
      </x:c>
      <x:c r="R262" s="207" t="str"/>
      <x:c r="S262" s="207" t="str"/>
      <x:c r="T262" s="207" t="str"/>
      <x:c r="U262" s="207" t="n">
        <x:v>0</x:v>
      </x:c>
      <x:c r="V262" s="208" t="n">
        <x:f>MAX(0,M262-U262)</x:f>
        <x:v>288</x:v>
      </x:c>
      <x:c r="W262" s="209" t="n">
        <x:f>IFERROR(U262/M262,0)</x:f>
        <x:v>0</x:v>
      </x:c>
      <x:c r="X262" s="201" t="str">
        <x:f>IF(U262=0,"Não iniciado",IF(U262&gt;=M262,"Concluído","Parcial"))</x:f>
        <x:v>Não iniciado</x:v>
      </x:c>
      <x:c r="Y262" s="199" t="str"/>
      <x:c r="Z262" s="188" t="str">
        <x:v>Normal</x:v>
      </x:c>
    </x:row>
    <x:row r="263" ht="22" customHeight="1">
      <x:c r="A263" s="217" t="n">
        <x:v>259</x:v>
      </x:c>
      <x:c r="B263" s="218" t="str">
        <x:v>26792</x:v>
      </x:c>
      <x:c r="C263" s="218" t="str">
        <x:v>4</x:v>
      </x:c>
      <x:c r="D263" s="218" t="str">
        <x:v>609444</x:v>
      </x:c>
      <x:c r="E263" s="218" t="str">
        <x:v>2020600204</x:v>
      </x:c>
      <x:c r="F263" s="218" t="str">
        <x:v>OUTROS</x:v>
      </x:c>
      <x:c r="G263" s="184" t="str">
        <x:v>A STD PET TXT BCO 2200X60X9 RG(ME) RTO</x:v>
      </x:c>
      <x:c r="H263" s="184" t="str"/>
      <x:c r="I263" s="184" t="str"/>
      <x:c r="J263" s="184" t="str"/>
      <x:c r="K263" s="184" t="str">
        <x:v>ESMALTE</x:v>
      </x:c>
      <x:c r="L263" s="184" t="str">
        <x:v>BRANCO</x:v>
      </x:c>
      <x:c r="M263" s="205" t="n">
        <x:v>288</x:v>
      </x:c>
      <x:c r="N263" s="205" t="n">
        <x:v>2200</x:v>
      </x:c>
      <x:c r="O263" s="205" t="n">
        <x:v>60</x:v>
      </x:c>
      <x:c r="P263" s="205" t="n">
        <x:v>9</x:v>
      </x:c>
      <x:c r="Q263" s="206" t="n">
        <x:v>0</x:v>
      </x:c>
      <x:c r="R263" s="207" t="str"/>
      <x:c r="S263" s="207" t="str"/>
      <x:c r="T263" s="207" t="str"/>
      <x:c r="U263" s="207" t="n">
        <x:v>0</x:v>
      </x:c>
      <x:c r="V263" s="208" t="n">
        <x:f>MAX(0,M263-U263)</x:f>
        <x:v>288</x:v>
      </x:c>
      <x:c r="W263" s="209" t="n">
        <x:f>IFERROR(U263/M263,0)</x:f>
        <x:v>0</x:v>
      </x:c>
      <x:c r="X263" s="201" t="str">
        <x:f>IF(U263=0,"Não iniciado",IF(U263&gt;=M263,"Concluído","Parcial"))</x:f>
        <x:v>Não iniciado</x:v>
      </x:c>
      <x:c r="Y263" s="199" t="str"/>
      <x:c r="Z263" s="188" t="str">
        <x:v>Normal</x:v>
      </x:c>
    </x:row>
    <x:row r="264" ht="22" customHeight="1">
      <x:c r="A264" s="219" t="n">
        <x:v>260</x:v>
      </x:c>
      <x:c r="B264" s="220" t="str">
        <x:v>26815</x:v>
      </x:c>
      <x:c r="C264" s="220" t="str">
        <x:v>3</x:v>
      </x:c>
      <x:c r="D264" s="220" t="str">
        <x:v>609504</x:v>
      </x:c>
      <x:c r="E264" s="220" t="str">
        <x:v>2020600203</x:v>
      </x:c>
      <x:c r="F264" s="220" t="str">
        <x:v>OUTROS</x:v>
      </x:c>
      <x:c r="G264" s="190" t="str">
        <x:v>A STD PET TXT BCO 2200X60X9 RG(35) RTO</x:v>
      </x:c>
      <x:c r="H264" s="190" t="str"/>
      <x:c r="I264" s="190" t="str"/>
      <x:c r="J264" s="190" t="str"/>
      <x:c r="K264" s="190" t="str">
        <x:v>ESMALTE</x:v>
      </x:c>
      <x:c r="L264" s="190" t="str">
        <x:v>BRANCO</x:v>
      </x:c>
      <x:c r="M264" s="210" t="n">
        <x:v>184</x:v>
      </x:c>
      <x:c r="N264" s="210" t="n">
        <x:v>2200</x:v>
      </x:c>
      <x:c r="O264" s="210" t="n">
        <x:v>60</x:v>
      </x:c>
      <x:c r="P264" s="210" t="n">
        <x:v>9</x:v>
      </x:c>
      <x:c r="Q264" s="211" t="n">
        <x:v>0</x:v>
      </x:c>
      <x:c r="R264" s="207" t="str"/>
      <x:c r="S264" s="207" t="str"/>
      <x:c r="T264" s="207" t="str"/>
      <x:c r="U264" s="207" t="n">
        <x:v>0</x:v>
      </x:c>
      <x:c r="V264" s="208" t="n">
        <x:f>MAX(0,M264-U264)</x:f>
        <x:v>184</x:v>
      </x:c>
      <x:c r="W264" s="209" t="n">
        <x:f>IFERROR(U264/M264,0)</x:f>
        <x:v>0</x:v>
      </x:c>
      <x:c r="X264" s="201" t="str">
        <x:f>IF(U264=0,"Não iniciado",IF(U264&gt;=M264,"Concluído","Parcial"))</x:f>
        <x:v>Não iniciado</x:v>
      </x:c>
      <x:c r="Y264" s="199" t="str"/>
      <x:c r="Z264" s="188" t="str">
        <x:v>Normal</x:v>
      </x:c>
    </x:row>
    <x:row r="265" ht="22" customHeight="1">
      <x:c r="A265" s="217" t="n">
        <x:v>261</x:v>
      </x:c>
      <x:c r="B265" s="218" t="str">
        <x:v>26815</x:v>
      </x:c>
      <x:c r="C265" s="218" t="str">
        <x:v>3</x:v>
      </x:c>
      <x:c r="D265" s="218" t="str">
        <x:v>609505</x:v>
      </x:c>
      <x:c r="E265" s="218" t="str">
        <x:v>2020600204</x:v>
      </x:c>
      <x:c r="F265" s="218" t="str">
        <x:v>OUTROS</x:v>
      </x:c>
      <x:c r="G265" s="184" t="str">
        <x:v>A STD PET TXT BCO 2200X60X9 RG(ME) RTO</x:v>
      </x:c>
      <x:c r="H265" s="184" t="str"/>
      <x:c r="I265" s="184" t="str"/>
      <x:c r="J265" s="184" t="str"/>
      <x:c r="K265" s="184" t="str">
        <x:v>ESMALTE</x:v>
      </x:c>
      <x:c r="L265" s="184" t="str">
        <x:v>BRANCO</x:v>
      </x:c>
      <x:c r="M265" s="205" t="n">
        <x:v>184</x:v>
      </x:c>
      <x:c r="N265" s="205" t="n">
        <x:v>2200</x:v>
      </x:c>
      <x:c r="O265" s="205" t="n">
        <x:v>60</x:v>
      </x:c>
      <x:c r="P265" s="205" t="n">
        <x:v>9</x:v>
      </x:c>
      <x:c r="Q265" s="206" t="n">
        <x:v>0</x:v>
      </x:c>
      <x:c r="R265" s="207" t="str"/>
      <x:c r="S265" s="207" t="str"/>
      <x:c r="T265" s="207" t="str"/>
      <x:c r="U265" s="207" t="n">
        <x:v>0</x:v>
      </x:c>
      <x:c r="V265" s="208" t="n">
        <x:f>MAX(0,M265-U265)</x:f>
        <x:v>184</x:v>
      </x:c>
      <x:c r="W265" s="209" t="n">
        <x:f>IFERROR(U265/M265,0)</x:f>
        <x:v>0</x:v>
      </x:c>
      <x:c r="X265" s="201" t="str">
        <x:f>IF(U265=0,"Não iniciado",IF(U265&gt;=M265,"Concluído","Parcial"))</x:f>
        <x:v>Não iniciado</x:v>
      </x:c>
      <x:c r="Y265" s="199" t="str"/>
      <x:c r="Z265" s="188" t="str">
        <x:v>Normal</x:v>
      </x:c>
    </x:row>
    <x:row r="266" ht="22" customHeight="1">
      <x:c r="A266" s="219" t="n">
        <x:v>262</x:v>
      </x:c>
      <x:c r="B266" s="220" t="str">
        <x:v>26792</x:v>
      </x:c>
      <x:c r="C266" s="220" t="str">
        <x:v>1</x:v>
      </x:c>
      <x:c r="D266" s="220" t="str">
        <x:v>609419</x:v>
      </x:c>
      <x:c r="E266" s="220" t="str">
        <x:v>2020600232</x:v>
      </x:c>
      <x:c r="F266" s="220" t="str">
        <x:v>OUTROS</x:v>
      </x:c>
      <x:c r="G266" s="190" t="str">
        <x:v>A STD PET TXT BCO 2200X60X9 RG(55) RTO</x:v>
      </x:c>
      <x:c r="H266" s="190" t="str"/>
      <x:c r="I266" s="190" t="str"/>
      <x:c r="J266" s="190" t="str"/>
      <x:c r="K266" s="190" t="str">
        <x:v>ESMALTE</x:v>
      </x:c>
      <x:c r="L266" s="190" t="str">
        <x:v>BRANCO CARRARA</x:v>
      </x:c>
      <x:c r="M266" s="210" t="n">
        <x:v>274</x:v>
      </x:c>
      <x:c r="N266" s="210" t="n">
        <x:v>2200</x:v>
      </x:c>
      <x:c r="O266" s="210" t="n">
        <x:v>60</x:v>
      </x:c>
      <x:c r="P266" s="210" t="n">
        <x:v>9</x:v>
      </x:c>
      <x:c r="Q266" s="211" t="n">
        <x:v>0</x:v>
      </x:c>
      <x:c r="R266" s="207" t="str"/>
      <x:c r="S266" s="207" t="str"/>
      <x:c r="T266" s="207" t="str"/>
      <x:c r="U266" s="207" t="n">
        <x:v>0</x:v>
      </x:c>
      <x:c r="V266" s="208" t="n">
        <x:f>MAX(0,M266-U266)</x:f>
        <x:v>274</x:v>
      </x:c>
      <x:c r="W266" s="209" t="n">
        <x:f>IFERROR(U266/M266,0)</x:f>
        <x:v>0</x:v>
      </x:c>
      <x:c r="X266" s="201" t="str">
        <x:f>IF(U266=0,"Não iniciado",IF(U266&gt;=M266,"Concluído","Parcial"))</x:f>
        <x:v>Não iniciado</x:v>
      </x:c>
      <x:c r="Y266" s="199" t="str"/>
      <x:c r="Z266" s="188" t="str">
        <x:v>Normal</x:v>
      </x:c>
    </x:row>
    <x:row r="267" ht="22" customHeight="1">
      <x:c r="A267" s="217" t="n">
        <x:v>263</x:v>
      </x:c>
      <x:c r="B267" s="218" t="str">
        <x:v>26792</x:v>
      </x:c>
      <x:c r="C267" s="218" t="str">
        <x:v>1</x:v>
      </x:c>
      <x:c r="D267" s="218" t="str">
        <x:v>609420</x:v>
      </x:c>
      <x:c r="E267" s="218" t="str">
        <x:v>2020600233</x:v>
      </x:c>
      <x:c r="F267" s="218" t="str">
        <x:v>OUTROS</x:v>
      </x:c>
      <x:c r="G267" s="184" t="str">
        <x:v>A STD PET TXT BCO 2200X60X9 RG(ME) RTO</x:v>
      </x:c>
      <x:c r="H267" s="184" t="str"/>
      <x:c r="I267" s="184" t="str"/>
      <x:c r="J267" s="184" t="str"/>
      <x:c r="K267" s="184" t="str">
        <x:v>ESMALTE</x:v>
      </x:c>
      <x:c r="L267" s="184" t="str">
        <x:v>BRANCO CARRARA</x:v>
      </x:c>
      <x:c r="M267" s="205" t="n">
        <x:v>274</x:v>
      </x:c>
      <x:c r="N267" s="205" t="n">
        <x:v>2200</x:v>
      </x:c>
      <x:c r="O267" s="205" t="n">
        <x:v>60</x:v>
      </x:c>
      <x:c r="P267" s="205" t="n">
        <x:v>9</x:v>
      </x:c>
      <x:c r="Q267" s="206" t="n">
        <x:v>0</x:v>
      </x:c>
      <x:c r="R267" s="207" t="str"/>
      <x:c r="S267" s="207" t="str"/>
      <x:c r="T267" s="207" t="str"/>
      <x:c r="U267" s="207" t="n">
        <x:v>0</x:v>
      </x:c>
      <x:c r="V267" s="208" t="n">
        <x:f>MAX(0,M267-U267)</x:f>
        <x:v>274</x:v>
      </x:c>
      <x:c r="W267" s="209" t="n">
        <x:f>IFERROR(U267/M267,0)</x:f>
        <x:v>0</x:v>
      </x:c>
      <x:c r="X267" s="201" t="str">
        <x:f>IF(U267=0,"Não iniciado",IF(U267&gt;=M267,"Concluído","Parcial"))</x:f>
        <x:v>Não iniciado</x:v>
      </x:c>
      <x:c r="Y267" s="199" t="str"/>
      <x:c r="Z267" s="188" t="str">
        <x:v>Normal</x:v>
      </x:c>
    </x:row>
    <x:row r="268" ht="22" customHeight="1">
      <x:c r="A268" s="219" t="n">
        <x:v>264</x:v>
      </x:c>
      <x:c r="B268" s="220" t="str">
        <x:v>26792</x:v>
      </x:c>
      <x:c r="C268" s="220" t="str">
        <x:v>2</x:v>
      </x:c>
      <x:c r="D268" s="220" t="str">
        <x:v>609427</x:v>
      </x:c>
      <x:c r="E268" s="220" t="str">
        <x:v>2020600232</x:v>
      </x:c>
      <x:c r="F268" s="220" t="str">
        <x:v>OUTROS</x:v>
      </x:c>
      <x:c r="G268" s="190" t="str">
        <x:v>A STD PET TXT BCO 2200X60X9 RG(55) RTO</x:v>
      </x:c>
      <x:c r="H268" s="190" t="str"/>
      <x:c r="I268" s="190" t="str"/>
      <x:c r="J268" s="190" t="str"/>
      <x:c r="K268" s="190" t="str">
        <x:v>ESMALTE</x:v>
      </x:c>
      <x:c r="L268" s="190" t="str">
        <x:v>BRANCO CARRARA</x:v>
      </x:c>
      <x:c r="M268" s="210" t="n">
        <x:v>34</x:v>
      </x:c>
      <x:c r="N268" s="210" t="n">
        <x:v>2200</x:v>
      </x:c>
      <x:c r="O268" s="210" t="n">
        <x:v>60</x:v>
      </x:c>
      <x:c r="P268" s="210" t="n">
        <x:v>9</x:v>
      </x:c>
      <x:c r="Q268" s="211" t="n">
        <x:v>0</x:v>
      </x:c>
      <x:c r="R268" s="207" t="str"/>
      <x:c r="S268" s="207" t="str"/>
      <x:c r="T268" s="207" t="str"/>
      <x:c r="U268" s="207" t="n">
        <x:v>0</x:v>
      </x:c>
      <x:c r="V268" s="208" t="n">
        <x:f>MAX(0,M268-U268)</x:f>
        <x:v>34</x:v>
      </x:c>
      <x:c r="W268" s="209" t="n">
        <x:f>IFERROR(U268/M268,0)</x:f>
        <x:v>0</x:v>
      </x:c>
      <x:c r="X268" s="201" t="str">
        <x:f>IF(U268=0,"Não iniciado",IF(U268&gt;=M268,"Concluído","Parcial"))</x:f>
        <x:v>Não iniciado</x:v>
      </x:c>
      <x:c r="Y268" s="199" t="str"/>
      <x:c r="Z268" s="188" t="str">
        <x:v>Normal</x:v>
      </x:c>
    </x:row>
    <x:row r="269" ht="22" customHeight="1">
      <x:c r="A269" s="217" t="n">
        <x:v>265</x:v>
      </x:c>
      <x:c r="B269" s="218" t="str">
        <x:v>26792</x:v>
      </x:c>
      <x:c r="C269" s="218" t="str">
        <x:v>2</x:v>
      </x:c>
      <x:c r="D269" s="218" t="str">
        <x:v>609428</x:v>
      </x:c>
      <x:c r="E269" s="218" t="str">
        <x:v>2020600233</x:v>
      </x:c>
      <x:c r="F269" s="218" t="str">
        <x:v>OUTROS</x:v>
      </x:c>
      <x:c r="G269" s="184" t="str">
        <x:v>A STD PET TXT BCO 2200X60X9 RG(ME) RTO</x:v>
      </x:c>
      <x:c r="H269" s="184" t="str"/>
      <x:c r="I269" s="184" t="str"/>
      <x:c r="J269" s="184" t="str"/>
      <x:c r="K269" s="184" t="str">
        <x:v>ESMALTE</x:v>
      </x:c>
      <x:c r="L269" s="184" t="str">
        <x:v>BRANCO CARRARA</x:v>
      </x:c>
      <x:c r="M269" s="205" t="n">
        <x:v>34</x:v>
      </x:c>
      <x:c r="N269" s="205" t="n">
        <x:v>2200</x:v>
      </x:c>
      <x:c r="O269" s="205" t="n">
        <x:v>60</x:v>
      </x:c>
      <x:c r="P269" s="205" t="n">
        <x:v>9</x:v>
      </x:c>
      <x:c r="Q269" s="206" t="n">
        <x:v>0</x:v>
      </x:c>
      <x:c r="R269" s="207" t="str"/>
      <x:c r="S269" s="207" t="str"/>
      <x:c r="T269" s="207" t="str"/>
      <x:c r="U269" s="207" t="n">
        <x:v>0</x:v>
      </x:c>
      <x:c r="V269" s="208" t="n">
        <x:f>MAX(0,M269-U269)</x:f>
        <x:v>34</x:v>
      </x:c>
      <x:c r="W269" s="209" t="n">
        <x:f>IFERROR(U269/M269,0)</x:f>
        <x:v>0</x:v>
      </x:c>
      <x:c r="X269" s="201" t="str">
        <x:f>IF(U269=0,"Não iniciado",IF(U269&gt;=M269,"Concluído","Parcial"))</x:f>
        <x:v>Não iniciado</x:v>
      </x:c>
      <x:c r="Y269" s="199" t="str"/>
      <x:c r="Z269" s="188" t="str">
        <x:v>Normal</x:v>
      </x:c>
    </x:row>
    <x:row r="270" ht="22" customHeight="1">
      <x:c r="A270" s="219" t="n">
        <x:v>266</x:v>
      </x:c>
      <x:c r="B270" s="220" t="str">
        <x:v>26792</x:v>
      </x:c>
      <x:c r="C270" s="220" t="str">
        <x:v>3</x:v>
      </x:c>
      <x:c r="D270" s="220" t="str">
        <x:v>609435</x:v>
      </x:c>
      <x:c r="E270" s="220" t="str">
        <x:v>2020600236</x:v>
      </x:c>
      <x:c r="F270" s="220" t="str">
        <x:v>OUTROS</x:v>
      </x:c>
      <x:c r="G270" s="190" t="str">
        <x:v>A STD PET TXT BCO 2200X60X9 RG(ME) RTO</x:v>
      </x:c>
      <x:c r="H270" s="190" t="str"/>
      <x:c r="I270" s="190" t="str"/>
      <x:c r="J270" s="190" t="str"/>
      <x:c r="K270" s="190" t="str">
        <x:v>ESMALTE</x:v>
      </x:c>
      <x:c r="L270" s="190" t="str">
        <x:v>BRANCO CARRARA</x:v>
      </x:c>
      <x:c r="M270" s="210" t="n">
        <x:v>2</x:v>
      </x:c>
      <x:c r="N270" s="210" t="n">
        <x:v>2200</x:v>
      </x:c>
      <x:c r="O270" s="210" t="n">
        <x:v>60</x:v>
      </x:c>
      <x:c r="P270" s="210" t="n">
        <x:v>9</x:v>
      </x:c>
      <x:c r="Q270" s="211" t="n">
        <x:v>0</x:v>
      </x:c>
      <x:c r="R270" s="207" t="str"/>
      <x:c r="S270" s="207" t="str"/>
      <x:c r="T270" s="207" t="str"/>
      <x:c r="U270" s="207" t="n">
        <x:v>0</x:v>
      </x:c>
      <x:c r="V270" s="208" t="n">
        <x:f>MAX(0,M270-U270)</x:f>
        <x:v>2</x:v>
      </x:c>
      <x:c r="W270" s="209" t="n">
        <x:f>IFERROR(U270/M270,0)</x:f>
        <x:v>0</x:v>
      </x:c>
      <x:c r="X270" s="201" t="str">
        <x:f>IF(U270=0,"Não iniciado",IF(U270&gt;=M270,"Concluído","Parcial"))</x:f>
        <x:v>Não iniciado</x:v>
      </x:c>
      <x:c r="Y270" s="199" t="str"/>
      <x:c r="Z270" s="188" t="str">
        <x:v>Normal</x:v>
      </x:c>
    </x:row>
    <x:row r="271" ht="22" customHeight="1">
      <x:c r="A271" s="217" t="n">
        <x:v>267</x:v>
      </x:c>
      <x:c r="B271" s="218" t="str">
        <x:v>26792</x:v>
      </x:c>
      <x:c r="C271" s="218" t="str">
        <x:v>3</x:v>
      </x:c>
      <x:c r="D271" s="218" t="str">
        <x:v>609436</x:v>
      </x:c>
      <x:c r="E271" s="218" t="str">
        <x:v>2020600237</x:v>
      </x:c>
      <x:c r="F271" s="218" t="str">
        <x:v>OUTROS</x:v>
      </x:c>
      <x:c r="G271" s="184" t="str">
        <x:v>A STD PET TXT BCO 2200X60X9 RG(80) RTO</x:v>
      </x:c>
      <x:c r="H271" s="184" t="str"/>
      <x:c r="I271" s="184" t="str"/>
      <x:c r="J271" s="184" t="str"/>
      <x:c r="K271" s="184" t="str">
        <x:v>ESMALTE</x:v>
      </x:c>
      <x:c r="L271" s="184" t="str">
        <x:v>BRANCO CARRARA</x:v>
      </x:c>
      <x:c r="M271" s="205" t="n">
        <x:v>2</x:v>
      </x:c>
      <x:c r="N271" s="205" t="n">
        <x:v>2200</x:v>
      </x:c>
      <x:c r="O271" s="205" t="n">
        <x:v>60</x:v>
      </x:c>
      <x:c r="P271" s="205" t="n">
        <x:v>9</x:v>
      </x:c>
      <x:c r="Q271" s="206" t="n">
        <x:v>0</x:v>
      </x:c>
      <x:c r="R271" s="207" t="str"/>
      <x:c r="S271" s="207" t="str"/>
      <x:c r="T271" s="207" t="str"/>
      <x:c r="U271" s="207" t="n">
        <x:v>0</x:v>
      </x:c>
      <x:c r="V271" s="208" t="n">
        <x:f>MAX(0,M271-U271)</x:f>
        <x:v>2</x:v>
      </x:c>
      <x:c r="W271" s="209" t="n">
        <x:f>IFERROR(U271/M271,0)</x:f>
        <x:v>0</x:v>
      </x:c>
      <x:c r="X271" s="201" t="str">
        <x:f>IF(U271=0,"Não iniciado",IF(U271&gt;=M271,"Concluído","Parcial"))</x:f>
        <x:v>Não iniciado</x:v>
      </x:c>
      <x:c r="Y271" s="199" t="str"/>
      <x:c r="Z271" s="188" t="str">
        <x:v>Normal</x:v>
      </x:c>
    </x:row>
    <x:row r="272" ht="22" customHeight="1">
      <x:c r="A272" s="219" t="n">
        <x:v>268</x:v>
      </x:c>
      <x:c r="B272" s="220" t="str">
        <x:v>26792</x:v>
      </x:c>
      <x:c r="C272" s="220" t="str">
        <x:v>5</x:v>
      </x:c>
      <x:c r="D272" s="220" t="str">
        <x:v>609457</x:v>
      </x:c>
      <x:c r="E272" s="220" t="str">
        <x:v>2020600240</x:v>
      </x:c>
      <x:c r="F272" s="220" t="str">
        <x:v>OUTROS</x:v>
      </x:c>
      <x:c r="G272" s="190" t="str">
        <x:v>A STD PET TXT BCO 2200X60X12 RG(ME) RTO</x:v>
      </x:c>
      <x:c r="H272" s="190" t="str"/>
      <x:c r="I272" s="190" t="str"/>
      <x:c r="J272" s="190" t="str"/>
      <x:c r="K272" s="190" t="str">
        <x:v>ESMALTE</x:v>
      </x:c>
      <x:c r="L272" s="190" t="str">
        <x:v>BRANCO CARRARA</x:v>
      </x:c>
      <x:c r="M272" s="210" t="n">
        <x:v>108</x:v>
      </x:c>
      <x:c r="N272" s="210" t="n">
        <x:v>2200</x:v>
      </x:c>
      <x:c r="O272" s="210" t="n">
        <x:v>60</x:v>
      </x:c>
      <x:c r="P272" s="210" t="n">
        <x:v>12</x:v>
      </x:c>
      <x:c r="Q272" s="211" t="n">
        <x:v>0</x:v>
      </x:c>
      <x:c r="R272" s="207" t="str"/>
      <x:c r="S272" s="207" t="str"/>
      <x:c r="T272" s="207" t="str"/>
      <x:c r="U272" s="207" t="n">
        <x:v>0</x:v>
      </x:c>
      <x:c r="V272" s="208" t="n">
        <x:f>MAX(0,M272-U272)</x:f>
        <x:v>108</x:v>
      </x:c>
      <x:c r="W272" s="209" t="n">
        <x:f>IFERROR(U272/M272,0)</x:f>
        <x:v>0</x:v>
      </x:c>
      <x:c r="X272" s="201" t="str">
        <x:f>IF(U272=0,"Não iniciado",IF(U272&gt;=M272,"Concluído","Parcial"))</x:f>
        <x:v>Não iniciado</x:v>
      </x:c>
      <x:c r="Y272" s="199" t="str"/>
      <x:c r="Z272" s="188" t="str">
        <x:v>Normal</x:v>
      </x:c>
    </x:row>
    <x:row r="273" ht="22" customHeight="1">
      <x:c r="A273" s="217" t="n">
        <x:v>269</x:v>
      </x:c>
      <x:c r="B273" s="218" t="str">
        <x:v>26792</x:v>
      </x:c>
      <x:c r="C273" s="218" t="str">
        <x:v>6</x:v>
      </x:c>
      <x:c r="D273" s="218" t="str">
        <x:v>609474</x:v>
      </x:c>
      <x:c r="E273" s="218" t="str">
        <x:v>2020600240</x:v>
      </x:c>
      <x:c r="F273" s="218" t="str">
        <x:v>OUTROS</x:v>
      </x:c>
      <x:c r="G273" s="184" t="str">
        <x:v>A STD PET TXT BCO 2200X60X12 RG(ME) RTO</x:v>
      </x:c>
      <x:c r="H273" s="184" t="str"/>
      <x:c r="I273" s="184" t="str"/>
      <x:c r="J273" s="184" t="str"/>
      <x:c r="K273" s="184" t="str">
        <x:v>ESMALTE</x:v>
      </x:c>
      <x:c r="L273" s="184" t="str">
        <x:v>BRANCO CARRARA</x:v>
      </x:c>
      <x:c r="M273" s="205" t="n">
        <x:v>20</x:v>
      </x:c>
      <x:c r="N273" s="205" t="n">
        <x:v>2200</x:v>
      </x:c>
      <x:c r="O273" s="205" t="n">
        <x:v>60</x:v>
      </x:c>
      <x:c r="P273" s="205" t="n">
        <x:v>12</x:v>
      </x:c>
      <x:c r="Q273" s="206" t="n">
        <x:v>0</x:v>
      </x:c>
      <x:c r="R273" s="207" t="str"/>
      <x:c r="S273" s="207" t="str"/>
      <x:c r="T273" s="207" t="str"/>
      <x:c r="U273" s="207" t="n">
        <x:v>0</x:v>
      </x:c>
      <x:c r="V273" s="208" t="n">
        <x:f>MAX(0,M273-U273)</x:f>
        <x:v>20</x:v>
      </x:c>
      <x:c r="W273" s="209" t="n">
        <x:f>IFERROR(U273/M273,0)</x:f>
        <x:v>0</x:v>
      </x:c>
      <x:c r="X273" s="201" t="str">
        <x:f>IF(U273=0,"Não iniciado",IF(U273&gt;=M273,"Concluído","Parcial"))</x:f>
        <x:v>Não iniciado</x:v>
      </x:c>
      <x:c r="Y273" s="199" t="str"/>
      <x:c r="Z273" s="188" t="str">
        <x:v>Normal</x:v>
      </x:c>
    </x:row>
    <x:row r="274" ht="22" customHeight="1">
      <x:c r="A274" s="219" t="n">
        <x:v>270</x:v>
      </x:c>
      <x:c r="B274" s="220" t="str">
        <x:v>26815</x:v>
      </x:c>
      <x:c r="C274" s="220" t="str">
        <x:v>1</x:v>
      </x:c>
      <x:c r="D274" s="220" t="str">
        <x:v>609488</x:v>
      </x:c>
      <x:c r="E274" s="220" t="str">
        <x:v>2020600232</x:v>
      </x:c>
      <x:c r="F274" s="220" t="str">
        <x:v>OUTROS</x:v>
      </x:c>
      <x:c r="G274" s="190" t="str">
        <x:v>A STD PET TXT BCO 2200X60X9 RG(55) RTO</x:v>
      </x:c>
      <x:c r="H274" s="190" t="str"/>
      <x:c r="I274" s="190" t="str"/>
      <x:c r="J274" s="190" t="str"/>
      <x:c r="K274" s="190" t="str">
        <x:v>ESMALTE</x:v>
      </x:c>
      <x:c r="L274" s="190" t="str">
        <x:v>BRANCO CARRARA</x:v>
      </x:c>
      <x:c r="M274" s="210" t="n">
        <x:v>308</x:v>
      </x:c>
      <x:c r="N274" s="210" t="n">
        <x:v>2200</x:v>
      </x:c>
      <x:c r="O274" s="210" t="n">
        <x:v>60</x:v>
      </x:c>
      <x:c r="P274" s="210" t="n">
        <x:v>9</x:v>
      </x:c>
      <x:c r="Q274" s="211" t="n">
        <x:v>0</x:v>
      </x:c>
      <x:c r="R274" s="207" t="str"/>
      <x:c r="S274" s="207" t="str"/>
      <x:c r="T274" s="207" t="str"/>
      <x:c r="U274" s="207" t="n">
        <x:v>0</x:v>
      </x:c>
      <x:c r="V274" s="208" t="n">
        <x:f>MAX(0,M274-U274)</x:f>
        <x:v>308</x:v>
      </x:c>
      <x:c r="W274" s="209" t="n">
        <x:f>IFERROR(U274/M274,0)</x:f>
        <x:v>0</x:v>
      </x:c>
      <x:c r="X274" s="201" t="str">
        <x:f>IF(U274=0,"Não iniciado",IF(U274&gt;=M274,"Concluído","Parcial"))</x:f>
        <x:v>Não iniciado</x:v>
      </x:c>
      <x:c r="Y274" s="199" t="str"/>
      <x:c r="Z274" s="188" t="str">
        <x:v>Normal</x:v>
      </x:c>
    </x:row>
    <x:row r="275" ht="22" customHeight="1">
      <x:c r="A275" s="217" t="n">
        <x:v>271</x:v>
      </x:c>
      <x:c r="B275" s="218" t="str">
        <x:v>26815</x:v>
      </x:c>
      <x:c r="C275" s="218" t="str">
        <x:v>1</x:v>
      </x:c>
      <x:c r="D275" s="218" t="str">
        <x:v>609489</x:v>
      </x:c>
      <x:c r="E275" s="218" t="str">
        <x:v>2020600233</x:v>
      </x:c>
      <x:c r="F275" s="218" t="str">
        <x:v>OUTROS</x:v>
      </x:c>
      <x:c r="G275" s="184" t="str">
        <x:v>A STD PET TXT BCO 2200X60X9 RG(ME) RTO</x:v>
      </x:c>
      <x:c r="H275" s="184" t="str"/>
      <x:c r="I275" s="184" t="str"/>
      <x:c r="J275" s="184" t="str"/>
      <x:c r="K275" s="184" t="str">
        <x:v>ESMALTE</x:v>
      </x:c>
      <x:c r="L275" s="184" t="str">
        <x:v>BRANCO CARRARA</x:v>
      </x:c>
      <x:c r="M275" s="205" t="n">
        <x:v>308</x:v>
      </x:c>
      <x:c r="N275" s="205" t="n">
        <x:v>2200</x:v>
      </x:c>
      <x:c r="O275" s="205" t="n">
        <x:v>60</x:v>
      </x:c>
      <x:c r="P275" s="205" t="n">
        <x:v>9</x:v>
      </x:c>
      <x:c r="Q275" s="206" t="n">
        <x:v>0</x:v>
      </x:c>
      <x:c r="R275" s="207" t="str"/>
      <x:c r="S275" s="207" t="str"/>
      <x:c r="T275" s="207" t="str"/>
      <x:c r="U275" s="207" t="n">
        <x:v>0</x:v>
      </x:c>
      <x:c r="V275" s="208" t="n">
        <x:f>MAX(0,M275-U275)</x:f>
        <x:v>308</x:v>
      </x:c>
      <x:c r="W275" s="209" t="n">
        <x:f>IFERROR(U275/M275,0)</x:f>
        <x:v>0</x:v>
      </x:c>
      <x:c r="X275" s="201" t="str">
        <x:f>IF(U275=0,"Não iniciado",IF(U275&gt;=M275,"Concluído","Parcial"))</x:f>
        <x:v>Não iniciado</x:v>
      </x:c>
      <x:c r="Y275" s="199" t="str"/>
      <x:c r="Z275" s="188" t="str">
        <x:v>Normal</x:v>
      </x:c>
    </x:row>
    <x:row r="276" ht="22" customHeight="1">
      <x:c r="A276" s="219" t="n">
        <x:v>272</x:v>
      </x:c>
      <x:c r="B276" s="220" t="str">
        <x:v>26815</x:v>
      </x:c>
      <x:c r="C276" s="220" t="str">
        <x:v>2</x:v>
      </x:c>
      <x:c r="D276" s="220" t="str">
        <x:v>609496</x:v>
      </x:c>
      <x:c r="E276" s="220" t="str">
        <x:v>2020600232</x:v>
      </x:c>
      <x:c r="F276" s="220" t="str">
        <x:v>OUTROS</x:v>
      </x:c>
      <x:c r="G276" s="190" t="str">
        <x:v>A STD PET TXT BCO 2200X60X9 RG(55) RTO</x:v>
      </x:c>
      <x:c r="H276" s="190" t="str"/>
      <x:c r="I276" s="190" t="str"/>
      <x:c r="J276" s="190" t="str"/>
      <x:c r="K276" s="190" t="str">
        <x:v>ESMALTE</x:v>
      </x:c>
      <x:c r="L276" s="190" t="str">
        <x:v>BRANCO CARRARA</x:v>
      </x:c>
      <x:c r="M276" s="210" t="n">
        <x:v>20</x:v>
      </x:c>
      <x:c r="N276" s="210" t="n">
        <x:v>2200</x:v>
      </x:c>
      <x:c r="O276" s="210" t="n">
        <x:v>60</x:v>
      </x:c>
      <x:c r="P276" s="210" t="n">
        <x:v>9</x:v>
      </x:c>
      <x:c r="Q276" s="211" t="n">
        <x:v>0</x:v>
      </x:c>
      <x:c r="R276" s="207" t="str"/>
      <x:c r="S276" s="207" t="str"/>
      <x:c r="T276" s="207" t="str"/>
      <x:c r="U276" s="207" t="n">
        <x:v>0</x:v>
      </x:c>
      <x:c r="V276" s="208" t="n">
        <x:f>MAX(0,M276-U276)</x:f>
        <x:v>20</x:v>
      </x:c>
      <x:c r="W276" s="209" t="n">
        <x:f>IFERROR(U276/M276,0)</x:f>
        <x:v>0</x:v>
      </x:c>
      <x:c r="X276" s="201" t="str">
        <x:f>IF(U276=0,"Não iniciado",IF(U276&gt;=M276,"Concluído","Parcial"))</x:f>
        <x:v>Não iniciado</x:v>
      </x:c>
      <x:c r="Y276" s="199" t="str"/>
      <x:c r="Z276" s="188" t="str">
        <x:v>Normal</x:v>
      </x:c>
    </x:row>
    <x:row r="277" ht="22" customHeight="1">
      <x:c r="A277" s="217" t="n">
        <x:v>273</x:v>
      </x:c>
      <x:c r="B277" s="218" t="str">
        <x:v>26815</x:v>
      </x:c>
      <x:c r="C277" s="218" t="str">
        <x:v>2</x:v>
      </x:c>
      <x:c r="D277" s="218" t="str">
        <x:v>609497</x:v>
      </x:c>
      <x:c r="E277" s="218" t="str">
        <x:v>2020600233</x:v>
      </x:c>
      <x:c r="F277" s="218" t="str">
        <x:v>OUTROS</x:v>
      </x:c>
      <x:c r="G277" s="184" t="str">
        <x:v>A STD PET TXT BCO 2200X60X9 RG(ME) RTO</x:v>
      </x:c>
      <x:c r="H277" s="184" t="str"/>
      <x:c r="I277" s="184" t="str"/>
      <x:c r="J277" s="184" t="str"/>
      <x:c r="K277" s="184" t="str">
        <x:v>ESMALTE</x:v>
      </x:c>
      <x:c r="L277" s="184" t="str">
        <x:v>BRANCO CARRARA</x:v>
      </x:c>
      <x:c r="M277" s="205" t="n">
        <x:v>20</x:v>
      </x:c>
      <x:c r="N277" s="205" t="n">
        <x:v>2200</x:v>
      </x:c>
      <x:c r="O277" s="205" t="n">
        <x:v>60</x:v>
      </x:c>
      <x:c r="P277" s="205" t="n">
        <x:v>9</x:v>
      </x:c>
      <x:c r="Q277" s="206" t="n">
        <x:v>0</x:v>
      </x:c>
      <x:c r="R277" s="207" t="str"/>
      <x:c r="S277" s="207" t="str"/>
      <x:c r="T277" s="207" t="str"/>
      <x:c r="U277" s="207" t="n">
        <x:v>0</x:v>
      </x:c>
      <x:c r="V277" s="208" t="n">
        <x:f>MAX(0,M277-U277)</x:f>
        <x:v>20</x:v>
      </x:c>
      <x:c r="W277" s="209" t="n">
        <x:f>IFERROR(U277/M277,0)</x:f>
        <x:v>0</x:v>
      </x:c>
      <x:c r="X277" s="201" t="str">
        <x:f>IF(U277=0,"Não iniciado",IF(U277&gt;=M277,"Concluído","Parcial"))</x:f>
        <x:v>Não iniciado</x:v>
      </x:c>
      <x:c r="Y277" s="199" t="str"/>
      <x:c r="Z277" s="188" t="str">
        <x:v>Normal</x:v>
      </x:c>
    </x:row>
    <x:row r="278" ht="22" customHeight="1">
      <x:c r="A278" s="219" t="n">
        <x:v>274</x:v>
      </x:c>
      <x:c r="B278" s="220" t="str">
        <x:v>26815</x:v>
      </x:c>
      <x:c r="C278" s="220" t="str">
        <x:v>4</x:v>
      </x:c>
      <x:c r="D278" s="220" t="str">
        <x:v>609518</x:v>
      </x:c>
      <x:c r="E278" s="220" t="str">
        <x:v>2020600240</x:v>
      </x:c>
      <x:c r="F278" s="220" t="str">
        <x:v>OUTROS</x:v>
      </x:c>
      <x:c r="G278" s="190" t="str">
        <x:v>A STD PET TXT BCO 2200X60X12 RG(ME) RTO</x:v>
      </x:c>
      <x:c r="H278" s="190" t="str"/>
      <x:c r="I278" s="190" t="str"/>
      <x:c r="J278" s="190" t="str"/>
      <x:c r="K278" s="190" t="str">
        <x:v>ESMALTE</x:v>
      </x:c>
      <x:c r="L278" s="190" t="str">
        <x:v>BRANCO CARRARA</x:v>
      </x:c>
      <x:c r="M278" s="210" t="n">
        <x:v>134</x:v>
      </x:c>
      <x:c r="N278" s="210" t="n">
        <x:v>2200</x:v>
      </x:c>
      <x:c r="O278" s="210" t="n">
        <x:v>60</x:v>
      </x:c>
      <x:c r="P278" s="210" t="n">
        <x:v>12</x:v>
      </x:c>
      <x:c r="Q278" s="211" t="n">
        <x:v>0</x:v>
      </x:c>
      <x:c r="R278" s="207" t="str"/>
      <x:c r="S278" s="207" t="str"/>
      <x:c r="T278" s="207" t="str"/>
      <x:c r="U278" s="207" t="n">
        <x:v>0</x:v>
      </x:c>
      <x:c r="V278" s="208" t="n">
        <x:f>MAX(0,M278-U278)</x:f>
        <x:v>134</x:v>
      </x:c>
      <x:c r="W278" s="209" t="n">
        <x:f>IFERROR(U278/M278,0)</x:f>
        <x:v>0</x:v>
      </x:c>
      <x:c r="X278" s="201" t="str">
        <x:f>IF(U278=0,"Não iniciado",IF(U278&gt;=M278,"Concluído","Parcial"))</x:f>
        <x:v>Não iniciado</x:v>
      </x:c>
      <x:c r="Y278" s="199" t="str"/>
      <x:c r="Z278" s="188" t="str">
        <x:v>Normal</x:v>
      </x:c>
    </x:row>
    <x:row r="279" ht="22" customHeight="1">
      <x:c r="A279" s="217" t="n">
        <x:v>275</x:v>
      </x:c>
      <x:c r="B279" s="218" t="str">
        <x:v>26815</x:v>
      </x:c>
      <x:c r="C279" s="218" t="str">
        <x:v>5</x:v>
      </x:c>
      <x:c r="D279" s="218" t="str">
        <x:v>609535</x:v>
      </x:c>
      <x:c r="E279" s="218" t="str">
        <x:v>2020600240</x:v>
      </x:c>
      <x:c r="F279" s="218" t="str">
        <x:v>OUTROS</x:v>
      </x:c>
      <x:c r="G279" s="184" t="str">
        <x:v>A STD PET TXT BCO 2200X60X12 RG(ME) RTO</x:v>
      </x:c>
      <x:c r="H279" s="184" t="str"/>
      <x:c r="I279" s="184" t="str"/>
      <x:c r="J279" s="184" t="str"/>
      <x:c r="K279" s="184" t="str">
        <x:v>ESMALTE</x:v>
      </x:c>
      <x:c r="L279" s="184" t="str">
        <x:v>BRANCO CARRARA</x:v>
      </x:c>
      <x:c r="M279" s="205" t="n">
        <x:v>16</x:v>
      </x:c>
      <x:c r="N279" s="205" t="n">
        <x:v>2200</x:v>
      </x:c>
      <x:c r="O279" s="205" t="n">
        <x:v>60</x:v>
      </x:c>
      <x:c r="P279" s="205" t="n">
        <x:v>12</x:v>
      </x:c>
      <x:c r="Q279" s="206" t="n">
        <x:v>0</x:v>
      </x:c>
      <x:c r="R279" s="207" t="str"/>
      <x:c r="S279" s="207" t="str"/>
      <x:c r="T279" s="207" t="str"/>
      <x:c r="U279" s="207" t="n">
        <x:v>0</x:v>
      </x:c>
      <x:c r="V279" s="208" t="n">
        <x:f>MAX(0,M279-U279)</x:f>
        <x:v>16</x:v>
      </x:c>
      <x:c r="W279" s="209" t="n">
        <x:f>IFERROR(U279/M279,0)</x:f>
        <x:v>0</x:v>
      </x:c>
      <x:c r="X279" s="201" t="str">
        <x:f>IF(U279=0,"Não iniciado",IF(U279&gt;=M279,"Concluído","Parcial"))</x:f>
        <x:v>Não iniciado</x:v>
      </x:c>
      <x:c r="Y279" s="199" t="str"/>
      <x:c r="Z279" s="188" t="str">
        <x:v>Normal</x:v>
      </x:c>
    </x:row>
    <x:row r="280" ht="22" customHeight="1">
      <x:c r="A280" s="219" t="n">
        <x:v>276</x:v>
      </x:c>
      <x:c r="B280" s="220" t="str">
        <x:v>26815</x:v>
      </x:c>
      <x:c r="C280" s="220" t="str">
        <x:v>6</x:v>
      </x:c>
      <x:c r="D280" s="220" t="str">
        <x:v>609552</x:v>
      </x:c>
      <x:c r="E280" s="220" t="str">
        <x:v>2020600240</x:v>
      </x:c>
      <x:c r="F280" s="220" t="str">
        <x:v>OUTROS</x:v>
      </x:c>
      <x:c r="G280" s="190" t="str">
        <x:v>A STD PET TXT BCO 2200X60X12 RG(ME) RTO</x:v>
      </x:c>
      <x:c r="H280" s="190" t="str"/>
      <x:c r="I280" s="190" t="str"/>
      <x:c r="J280" s="190" t="str"/>
      <x:c r="K280" s="190" t="str">
        <x:v>ESMALTE</x:v>
      </x:c>
      <x:c r="L280" s="190" t="str">
        <x:v>BRANCO CARRARA</x:v>
      </x:c>
      <x:c r="M280" s="210" t="n">
        <x:v>54</x:v>
      </x:c>
      <x:c r="N280" s="210" t="n">
        <x:v>2200</x:v>
      </x:c>
      <x:c r="O280" s="210" t="n">
        <x:v>60</x:v>
      </x:c>
      <x:c r="P280" s="210" t="n">
        <x:v>12</x:v>
      </x:c>
      <x:c r="Q280" s="211" t="n">
        <x:v>0</x:v>
      </x:c>
      <x:c r="R280" s="207" t="str"/>
      <x:c r="S280" s="207" t="str"/>
      <x:c r="T280" s="207" t="str"/>
      <x:c r="U280" s="207" t="n">
        <x:v>0</x:v>
      </x:c>
      <x:c r="V280" s="208" t="n">
        <x:f>MAX(0,M280-U280)</x:f>
        <x:v>54</x:v>
      </x:c>
      <x:c r="W280" s="209" t="n">
        <x:f>IFERROR(U280/M280,0)</x:f>
        <x:v>0</x:v>
      </x:c>
      <x:c r="X280" s="201" t="str">
        <x:f>IF(U280=0,"Não iniciado",IF(U280&gt;=M280,"Concluído","Parcial"))</x:f>
        <x:v>Não iniciado</x:v>
      </x:c>
      <x:c r="Y280" s="199" t="str"/>
      <x:c r="Z280" s="188" t="str">
        <x:v>Normal</x:v>
      </x:c>
    </x:row>
    <x:row r="281" ht="22" customHeight="1">
      <x:c r="A281" s="217" t="n">
        <x:v>277</x:v>
      </x:c>
      <x:c r="B281" s="218" t="str">
        <x:v>26815</x:v>
      </x:c>
      <x:c r="C281" s="218" t="str">
        <x:v>7</x:v>
      </x:c>
      <x:c r="D281" s="218" t="str">
        <x:v>609569</x:v>
      </x:c>
      <x:c r="E281" s="218" t="str">
        <x:v>2020600240</x:v>
      </x:c>
      <x:c r="F281" s="218" t="str">
        <x:v>OUTROS</x:v>
      </x:c>
      <x:c r="G281" s="184" t="str">
        <x:v>A STD PET TXT BCO 2200X60X12 RG(ME) RTO</x:v>
      </x:c>
      <x:c r="H281" s="184" t="str"/>
      <x:c r="I281" s="184" t="str"/>
      <x:c r="J281" s="184" t="str"/>
      <x:c r="K281" s="184" t="str">
        <x:v>ESMALTE</x:v>
      </x:c>
      <x:c r="L281" s="184" t="str">
        <x:v>BRANCO CARRARA</x:v>
      </x:c>
      <x:c r="M281" s="205" t="n">
        <x:v>10</x:v>
      </x:c>
      <x:c r="N281" s="205" t="n">
        <x:v>2200</x:v>
      </x:c>
      <x:c r="O281" s="205" t="n">
        <x:v>60</x:v>
      </x:c>
      <x:c r="P281" s="205" t="n">
        <x:v>12</x:v>
      </x:c>
      <x:c r="Q281" s="206" t="n">
        <x:v>0</x:v>
      </x:c>
      <x:c r="R281" s="207" t="str"/>
      <x:c r="S281" s="207" t="str"/>
      <x:c r="T281" s="207" t="str"/>
      <x:c r="U281" s="207" t="n">
        <x:v>0</x:v>
      </x:c>
      <x:c r="V281" s="208" t="n">
        <x:f>MAX(0,M281-U281)</x:f>
        <x:v>10</x:v>
      </x:c>
      <x:c r="W281" s="209" t="n">
        <x:f>IFERROR(U281/M281,0)</x:f>
        <x:v>0</x:v>
      </x:c>
      <x:c r="X281" s="201" t="str">
        <x:f>IF(U281=0,"Não iniciado",IF(U281&gt;=M281,"Concluído","Parcial"))</x:f>
        <x:v>Não iniciado</x:v>
      </x:c>
      <x:c r="Y281" s="199" t="str"/>
      <x:c r="Z281" s="188" t="str">
        <x:v>Normal</x:v>
      </x:c>
    </x:row>
    <x:row r="282" ht="22" customHeight="1">
      <x:c r="A282" s="219" t="n">
        <x:v>278</x:v>
      </x:c>
      <x:c r="B282" s="220" t="str">
        <x:v>26825</x:v>
      </x:c>
      <x:c r="C282" s="220" t="str">
        <x:v>4</x:v>
      </x:c>
      <x:c r="D282" s="220" t="str">
        <x:v>609053</x:v>
      </x:c>
      <x:c r="E282" s="220" t="str">
        <x:v>2020700645</x:v>
      </x:c>
      <x:c r="F282" s="220" t="str">
        <x:v>OUTROS</x:v>
      </x:c>
      <x:c r="G282" s="190" t="str">
        <x:v>A ULTRA PET BCO CAR 2200X60X9 RG(55) RTO</x:v>
      </x:c>
      <x:c r="H282" s="190" t="str">
        <x:v>REG 2L(MAIOR 55MM)</x:v>
      </x:c>
      <x:c r="I282" s="190" t="str"/>
      <x:c r="J282" s="190" t="str"/>
      <x:c r="K282" s="190" t="str">
        <x:v>RECOBERTO PET</x:v>
      </x:c>
      <x:c r="L282" s="190" t="str">
        <x:v>BRANCO CARRARA</x:v>
      </x:c>
      <x:c r="M282" s="210" t="n">
        <x:v>64</x:v>
      </x:c>
      <x:c r="N282" s="210" t="n">
        <x:v>2200</x:v>
      </x:c>
      <x:c r="O282" s="210" t="n">
        <x:v>60</x:v>
      </x:c>
      <x:c r="P282" s="210" t="n">
        <x:v>9</x:v>
      </x:c>
      <x:c r="Q282" s="211" t="n">
        <x:v>0</x:v>
      </x:c>
      <x:c r="R282" s="207" t="str"/>
      <x:c r="S282" s="207" t="str"/>
      <x:c r="T282" s="207" t="str"/>
      <x:c r="U282" s="207" t="n">
        <x:v>0</x:v>
      </x:c>
      <x:c r="V282" s="208" t="n">
        <x:f>MAX(0,M282-U282)</x:f>
        <x:v>64</x:v>
      </x:c>
      <x:c r="W282" s="209" t="n">
        <x:f>IFERROR(U282/M282,0)</x:f>
        <x:v>0</x:v>
      </x:c>
      <x:c r="X282" s="201" t="str">
        <x:f>IF(U282=0,"Não iniciado",IF(U282&gt;=M282,"Concluído","Parcial"))</x:f>
        <x:v>Não iniciado</x:v>
      </x:c>
      <x:c r="Y282" s="199" t="str"/>
      <x:c r="Z282" s="188" t="str">
        <x:v>Normal</x:v>
      </x:c>
    </x:row>
    <x:row r="283" ht="22" customHeight="1">
      <x:c r="A283" s="217" t="n">
        <x:v>279</x:v>
      </x:c>
      <x:c r="B283" s="218" t="str">
        <x:v>26825</x:v>
      </x:c>
      <x:c r="C283" s="218" t="str">
        <x:v>4</x:v>
      </x:c>
      <x:c r="D283" s="218" t="str">
        <x:v>609054</x:v>
      </x:c>
      <x:c r="E283" s="218" t="str">
        <x:v>2020700646</x:v>
      </x:c>
      <x:c r="F283" s="218" t="str">
        <x:v>OUTROS</x:v>
      </x:c>
      <x:c r="G283" s="184" t="str">
        <x:v>A ULTRA PET BCO CAR 2200X60X9 RG(ME) RTO</x:v>
      </x:c>
      <x:c r="H283" s="184" t="str">
        <x:v>REG 2L(MAIOR 55MM)</x:v>
      </x:c>
      <x:c r="I283" s="184" t="str"/>
      <x:c r="J283" s="184" t="str"/>
      <x:c r="K283" s="184" t="str">
        <x:v>RECOBERTO PET</x:v>
      </x:c>
      <x:c r="L283" s="184" t="str">
        <x:v>BRANCO CARRARA</x:v>
      </x:c>
      <x:c r="M283" s="205" t="n">
        <x:v>64</x:v>
      </x:c>
      <x:c r="N283" s="205" t="n">
        <x:v>2200</x:v>
      </x:c>
      <x:c r="O283" s="205" t="n">
        <x:v>60</x:v>
      </x:c>
      <x:c r="P283" s="205" t="n">
        <x:v>9</x:v>
      </x:c>
      <x:c r="Q283" s="206" t="n">
        <x:v>0</x:v>
      </x:c>
      <x:c r="R283" s="207" t="str"/>
      <x:c r="S283" s="207" t="str"/>
      <x:c r="T283" s="207" t="str"/>
      <x:c r="U283" s="207" t="n">
        <x:v>0</x:v>
      </x:c>
      <x:c r="V283" s="208" t="n">
        <x:f>MAX(0,M283-U283)</x:f>
        <x:v>64</x:v>
      </x:c>
      <x:c r="W283" s="209" t="n">
        <x:f>IFERROR(U283/M283,0)</x:f>
        <x:v>0</x:v>
      </x:c>
      <x:c r="X283" s="201" t="str">
        <x:f>IF(U283=0,"Não iniciado",IF(U283&gt;=M283,"Concluído","Parcial"))</x:f>
        <x:v>Não iniciado</x:v>
      </x:c>
      <x:c r="Y283" s="199" t="str"/>
      <x:c r="Z283" s="188" t="str">
        <x:v>Normal</x:v>
      </x:c>
    </x:row>
    <x:row r="284" ht="22" customHeight="1">
      <x:c r="A284" s="219" t="n">
        <x:v>280</x:v>
      </x:c>
      <x:c r="B284" s="220" t="str">
        <x:v>26825</x:v>
      </x:c>
      <x:c r="C284" s="220" t="str">
        <x:v>4</x:v>
      </x:c>
      <x:c r="D284" s="220" t="str">
        <x:v>609055</x:v>
      </x:c>
      <x:c r="E284" s="220" t="str">
        <x:v>2020700647</x:v>
      </x:c>
      <x:c r="F284" s="220" t="str">
        <x:v>OUTROS</x:v>
      </x:c>
      <x:c r="G284" s="190" t="str">
        <x:v>A ULTRA PET BCO CAR 1200X60X9 RG(55) RTO</x:v>
      </x:c>
      <x:c r="H284" s="190" t="str">
        <x:v>REG 2L(MAIOR 55MM)</x:v>
      </x:c>
      <x:c r="I284" s="190" t="str"/>
      <x:c r="J284" s="190" t="str"/>
      <x:c r="K284" s="190" t="str">
        <x:v>RECOBERTO PET</x:v>
      </x:c>
      <x:c r="L284" s="190" t="str">
        <x:v>BRANCO CARRARA</x:v>
      </x:c>
      <x:c r="M284" s="210" t="n">
        <x:v>32</x:v>
      </x:c>
      <x:c r="N284" s="210" t="n">
        <x:v>1200</x:v>
      </x:c>
      <x:c r="O284" s="210" t="n">
        <x:v>60</x:v>
      </x:c>
      <x:c r="P284" s="210" t="n">
        <x:v>9</x:v>
      </x:c>
      <x:c r="Q284" s="211" t="n">
        <x:v>0</x:v>
      </x:c>
      <x:c r="R284" s="207" t="str"/>
      <x:c r="S284" s="207" t="str"/>
      <x:c r="T284" s="207" t="str"/>
      <x:c r="U284" s="207" t="n">
        <x:v>0</x:v>
      </x:c>
      <x:c r="V284" s="208" t="n">
        <x:f>MAX(0,M284-U284)</x:f>
        <x:v>32</x:v>
      </x:c>
      <x:c r="W284" s="209" t="n">
        <x:f>IFERROR(U284/M284,0)</x:f>
        <x:v>0</x:v>
      </x:c>
      <x:c r="X284" s="201" t="str">
        <x:f>IF(U284=0,"Não iniciado",IF(U284&gt;=M284,"Concluído","Parcial"))</x:f>
        <x:v>Não iniciado</x:v>
      </x:c>
      <x:c r="Y284" s="199" t="str"/>
      <x:c r="Z284" s="188" t="str">
        <x:v>Normal</x:v>
      </x:c>
    </x:row>
    <x:row r="285" ht="22" customHeight="1">
      <x:c r="A285" s="217" t="n">
        <x:v>281</x:v>
      </x:c>
      <x:c r="B285" s="218" t="str">
        <x:v>26825</x:v>
      </x:c>
      <x:c r="C285" s="218" t="str">
        <x:v>4</x:v>
      </x:c>
      <x:c r="D285" s="218" t="str">
        <x:v>609056</x:v>
      </x:c>
      <x:c r="E285" s="218" t="str">
        <x:v>2020700648</x:v>
      </x:c>
      <x:c r="F285" s="218" t="str">
        <x:v>OUTROS</x:v>
      </x:c>
      <x:c r="G285" s="184" t="str">
        <x:v>A ULTRA PET BCO CAR 1200X60X9 RG(ME) RTO</x:v>
      </x:c>
      <x:c r="H285" s="184" t="str">
        <x:v>REG 2L(MAIOR 55MM)</x:v>
      </x:c>
      <x:c r="I285" s="184" t="str"/>
      <x:c r="J285" s="184" t="str"/>
      <x:c r="K285" s="184" t="str">
        <x:v>RECOBERTO PET</x:v>
      </x:c>
      <x:c r="L285" s="184" t="str">
        <x:v>BRANCO CARRARA</x:v>
      </x:c>
      <x:c r="M285" s="205" t="n">
        <x:v>32</x:v>
      </x:c>
      <x:c r="N285" s="205" t="n">
        <x:v>1200</x:v>
      </x:c>
      <x:c r="O285" s="205" t="n">
        <x:v>60</x:v>
      </x:c>
      <x:c r="P285" s="205" t="n">
        <x:v>9</x:v>
      </x:c>
      <x:c r="Q285" s="206" t="n">
        <x:v>0</x:v>
      </x:c>
      <x:c r="R285" s="207" t="str"/>
      <x:c r="S285" s="207" t="str"/>
      <x:c r="T285" s="207" t="str"/>
      <x:c r="U285" s="207" t="n">
        <x:v>0</x:v>
      </x:c>
      <x:c r="V285" s="208" t="n">
        <x:f>MAX(0,M285-U285)</x:f>
        <x:v>32</x:v>
      </x:c>
      <x:c r="W285" s="209" t="n">
        <x:f>IFERROR(U285/M285,0)</x:f>
        <x:v>0</x:v>
      </x:c>
      <x:c r="X285" s="201" t="str">
        <x:f>IF(U285=0,"Não iniciado",IF(U285&gt;=M285,"Concluído","Parcial"))</x:f>
        <x:v>Não iniciado</x:v>
      </x:c>
      <x:c r="Y285" s="199" t="str"/>
      <x:c r="Z285" s="188" t="str">
        <x:v>Normal</x:v>
      </x:c>
    </x:row>
    <x:row r="286" ht="22" customHeight="1">
      <x:c r="A286" s="219" t="n">
        <x:v>282</x:v>
      </x:c>
      <x:c r="B286" s="220" t="str">
        <x:v>26792</x:v>
      </x:c>
      <x:c r="C286" s="220" t="str">
        <x:v>4</x:v>
      </x:c>
      <x:c r="D286" s="220" t="str">
        <x:v>609445</x:v>
      </x:c>
      <x:c r="E286" s="220" t="str">
        <x:v>2020600205</x:v>
      </x:c>
      <x:c r="F286" s="220" t="str">
        <x:v>OUTROS</x:v>
      </x:c>
      <x:c r="G286" s="190" t="str">
        <x:v>A STD PET TXT BCO 1100X60X9 RG(35) RTO</x:v>
      </x:c>
      <x:c r="H286" s="190" t="str"/>
      <x:c r="I286" s="190" t="str"/>
      <x:c r="J286" s="190" t="str"/>
      <x:c r="K286" s="190" t="str">
        <x:v>ESMALTE</x:v>
      </x:c>
      <x:c r="L286" s="190" t="str">
        <x:v>BRANCO</x:v>
      </x:c>
      <x:c r="M286" s="210" t="n">
        <x:v>144</x:v>
      </x:c>
      <x:c r="N286" s="210" t="n">
        <x:v>1100</x:v>
      </x:c>
      <x:c r="O286" s="210" t="n">
        <x:v>60</x:v>
      </x:c>
      <x:c r="P286" s="210" t="n">
        <x:v>9</x:v>
      </x:c>
      <x:c r="Q286" s="211" t="n">
        <x:v>0.086</x:v>
      </x:c>
      <x:c r="R286" s="207" t="str"/>
      <x:c r="S286" s="207" t="str"/>
      <x:c r="T286" s="207" t="str"/>
      <x:c r="U286" s="207" t="n">
        <x:v>0</x:v>
      </x:c>
      <x:c r="V286" s="208" t="n">
        <x:f>MAX(0,M286-U286)</x:f>
        <x:v>144</x:v>
      </x:c>
      <x:c r="W286" s="209" t="n">
        <x:f>IFERROR(U286/M286,0)</x:f>
        <x:v>0</x:v>
      </x:c>
      <x:c r="X286" s="201" t="str">
        <x:f>IF(U286=0,"Não iniciado",IF(U286&gt;=M286,"Concluído","Parcial"))</x:f>
        <x:v>Não iniciado</x:v>
      </x:c>
      <x:c r="Y286" s="199" t="str"/>
      <x:c r="Z286" s="188" t="str">
        <x:v>Normal</x:v>
      </x:c>
    </x:row>
    <x:row r="287" ht="22" customHeight="1">
      <x:c r="A287" s="217" t="n">
        <x:v>283</x:v>
      </x:c>
      <x:c r="B287" s="218" t="str">
        <x:v>26792</x:v>
      </x:c>
      <x:c r="C287" s="218" t="str">
        <x:v>4</x:v>
      </x:c>
      <x:c r="D287" s="218" t="str">
        <x:v>609446</x:v>
      </x:c>
      <x:c r="E287" s="218" t="str">
        <x:v>2020600206</x:v>
      </x:c>
      <x:c r="F287" s="218" t="str">
        <x:v>OUTROS</x:v>
      </x:c>
      <x:c r="G287" s="184" t="str">
        <x:v>A STD PET TXT BCO 1100X60X9 RG(ME) RTO</x:v>
      </x:c>
      <x:c r="H287" s="184" t="str"/>
      <x:c r="I287" s="184" t="str"/>
      <x:c r="J287" s="184" t="str"/>
      <x:c r="K287" s="184" t="str">
        <x:v>ESMALTE</x:v>
      </x:c>
      <x:c r="L287" s="184" t="str">
        <x:v>BRANCO</x:v>
      </x:c>
      <x:c r="M287" s="205" t="n">
        <x:v>144</x:v>
      </x:c>
      <x:c r="N287" s="205" t="n">
        <x:v>1100</x:v>
      </x:c>
      <x:c r="O287" s="205" t="n">
        <x:v>60</x:v>
      </x:c>
      <x:c r="P287" s="205" t="n">
        <x:v>9</x:v>
      </x:c>
      <x:c r="Q287" s="206" t="n">
        <x:v>0</x:v>
      </x:c>
      <x:c r="R287" s="207" t="str"/>
      <x:c r="S287" s="207" t="str"/>
      <x:c r="T287" s="207" t="str"/>
      <x:c r="U287" s="207" t="n">
        <x:v>0</x:v>
      </x:c>
      <x:c r="V287" s="208" t="n">
        <x:f>MAX(0,M287-U287)</x:f>
        <x:v>144</x:v>
      </x:c>
      <x:c r="W287" s="209" t="n">
        <x:f>IFERROR(U287/M287,0)</x:f>
        <x:v>0</x:v>
      </x:c>
      <x:c r="X287" s="201" t="str">
        <x:f>IF(U287=0,"Não iniciado",IF(U287&gt;=M287,"Concluído","Parcial"))</x:f>
        <x:v>Não iniciado</x:v>
      </x:c>
      <x:c r="Y287" s="199" t="str"/>
      <x:c r="Z287" s="188" t="str">
        <x:v>Normal</x:v>
      </x:c>
    </x:row>
    <x:row r="288" ht="22" customHeight="1">
      <x:c r="A288" s="219" t="n">
        <x:v>284</x:v>
      </x:c>
      <x:c r="B288" s="220" t="str">
        <x:v>26815</x:v>
      </x:c>
      <x:c r="C288" s="220" t="str">
        <x:v>3</x:v>
      </x:c>
      <x:c r="D288" s="220" t="str">
        <x:v>609506</x:v>
      </x:c>
      <x:c r="E288" s="220" t="str">
        <x:v>2020600205</x:v>
      </x:c>
      <x:c r="F288" s="220" t="str">
        <x:v>OUTROS</x:v>
      </x:c>
      <x:c r="G288" s="190" t="str">
        <x:v>A STD PET TXT BCO 1100X60X9 RG(35) RTO</x:v>
      </x:c>
      <x:c r="H288" s="190" t="str"/>
      <x:c r="I288" s="190" t="str"/>
      <x:c r="J288" s="190" t="str"/>
      <x:c r="K288" s="190" t="str">
        <x:v>ESMALTE</x:v>
      </x:c>
      <x:c r="L288" s="190" t="str">
        <x:v>BRANCO</x:v>
      </x:c>
      <x:c r="M288" s="210" t="n">
        <x:v>92</x:v>
      </x:c>
      <x:c r="N288" s="210" t="n">
        <x:v>1100</x:v>
      </x:c>
      <x:c r="O288" s="210" t="n">
        <x:v>60</x:v>
      </x:c>
      <x:c r="P288" s="210" t="n">
        <x:v>9</x:v>
      </x:c>
      <x:c r="Q288" s="211" t="n">
        <x:v>0.055</x:v>
      </x:c>
      <x:c r="R288" s="207" t="str"/>
      <x:c r="S288" s="207" t="str"/>
      <x:c r="T288" s="207" t="str"/>
      <x:c r="U288" s="207" t="n">
        <x:v>0</x:v>
      </x:c>
      <x:c r="V288" s="208" t="n">
        <x:f>MAX(0,M288-U288)</x:f>
        <x:v>92</x:v>
      </x:c>
      <x:c r="W288" s="209" t="n">
        <x:f>IFERROR(U288/M288,0)</x:f>
        <x:v>0</x:v>
      </x:c>
      <x:c r="X288" s="201" t="str">
        <x:f>IF(U288=0,"Não iniciado",IF(U288&gt;=M288,"Concluído","Parcial"))</x:f>
        <x:v>Não iniciado</x:v>
      </x:c>
      <x:c r="Y288" s="199" t="str"/>
      <x:c r="Z288" s="188" t="str">
        <x:v>Normal</x:v>
      </x:c>
    </x:row>
    <x:row r="289" ht="22" customHeight="1">
      <x:c r="A289" s="217" t="n">
        <x:v>285</x:v>
      </x:c>
      <x:c r="B289" s="218" t="str">
        <x:v>26815</x:v>
      </x:c>
      <x:c r="C289" s="218" t="str">
        <x:v>3</x:v>
      </x:c>
      <x:c r="D289" s="218" t="str">
        <x:v>609507</x:v>
      </x:c>
      <x:c r="E289" s="218" t="str">
        <x:v>2020600206</x:v>
      </x:c>
      <x:c r="F289" s="218" t="str">
        <x:v>OUTROS</x:v>
      </x:c>
      <x:c r="G289" s="184" t="str">
        <x:v>A STD PET TXT BCO 1100X60X9 RG(ME) RTO</x:v>
      </x:c>
      <x:c r="H289" s="184" t="str"/>
      <x:c r="I289" s="184" t="str"/>
      <x:c r="J289" s="184" t="str"/>
      <x:c r="K289" s="184" t="str">
        <x:v>ESMALTE</x:v>
      </x:c>
      <x:c r="L289" s="184" t="str">
        <x:v>BRANCO</x:v>
      </x:c>
      <x:c r="M289" s="205" t="n">
        <x:v>92</x:v>
      </x:c>
      <x:c r="N289" s="205" t="n">
        <x:v>1100</x:v>
      </x:c>
      <x:c r="O289" s="205" t="n">
        <x:v>60</x:v>
      </x:c>
      <x:c r="P289" s="205" t="n">
        <x:v>9</x:v>
      </x:c>
      <x:c r="Q289" s="206" t="n">
        <x:v>0</x:v>
      </x:c>
      <x:c r="R289" s="207" t="str"/>
      <x:c r="S289" s="207" t="str"/>
      <x:c r="T289" s="207" t="str"/>
      <x:c r="U289" s="207" t="n">
        <x:v>0</x:v>
      </x:c>
      <x:c r="V289" s="208" t="n">
        <x:f>MAX(0,M289-U289)</x:f>
        <x:v>92</x:v>
      </x:c>
      <x:c r="W289" s="209" t="n">
        <x:f>IFERROR(U289/M289,0)</x:f>
        <x:v>0</x:v>
      </x:c>
      <x:c r="X289" s="201" t="str">
        <x:f>IF(U289=0,"Não iniciado",IF(U289&gt;=M289,"Concluído","Parcial"))</x:f>
        <x:v>Não iniciado</x:v>
      </x:c>
      <x:c r="Y289" s="199" t="str"/>
      <x:c r="Z289" s="188" t="str">
        <x:v>Normal</x:v>
      </x:c>
    </x:row>
    <x:row r="290" ht="22" customHeight="1">
      <x:c r="A290" s="219" t="n">
        <x:v>286</x:v>
      </x:c>
      <x:c r="B290" s="220" t="str">
        <x:v>26792</x:v>
      </x:c>
      <x:c r="C290" s="220" t="str">
        <x:v>1</x:v>
      </x:c>
      <x:c r="D290" s="220" t="str">
        <x:v>609421</x:v>
      </x:c>
      <x:c r="E290" s="220" t="str">
        <x:v>2020600234</x:v>
      </x:c>
      <x:c r="F290" s="220" t="str">
        <x:v>OUTROS</x:v>
      </x:c>
      <x:c r="G290" s="190" t="str">
        <x:v>A STD PET TXT BCO 1100X60X9 RG(55) RTO</x:v>
      </x:c>
      <x:c r="H290" s="190" t="str"/>
      <x:c r="I290" s="190" t="str"/>
      <x:c r="J290" s="190" t="str"/>
      <x:c r="K290" s="190" t="str">
        <x:v>ESMALTE</x:v>
      </x:c>
      <x:c r="L290" s="190" t="str">
        <x:v>BRANCO CARRARA</x:v>
      </x:c>
      <x:c r="M290" s="210" t="n">
        <x:v>137</x:v>
      </x:c>
      <x:c r="N290" s="210" t="n">
        <x:v>1100</x:v>
      </x:c>
      <x:c r="O290" s="210" t="n">
        <x:v>60</x:v>
      </x:c>
      <x:c r="P290" s="210" t="n">
        <x:v>9</x:v>
      </x:c>
      <x:c r="Q290" s="211" t="n">
        <x:v>0</x:v>
      </x:c>
      <x:c r="R290" s="207" t="str"/>
      <x:c r="S290" s="207" t="str"/>
      <x:c r="T290" s="207" t="str"/>
      <x:c r="U290" s="207" t="n">
        <x:v>0</x:v>
      </x:c>
      <x:c r="V290" s="208" t="n">
        <x:f>MAX(0,M290-U290)</x:f>
        <x:v>137</x:v>
      </x:c>
      <x:c r="W290" s="209" t="n">
        <x:f>IFERROR(U290/M290,0)</x:f>
        <x:v>0</x:v>
      </x:c>
      <x:c r="X290" s="201" t="str">
        <x:f>IF(U290=0,"Não iniciado",IF(U290&gt;=M290,"Concluído","Parcial"))</x:f>
        <x:v>Não iniciado</x:v>
      </x:c>
      <x:c r="Y290" s="199" t="str"/>
      <x:c r="Z290" s="188" t="str">
        <x:v>Normal</x:v>
      </x:c>
    </x:row>
    <x:row r="291" ht="22" customHeight="1">
      <x:c r="A291" s="217" t="n">
        <x:v>287</x:v>
      </x:c>
      <x:c r="B291" s="218" t="str">
        <x:v>26792</x:v>
      </x:c>
      <x:c r="C291" s="218" t="str">
        <x:v>1</x:v>
      </x:c>
      <x:c r="D291" s="218" t="str">
        <x:v>609422</x:v>
      </x:c>
      <x:c r="E291" s="218" t="str">
        <x:v>2020600235</x:v>
      </x:c>
      <x:c r="F291" s="218" t="str">
        <x:v>OUTROS</x:v>
      </x:c>
      <x:c r="G291" s="184" t="str">
        <x:v>A STD PET TXT BCO 1100X60X9 RG(ME) RTO</x:v>
      </x:c>
      <x:c r="H291" s="184" t="str"/>
      <x:c r="I291" s="184" t="str"/>
      <x:c r="J291" s="184" t="str"/>
      <x:c r="K291" s="184" t="str">
        <x:v>ESMALTE</x:v>
      </x:c>
      <x:c r="L291" s="184" t="str">
        <x:v>BRANCO CARRARA</x:v>
      </x:c>
      <x:c r="M291" s="205" t="n">
        <x:v>137</x:v>
      </x:c>
      <x:c r="N291" s="205" t="n">
        <x:v>1100</x:v>
      </x:c>
      <x:c r="O291" s="205" t="n">
        <x:v>60</x:v>
      </x:c>
      <x:c r="P291" s="205" t="n">
        <x:v>9</x:v>
      </x:c>
      <x:c r="Q291" s="206" t="n">
        <x:v>0</x:v>
      </x:c>
      <x:c r="R291" s="207" t="str"/>
      <x:c r="S291" s="207" t="str"/>
      <x:c r="T291" s="207" t="str"/>
      <x:c r="U291" s="207" t="n">
        <x:v>0</x:v>
      </x:c>
      <x:c r="V291" s="208" t="n">
        <x:f>MAX(0,M291-U291)</x:f>
        <x:v>137</x:v>
      </x:c>
      <x:c r="W291" s="209" t="n">
        <x:f>IFERROR(U291/M291,0)</x:f>
        <x:v>0</x:v>
      </x:c>
      <x:c r="X291" s="201" t="str">
        <x:f>IF(U291=0,"Não iniciado",IF(U291&gt;=M291,"Concluído","Parcial"))</x:f>
        <x:v>Não iniciado</x:v>
      </x:c>
      <x:c r="Y291" s="199" t="str"/>
      <x:c r="Z291" s="188" t="str">
        <x:v>Normal</x:v>
      </x:c>
    </x:row>
    <x:row r="292" ht="22" customHeight="1">
      <x:c r="A292" s="219" t="n">
        <x:v>288</x:v>
      </x:c>
      <x:c r="B292" s="220" t="str">
        <x:v>26792</x:v>
      </x:c>
      <x:c r="C292" s="220" t="str">
        <x:v>2</x:v>
      </x:c>
      <x:c r="D292" s="220" t="str">
        <x:v>609429</x:v>
      </x:c>
      <x:c r="E292" s="220" t="str">
        <x:v>2020600234</x:v>
      </x:c>
      <x:c r="F292" s="220" t="str">
        <x:v>OUTROS</x:v>
      </x:c>
      <x:c r="G292" s="190" t="str">
        <x:v>A STD PET TXT BCO 1100X60X9 RG(55) RTO</x:v>
      </x:c>
      <x:c r="H292" s="190" t="str"/>
      <x:c r="I292" s="190" t="str"/>
      <x:c r="J292" s="190" t="str"/>
      <x:c r="K292" s="190" t="str">
        <x:v>ESMALTE</x:v>
      </x:c>
      <x:c r="L292" s="190" t="str">
        <x:v>BRANCO CARRARA</x:v>
      </x:c>
      <x:c r="M292" s="210" t="n">
        <x:v>17</x:v>
      </x:c>
      <x:c r="N292" s="210" t="n">
        <x:v>1100</x:v>
      </x:c>
      <x:c r="O292" s="210" t="n">
        <x:v>60</x:v>
      </x:c>
      <x:c r="P292" s="210" t="n">
        <x:v>9</x:v>
      </x:c>
      <x:c r="Q292" s="211" t="n">
        <x:v>0</x:v>
      </x:c>
      <x:c r="R292" s="207" t="str"/>
      <x:c r="S292" s="207" t="str"/>
      <x:c r="T292" s="207" t="str"/>
      <x:c r="U292" s="207" t="n">
        <x:v>0</x:v>
      </x:c>
      <x:c r="V292" s="208" t="n">
        <x:f>MAX(0,M292-U292)</x:f>
        <x:v>17</x:v>
      </x:c>
      <x:c r="W292" s="209" t="n">
        <x:f>IFERROR(U292/M292,0)</x:f>
        <x:v>0</x:v>
      </x:c>
      <x:c r="X292" s="201" t="str">
        <x:f>IF(U292=0,"Não iniciado",IF(U292&gt;=M292,"Concluído","Parcial"))</x:f>
        <x:v>Não iniciado</x:v>
      </x:c>
      <x:c r="Y292" s="199" t="str"/>
      <x:c r="Z292" s="188" t="str">
        <x:v>Normal</x:v>
      </x:c>
    </x:row>
    <x:row r="293" ht="22" customHeight="1">
      <x:c r="A293" s="217" t="n">
        <x:v>289</x:v>
      </x:c>
      <x:c r="B293" s="218" t="str">
        <x:v>26792</x:v>
      </x:c>
      <x:c r="C293" s="218" t="str">
        <x:v>2</x:v>
      </x:c>
      <x:c r="D293" s="218" t="str">
        <x:v>609430</x:v>
      </x:c>
      <x:c r="E293" s="218" t="str">
        <x:v>2020600235</x:v>
      </x:c>
      <x:c r="F293" s="218" t="str">
        <x:v>OUTROS</x:v>
      </x:c>
      <x:c r="G293" s="184" t="str">
        <x:v>A STD PET TXT BCO 1100X60X9 RG(ME) RTO</x:v>
      </x:c>
      <x:c r="H293" s="184" t="str"/>
      <x:c r="I293" s="184" t="str"/>
      <x:c r="J293" s="184" t="str"/>
      <x:c r="K293" s="184" t="str">
        <x:v>ESMALTE</x:v>
      </x:c>
      <x:c r="L293" s="184" t="str">
        <x:v>BRANCO CARRARA</x:v>
      </x:c>
      <x:c r="M293" s="205" t="n">
        <x:v>17</x:v>
      </x:c>
      <x:c r="N293" s="205" t="n">
        <x:v>1100</x:v>
      </x:c>
      <x:c r="O293" s="205" t="n">
        <x:v>60</x:v>
      </x:c>
      <x:c r="P293" s="205" t="n">
        <x:v>9</x:v>
      </x:c>
      <x:c r="Q293" s="206" t="n">
        <x:v>0</x:v>
      </x:c>
      <x:c r="R293" s="207" t="str"/>
      <x:c r="S293" s="207" t="str"/>
      <x:c r="T293" s="207" t="str"/>
      <x:c r="U293" s="207" t="n">
        <x:v>0</x:v>
      </x:c>
      <x:c r="V293" s="208" t="n">
        <x:f>MAX(0,M293-U293)</x:f>
        <x:v>17</x:v>
      </x:c>
      <x:c r="W293" s="209" t="n">
        <x:f>IFERROR(U293/M293,0)</x:f>
        <x:v>0</x:v>
      </x:c>
      <x:c r="X293" s="201" t="str">
        <x:f>IF(U293=0,"Não iniciado",IF(U293&gt;=M293,"Concluído","Parcial"))</x:f>
        <x:v>Não iniciado</x:v>
      </x:c>
      <x:c r="Y293" s="199" t="str"/>
      <x:c r="Z293" s="188" t="str">
        <x:v>Normal</x:v>
      </x:c>
    </x:row>
    <x:row r="294" ht="22" customHeight="1">
      <x:c r="A294" s="219" t="n">
        <x:v>290</x:v>
      </x:c>
      <x:c r="B294" s="220" t="str">
        <x:v>26792</x:v>
      </x:c>
      <x:c r="C294" s="220" t="str">
        <x:v>3</x:v>
      </x:c>
      <x:c r="D294" s="220" t="str">
        <x:v>609437</x:v>
      </x:c>
      <x:c r="E294" s="220" t="str">
        <x:v>2020600238</x:v>
      </x:c>
      <x:c r="F294" s="220" t="str">
        <x:v>OUTROS</x:v>
      </x:c>
      <x:c r="G294" s="190" t="str">
        <x:v>A STD PET TXT BCO 1100X60X9 RG(ME) RTO</x:v>
      </x:c>
      <x:c r="H294" s="190" t="str"/>
      <x:c r="I294" s="190" t="str"/>
      <x:c r="J294" s="190" t="str"/>
      <x:c r="K294" s="190" t="str">
        <x:v>ESMALTE</x:v>
      </x:c>
      <x:c r="L294" s="190" t="str">
        <x:v>BRANCO CARRARA</x:v>
      </x:c>
      <x:c r="M294" s="210" t="n">
        <x:v>1</x:v>
      </x:c>
      <x:c r="N294" s="210" t="n">
        <x:v>1100</x:v>
      </x:c>
      <x:c r="O294" s="210" t="n">
        <x:v>60</x:v>
      </x:c>
      <x:c r="P294" s="210" t="n">
        <x:v>9</x:v>
      </x:c>
      <x:c r="Q294" s="211" t="n">
        <x:v>0</x:v>
      </x:c>
      <x:c r="R294" s="207" t="str"/>
      <x:c r="S294" s="207" t="str"/>
      <x:c r="T294" s="207" t="str"/>
      <x:c r="U294" s="207" t="n">
        <x:v>0</x:v>
      </x:c>
      <x:c r="V294" s="208" t="n">
        <x:f>MAX(0,M294-U294)</x:f>
        <x:v>1</x:v>
      </x:c>
      <x:c r="W294" s="209" t="n">
        <x:f>IFERROR(U294/M294,0)</x:f>
        <x:v>0</x:v>
      </x:c>
      <x:c r="X294" s="201" t="str">
        <x:f>IF(U294=0,"Não iniciado",IF(U294&gt;=M294,"Concluído","Parcial"))</x:f>
        <x:v>Não iniciado</x:v>
      </x:c>
      <x:c r="Y294" s="199" t="str"/>
      <x:c r="Z294" s="188" t="str">
        <x:v>Normal</x:v>
      </x:c>
    </x:row>
    <x:row r="295" ht="22" customHeight="1">
      <x:c r="A295" s="217" t="n">
        <x:v>291</x:v>
      </x:c>
      <x:c r="B295" s="218" t="str">
        <x:v>26792</x:v>
      </x:c>
      <x:c r="C295" s="218" t="str">
        <x:v>3</x:v>
      </x:c>
      <x:c r="D295" s="218" t="str">
        <x:v>609438</x:v>
      </x:c>
      <x:c r="E295" s="218" t="str">
        <x:v>2020600239</x:v>
      </x:c>
      <x:c r="F295" s="218" t="str">
        <x:v>OUTROS</x:v>
      </x:c>
      <x:c r="G295" s="184" t="str">
        <x:v>A STD PET TXT BCO 1100X60X9 RG(80) RTO</x:v>
      </x:c>
      <x:c r="H295" s="184" t="str"/>
      <x:c r="I295" s="184" t="str"/>
      <x:c r="J295" s="184" t="str"/>
      <x:c r="K295" s="184" t="str">
        <x:v>ESMALTE</x:v>
      </x:c>
      <x:c r="L295" s="184" t="str">
        <x:v>BRANCO CARRARA</x:v>
      </x:c>
      <x:c r="M295" s="205" t="n">
        <x:v>1</x:v>
      </x:c>
      <x:c r="N295" s="205" t="n">
        <x:v>1100</x:v>
      </x:c>
      <x:c r="O295" s="205" t="n">
        <x:v>60</x:v>
      </x:c>
      <x:c r="P295" s="205" t="n">
        <x:v>9</x:v>
      </x:c>
      <x:c r="Q295" s="206" t="n">
        <x:v>0</x:v>
      </x:c>
      <x:c r="R295" s="207" t="str"/>
      <x:c r="S295" s="207" t="str"/>
      <x:c r="T295" s="207" t="str"/>
      <x:c r="U295" s="207" t="n">
        <x:v>0</x:v>
      </x:c>
      <x:c r="V295" s="208" t="n">
        <x:f>MAX(0,M295-U295)</x:f>
        <x:v>1</x:v>
      </x:c>
      <x:c r="W295" s="209" t="n">
        <x:f>IFERROR(U295/M295,0)</x:f>
        <x:v>0</x:v>
      </x:c>
      <x:c r="X295" s="201" t="str">
        <x:f>IF(U295=0,"Não iniciado",IF(U295&gt;=M295,"Concluído","Parcial"))</x:f>
        <x:v>Não iniciado</x:v>
      </x:c>
      <x:c r="Y295" s="199" t="str"/>
      <x:c r="Z295" s="188" t="str">
        <x:v>Normal</x:v>
      </x:c>
    </x:row>
    <x:row r="296" ht="22" customHeight="1">
      <x:c r="A296" s="219" t="n">
        <x:v>292</x:v>
      </x:c>
      <x:c r="B296" s="220" t="str">
        <x:v>26792</x:v>
      </x:c>
      <x:c r="C296" s="220" t="str">
        <x:v>5</x:v>
      </x:c>
      <x:c r="D296" s="220" t="str">
        <x:v>609458</x:v>
      </x:c>
      <x:c r="E296" s="220" t="str">
        <x:v>2020600241</x:v>
      </x:c>
      <x:c r="F296" s="220" t="str">
        <x:v>OUTROS</x:v>
      </x:c>
      <x:c r="G296" s="190" t="str">
        <x:v>A STD PET TXT BCO 1100X60X12 RG(ME) RTO</x:v>
      </x:c>
      <x:c r="H296" s="190" t="str"/>
      <x:c r="I296" s="190" t="str"/>
      <x:c r="J296" s="190" t="str"/>
      <x:c r="K296" s="190" t="str">
        <x:v>ESMALTE</x:v>
      </x:c>
      <x:c r="L296" s="190" t="str">
        <x:v>BRANCO CARRARA</x:v>
      </x:c>
      <x:c r="M296" s="210" t="n">
        <x:v>54</x:v>
      </x:c>
      <x:c r="N296" s="210" t="n">
        <x:v>1100</x:v>
      </x:c>
      <x:c r="O296" s="210" t="n">
        <x:v>60</x:v>
      </x:c>
      <x:c r="P296" s="210" t="n">
        <x:v>12</x:v>
      </x:c>
      <x:c r="Q296" s="211" t="n">
        <x:v>0</x:v>
      </x:c>
      <x:c r="R296" s="207" t="str"/>
      <x:c r="S296" s="207" t="str"/>
      <x:c r="T296" s="207" t="str"/>
      <x:c r="U296" s="207" t="n">
        <x:v>0</x:v>
      </x:c>
      <x:c r="V296" s="208" t="n">
        <x:f>MAX(0,M296-U296)</x:f>
        <x:v>54</x:v>
      </x:c>
      <x:c r="W296" s="209" t="n">
        <x:f>IFERROR(U296/M296,0)</x:f>
        <x:v>0</x:v>
      </x:c>
      <x:c r="X296" s="201" t="str">
        <x:f>IF(U296=0,"Não iniciado",IF(U296&gt;=M296,"Concluído","Parcial"))</x:f>
        <x:v>Não iniciado</x:v>
      </x:c>
      <x:c r="Y296" s="199" t="str"/>
      <x:c r="Z296" s="188" t="str">
        <x:v>Normal</x:v>
      </x:c>
    </x:row>
    <x:row r="297" ht="22" customHeight="1">
      <x:c r="A297" s="217" t="n">
        <x:v>293</x:v>
      </x:c>
      <x:c r="B297" s="218" t="str">
        <x:v>26792</x:v>
      </x:c>
      <x:c r="C297" s="218" t="str">
        <x:v>6</x:v>
      </x:c>
      <x:c r="D297" s="218" t="str">
        <x:v>609475</x:v>
      </x:c>
      <x:c r="E297" s="218" t="str">
        <x:v>2020600241</x:v>
      </x:c>
      <x:c r="F297" s="218" t="str">
        <x:v>OUTROS</x:v>
      </x:c>
      <x:c r="G297" s="184" t="str">
        <x:v>A STD PET TXT BCO 1100X60X12 RG(ME) RTO</x:v>
      </x:c>
      <x:c r="H297" s="184" t="str"/>
      <x:c r="I297" s="184" t="str"/>
      <x:c r="J297" s="184" t="str"/>
      <x:c r="K297" s="184" t="str">
        <x:v>ESMALTE</x:v>
      </x:c>
      <x:c r="L297" s="184" t="str">
        <x:v>BRANCO CARRARA</x:v>
      </x:c>
      <x:c r="M297" s="205" t="n">
        <x:v>10</x:v>
      </x:c>
      <x:c r="N297" s="205" t="n">
        <x:v>1100</x:v>
      </x:c>
      <x:c r="O297" s="205" t="n">
        <x:v>60</x:v>
      </x:c>
      <x:c r="P297" s="205" t="n">
        <x:v>12</x:v>
      </x:c>
      <x:c r="Q297" s="206" t="n">
        <x:v>0</x:v>
      </x:c>
      <x:c r="R297" s="207" t="str"/>
      <x:c r="S297" s="207" t="str"/>
      <x:c r="T297" s="207" t="str"/>
      <x:c r="U297" s="207" t="n">
        <x:v>0</x:v>
      </x:c>
      <x:c r="V297" s="208" t="n">
        <x:f>MAX(0,M297-U297)</x:f>
        <x:v>10</x:v>
      </x:c>
      <x:c r="W297" s="209" t="n">
        <x:f>IFERROR(U297/M297,0)</x:f>
        <x:v>0</x:v>
      </x:c>
      <x:c r="X297" s="201" t="str">
        <x:f>IF(U297=0,"Não iniciado",IF(U297&gt;=M297,"Concluído","Parcial"))</x:f>
        <x:v>Não iniciado</x:v>
      </x:c>
      <x:c r="Y297" s="199" t="str"/>
      <x:c r="Z297" s="188" t="str">
        <x:v>Normal</x:v>
      </x:c>
    </x:row>
    <x:row r="298" ht="22" customHeight="1">
      <x:c r="A298" s="219" t="n">
        <x:v>294</x:v>
      </x:c>
      <x:c r="B298" s="220" t="str">
        <x:v>26815</x:v>
      </x:c>
      <x:c r="C298" s="220" t="str">
        <x:v>1</x:v>
      </x:c>
      <x:c r="D298" s="220" t="str">
        <x:v>609490</x:v>
      </x:c>
      <x:c r="E298" s="220" t="str">
        <x:v>2020600234</x:v>
      </x:c>
      <x:c r="F298" s="220" t="str">
        <x:v>OUTROS</x:v>
      </x:c>
      <x:c r="G298" s="190" t="str">
        <x:v>A STD PET TXT BCO 1100X60X9 RG(55) RTO</x:v>
      </x:c>
      <x:c r="H298" s="190" t="str"/>
      <x:c r="I298" s="190" t="str"/>
      <x:c r="J298" s="190" t="str"/>
      <x:c r="K298" s="190" t="str">
        <x:v>ESMALTE</x:v>
      </x:c>
      <x:c r="L298" s="190" t="str">
        <x:v>BRANCO CARRARA</x:v>
      </x:c>
      <x:c r="M298" s="210" t="n">
        <x:v>154</x:v>
      </x:c>
      <x:c r="N298" s="210" t="n">
        <x:v>1100</x:v>
      </x:c>
      <x:c r="O298" s="210" t="n">
        <x:v>60</x:v>
      </x:c>
      <x:c r="P298" s="210" t="n">
        <x:v>9</x:v>
      </x:c>
      <x:c r="Q298" s="211" t="n">
        <x:v>0</x:v>
      </x:c>
      <x:c r="R298" s="207" t="str"/>
      <x:c r="S298" s="207" t="str"/>
      <x:c r="T298" s="207" t="str"/>
      <x:c r="U298" s="207" t="n">
        <x:v>0</x:v>
      </x:c>
      <x:c r="V298" s="208" t="n">
        <x:f>MAX(0,M298-U298)</x:f>
        <x:v>154</x:v>
      </x:c>
      <x:c r="W298" s="209" t="n">
        <x:f>IFERROR(U298/M298,0)</x:f>
        <x:v>0</x:v>
      </x:c>
      <x:c r="X298" s="201" t="str">
        <x:f>IF(U298=0,"Não iniciado",IF(U298&gt;=M298,"Concluído","Parcial"))</x:f>
        <x:v>Não iniciado</x:v>
      </x:c>
      <x:c r="Y298" s="199" t="str"/>
      <x:c r="Z298" s="188" t="str">
        <x:v>Normal</x:v>
      </x:c>
    </x:row>
    <x:row r="299" ht="22" customHeight="1">
      <x:c r="A299" s="217" t="n">
        <x:v>295</x:v>
      </x:c>
      <x:c r="B299" s="218" t="str">
        <x:v>26815</x:v>
      </x:c>
      <x:c r="C299" s="218" t="str">
        <x:v>1</x:v>
      </x:c>
      <x:c r="D299" s="218" t="str">
        <x:v>609491</x:v>
      </x:c>
      <x:c r="E299" s="218" t="str">
        <x:v>2020600235</x:v>
      </x:c>
      <x:c r="F299" s="218" t="str">
        <x:v>OUTROS</x:v>
      </x:c>
      <x:c r="G299" s="184" t="str">
        <x:v>A STD PET TXT BCO 1100X60X9 RG(ME) RTO</x:v>
      </x:c>
      <x:c r="H299" s="184" t="str"/>
      <x:c r="I299" s="184" t="str"/>
      <x:c r="J299" s="184" t="str"/>
      <x:c r="K299" s="184" t="str">
        <x:v>ESMALTE</x:v>
      </x:c>
      <x:c r="L299" s="184" t="str">
        <x:v>BRANCO CARRARA</x:v>
      </x:c>
      <x:c r="M299" s="205" t="n">
        <x:v>154</x:v>
      </x:c>
      <x:c r="N299" s="205" t="n">
        <x:v>1100</x:v>
      </x:c>
      <x:c r="O299" s="205" t="n">
        <x:v>60</x:v>
      </x:c>
      <x:c r="P299" s="205" t="n">
        <x:v>9</x:v>
      </x:c>
      <x:c r="Q299" s="206" t="n">
        <x:v>0</x:v>
      </x:c>
      <x:c r="R299" s="207" t="str"/>
      <x:c r="S299" s="207" t="str"/>
      <x:c r="T299" s="207" t="str"/>
      <x:c r="U299" s="207" t="n">
        <x:v>0</x:v>
      </x:c>
      <x:c r="V299" s="208" t="n">
        <x:f>MAX(0,M299-U299)</x:f>
        <x:v>154</x:v>
      </x:c>
      <x:c r="W299" s="209" t="n">
        <x:f>IFERROR(U299/M299,0)</x:f>
        <x:v>0</x:v>
      </x:c>
      <x:c r="X299" s="201" t="str">
        <x:f>IF(U299=0,"Não iniciado",IF(U299&gt;=M299,"Concluído","Parcial"))</x:f>
        <x:v>Não iniciado</x:v>
      </x:c>
      <x:c r="Y299" s="199" t="str"/>
      <x:c r="Z299" s="188" t="str">
        <x:v>Normal</x:v>
      </x:c>
    </x:row>
    <x:row r="300" ht="22" customHeight="1">
      <x:c r="A300" s="219" t="n">
        <x:v>296</x:v>
      </x:c>
      <x:c r="B300" s="220" t="str">
        <x:v>26815</x:v>
      </x:c>
      <x:c r="C300" s="220" t="str">
        <x:v>2</x:v>
      </x:c>
      <x:c r="D300" s="220" t="str">
        <x:v>609498</x:v>
      </x:c>
      <x:c r="E300" s="220" t="str">
        <x:v>2020600234</x:v>
      </x:c>
      <x:c r="F300" s="220" t="str">
        <x:v>OUTROS</x:v>
      </x:c>
      <x:c r="G300" s="190" t="str">
        <x:v>A STD PET TXT BCO 1100X60X9 RG(55) RTO</x:v>
      </x:c>
      <x:c r="H300" s="190" t="str"/>
      <x:c r="I300" s="190" t="str"/>
      <x:c r="J300" s="190" t="str"/>
      <x:c r="K300" s="190" t="str">
        <x:v>ESMALTE</x:v>
      </x:c>
      <x:c r="L300" s="190" t="str">
        <x:v>BRANCO CARRARA</x:v>
      </x:c>
      <x:c r="M300" s="210" t="n">
        <x:v>10</x:v>
      </x:c>
      <x:c r="N300" s="210" t="n">
        <x:v>1100</x:v>
      </x:c>
      <x:c r="O300" s="210" t="n">
        <x:v>60</x:v>
      </x:c>
      <x:c r="P300" s="210" t="n">
        <x:v>9</x:v>
      </x:c>
      <x:c r="Q300" s="211" t="n">
        <x:v>0</x:v>
      </x:c>
      <x:c r="R300" s="207" t="str"/>
      <x:c r="S300" s="207" t="str"/>
      <x:c r="T300" s="207" t="str"/>
      <x:c r="U300" s="207" t="n">
        <x:v>0</x:v>
      </x:c>
      <x:c r="V300" s="208" t="n">
        <x:f>MAX(0,M300-U300)</x:f>
        <x:v>10</x:v>
      </x:c>
      <x:c r="W300" s="209" t="n">
        <x:f>IFERROR(U300/M300,0)</x:f>
        <x:v>0</x:v>
      </x:c>
      <x:c r="X300" s="201" t="str">
        <x:f>IF(U300=0,"Não iniciado",IF(U300&gt;=M300,"Concluído","Parcial"))</x:f>
        <x:v>Não iniciado</x:v>
      </x:c>
      <x:c r="Y300" s="199" t="str"/>
      <x:c r="Z300" s="188" t="str">
        <x:v>Normal</x:v>
      </x:c>
    </x:row>
    <x:row r="301" ht="22" customHeight="1">
      <x:c r="A301" s="217" t="n">
        <x:v>297</x:v>
      </x:c>
      <x:c r="B301" s="218" t="str">
        <x:v>26815</x:v>
      </x:c>
      <x:c r="C301" s="218" t="str">
        <x:v>2</x:v>
      </x:c>
      <x:c r="D301" s="218" t="str">
        <x:v>609499</x:v>
      </x:c>
      <x:c r="E301" s="218" t="str">
        <x:v>2020600235</x:v>
      </x:c>
      <x:c r="F301" s="218" t="str">
        <x:v>OUTROS</x:v>
      </x:c>
      <x:c r="G301" s="184" t="str">
        <x:v>A STD PET TXT BCO 1100X60X9 RG(ME) RTO</x:v>
      </x:c>
      <x:c r="H301" s="184" t="str"/>
      <x:c r="I301" s="184" t="str"/>
      <x:c r="J301" s="184" t="str"/>
      <x:c r="K301" s="184" t="str">
        <x:v>ESMALTE</x:v>
      </x:c>
      <x:c r="L301" s="184" t="str">
        <x:v>BRANCO CARRARA</x:v>
      </x:c>
      <x:c r="M301" s="205" t="n">
        <x:v>10</x:v>
      </x:c>
      <x:c r="N301" s="205" t="n">
        <x:v>1100</x:v>
      </x:c>
      <x:c r="O301" s="205" t="n">
        <x:v>60</x:v>
      </x:c>
      <x:c r="P301" s="205" t="n">
        <x:v>9</x:v>
      </x:c>
      <x:c r="Q301" s="206" t="n">
        <x:v>0</x:v>
      </x:c>
      <x:c r="R301" s="207" t="str"/>
      <x:c r="S301" s="207" t="str"/>
      <x:c r="T301" s="207" t="str"/>
      <x:c r="U301" s="207" t="n">
        <x:v>0</x:v>
      </x:c>
      <x:c r="V301" s="208" t="n">
        <x:f>MAX(0,M301-U301)</x:f>
        <x:v>10</x:v>
      </x:c>
      <x:c r="W301" s="209" t="n">
        <x:f>IFERROR(U301/M301,0)</x:f>
        <x:v>0</x:v>
      </x:c>
      <x:c r="X301" s="201" t="str">
        <x:f>IF(U301=0,"Não iniciado",IF(U301&gt;=M301,"Concluído","Parcial"))</x:f>
        <x:v>Não iniciado</x:v>
      </x:c>
      <x:c r="Y301" s="199" t="str"/>
      <x:c r="Z301" s="188" t="str">
        <x:v>Normal</x:v>
      </x:c>
    </x:row>
    <x:row r="302" ht="22" customHeight="1">
      <x:c r="A302" s="219" t="n">
        <x:v>298</x:v>
      </x:c>
      <x:c r="B302" s="220" t="str">
        <x:v>26815</x:v>
      </x:c>
      <x:c r="C302" s="220" t="str">
        <x:v>4</x:v>
      </x:c>
      <x:c r="D302" s="220" t="str">
        <x:v>609519</x:v>
      </x:c>
      <x:c r="E302" s="220" t="str">
        <x:v>2020600241</x:v>
      </x:c>
      <x:c r="F302" s="220" t="str">
        <x:v>OUTROS</x:v>
      </x:c>
      <x:c r="G302" s="190" t="str">
        <x:v>A STD PET TXT BCO 1100X60X12 RG(ME) RTO</x:v>
      </x:c>
      <x:c r="H302" s="190" t="str"/>
      <x:c r="I302" s="190" t="str"/>
      <x:c r="J302" s="190" t="str"/>
      <x:c r="K302" s="190" t="str">
        <x:v>ESMALTE</x:v>
      </x:c>
      <x:c r="L302" s="190" t="str">
        <x:v>BRANCO CARRARA</x:v>
      </x:c>
      <x:c r="M302" s="210" t="n">
        <x:v>67</x:v>
      </x:c>
      <x:c r="N302" s="210" t="n">
        <x:v>1100</x:v>
      </x:c>
      <x:c r="O302" s="210" t="n">
        <x:v>60</x:v>
      </x:c>
      <x:c r="P302" s="210" t="n">
        <x:v>12</x:v>
      </x:c>
      <x:c r="Q302" s="211" t="n">
        <x:v>0</x:v>
      </x:c>
      <x:c r="R302" s="207" t="str"/>
      <x:c r="S302" s="207" t="str"/>
      <x:c r="T302" s="207" t="str"/>
      <x:c r="U302" s="207" t="n">
        <x:v>0</x:v>
      </x:c>
      <x:c r="V302" s="208" t="n">
        <x:f>MAX(0,M302-U302)</x:f>
        <x:v>67</x:v>
      </x:c>
      <x:c r="W302" s="209" t="n">
        <x:f>IFERROR(U302/M302,0)</x:f>
        <x:v>0</x:v>
      </x:c>
      <x:c r="X302" s="201" t="str">
        <x:f>IF(U302=0,"Não iniciado",IF(U302&gt;=M302,"Concluído","Parcial"))</x:f>
        <x:v>Não iniciado</x:v>
      </x:c>
      <x:c r="Y302" s="199" t="str"/>
      <x:c r="Z302" s="188" t="str">
        <x:v>Normal</x:v>
      </x:c>
    </x:row>
    <x:row r="303" ht="22" customHeight="1">
      <x:c r="A303" s="217" t="n">
        <x:v>299</x:v>
      </x:c>
      <x:c r="B303" s="218" t="str">
        <x:v>26815</x:v>
      </x:c>
      <x:c r="C303" s="218" t="str">
        <x:v>5</x:v>
      </x:c>
      <x:c r="D303" s="218" t="str">
        <x:v>609536</x:v>
      </x:c>
      <x:c r="E303" s="218" t="str">
        <x:v>2020600241</x:v>
      </x:c>
      <x:c r="F303" s="218" t="str">
        <x:v>OUTROS</x:v>
      </x:c>
      <x:c r="G303" s="184" t="str">
        <x:v>A STD PET TXT BCO 1100X60X12 RG(ME) RTO</x:v>
      </x:c>
      <x:c r="H303" s="184" t="str"/>
      <x:c r="I303" s="184" t="str"/>
      <x:c r="J303" s="184" t="str"/>
      <x:c r="K303" s="184" t="str">
        <x:v>ESMALTE</x:v>
      </x:c>
      <x:c r="L303" s="184" t="str">
        <x:v>BRANCO CARRARA</x:v>
      </x:c>
      <x:c r="M303" s="205" t="n">
        <x:v>8</x:v>
      </x:c>
      <x:c r="N303" s="205" t="n">
        <x:v>1100</x:v>
      </x:c>
      <x:c r="O303" s="205" t="n">
        <x:v>60</x:v>
      </x:c>
      <x:c r="P303" s="205" t="n">
        <x:v>12</x:v>
      </x:c>
      <x:c r="Q303" s="206" t="n">
        <x:v>0</x:v>
      </x:c>
      <x:c r="R303" s="207" t="str"/>
      <x:c r="S303" s="207" t="str"/>
      <x:c r="T303" s="207" t="str"/>
      <x:c r="U303" s="207" t="n">
        <x:v>0</x:v>
      </x:c>
      <x:c r="V303" s="208" t="n">
        <x:f>MAX(0,M303-U303)</x:f>
        <x:v>8</x:v>
      </x:c>
      <x:c r="W303" s="209" t="n">
        <x:f>IFERROR(U303/M303,0)</x:f>
        <x:v>0</x:v>
      </x:c>
      <x:c r="X303" s="201" t="str">
        <x:f>IF(U303=0,"Não iniciado",IF(U303&gt;=M303,"Concluído","Parcial"))</x:f>
        <x:v>Não iniciado</x:v>
      </x:c>
      <x:c r="Y303" s="199" t="str"/>
      <x:c r="Z303" s="188" t="str">
        <x:v>Normal</x:v>
      </x:c>
    </x:row>
    <x:row r="304" ht="22" customHeight="1">
      <x:c r="A304" s="219" t="n">
        <x:v>300</x:v>
      </x:c>
      <x:c r="B304" s="220" t="str">
        <x:v>26815</x:v>
      </x:c>
      <x:c r="C304" s="220" t="str">
        <x:v>6</x:v>
      </x:c>
      <x:c r="D304" s="220" t="str">
        <x:v>609553</x:v>
      </x:c>
      <x:c r="E304" s="220" t="str">
        <x:v>2020600241</x:v>
      </x:c>
      <x:c r="F304" s="220" t="str">
        <x:v>OUTROS</x:v>
      </x:c>
      <x:c r="G304" s="190" t="str">
        <x:v>A STD PET TXT BCO 1100X60X12 RG(ME) RTO</x:v>
      </x:c>
      <x:c r="H304" s="190" t="str"/>
      <x:c r="I304" s="190" t="str"/>
      <x:c r="J304" s="190" t="str"/>
      <x:c r="K304" s="190" t="str">
        <x:v>ESMALTE</x:v>
      </x:c>
      <x:c r="L304" s="190" t="str">
        <x:v>BRANCO CARRARA</x:v>
      </x:c>
      <x:c r="M304" s="210" t="n">
        <x:v>27</x:v>
      </x:c>
      <x:c r="N304" s="210" t="n">
        <x:v>1100</x:v>
      </x:c>
      <x:c r="O304" s="210" t="n">
        <x:v>60</x:v>
      </x:c>
      <x:c r="P304" s="210" t="n">
        <x:v>12</x:v>
      </x:c>
      <x:c r="Q304" s="211" t="n">
        <x:v>0</x:v>
      </x:c>
      <x:c r="R304" s="207" t="str"/>
      <x:c r="S304" s="207" t="str"/>
      <x:c r="T304" s="207" t="str"/>
      <x:c r="U304" s="207" t="n">
        <x:v>0</x:v>
      </x:c>
      <x:c r="V304" s="208" t="n">
        <x:f>MAX(0,M304-U304)</x:f>
        <x:v>27</x:v>
      </x:c>
      <x:c r="W304" s="209" t="n">
        <x:f>IFERROR(U304/M304,0)</x:f>
        <x:v>0</x:v>
      </x:c>
      <x:c r="X304" s="201" t="str">
        <x:f>IF(U304=0,"Não iniciado",IF(U304&gt;=M304,"Concluído","Parcial"))</x:f>
        <x:v>Não iniciado</x:v>
      </x:c>
      <x:c r="Y304" s="199" t="str"/>
      <x:c r="Z304" s="188" t="str">
        <x:v>Normal</x:v>
      </x:c>
    </x:row>
    <x:row r="305" ht="22" customHeight="1">
      <x:c r="A305" s="217" t="n">
        <x:v>301</x:v>
      </x:c>
      <x:c r="B305" s="218" t="str">
        <x:v>26815</x:v>
      </x:c>
      <x:c r="C305" s="218" t="str">
        <x:v>7</x:v>
      </x:c>
      <x:c r="D305" s="218" t="str">
        <x:v>609570</x:v>
      </x:c>
      <x:c r="E305" s="218" t="str">
        <x:v>2020600241</x:v>
      </x:c>
      <x:c r="F305" s="218" t="str">
        <x:v>OUTROS</x:v>
      </x:c>
      <x:c r="G305" s="184" t="str">
        <x:v>A STD PET TXT BCO 1100X60X12 RG(ME) RTO</x:v>
      </x:c>
      <x:c r="H305" s="184" t="str"/>
      <x:c r="I305" s="184" t="str"/>
      <x:c r="J305" s="184" t="str"/>
      <x:c r="K305" s="184" t="str">
        <x:v>ESMALTE</x:v>
      </x:c>
      <x:c r="L305" s="184" t="str">
        <x:v>BRANCO CARRARA</x:v>
      </x:c>
      <x:c r="M305" s="205" t="n">
        <x:v>5</x:v>
      </x:c>
      <x:c r="N305" s="205" t="n">
        <x:v>1100</x:v>
      </x:c>
      <x:c r="O305" s="205" t="n">
        <x:v>60</x:v>
      </x:c>
      <x:c r="P305" s="205" t="n">
        <x:v>12</x:v>
      </x:c>
      <x:c r="Q305" s="206" t="n">
        <x:v>0</x:v>
      </x:c>
      <x:c r="R305" s="207" t="str"/>
      <x:c r="S305" s="207" t="str"/>
      <x:c r="T305" s="207" t="str"/>
      <x:c r="U305" s="207" t="n">
        <x:v>0</x:v>
      </x:c>
      <x:c r="V305" s="208" t="n">
        <x:f>MAX(0,M305-U305)</x:f>
        <x:v>5</x:v>
      </x:c>
      <x:c r="W305" s="209" t="n">
        <x:f>IFERROR(U305/M305,0)</x:f>
        <x:v>0</x:v>
      </x:c>
      <x:c r="X305" s="201" t="str">
        <x:f>IF(U305=0,"Não iniciado",IF(U305&gt;=M305,"Concluído","Parcial"))</x:f>
        <x:v>Não iniciado</x:v>
      </x:c>
      <x:c r="Y305" s="199" t="str"/>
      <x:c r="Z305" s="188" t="str">
        <x:v>Normal</x:v>
      </x:c>
    </x:row>
    <x:row r="306" ht="22" customHeight="1">
      <x:c r="A306" s="219" t="n">
        <x:v>302</x:v>
      </x:c>
      <x:c r="B306" s="220" t="str">
        <x:v>26796</x:v>
      </x:c>
      <x:c r="C306" s="220" t="str">
        <x:v>2</x:v>
      </x:c>
      <x:c r="D306" s="220" t="str">
        <x:v>609292</x:v>
      </x:c>
      <x:c r="E306" s="220" t="str">
        <x:v>956374</x:v>
      </x:c>
      <x:c r="F306" s="220" t="str">
        <x:v>OUTROS</x:v>
      </x:c>
      <x:c r="G306" s="190" t="str">
        <x:v>2250X50X9 RTO LME PET BCO TXT MPMV(STD)</x:v>
      </x:c>
      <x:c r="H306" s="190" t="str"/>
      <x:c r="I306" s="190" t="str"/>
      <x:c r="J306" s="190" t="str"/>
      <x:c r="K306" s="190" t="str">
        <x:v>ESMALTE</x:v>
      </x:c>
      <x:c r="L306" s="190" t="str">
        <x:v>BRANCO</x:v>
      </x:c>
      <x:c r="M306" s="210" t="n">
        <x:v>96</x:v>
      </x:c>
      <x:c r="N306" s="210" t="n">
        <x:v>2250</x:v>
      </x:c>
      <x:c r="O306" s="210" t="n">
        <x:v>50</x:v>
      </x:c>
      <x:c r="P306" s="210" t="n">
        <x:v>9</x:v>
      </x:c>
      <x:c r="Q306" s="211" t="n">
        <x:v>0</x:v>
      </x:c>
      <x:c r="R306" s="207" t="str"/>
      <x:c r="S306" s="207" t="str"/>
      <x:c r="T306" s="207" t="str"/>
      <x:c r="U306" s="207" t="n">
        <x:v>0</x:v>
      </x:c>
      <x:c r="V306" s="208" t="n">
        <x:f>MAX(0,M306-U306)</x:f>
        <x:v>96</x:v>
      </x:c>
      <x:c r="W306" s="209" t="n">
        <x:f>IFERROR(U306/M306,0)</x:f>
        <x:v>0</x:v>
      </x:c>
      <x:c r="X306" s="201" t="str">
        <x:f>IF(U306=0,"Não iniciado",IF(U306&gt;=M306,"Concluído","Parcial"))</x:f>
        <x:v>Não iniciado</x:v>
      </x:c>
      <x:c r="Y306" s="199" t="str"/>
      <x:c r="Z306" s="188" t="str">
        <x:v>Normal</x:v>
      </x:c>
    </x:row>
    <x:row r="307" ht="22" customHeight="1">
      <x:c r="A307" s="217" t="n">
        <x:v>303</x:v>
      </x:c>
      <x:c r="B307" s="218" t="str">
        <x:v>26799</x:v>
      </x:c>
      <x:c r="C307" s="218" t="str">
        <x:v>2</x:v>
      </x:c>
      <x:c r="D307" s="218" t="str">
        <x:v>609397</x:v>
      </x:c>
      <x:c r="E307" s="218" t="str">
        <x:v>956374</x:v>
      </x:c>
      <x:c r="F307" s="218" t="str">
        <x:v>OUTROS</x:v>
      </x:c>
      <x:c r="G307" s="184" t="str">
        <x:v>2250X50X9 RTO LME PET BCO TXT MPMV(STD)</x:v>
      </x:c>
      <x:c r="H307" s="184" t="str"/>
      <x:c r="I307" s="184" t="str"/>
      <x:c r="J307" s="184" t="str"/>
      <x:c r="K307" s="184" t="str">
        <x:v>ESMALTE</x:v>
      </x:c>
      <x:c r="L307" s="184" t="str">
        <x:v>BRANCO</x:v>
      </x:c>
      <x:c r="M307" s="205" t="n">
        <x:v>32</x:v>
      </x:c>
      <x:c r="N307" s="205" t="n">
        <x:v>2250</x:v>
      </x:c>
      <x:c r="O307" s="205" t="n">
        <x:v>50</x:v>
      </x:c>
      <x:c r="P307" s="205" t="n">
        <x:v>9</x:v>
      </x:c>
      <x:c r="Q307" s="206" t="n">
        <x:v>0</x:v>
      </x:c>
      <x:c r="R307" s="207" t="str"/>
      <x:c r="S307" s="207" t="str"/>
      <x:c r="T307" s="207" t="str"/>
      <x:c r="U307" s="207" t="n">
        <x:v>0</x:v>
      </x:c>
      <x:c r="V307" s="208" t="n">
        <x:f>MAX(0,M307-U307)</x:f>
        <x:v>32</x:v>
      </x:c>
      <x:c r="W307" s="209" t="n">
        <x:f>IFERROR(U307/M307,0)</x:f>
        <x:v>0</x:v>
      </x:c>
      <x:c r="X307" s="201" t="str">
        <x:f>IF(U307=0,"Não iniciado",IF(U307&gt;=M307,"Concluído","Parcial"))</x:f>
        <x:v>Não iniciado</x:v>
      </x:c>
      <x:c r="Y307" s="199" t="str"/>
      <x:c r="Z307" s="188" t="str">
        <x:v>Normal</x:v>
      </x:c>
    </x:row>
    <x:row r="308" ht="22" customHeight="1">
      <x:c r="A308" s="219" t="n">
        <x:v>304</x:v>
      </x:c>
      <x:c r="B308" s="220" t="str">
        <x:v>26824</x:v>
      </x:c>
      <x:c r="C308" s="220" t="str">
        <x:v>2</x:v>
      </x:c>
      <x:c r="D308" s="220" t="str">
        <x:v>609587</x:v>
      </x:c>
      <x:c r="E308" s="220" t="str">
        <x:v>956369</x:v>
      </x:c>
      <x:c r="F308" s="220" t="str">
        <x:v>OUTROS</x:v>
      </x:c>
      <x:c r="G308" s="190" t="str">
        <x:v>2250X50X9 RTO RL55 PET BCO TXT MPMV(STD)</x:v>
      </x:c>
      <x:c r="H308" s="190" t="str"/>
      <x:c r="I308" s="190" t="str"/>
      <x:c r="J308" s="190" t="str"/>
      <x:c r="K308" s="190" t="str">
        <x:v>ESMALTE</x:v>
      </x:c>
      <x:c r="L308" s="190" t="str">
        <x:v>BRANCO</x:v>
      </x:c>
      <x:c r="M308" s="210" t="n">
        <x:v>362</x:v>
      </x:c>
      <x:c r="N308" s="210" t="n">
        <x:v>2250</x:v>
      </x:c>
      <x:c r="O308" s="210" t="n">
        <x:v>50</x:v>
      </x:c>
      <x:c r="P308" s="210" t="n">
        <x:v>9</x:v>
      </x:c>
      <x:c r="Q308" s="211" t="n">
        <x:v>0</x:v>
      </x:c>
      <x:c r="R308" s="207" t="str"/>
      <x:c r="S308" s="207" t="str"/>
      <x:c r="T308" s="207" t="str"/>
      <x:c r="U308" s="207" t="n">
        <x:v>0</x:v>
      </x:c>
      <x:c r="V308" s="208" t="n">
        <x:f>MAX(0,M308-U308)</x:f>
        <x:v>362</x:v>
      </x:c>
      <x:c r="W308" s="209" t="n">
        <x:f>IFERROR(U308/M308,0)</x:f>
        <x:v>0</x:v>
      </x:c>
      <x:c r="X308" s="201" t="str">
        <x:f>IF(U308=0,"Não iniciado",IF(U308&gt;=M308,"Concluído","Parcial"))</x:f>
        <x:v>Não iniciado</x:v>
      </x:c>
      <x:c r="Y308" s="199" t="str"/>
      <x:c r="Z308" s="188" t="str">
        <x:v>Normal</x:v>
      </x:c>
    </x:row>
    <x:row r="309" ht="22" customHeight="1">
      <x:c r="A309" s="217" t="n">
        <x:v>305</x:v>
      </x:c>
      <x:c r="B309" s="218" t="str">
        <x:v>26824</x:v>
      </x:c>
      <x:c r="C309" s="218" t="str">
        <x:v>2</x:v>
      </x:c>
      <x:c r="D309" s="218" t="str">
        <x:v>609588</x:v>
      </x:c>
      <x:c r="E309" s="218" t="str">
        <x:v>956374</x:v>
      </x:c>
      <x:c r="F309" s="218" t="str">
        <x:v>OUTROS</x:v>
      </x:c>
      <x:c r="G309" s="184" t="str">
        <x:v>2250X50X9 RTO LME PET BCO TXT MPMV(STD)</x:v>
      </x:c>
      <x:c r="H309" s="184" t="str"/>
      <x:c r="I309" s="184" t="str"/>
      <x:c r="J309" s="184" t="str"/>
      <x:c r="K309" s="184" t="str">
        <x:v>ESMALTE</x:v>
      </x:c>
      <x:c r="L309" s="184" t="str">
        <x:v>BRANCO</x:v>
      </x:c>
      <x:c r="M309" s="205" t="n">
        <x:v>362</x:v>
      </x:c>
      <x:c r="N309" s="205" t="n">
        <x:v>2250</x:v>
      </x:c>
      <x:c r="O309" s="205" t="n">
        <x:v>50</x:v>
      </x:c>
      <x:c r="P309" s="205" t="n">
        <x:v>9</x:v>
      </x:c>
      <x:c r="Q309" s="206" t="n">
        <x:v>0</x:v>
      </x:c>
      <x:c r="R309" s="207" t="str"/>
      <x:c r="S309" s="207" t="str"/>
      <x:c r="T309" s="207" t="str"/>
      <x:c r="U309" s="207" t="n">
        <x:v>0</x:v>
      </x:c>
      <x:c r="V309" s="208" t="n">
        <x:f>MAX(0,M309-U309)</x:f>
        <x:v>362</x:v>
      </x:c>
      <x:c r="W309" s="209" t="n">
        <x:f>IFERROR(U309/M309,0)</x:f>
        <x:v>0</x:v>
      </x:c>
      <x:c r="X309" s="201" t="str">
        <x:f>IF(U309=0,"Não iniciado",IF(U309&gt;=M309,"Concluído","Parcial"))</x:f>
        <x:v>Não iniciado</x:v>
      </x:c>
      <x:c r="Y309" s="199" t="str"/>
      <x:c r="Z309" s="188" t="str">
        <x:v>Normal</x:v>
      </x:c>
    </x:row>
    <x:row r="310" ht="22" customHeight="1">
      <x:c r="A310" s="219" t="n">
        <x:v>306</x:v>
      </x:c>
      <x:c r="B310" s="220" t="str">
        <x:v>26824</x:v>
      </x:c>
      <x:c r="C310" s="220" t="str">
        <x:v>4</x:v>
      </x:c>
      <x:c r="D310" s="220" t="str">
        <x:v>609603</x:v>
      </x:c>
      <x:c r="E310" s="220" t="str">
        <x:v>956374</x:v>
      </x:c>
      <x:c r="F310" s="220" t="str">
        <x:v>OUTROS</x:v>
      </x:c>
      <x:c r="G310" s="190" t="str">
        <x:v>2250X50X9 RTO LME PET BCO TXT MPMV(STD)</x:v>
      </x:c>
      <x:c r="H310" s="190" t="str"/>
      <x:c r="I310" s="190" t="str"/>
      <x:c r="J310" s="190" t="str"/>
      <x:c r="K310" s="190" t="str">
        <x:v>ESMALTE</x:v>
      </x:c>
      <x:c r="L310" s="190" t="str">
        <x:v>BRANCO</x:v>
      </x:c>
      <x:c r="M310" s="210" t="n">
        <x:v>84</x:v>
      </x:c>
      <x:c r="N310" s="210" t="n">
        <x:v>2250</x:v>
      </x:c>
      <x:c r="O310" s="210" t="n">
        <x:v>50</x:v>
      </x:c>
      <x:c r="P310" s="210" t="n">
        <x:v>9</x:v>
      </x:c>
      <x:c r="Q310" s="211" t="n">
        <x:v>0</x:v>
      </x:c>
      <x:c r="R310" s="207" t="str"/>
      <x:c r="S310" s="207" t="str"/>
      <x:c r="T310" s="207" t="str"/>
      <x:c r="U310" s="207" t="n">
        <x:v>0</x:v>
      </x:c>
      <x:c r="V310" s="208" t="n">
        <x:f>MAX(0,M310-U310)</x:f>
        <x:v>84</x:v>
      </x:c>
      <x:c r="W310" s="209" t="n">
        <x:f>IFERROR(U310/M310,0)</x:f>
        <x:v>0</x:v>
      </x:c>
      <x:c r="X310" s="201" t="str">
        <x:f>IF(U310=0,"Não iniciado",IF(U310&gt;=M310,"Concluído","Parcial"))</x:f>
        <x:v>Não iniciado</x:v>
      </x:c>
      <x:c r="Y310" s="199" t="str"/>
      <x:c r="Z310" s="188" t="str">
        <x:v>Normal</x:v>
      </x:c>
    </x:row>
    <x:row r="311" ht="22" customHeight="1">
      <x:c r="A311" s="217" t="n">
        <x:v>307</x:v>
      </x:c>
      <x:c r="B311" s="218" t="str">
        <x:v>26824</x:v>
      </x:c>
      <x:c r="C311" s="218" t="str">
        <x:v>4</x:v>
      </x:c>
      <x:c r="D311" s="218" t="str">
        <x:v>609604</x:v>
      </x:c>
      <x:c r="E311" s="218" t="str">
        <x:v>956400</x:v>
      </x:c>
      <x:c r="F311" s="218" t="str">
        <x:v>OUTROS</x:v>
      </x:c>
      <x:c r="G311" s="184" t="str">
        <x:v>2250X50X9 RTO RL80 PET BCO TXT MPMV(STD)</x:v>
      </x:c>
      <x:c r="H311" s="184" t="str"/>
      <x:c r="I311" s="184" t="str"/>
      <x:c r="J311" s="184" t="str"/>
      <x:c r="K311" s="184" t="str">
        <x:v>ESMALTE</x:v>
      </x:c>
      <x:c r="L311" s="184" t="str">
        <x:v>BRANCO</x:v>
      </x:c>
      <x:c r="M311" s="205" t="n">
        <x:v>84</x:v>
      </x:c>
      <x:c r="N311" s="205" t="n">
        <x:v>2250</x:v>
      </x:c>
      <x:c r="O311" s="205" t="n">
        <x:v>50</x:v>
      </x:c>
      <x:c r="P311" s="205" t="n">
        <x:v>9</x:v>
      </x:c>
      <x:c r="Q311" s="206" t="n">
        <x:v>0</x:v>
      </x:c>
      <x:c r="R311" s="207" t="str"/>
      <x:c r="S311" s="207" t="str"/>
      <x:c r="T311" s="207" t="str"/>
      <x:c r="U311" s="207" t="n">
        <x:v>0</x:v>
      </x:c>
      <x:c r="V311" s="208" t="n">
        <x:f>MAX(0,M311-U311)</x:f>
        <x:v>84</x:v>
      </x:c>
      <x:c r="W311" s="209" t="n">
        <x:f>IFERROR(U311/M311,0)</x:f>
        <x:v>0</x:v>
      </x:c>
      <x:c r="X311" s="201" t="str">
        <x:f>IF(U311=0,"Não iniciado",IF(U311&gt;=M311,"Concluído","Parcial"))</x:f>
        <x:v>Não iniciado</x:v>
      </x:c>
      <x:c r="Y311" s="199" t="str"/>
      <x:c r="Z311" s="188" t="str">
        <x:v>Normal</x:v>
      </x:c>
    </x:row>
    <x:row r="312" ht="22" customHeight="1">
      <x:c r="A312" s="219" t="n">
        <x:v>308</x:v>
      </x:c>
      <x:c r="B312" s="220" t="str">
        <x:v>26824</x:v>
      </x:c>
      <x:c r="C312" s="220" t="str">
        <x:v>5</x:v>
      </x:c>
      <x:c r="D312" s="220" t="str">
        <x:v>609611</x:v>
      </x:c>
      <x:c r="E312" s="220" t="str">
        <x:v>956369</x:v>
      </x:c>
      <x:c r="F312" s="220" t="str">
        <x:v>OUTROS</x:v>
      </x:c>
      <x:c r="G312" s="190" t="str">
        <x:v>2250X50X9 RTO RL55 PET BCO TXT MPMV(STD)</x:v>
      </x:c>
      <x:c r="H312" s="190" t="str"/>
      <x:c r="I312" s="190" t="str"/>
      <x:c r="J312" s="190" t="str"/>
      <x:c r="K312" s="190" t="str">
        <x:v>ESMALTE</x:v>
      </x:c>
      <x:c r="L312" s="190" t="str">
        <x:v>BRANCO</x:v>
      </x:c>
      <x:c r="M312" s="210" t="n">
        <x:v>42</x:v>
      </x:c>
      <x:c r="N312" s="210" t="n">
        <x:v>2250</x:v>
      </x:c>
      <x:c r="O312" s="210" t="n">
        <x:v>50</x:v>
      </x:c>
      <x:c r="P312" s="210" t="n">
        <x:v>9</x:v>
      </x:c>
      <x:c r="Q312" s="211" t="n">
        <x:v>0</x:v>
      </x:c>
      <x:c r="R312" s="207" t="str"/>
      <x:c r="S312" s="207" t="str"/>
      <x:c r="T312" s="207" t="str"/>
      <x:c r="U312" s="207" t="n">
        <x:v>0</x:v>
      </x:c>
      <x:c r="V312" s="208" t="n">
        <x:f>MAX(0,M312-U312)</x:f>
        <x:v>42</x:v>
      </x:c>
      <x:c r="W312" s="209" t="n">
        <x:f>IFERROR(U312/M312,0)</x:f>
        <x:v>0</x:v>
      </x:c>
      <x:c r="X312" s="201" t="str">
        <x:f>IF(U312=0,"Não iniciado",IF(U312&gt;=M312,"Concluído","Parcial"))</x:f>
        <x:v>Não iniciado</x:v>
      </x:c>
      <x:c r="Y312" s="199" t="str"/>
      <x:c r="Z312" s="188" t="str">
        <x:v>Normal</x:v>
      </x:c>
    </x:row>
    <x:row r="313" ht="22" customHeight="1">
      <x:c r="A313" s="217" t="n">
        <x:v>309</x:v>
      </x:c>
      <x:c r="B313" s="218" t="str">
        <x:v>26824</x:v>
      </x:c>
      <x:c r="C313" s="218" t="str">
        <x:v>5</x:v>
      </x:c>
      <x:c r="D313" s="218" t="str">
        <x:v>609612</x:v>
      </x:c>
      <x:c r="E313" s="218" t="str">
        <x:v>956374</x:v>
      </x:c>
      <x:c r="F313" s="218" t="str">
        <x:v>OUTROS</x:v>
      </x:c>
      <x:c r="G313" s="184" t="str">
        <x:v>2250X50X9 RTO LME PET BCO TXT MPMV(STD)</x:v>
      </x:c>
      <x:c r="H313" s="184" t="str"/>
      <x:c r="I313" s="184" t="str"/>
      <x:c r="J313" s="184" t="str"/>
      <x:c r="K313" s="184" t="str">
        <x:v>ESMALTE</x:v>
      </x:c>
      <x:c r="L313" s="184" t="str">
        <x:v>BRANCO</x:v>
      </x:c>
      <x:c r="M313" s="205" t="n">
        <x:v>42</x:v>
      </x:c>
      <x:c r="N313" s="205" t="n">
        <x:v>2250</x:v>
      </x:c>
      <x:c r="O313" s="205" t="n">
        <x:v>50</x:v>
      </x:c>
      <x:c r="P313" s="205" t="n">
        <x:v>9</x:v>
      </x:c>
      <x:c r="Q313" s="206" t="n">
        <x:v>0</x:v>
      </x:c>
      <x:c r="R313" s="207" t="str"/>
      <x:c r="S313" s="207" t="str"/>
      <x:c r="T313" s="207" t="str"/>
      <x:c r="U313" s="207" t="n">
        <x:v>0</x:v>
      </x:c>
      <x:c r="V313" s="208" t="n">
        <x:f>MAX(0,M313-U313)</x:f>
        <x:v>42</x:v>
      </x:c>
      <x:c r="W313" s="209" t="n">
        <x:f>IFERROR(U313/M313,0)</x:f>
        <x:v>0</x:v>
      </x:c>
      <x:c r="X313" s="201" t="str">
        <x:f>IF(U313=0,"Não iniciado",IF(U313&gt;=M313,"Concluído","Parcial"))</x:f>
        <x:v>Não iniciado</x:v>
      </x:c>
      <x:c r="Y313" s="199" t="str"/>
      <x:c r="Z313" s="188" t="str">
        <x:v>Normal</x:v>
      </x:c>
    </x:row>
    <x:row r="314" ht="22" customHeight="1">
      <x:c r="A314" s="219" t="n">
        <x:v>310</x:v>
      </x:c>
      <x:c r="B314" s="220" t="str">
        <x:v>26824</x:v>
      </x:c>
      <x:c r="C314" s="220" t="str">
        <x:v>6</x:v>
      </x:c>
      <x:c r="D314" s="220" t="str">
        <x:v>609619</x:v>
      </x:c>
      <x:c r="E314" s="220" t="str">
        <x:v>956374</x:v>
      </x:c>
      <x:c r="F314" s="220" t="str">
        <x:v>OUTROS</x:v>
      </x:c>
      <x:c r="G314" s="190" t="str">
        <x:v>2250X50X9 RTO LME PET BCO TXT MPMV(STD)</x:v>
      </x:c>
      <x:c r="H314" s="190" t="str"/>
      <x:c r="I314" s="190" t="str"/>
      <x:c r="J314" s="190" t="str"/>
      <x:c r="K314" s="190" t="str">
        <x:v>ESMALTE</x:v>
      </x:c>
      <x:c r="L314" s="190" t="str">
        <x:v>BRANCO</x:v>
      </x:c>
      <x:c r="M314" s="210" t="n">
        <x:v>4</x:v>
      </x:c>
      <x:c r="N314" s="210" t="n">
        <x:v>2250</x:v>
      </x:c>
      <x:c r="O314" s="210" t="n">
        <x:v>50</x:v>
      </x:c>
      <x:c r="P314" s="210" t="n">
        <x:v>9</x:v>
      </x:c>
      <x:c r="Q314" s="211" t="n">
        <x:v>0</x:v>
      </x:c>
      <x:c r="R314" s="207" t="str"/>
      <x:c r="S314" s="207" t="str"/>
      <x:c r="T314" s="207" t="str"/>
      <x:c r="U314" s="207" t="n">
        <x:v>0</x:v>
      </x:c>
      <x:c r="V314" s="208" t="n">
        <x:f>MAX(0,M314-U314)</x:f>
        <x:v>4</x:v>
      </x:c>
      <x:c r="W314" s="209" t="n">
        <x:f>IFERROR(U314/M314,0)</x:f>
        <x:v>0</x:v>
      </x:c>
      <x:c r="X314" s="201" t="str">
        <x:f>IF(U314=0,"Não iniciado",IF(U314&gt;=M314,"Concluído","Parcial"))</x:f>
        <x:v>Não iniciado</x:v>
      </x:c>
      <x:c r="Y314" s="199" t="str"/>
      <x:c r="Z314" s="188" t="str">
        <x:v>Normal</x:v>
      </x:c>
    </x:row>
    <x:row r="315" ht="22" customHeight="1">
      <x:c r="A315" s="217" t="n">
        <x:v>311</x:v>
      </x:c>
      <x:c r="B315" s="218" t="str">
        <x:v>26824</x:v>
      </x:c>
      <x:c r="C315" s="218" t="str">
        <x:v>6</x:v>
      </x:c>
      <x:c r="D315" s="218" t="str">
        <x:v>609620</x:v>
      </x:c>
      <x:c r="E315" s="218" t="str">
        <x:v>956400</x:v>
      </x:c>
      <x:c r="F315" s="218" t="str">
        <x:v>OUTROS</x:v>
      </x:c>
      <x:c r="G315" s="184" t="str">
        <x:v>2250X50X9 RTO RL80 PET BCO TXT MPMV(STD)</x:v>
      </x:c>
      <x:c r="H315" s="184" t="str"/>
      <x:c r="I315" s="184" t="str"/>
      <x:c r="J315" s="184" t="str"/>
      <x:c r="K315" s="184" t="str">
        <x:v>ESMALTE</x:v>
      </x:c>
      <x:c r="L315" s="184" t="str">
        <x:v>BRANCO</x:v>
      </x:c>
      <x:c r="M315" s="205" t="n">
        <x:v>4</x:v>
      </x:c>
      <x:c r="N315" s="205" t="n">
        <x:v>2250</x:v>
      </x:c>
      <x:c r="O315" s="205" t="n">
        <x:v>50</x:v>
      </x:c>
      <x:c r="P315" s="205" t="n">
        <x:v>9</x:v>
      </x:c>
      <x:c r="Q315" s="206" t="n">
        <x:v>0</x:v>
      </x:c>
      <x:c r="R315" s="207" t="str"/>
      <x:c r="S315" s="207" t="str"/>
      <x:c r="T315" s="207" t="str"/>
      <x:c r="U315" s="207" t="n">
        <x:v>0</x:v>
      </x:c>
      <x:c r="V315" s="208" t="n">
        <x:f>MAX(0,M315-U315)</x:f>
        <x:v>4</x:v>
      </x:c>
      <x:c r="W315" s="209" t="n">
        <x:f>IFERROR(U315/M315,0)</x:f>
        <x:v>0</x:v>
      </x:c>
      <x:c r="X315" s="201" t="str">
        <x:f>IF(U315=0,"Não iniciado",IF(U315&gt;=M315,"Concluído","Parcial"))</x:f>
        <x:v>Não iniciado</x:v>
      </x:c>
      <x:c r="Y315" s="199" t="str"/>
      <x:c r="Z315" s="188" t="str">
        <x:v>Normal</x:v>
      </x:c>
    </x:row>
    <x:row r="316" ht="22" customHeight="1">
      <x:c r="A316" s="219" t="n">
        <x:v>312</x:v>
      </x:c>
      <x:c r="B316" s="220" t="str">
        <x:v>26826</x:v>
      </x:c>
      <x:c r="C316" s="220" t="str">
        <x:v>6</x:v>
      </x:c>
      <x:c r="D316" s="220" t="str">
        <x:v>609072</x:v>
      </x:c>
      <x:c r="E316" s="220" t="str">
        <x:v>956369</x:v>
      </x:c>
      <x:c r="F316" s="220" t="str">
        <x:v>OUTROS</x:v>
      </x:c>
      <x:c r="G316" s="190" t="str">
        <x:v>2250X50X9 RTO RL55 PET BCO TXT MPMV(STD)</x:v>
      </x:c>
      <x:c r="H316" s="190" t="str">
        <x:v>REG 2L(MAIOR 55MM)</x:v>
      </x:c>
      <x:c r="I316" s="190" t="str"/>
      <x:c r="J316" s="190" t="str"/>
      <x:c r="K316" s="190" t="str">
        <x:v>RECOBERTO PET TXT</x:v>
      </x:c>
      <x:c r="L316" s="190" t="str">
        <x:v>BRANCO</x:v>
      </x:c>
      <x:c r="M316" s="210" t="n">
        <x:v>230</x:v>
      </x:c>
      <x:c r="N316" s="210" t="n">
        <x:v>2250</x:v>
      </x:c>
      <x:c r="O316" s="210" t="n">
        <x:v>50</x:v>
      </x:c>
      <x:c r="P316" s="210" t="n">
        <x:v>9</x:v>
      </x:c>
      <x:c r="Q316" s="211" t="n">
        <x:v>0</x:v>
      </x:c>
      <x:c r="R316" s="207" t="str"/>
      <x:c r="S316" s="207" t="str"/>
      <x:c r="T316" s="207" t="str"/>
      <x:c r="U316" s="207" t="n">
        <x:v>0</x:v>
      </x:c>
      <x:c r="V316" s="208" t="n">
        <x:f>MAX(0,M316-U316)</x:f>
        <x:v>230</x:v>
      </x:c>
      <x:c r="W316" s="209" t="n">
        <x:f>IFERROR(U316/M316,0)</x:f>
        <x:v>0</x:v>
      </x:c>
      <x:c r="X316" s="201" t="str">
        <x:f>IF(U316=0,"Não iniciado",IF(U316&gt;=M316,"Concluído","Parcial"))</x:f>
        <x:v>Não iniciado</x:v>
      </x:c>
      <x:c r="Y316" s="199" t="str"/>
      <x:c r="Z316" s="188" t="str">
        <x:v>Normal</x:v>
      </x:c>
    </x:row>
    <x:row r="317" ht="22" customHeight="1">
      <x:c r="A317" s="217" t="n">
        <x:v>313</x:v>
      </x:c>
      <x:c r="B317" s="218" t="str">
        <x:v>26826</x:v>
      </x:c>
      <x:c r="C317" s="218" t="str">
        <x:v>6</x:v>
      </x:c>
      <x:c r="D317" s="218" t="str">
        <x:v>609073</x:v>
      </x:c>
      <x:c r="E317" s="218" t="str">
        <x:v>956374</x:v>
      </x:c>
      <x:c r="F317" s="218" t="str">
        <x:v>OUTROS</x:v>
      </x:c>
      <x:c r="G317" s="184" t="str">
        <x:v>2250X50X9 RTO LME PET BCO TXT MPMV(STD)</x:v>
      </x:c>
      <x:c r="H317" s="184" t="str">
        <x:v>REG 2L(MAIOR 55MM)</x:v>
      </x:c>
      <x:c r="I317" s="184" t="str"/>
      <x:c r="J317" s="184" t="str"/>
      <x:c r="K317" s="184" t="str">
        <x:v>RECOBERTO PET TXT</x:v>
      </x:c>
      <x:c r="L317" s="184" t="str">
        <x:v>BRANCO</x:v>
      </x:c>
      <x:c r="M317" s="205" t="n">
        <x:v>230</x:v>
      </x:c>
      <x:c r="N317" s="205" t="n">
        <x:v>2250</x:v>
      </x:c>
      <x:c r="O317" s="205" t="n">
        <x:v>50</x:v>
      </x:c>
      <x:c r="P317" s="205" t="n">
        <x:v>9</x:v>
      </x:c>
      <x:c r="Q317" s="206" t="n">
        <x:v>0</x:v>
      </x:c>
      <x:c r="R317" s="207" t="str"/>
      <x:c r="S317" s="207" t="str"/>
      <x:c r="T317" s="207" t="str"/>
      <x:c r="U317" s="207" t="n">
        <x:v>0</x:v>
      </x:c>
      <x:c r="V317" s="208" t="n">
        <x:f>MAX(0,M317-U317)</x:f>
        <x:v>230</x:v>
      </x:c>
      <x:c r="W317" s="209" t="n">
        <x:f>IFERROR(U317/M317,0)</x:f>
        <x:v>0</x:v>
      </x:c>
      <x:c r="X317" s="201" t="str">
        <x:f>IF(U317=0,"Não iniciado",IF(U317&gt;=M317,"Concluído","Parcial"))</x:f>
        <x:v>Não iniciado</x:v>
      </x:c>
      <x:c r="Y317" s="199" t="str"/>
      <x:c r="Z317" s="188" t="str">
        <x:v>Normal</x:v>
      </x:c>
    </x:row>
    <x:row r="318" ht="22" customHeight="1">
      <x:c r="A318" s="219" t="n">
        <x:v>314</x:v>
      </x:c>
      <x:c r="B318" s="220" t="str">
        <x:v>26739</x:v>
      </x:c>
      <x:c r="C318" s="220" t="str">
        <x:v>8</x:v>
      </x:c>
      <x:c r="D318" s="220" t="str">
        <x:v>609640</x:v>
      </x:c>
      <x:c r="E318" s="220" t="str">
        <x:v>963311</x:v>
      </x:c>
      <x:c r="F318" s="220" t="str">
        <x:v>OUTROS</x:v>
      </x:c>
      <x:c r="G318" s="190" t="str">
        <x:v>PE AL 2250X50X9 RTO LME REC PET BCO(ULTR</x:v>
      </x:c>
      <x:c r="H318" s="190" t="str"/>
      <x:c r="I318" s="190" t="str"/>
      <x:c r="J318" s="190" t="str"/>
      <x:c r="K318" s="190" t="str">
        <x:v>ESMALTE</x:v>
      </x:c>
      <x:c r="L318" s="190" t="str">
        <x:v>BRANCO CARRARA</x:v>
      </x:c>
      <x:c r="M318" s="210" t="n">
        <x:v>36</x:v>
      </x:c>
      <x:c r="N318" s="210" t="n">
        <x:v>2250</x:v>
      </x:c>
      <x:c r="O318" s="210" t="n">
        <x:v>50</x:v>
      </x:c>
      <x:c r="P318" s="210" t="n">
        <x:v>9</x:v>
      </x:c>
      <x:c r="Q318" s="211" t="n">
        <x:v>0</x:v>
      </x:c>
      <x:c r="R318" s="207" t="str"/>
      <x:c r="S318" s="207" t="str"/>
      <x:c r="T318" s="207" t="str"/>
      <x:c r="U318" s="207" t="n">
        <x:v>0</x:v>
      </x:c>
      <x:c r="V318" s="208" t="n">
        <x:f>MAX(0,M318-U318)</x:f>
        <x:v>36</x:v>
      </x:c>
      <x:c r="W318" s="209" t="n">
        <x:f>IFERROR(U318/M318,0)</x:f>
        <x:v>0</x:v>
      </x:c>
      <x:c r="X318" s="201" t="str">
        <x:f>IF(U318=0,"Não iniciado",IF(U318&gt;=M318,"Concluído","Parcial"))</x:f>
        <x:v>Não iniciado</x:v>
      </x:c>
      <x:c r="Y318" s="199" t="str"/>
      <x:c r="Z318" s="188" t="str">
        <x:v>Normal</x:v>
      </x:c>
    </x:row>
    <x:row r="319" ht="22" customHeight="1">
      <x:c r="A319" s="217" t="n">
        <x:v>315</x:v>
      </x:c>
      <x:c r="B319" s="218" t="str">
        <x:v>26739</x:v>
      </x:c>
      <x:c r="C319" s="218" t="str">
        <x:v>8</x:v>
      </x:c>
      <x:c r="D319" s="218" t="str">
        <x:v>609642</x:v>
      </x:c>
      <x:c r="E319" s="218" t="str">
        <x:v>971601</x:v>
      </x:c>
      <x:c r="F319" s="218" t="str">
        <x:v>OUTROS</x:v>
      </x:c>
      <x:c r="G319" s="184" t="str">
        <x:v>PE AL 2250X50X9 RTO RL80 REC PET BCO(ULT</x:v>
      </x:c>
      <x:c r="H319" s="184" t="str"/>
      <x:c r="I319" s="184" t="str"/>
      <x:c r="J319" s="184" t="str"/>
      <x:c r="K319" s="184" t="str">
        <x:v>ESMALTE</x:v>
      </x:c>
      <x:c r="L319" s="184" t="str">
        <x:v>BRANCO CARRARA</x:v>
      </x:c>
      <x:c r="M319" s="205" t="n">
        <x:v>36</x:v>
      </x:c>
      <x:c r="N319" s="205" t="n">
        <x:v>2250</x:v>
      </x:c>
      <x:c r="O319" s="205" t="n">
        <x:v>50</x:v>
      </x:c>
      <x:c r="P319" s="205" t="n">
        <x:v>9</x:v>
      </x:c>
      <x:c r="Q319" s="206" t="n">
        <x:v>0</x:v>
      </x:c>
      <x:c r="R319" s="207" t="str"/>
      <x:c r="S319" s="207" t="str"/>
      <x:c r="T319" s="207" t="str"/>
      <x:c r="U319" s="207" t="n">
        <x:v>0</x:v>
      </x:c>
      <x:c r="V319" s="208" t="n">
        <x:f>MAX(0,M319-U319)</x:f>
        <x:v>36</x:v>
      </x:c>
      <x:c r="W319" s="209" t="n">
        <x:f>IFERROR(U319/M319,0)</x:f>
        <x:v>0</x:v>
      </x:c>
      <x:c r="X319" s="201" t="str">
        <x:f>IF(U319=0,"Não iniciado",IF(U319&gt;=M319,"Concluído","Parcial"))</x:f>
        <x:v>Não iniciado</x:v>
      </x:c>
      <x:c r="Y319" s="199" t="str"/>
      <x:c r="Z319" s="188" t="str">
        <x:v>Normal</x:v>
      </x:c>
    </x:row>
    <x:row r="320" ht="22" customHeight="1">
      <x:c r="A320" s="219" t="n">
        <x:v>316</x:v>
      </x:c>
      <x:c r="B320" s="220" t="str">
        <x:v>26739</x:v>
      </x:c>
      <x:c r="C320" s="220" t="str">
        <x:v>9</x:v>
      </x:c>
      <x:c r="D320" s="220" t="str">
        <x:v>609649</x:v>
      </x:c>
      <x:c r="E320" s="220" t="str">
        <x:v>963311</x:v>
      </x:c>
      <x:c r="F320" s="220" t="str">
        <x:v>OUTROS</x:v>
      </x:c>
      <x:c r="G320" s="190" t="str">
        <x:v>PE AL 2250X50X9 RTO LME REC PET BCO(ULTR</x:v>
      </x:c>
      <x:c r="H320" s="190" t="str"/>
      <x:c r="I320" s="190" t="str"/>
      <x:c r="J320" s="190" t="str"/>
      <x:c r="K320" s="190" t="str">
        <x:v>ESMALTE</x:v>
      </x:c>
      <x:c r="L320" s="190" t="str">
        <x:v>BRANCO CARRARA</x:v>
      </x:c>
      <x:c r="M320" s="210" t="n">
        <x:v>12</x:v>
      </x:c>
      <x:c r="N320" s="210" t="n">
        <x:v>2250</x:v>
      </x:c>
      <x:c r="O320" s="210" t="n">
        <x:v>50</x:v>
      </x:c>
      <x:c r="P320" s="210" t="n">
        <x:v>9</x:v>
      </x:c>
      <x:c r="Q320" s="211" t="n">
        <x:v>0</x:v>
      </x:c>
      <x:c r="R320" s="207" t="str"/>
      <x:c r="S320" s="207" t="str"/>
      <x:c r="T320" s="207" t="str"/>
      <x:c r="U320" s="207" t="n">
        <x:v>0</x:v>
      </x:c>
      <x:c r="V320" s="208" t="n">
        <x:f>MAX(0,M320-U320)</x:f>
        <x:v>12</x:v>
      </x:c>
      <x:c r="W320" s="209" t="n">
        <x:f>IFERROR(U320/M320,0)</x:f>
        <x:v>0</x:v>
      </x:c>
      <x:c r="X320" s="201" t="str">
        <x:f>IF(U320=0,"Não iniciado",IF(U320&gt;=M320,"Concluído","Parcial"))</x:f>
        <x:v>Não iniciado</x:v>
      </x:c>
      <x:c r="Y320" s="199" t="str"/>
      <x:c r="Z320" s="188" t="str">
        <x:v>Normal</x:v>
      </x:c>
    </x:row>
    <x:row r="321" ht="22" customHeight="1">
      <x:c r="A321" s="217" t="n">
        <x:v>317</x:v>
      </x:c>
      <x:c r="B321" s="218" t="str">
        <x:v>26739</x:v>
      </x:c>
      <x:c r="C321" s="218" t="str">
        <x:v>9</x:v>
      </x:c>
      <x:c r="D321" s="218" t="str">
        <x:v>609652</x:v>
      </x:c>
      <x:c r="E321" s="218" t="str">
        <x:v>971601</x:v>
      </x:c>
      <x:c r="F321" s="218" t="str">
        <x:v>OUTROS</x:v>
      </x:c>
      <x:c r="G321" s="184" t="str">
        <x:v>PE AL 2250X50X9 RTO RL80 REC PET BCO(ULT</x:v>
      </x:c>
      <x:c r="H321" s="184" t="str"/>
      <x:c r="I321" s="184" t="str"/>
      <x:c r="J321" s="184" t="str"/>
      <x:c r="K321" s="184" t="str">
        <x:v>ESMALTE</x:v>
      </x:c>
      <x:c r="L321" s="184" t="str">
        <x:v>BRANCO CARRARA</x:v>
      </x:c>
      <x:c r="M321" s="205" t="n">
        <x:v>12</x:v>
      </x:c>
      <x:c r="N321" s="205" t="n">
        <x:v>2250</x:v>
      </x:c>
      <x:c r="O321" s="205" t="n">
        <x:v>50</x:v>
      </x:c>
      <x:c r="P321" s="205" t="n">
        <x:v>9</x:v>
      </x:c>
      <x:c r="Q321" s="206" t="n">
        <x:v>0</x:v>
      </x:c>
      <x:c r="R321" s="207" t="str"/>
      <x:c r="S321" s="207" t="str"/>
      <x:c r="T321" s="207" t="str"/>
      <x:c r="U321" s="207" t="n">
        <x:v>0</x:v>
      </x:c>
      <x:c r="V321" s="208" t="n">
        <x:f>MAX(0,M321-U321)</x:f>
        <x:v>12</x:v>
      </x:c>
      <x:c r="W321" s="209" t="n">
        <x:f>IFERROR(U321/M321,0)</x:f>
        <x:v>0</x:v>
      </x:c>
      <x:c r="X321" s="201" t="str">
        <x:f>IF(U321=0,"Não iniciado",IF(U321&gt;=M321,"Concluído","Parcial"))</x:f>
        <x:v>Não iniciado</x:v>
      </x:c>
      <x:c r="Y321" s="199" t="str"/>
      <x:c r="Z321" s="188" t="str">
        <x:v>Normal</x:v>
      </x:c>
    </x:row>
    <x:row r="322" ht="22" customHeight="1">
      <x:c r="A322" s="219" t="n">
        <x:v>318</x:v>
      </x:c>
      <x:c r="B322" s="220" t="str">
        <x:v>26739</x:v>
      </x:c>
      <x:c r="C322" s="220" t="str">
        <x:v>10</x:v>
      </x:c>
      <x:c r="D322" s="220" t="str">
        <x:v>609656</x:v>
      </x:c>
      <x:c r="E322" s="220" t="str">
        <x:v>963311</x:v>
      </x:c>
      <x:c r="F322" s="220" t="str">
        <x:v>OUTROS</x:v>
      </x:c>
      <x:c r="G322" s="190" t="str">
        <x:v>PE AL 2250X50X9 RTO LME REC PET BCO(ULTR</x:v>
      </x:c>
      <x:c r="H322" s="190" t="str"/>
      <x:c r="I322" s="190" t="str"/>
      <x:c r="J322" s="190" t="str"/>
      <x:c r="K322" s="190" t="str">
        <x:v>ESMALTE</x:v>
      </x:c>
      <x:c r="L322" s="190" t="str">
        <x:v>BRANCO CARRARA</x:v>
      </x:c>
      <x:c r="M322" s="210" t="n">
        <x:v>44</x:v>
      </x:c>
      <x:c r="N322" s="210" t="n">
        <x:v>2250</x:v>
      </x:c>
      <x:c r="O322" s="210" t="n">
        <x:v>50</x:v>
      </x:c>
      <x:c r="P322" s="210" t="n">
        <x:v>9</x:v>
      </x:c>
      <x:c r="Q322" s="211" t="n">
        <x:v>0</x:v>
      </x:c>
      <x:c r="R322" s="207" t="str"/>
      <x:c r="S322" s="207" t="str"/>
      <x:c r="T322" s="207" t="str"/>
      <x:c r="U322" s="207" t="n">
        <x:v>0</x:v>
      </x:c>
      <x:c r="V322" s="208" t="n">
        <x:f>MAX(0,M322-U322)</x:f>
        <x:v>44</x:v>
      </x:c>
      <x:c r="W322" s="209" t="n">
        <x:f>IFERROR(U322/M322,0)</x:f>
        <x:v>0</x:v>
      </x:c>
      <x:c r="X322" s="201" t="str">
        <x:f>IF(U322=0,"Não iniciado",IF(U322&gt;=M322,"Concluído","Parcial"))</x:f>
        <x:v>Não iniciado</x:v>
      </x:c>
      <x:c r="Y322" s="199" t="str"/>
      <x:c r="Z322" s="188" t="str">
        <x:v>Normal</x:v>
      </x:c>
    </x:row>
    <x:row r="323" ht="22" customHeight="1">
      <x:c r="A323" s="217" t="n">
        <x:v>319</x:v>
      </x:c>
      <x:c r="B323" s="218" t="str">
        <x:v>26739</x:v>
      </x:c>
      <x:c r="C323" s="218" t="str">
        <x:v>10</x:v>
      </x:c>
      <x:c r="D323" s="218" t="str">
        <x:v>609658</x:v>
      </x:c>
      <x:c r="E323" s="218" t="str">
        <x:v>971601</x:v>
      </x:c>
      <x:c r="F323" s="218" t="str">
        <x:v>OUTROS</x:v>
      </x:c>
      <x:c r="G323" s="184" t="str">
        <x:v>PE AL 2250X50X9 RTO RL80 REC PET BCO(ULT</x:v>
      </x:c>
      <x:c r="H323" s="184" t="str"/>
      <x:c r="I323" s="184" t="str"/>
      <x:c r="J323" s="184" t="str"/>
      <x:c r="K323" s="184" t="str">
        <x:v>ESMALTE</x:v>
      </x:c>
      <x:c r="L323" s="184" t="str">
        <x:v>BRANCO CARRARA</x:v>
      </x:c>
      <x:c r="M323" s="205" t="n">
        <x:v>44</x:v>
      </x:c>
      <x:c r="N323" s="205" t="n">
        <x:v>2250</x:v>
      </x:c>
      <x:c r="O323" s="205" t="n">
        <x:v>50</x:v>
      </x:c>
      <x:c r="P323" s="205" t="n">
        <x:v>9</x:v>
      </x:c>
      <x:c r="Q323" s="206" t="n">
        <x:v>0</x:v>
      </x:c>
      <x:c r="R323" s="207" t="str"/>
      <x:c r="S323" s="207" t="str"/>
      <x:c r="T323" s="207" t="str"/>
      <x:c r="U323" s="207" t="n">
        <x:v>0</x:v>
      </x:c>
      <x:c r="V323" s="208" t="n">
        <x:f>MAX(0,M323-U323)</x:f>
        <x:v>44</x:v>
      </x:c>
      <x:c r="W323" s="209" t="n">
        <x:f>IFERROR(U323/M323,0)</x:f>
        <x:v>0</x:v>
      </x:c>
      <x:c r="X323" s="201" t="str">
        <x:f>IF(U323=0,"Não iniciado",IF(U323&gt;=M323,"Concluído","Parcial"))</x:f>
        <x:v>Não iniciado</x:v>
      </x:c>
      <x:c r="Y323" s="199" t="str"/>
      <x:c r="Z323" s="188" t="str">
        <x:v>Normal</x:v>
      </x:c>
    </x:row>
    <x:row r="324" ht="22" customHeight="1">
      <x:c r="A324" s="219" t="n">
        <x:v>320</x:v>
      </x:c>
      <x:c r="B324" s="220" t="str">
        <x:v>26739</x:v>
      </x:c>
      <x:c r="C324" s="220" t="str">
        <x:v>11</x:v>
      </x:c>
      <x:c r="D324" s="220" t="str">
        <x:v>609666</x:v>
      </x:c>
      <x:c r="E324" s="220" t="str">
        <x:v>963311</x:v>
      </x:c>
      <x:c r="F324" s="220" t="str">
        <x:v>OUTROS</x:v>
      </x:c>
      <x:c r="G324" s="190" t="str">
        <x:v>PE AL 2250X50X9 RTO LME REC PET BCO(ULTR</x:v>
      </x:c>
      <x:c r="H324" s="190" t="str"/>
      <x:c r="I324" s="190" t="str"/>
      <x:c r="J324" s="190" t="str"/>
      <x:c r="K324" s="190" t="str">
        <x:v>ESMALTE</x:v>
      </x:c>
      <x:c r="L324" s="190" t="str">
        <x:v>BRANCO CARRARA</x:v>
      </x:c>
      <x:c r="M324" s="210" t="n">
        <x:v>32</x:v>
      </x:c>
      <x:c r="N324" s="210" t="n">
        <x:v>2250</x:v>
      </x:c>
      <x:c r="O324" s="210" t="n">
        <x:v>50</x:v>
      </x:c>
      <x:c r="P324" s="210" t="n">
        <x:v>9</x:v>
      </x:c>
      <x:c r="Q324" s="211" t="n">
        <x:v>0</x:v>
      </x:c>
      <x:c r="R324" s="207" t="str"/>
      <x:c r="S324" s="207" t="str"/>
      <x:c r="T324" s="207" t="str"/>
      <x:c r="U324" s="207" t="n">
        <x:v>0</x:v>
      </x:c>
      <x:c r="V324" s="208" t="n">
        <x:f>MAX(0,M324-U324)</x:f>
        <x:v>32</x:v>
      </x:c>
      <x:c r="W324" s="209" t="n">
        <x:f>IFERROR(U324/M324,0)</x:f>
        <x:v>0</x:v>
      </x:c>
      <x:c r="X324" s="201" t="str">
        <x:f>IF(U324=0,"Não iniciado",IF(U324&gt;=M324,"Concluído","Parcial"))</x:f>
        <x:v>Não iniciado</x:v>
      </x:c>
      <x:c r="Y324" s="199" t="str"/>
      <x:c r="Z324" s="188" t="str">
        <x:v>Normal</x:v>
      </x:c>
    </x:row>
    <x:row r="325" ht="22" customHeight="1">
      <x:c r="A325" s="217" t="n">
        <x:v>321</x:v>
      </x:c>
      <x:c r="B325" s="218" t="str">
        <x:v>26739</x:v>
      </x:c>
      <x:c r="C325" s="218" t="str">
        <x:v>11</x:v>
      </x:c>
      <x:c r="D325" s="218" t="str">
        <x:v>609668</x:v>
      </x:c>
      <x:c r="E325" s="218" t="str">
        <x:v>971601</x:v>
      </x:c>
      <x:c r="F325" s="218" t="str">
        <x:v>OUTROS</x:v>
      </x:c>
      <x:c r="G325" s="184" t="str">
        <x:v>PE AL 2250X50X9 RTO RL80 REC PET BCO(ULT</x:v>
      </x:c>
      <x:c r="H325" s="184" t="str"/>
      <x:c r="I325" s="184" t="str"/>
      <x:c r="J325" s="184" t="str"/>
      <x:c r="K325" s="184" t="str">
        <x:v>ESMALTE</x:v>
      </x:c>
      <x:c r="L325" s="184" t="str">
        <x:v>BRANCO CARRARA</x:v>
      </x:c>
      <x:c r="M325" s="205" t="n">
        <x:v>32</x:v>
      </x:c>
      <x:c r="N325" s="205" t="n">
        <x:v>2250</x:v>
      </x:c>
      <x:c r="O325" s="205" t="n">
        <x:v>50</x:v>
      </x:c>
      <x:c r="P325" s="205" t="n">
        <x:v>9</x:v>
      </x:c>
      <x:c r="Q325" s="206" t="n">
        <x:v>0</x:v>
      </x:c>
      <x:c r="R325" s="207" t="str"/>
      <x:c r="S325" s="207" t="str"/>
      <x:c r="T325" s="207" t="str"/>
      <x:c r="U325" s="207" t="n">
        <x:v>0</x:v>
      </x:c>
      <x:c r="V325" s="208" t="n">
        <x:f>MAX(0,M325-U325)</x:f>
        <x:v>32</x:v>
      </x:c>
      <x:c r="W325" s="209" t="n">
        <x:f>IFERROR(U325/M325,0)</x:f>
        <x:v>0</x:v>
      </x:c>
      <x:c r="X325" s="201" t="str">
        <x:f>IF(U325=0,"Não iniciado",IF(U325&gt;=M325,"Concluído","Parcial"))</x:f>
        <x:v>Não iniciado</x:v>
      </x:c>
      <x:c r="Y325" s="199" t="str"/>
      <x:c r="Z325" s="188" t="str">
        <x:v>Normal</x:v>
      </x:c>
    </x:row>
    <x:row r="326" ht="22" customHeight="1">
      <x:c r="A326" s="219" t="n">
        <x:v>322</x:v>
      </x:c>
      <x:c r="B326" s="220" t="str">
        <x:v>26739</x:v>
      </x:c>
      <x:c r="C326" s="220" t="str">
        <x:v>12</x:v>
      </x:c>
      <x:c r="D326" s="220" t="str">
        <x:v>609673</x:v>
      </x:c>
      <x:c r="E326" s="220" t="str">
        <x:v>963311</x:v>
      </x:c>
      <x:c r="F326" s="220" t="str">
        <x:v>OUTROS</x:v>
      </x:c>
      <x:c r="G326" s="190" t="str">
        <x:v>PE AL 2250X50X9 RTO LME REC PET BCO(ULTR</x:v>
      </x:c>
      <x:c r="H326" s="190" t="str"/>
      <x:c r="I326" s="190" t="str"/>
      <x:c r="J326" s="190" t="str"/>
      <x:c r="K326" s="190" t="str">
        <x:v>ESMALTE</x:v>
      </x:c>
      <x:c r="L326" s="190" t="str">
        <x:v>BRANCO CARRARA</x:v>
      </x:c>
      <x:c r="M326" s="210" t="n">
        <x:v>2</x:v>
      </x:c>
      <x:c r="N326" s="210" t="n">
        <x:v>2250</x:v>
      </x:c>
      <x:c r="O326" s="210" t="n">
        <x:v>50</x:v>
      </x:c>
      <x:c r="P326" s="210" t="n">
        <x:v>9</x:v>
      </x:c>
      <x:c r="Q326" s="211" t="n">
        <x:v>0</x:v>
      </x:c>
      <x:c r="R326" s="207" t="str"/>
      <x:c r="S326" s="207" t="str"/>
      <x:c r="T326" s="207" t="str"/>
      <x:c r="U326" s="207" t="n">
        <x:v>0</x:v>
      </x:c>
      <x:c r="V326" s="208" t="n">
        <x:f>MAX(0,M326-U326)</x:f>
        <x:v>2</x:v>
      </x:c>
      <x:c r="W326" s="209" t="n">
        <x:f>IFERROR(U326/M326,0)</x:f>
        <x:v>0</x:v>
      </x:c>
      <x:c r="X326" s="201" t="str">
        <x:f>IF(U326=0,"Não iniciado",IF(U326&gt;=M326,"Concluído","Parcial"))</x:f>
        <x:v>Não iniciado</x:v>
      </x:c>
      <x:c r="Y326" s="199" t="str"/>
      <x:c r="Z326" s="188" t="str">
        <x:v>Normal</x:v>
      </x:c>
    </x:row>
    <x:row r="327" ht="22" customHeight="1">
      <x:c r="A327" s="217" t="n">
        <x:v>323</x:v>
      </x:c>
      <x:c r="B327" s="218" t="str">
        <x:v>26739</x:v>
      </x:c>
      <x:c r="C327" s="218" t="str">
        <x:v>12</x:v>
      </x:c>
      <x:c r="D327" s="218" t="str">
        <x:v>609676</x:v>
      </x:c>
      <x:c r="E327" s="218" t="str">
        <x:v>971601</x:v>
      </x:c>
      <x:c r="F327" s="218" t="str">
        <x:v>OUTROS</x:v>
      </x:c>
      <x:c r="G327" s="184" t="str">
        <x:v>PE AL 2250X50X9 RTO RL80 REC PET BCO(ULT</x:v>
      </x:c>
      <x:c r="H327" s="184" t="str"/>
      <x:c r="I327" s="184" t="str"/>
      <x:c r="J327" s="184" t="str"/>
      <x:c r="K327" s="184" t="str">
        <x:v>ESMALTE</x:v>
      </x:c>
      <x:c r="L327" s="184" t="str">
        <x:v>BRANCO CARRARA</x:v>
      </x:c>
      <x:c r="M327" s="205" t="n">
        <x:v>2</x:v>
      </x:c>
      <x:c r="N327" s="205" t="n">
        <x:v>2250</x:v>
      </x:c>
      <x:c r="O327" s="205" t="n">
        <x:v>50</x:v>
      </x:c>
      <x:c r="P327" s="205" t="n">
        <x:v>9</x:v>
      </x:c>
      <x:c r="Q327" s="206" t="n">
        <x:v>0</x:v>
      </x:c>
      <x:c r="R327" s="207" t="str"/>
      <x:c r="S327" s="207" t="str"/>
      <x:c r="T327" s="207" t="str"/>
      <x:c r="U327" s="207" t="n">
        <x:v>0</x:v>
      </x:c>
      <x:c r="V327" s="208" t="n">
        <x:f>MAX(0,M327-U327)</x:f>
        <x:v>2</x:v>
      </x:c>
      <x:c r="W327" s="209" t="n">
        <x:f>IFERROR(U327/M327,0)</x:f>
        <x:v>0</x:v>
      </x:c>
      <x:c r="X327" s="201" t="str">
        <x:f>IF(U327=0,"Não iniciado",IF(U327&gt;=M327,"Concluído","Parcial"))</x:f>
        <x:v>Não iniciado</x:v>
      </x:c>
      <x:c r="Y327" s="199" t="str"/>
      <x:c r="Z327" s="188" t="str">
        <x:v>Normal</x:v>
      </x:c>
    </x:row>
    <x:row r="328" ht="22" customHeight="1">
      <x:c r="A328" s="219" t="n">
        <x:v>324</x:v>
      </x:c>
      <x:c r="B328" s="220" t="str">
        <x:v>26739</x:v>
      </x:c>
      <x:c r="C328" s="220" t="str">
        <x:v>15</x:v>
      </x:c>
      <x:c r="D328" s="220" t="str">
        <x:v>609684</x:v>
      </x:c>
      <x:c r="E328" s="220" t="str">
        <x:v>963311</x:v>
      </x:c>
      <x:c r="F328" s="220" t="str">
        <x:v>OUTROS</x:v>
      </x:c>
      <x:c r="G328" s="190" t="str">
        <x:v>PE AL 2250X50X9 RTO LME REC PET BCO(ULTR</x:v>
      </x:c>
      <x:c r="H328" s="190" t="str">
        <x:v>REG 2L(MAIOR 80MM)</x:v>
      </x:c>
      <x:c r="I328" s="190" t="str"/>
      <x:c r="J328" s="190" t="str"/>
      <x:c r="K328" s="190" t="str">
        <x:v>RECOBERTO PET</x:v>
      </x:c>
      <x:c r="L328" s="190" t="str">
        <x:v>BRANCO CARRARA</x:v>
      </x:c>
      <x:c r="M328" s="210" t="n">
        <x:v>14</x:v>
      </x:c>
      <x:c r="N328" s="210" t="n">
        <x:v>2250</x:v>
      </x:c>
      <x:c r="O328" s="210" t="n">
        <x:v>50</x:v>
      </x:c>
      <x:c r="P328" s="210" t="n">
        <x:v>9</x:v>
      </x:c>
      <x:c r="Q328" s="211" t="n">
        <x:v>0</x:v>
      </x:c>
      <x:c r="R328" s="207" t="str"/>
      <x:c r="S328" s="207" t="str"/>
      <x:c r="T328" s="207" t="str"/>
      <x:c r="U328" s="207" t="n">
        <x:v>0</x:v>
      </x:c>
      <x:c r="V328" s="208" t="n">
        <x:f>MAX(0,M328-U328)</x:f>
        <x:v>14</x:v>
      </x:c>
      <x:c r="W328" s="209" t="n">
        <x:f>IFERROR(U328/M328,0)</x:f>
        <x:v>0</x:v>
      </x:c>
      <x:c r="X328" s="201" t="str">
        <x:f>IF(U328=0,"Não iniciado",IF(U328&gt;=M328,"Concluído","Parcial"))</x:f>
        <x:v>Não iniciado</x:v>
      </x:c>
      <x:c r="Y328" s="199" t="str"/>
      <x:c r="Z328" s="188" t="str">
        <x:v>Normal</x:v>
      </x:c>
    </x:row>
    <x:row r="329" ht="22" customHeight="1">
      <x:c r="A329" s="217" t="n">
        <x:v>325</x:v>
      </x:c>
      <x:c r="B329" s="218" t="str">
        <x:v>26739</x:v>
      </x:c>
      <x:c r="C329" s="218" t="str">
        <x:v>15</x:v>
      </x:c>
      <x:c r="D329" s="218" t="str">
        <x:v>609686</x:v>
      </x:c>
      <x:c r="E329" s="218" t="str">
        <x:v>971601</x:v>
      </x:c>
      <x:c r="F329" s="218" t="str">
        <x:v>OUTROS</x:v>
      </x:c>
      <x:c r="G329" s="184" t="str">
        <x:v>PE AL 2250X50X9 RTO RL80 REC PET BCO(ULT</x:v>
      </x:c>
      <x:c r="H329" s="184" t="str">
        <x:v>REG 2L(MAIOR 80MM)</x:v>
      </x:c>
      <x:c r="I329" s="184" t="str"/>
      <x:c r="J329" s="184" t="str"/>
      <x:c r="K329" s="184" t="str">
        <x:v>RECOBERTO PET</x:v>
      </x:c>
      <x:c r="L329" s="184" t="str">
        <x:v>BRANCO CARRARA</x:v>
      </x:c>
      <x:c r="M329" s="205" t="n">
        <x:v>14</x:v>
      </x:c>
      <x:c r="N329" s="205" t="n">
        <x:v>2250</x:v>
      </x:c>
      <x:c r="O329" s="205" t="n">
        <x:v>50</x:v>
      </x:c>
      <x:c r="P329" s="205" t="n">
        <x:v>9</x:v>
      </x:c>
      <x:c r="Q329" s="206" t="n">
        <x:v>0</x:v>
      </x:c>
      <x:c r="R329" s="207" t="str"/>
      <x:c r="S329" s="207" t="str"/>
      <x:c r="T329" s="207" t="str"/>
      <x:c r="U329" s="207" t="n">
        <x:v>0</x:v>
      </x:c>
      <x:c r="V329" s="208" t="n">
        <x:f>MAX(0,M329-U329)</x:f>
        <x:v>14</x:v>
      </x:c>
      <x:c r="W329" s="209" t="n">
        <x:f>IFERROR(U329/M329,0)</x:f>
        <x:v>0</x:v>
      </x:c>
      <x:c r="X329" s="201" t="str">
        <x:f>IF(U329=0,"Não iniciado",IF(U329&gt;=M329,"Concluído","Parcial"))</x:f>
        <x:v>Não iniciado</x:v>
      </x:c>
      <x:c r="Y329" s="199" t="str"/>
      <x:c r="Z329" s="188" t="str">
        <x:v>Normal</x:v>
      </x:c>
    </x:row>
    <x:row r="330" ht="22" customHeight="1">
      <x:c r="A330" s="219" t="n">
        <x:v>326</x:v>
      </x:c>
      <x:c r="B330" s="220" t="str">
        <x:v>26739</x:v>
      </x:c>
      <x:c r="C330" s="220" t="str">
        <x:v>17</x:v>
      </x:c>
      <x:c r="D330" s="220" t="str">
        <x:v>609695</x:v>
      </x:c>
      <x:c r="E330" s="220" t="str">
        <x:v>963311</x:v>
      </x:c>
      <x:c r="F330" s="220" t="str">
        <x:v>OUTROS</x:v>
      </x:c>
      <x:c r="G330" s="190" t="str">
        <x:v>PE AL 2250X50X9 RTO LME REC PET BCO(ULTR</x:v>
      </x:c>
      <x:c r="H330" s="190" t="str"/>
      <x:c r="I330" s="190" t="str"/>
      <x:c r="J330" s="190" t="str"/>
      <x:c r="K330" s="190" t="str">
        <x:v>ESMALTE</x:v>
      </x:c>
      <x:c r="L330" s="190" t="str">
        <x:v>BRANCO CARRARA</x:v>
      </x:c>
      <x:c r="M330" s="210" t="n">
        <x:v>18</x:v>
      </x:c>
      <x:c r="N330" s="210" t="n">
        <x:v>2250</x:v>
      </x:c>
      <x:c r="O330" s="210" t="n">
        <x:v>50</x:v>
      </x:c>
      <x:c r="P330" s="210" t="n">
        <x:v>9</x:v>
      </x:c>
      <x:c r="Q330" s="211" t="n">
        <x:v>0</x:v>
      </x:c>
      <x:c r="R330" s="207" t="str"/>
      <x:c r="S330" s="207" t="str"/>
      <x:c r="T330" s="207" t="str"/>
      <x:c r="U330" s="207" t="n">
        <x:v>0</x:v>
      </x:c>
      <x:c r="V330" s="208" t="n">
        <x:f>MAX(0,M330-U330)</x:f>
        <x:v>18</x:v>
      </x:c>
      <x:c r="W330" s="209" t="n">
        <x:f>IFERROR(U330/M330,0)</x:f>
        <x:v>0</x:v>
      </x:c>
      <x:c r="X330" s="201" t="str">
        <x:f>IF(U330=0,"Não iniciado",IF(U330&gt;=M330,"Concluído","Parcial"))</x:f>
        <x:v>Não iniciado</x:v>
      </x:c>
      <x:c r="Y330" s="199" t="str"/>
      <x:c r="Z330" s="188" t="str">
        <x:v>Normal</x:v>
      </x:c>
    </x:row>
    <x:row r="331" ht="22" customHeight="1">
      <x:c r="A331" s="217" t="n">
        <x:v>327</x:v>
      </x:c>
      <x:c r="B331" s="218" t="str">
        <x:v>26739</x:v>
      </x:c>
      <x:c r="C331" s="218" t="str">
        <x:v>17</x:v>
      </x:c>
      <x:c r="D331" s="218" t="str">
        <x:v>609697</x:v>
      </x:c>
      <x:c r="E331" s="218" t="str">
        <x:v>971601</x:v>
      </x:c>
      <x:c r="F331" s="218" t="str">
        <x:v>OUTROS</x:v>
      </x:c>
      <x:c r="G331" s="184" t="str">
        <x:v>PE AL 2250X50X9 RTO RL80 REC PET BCO(ULT</x:v>
      </x:c>
      <x:c r="H331" s="184" t="str"/>
      <x:c r="I331" s="184" t="str"/>
      <x:c r="J331" s="184" t="str"/>
      <x:c r="K331" s="184" t="str">
        <x:v>ESMALTE</x:v>
      </x:c>
      <x:c r="L331" s="184" t="str">
        <x:v>BRANCO CARRARA</x:v>
      </x:c>
      <x:c r="M331" s="205" t="n">
        <x:v>18</x:v>
      </x:c>
      <x:c r="N331" s="205" t="n">
        <x:v>2250</x:v>
      </x:c>
      <x:c r="O331" s="205" t="n">
        <x:v>50</x:v>
      </x:c>
      <x:c r="P331" s="205" t="n">
        <x:v>9</x:v>
      </x:c>
      <x:c r="Q331" s="206" t="n">
        <x:v>0</x:v>
      </x:c>
      <x:c r="R331" s="207" t="str"/>
      <x:c r="S331" s="207" t="str"/>
      <x:c r="T331" s="207" t="str"/>
      <x:c r="U331" s="207" t="n">
        <x:v>0</x:v>
      </x:c>
      <x:c r="V331" s="208" t="n">
        <x:f>MAX(0,M331-U331)</x:f>
        <x:v>18</x:v>
      </x:c>
      <x:c r="W331" s="209" t="n">
        <x:f>IFERROR(U331/M331,0)</x:f>
        <x:v>0</x:v>
      </x:c>
      <x:c r="X331" s="201" t="str">
        <x:f>IF(U331=0,"Não iniciado",IF(U331&gt;=M331,"Concluído","Parcial"))</x:f>
        <x:v>Não iniciado</x:v>
      </x:c>
      <x:c r="Y331" s="199" t="str"/>
      <x:c r="Z331" s="188" t="str">
        <x:v>Normal</x:v>
      </x:c>
    </x:row>
    <x:row r="332" ht="22" customHeight="1">
      <x:c r="A332" s="219" t="n">
        <x:v>328</x:v>
      </x:c>
      <x:c r="B332" s="220" t="str">
        <x:v>26739</x:v>
      </x:c>
      <x:c r="C332" s="220" t="str">
        <x:v>18</x:v>
      </x:c>
      <x:c r="D332" s="220" t="str">
        <x:v>609703</x:v>
      </x:c>
      <x:c r="E332" s="220" t="str">
        <x:v>963311</x:v>
      </x:c>
      <x:c r="F332" s="220" t="str">
        <x:v>OUTROS</x:v>
      </x:c>
      <x:c r="G332" s="190" t="str">
        <x:v>PE AL 2250X50X9 RTO LME REC PET BCO(ULTR</x:v>
      </x:c>
      <x:c r="H332" s="190" t="str"/>
      <x:c r="I332" s="190" t="str"/>
      <x:c r="J332" s="190" t="str"/>
      <x:c r="K332" s="190" t="str">
        <x:v>ESMALTE</x:v>
      </x:c>
      <x:c r="L332" s="190" t="str">
        <x:v>BRANCO CARRARA</x:v>
      </x:c>
      <x:c r="M332" s="210" t="n">
        <x:v>10</x:v>
      </x:c>
      <x:c r="N332" s="210" t="n">
        <x:v>2250</x:v>
      </x:c>
      <x:c r="O332" s="210" t="n">
        <x:v>50</x:v>
      </x:c>
      <x:c r="P332" s="210" t="n">
        <x:v>9</x:v>
      </x:c>
      <x:c r="Q332" s="211" t="n">
        <x:v>0</x:v>
      </x:c>
      <x:c r="R332" s="207" t="str"/>
      <x:c r="S332" s="207" t="str"/>
      <x:c r="T332" s="207" t="str"/>
      <x:c r="U332" s="207" t="n">
        <x:v>0</x:v>
      </x:c>
      <x:c r="V332" s="208" t="n">
        <x:f>MAX(0,M332-U332)</x:f>
        <x:v>10</x:v>
      </x:c>
      <x:c r="W332" s="209" t="n">
        <x:f>IFERROR(U332/M332,0)</x:f>
        <x:v>0</x:v>
      </x:c>
      <x:c r="X332" s="201" t="str">
        <x:f>IF(U332=0,"Não iniciado",IF(U332&gt;=M332,"Concluído","Parcial"))</x:f>
        <x:v>Não iniciado</x:v>
      </x:c>
      <x:c r="Y332" s="199" t="str"/>
      <x:c r="Z332" s="188" t="str">
        <x:v>Normal</x:v>
      </x:c>
    </x:row>
    <x:row r="333" ht="22" customHeight="1">
      <x:c r="A333" s="217" t="n">
        <x:v>329</x:v>
      </x:c>
      <x:c r="B333" s="218" t="str">
        <x:v>26739</x:v>
      </x:c>
      <x:c r="C333" s="218" t="str">
        <x:v>18</x:v>
      </x:c>
      <x:c r="D333" s="218" t="str">
        <x:v>609705</x:v>
      </x:c>
      <x:c r="E333" s="218" t="str">
        <x:v>971601</x:v>
      </x:c>
      <x:c r="F333" s="218" t="str">
        <x:v>OUTROS</x:v>
      </x:c>
      <x:c r="G333" s="184" t="str">
        <x:v>PE AL 2250X50X9 RTO RL80 REC PET BCO(ULT</x:v>
      </x:c>
      <x:c r="H333" s="184" t="str"/>
      <x:c r="I333" s="184" t="str"/>
      <x:c r="J333" s="184" t="str"/>
      <x:c r="K333" s="184" t="str">
        <x:v>ESMALTE</x:v>
      </x:c>
      <x:c r="L333" s="184" t="str">
        <x:v>BRANCO CARRARA</x:v>
      </x:c>
      <x:c r="M333" s="205" t="n">
        <x:v>10</x:v>
      </x:c>
      <x:c r="N333" s="205" t="n">
        <x:v>2250</x:v>
      </x:c>
      <x:c r="O333" s="205" t="n">
        <x:v>50</x:v>
      </x:c>
      <x:c r="P333" s="205" t="n">
        <x:v>9</x:v>
      </x:c>
      <x:c r="Q333" s="206" t="n">
        <x:v>0</x:v>
      </x:c>
      <x:c r="R333" s="207" t="str"/>
      <x:c r="S333" s="207" t="str"/>
      <x:c r="T333" s="207" t="str"/>
      <x:c r="U333" s="207" t="n">
        <x:v>0</x:v>
      </x:c>
      <x:c r="V333" s="208" t="n">
        <x:f>MAX(0,M333-U333)</x:f>
        <x:v>10</x:v>
      </x:c>
      <x:c r="W333" s="209" t="n">
        <x:f>IFERROR(U333/M333,0)</x:f>
        <x:v>0</x:v>
      </x:c>
      <x:c r="X333" s="201" t="str">
        <x:f>IF(U333=0,"Não iniciado",IF(U333&gt;=M333,"Concluído","Parcial"))</x:f>
        <x:v>Não iniciado</x:v>
      </x:c>
      <x:c r="Y333" s="199" t="str"/>
      <x:c r="Z333" s="188" t="str">
        <x:v>Normal</x:v>
      </x:c>
    </x:row>
    <x:row r="334" ht="22" customHeight="1">
      <x:c r="A334" s="219" t="n">
        <x:v>330</x:v>
      </x:c>
      <x:c r="B334" s="220" t="str">
        <x:v>26739</x:v>
      </x:c>
      <x:c r="C334" s="220" t="str">
        <x:v>19</x:v>
      </x:c>
      <x:c r="D334" s="220" t="str">
        <x:v>609712</x:v>
      </x:c>
      <x:c r="E334" s="220" t="str">
        <x:v>963311</x:v>
      </x:c>
      <x:c r="F334" s="220" t="str">
        <x:v>OUTROS</x:v>
      </x:c>
      <x:c r="G334" s="190" t="str">
        <x:v>PE AL 2250X50X9 RTO LME REC PET BCO(ULTR</x:v>
      </x:c>
      <x:c r="H334" s="190" t="str"/>
      <x:c r="I334" s="190" t="str"/>
      <x:c r="J334" s="190" t="str"/>
      <x:c r="K334" s="190" t="str">
        <x:v>ESMALTE</x:v>
      </x:c>
      <x:c r="L334" s="190" t="str">
        <x:v>BRANCO CARRARA</x:v>
      </x:c>
      <x:c r="M334" s="210" t="n">
        <x:v>54</x:v>
      </x:c>
      <x:c r="N334" s="210" t="n">
        <x:v>2250</x:v>
      </x:c>
      <x:c r="O334" s="210" t="n">
        <x:v>50</x:v>
      </x:c>
      <x:c r="P334" s="210" t="n">
        <x:v>9</x:v>
      </x:c>
      <x:c r="Q334" s="211" t="n">
        <x:v>0</x:v>
      </x:c>
      <x:c r="R334" s="207" t="str"/>
      <x:c r="S334" s="207" t="str"/>
      <x:c r="T334" s="207" t="str"/>
      <x:c r="U334" s="207" t="n">
        <x:v>0</x:v>
      </x:c>
      <x:c r="V334" s="208" t="n">
        <x:f>MAX(0,M334-U334)</x:f>
        <x:v>54</x:v>
      </x:c>
      <x:c r="W334" s="209" t="n">
        <x:f>IFERROR(U334/M334,0)</x:f>
        <x:v>0</x:v>
      </x:c>
      <x:c r="X334" s="201" t="str">
        <x:f>IF(U334=0,"Não iniciado",IF(U334&gt;=M334,"Concluído","Parcial"))</x:f>
        <x:v>Não iniciado</x:v>
      </x:c>
      <x:c r="Y334" s="199" t="str"/>
      <x:c r="Z334" s="188" t="str">
        <x:v>Normal</x:v>
      </x:c>
    </x:row>
    <x:row r="335" ht="22" customHeight="1">
      <x:c r="A335" s="217" t="n">
        <x:v>331</x:v>
      </x:c>
      <x:c r="B335" s="218" t="str">
        <x:v>26739</x:v>
      </x:c>
      <x:c r="C335" s="218" t="str">
        <x:v>19</x:v>
      </x:c>
      <x:c r="D335" s="218" t="str">
        <x:v>609714</x:v>
      </x:c>
      <x:c r="E335" s="218" t="str">
        <x:v>971601</x:v>
      </x:c>
      <x:c r="F335" s="218" t="str">
        <x:v>OUTROS</x:v>
      </x:c>
      <x:c r="G335" s="184" t="str">
        <x:v>PE AL 2250X50X9 RTO RL80 REC PET BCO(ULT</x:v>
      </x:c>
      <x:c r="H335" s="184" t="str"/>
      <x:c r="I335" s="184" t="str"/>
      <x:c r="J335" s="184" t="str"/>
      <x:c r="K335" s="184" t="str">
        <x:v>ESMALTE</x:v>
      </x:c>
      <x:c r="L335" s="184" t="str">
        <x:v>BRANCO CARRARA</x:v>
      </x:c>
      <x:c r="M335" s="205" t="n">
        <x:v>54</x:v>
      </x:c>
      <x:c r="N335" s="205" t="n">
        <x:v>2250</x:v>
      </x:c>
      <x:c r="O335" s="205" t="n">
        <x:v>50</x:v>
      </x:c>
      <x:c r="P335" s="205" t="n">
        <x:v>9</x:v>
      </x:c>
      <x:c r="Q335" s="206" t="n">
        <x:v>0</x:v>
      </x:c>
      <x:c r="R335" s="207" t="str"/>
      <x:c r="S335" s="207" t="str"/>
      <x:c r="T335" s="207" t="str"/>
      <x:c r="U335" s="207" t="n">
        <x:v>0</x:v>
      </x:c>
      <x:c r="V335" s="208" t="n">
        <x:f>MAX(0,M335-U335)</x:f>
        <x:v>54</x:v>
      </x:c>
      <x:c r="W335" s="209" t="n">
        <x:f>IFERROR(U335/M335,0)</x:f>
        <x:v>0</x:v>
      </x:c>
      <x:c r="X335" s="201" t="str">
        <x:f>IF(U335=0,"Não iniciado",IF(U335&gt;=M335,"Concluído","Parcial"))</x:f>
        <x:v>Não iniciado</x:v>
      </x:c>
      <x:c r="Y335" s="199" t="str"/>
      <x:c r="Z335" s="188" t="str">
        <x:v>Normal</x:v>
      </x:c>
    </x:row>
    <x:row r="336" ht="22" customHeight="1">
      <x:c r="A336" s="219" t="n">
        <x:v>332</x:v>
      </x:c>
      <x:c r="B336" s="220" t="str">
        <x:v>26739</x:v>
      </x:c>
      <x:c r="C336" s="220" t="str">
        <x:v>20</x:v>
      </x:c>
      <x:c r="D336" s="220" t="str">
        <x:v>609720</x:v>
      </x:c>
      <x:c r="E336" s="220" t="str">
        <x:v>963311</x:v>
      </x:c>
      <x:c r="F336" s="220" t="str">
        <x:v>OUTROS</x:v>
      </x:c>
      <x:c r="G336" s="190" t="str">
        <x:v>PE AL 2250X50X9 RTO LME REC PET BCO(ULTR</x:v>
      </x:c>
      <x:c r="H336" s="190" t="str"/>
      <x:c r="I336" s="190" t="str"/>
      <x:c r="J336" s="190" t="str"/>
      <x:c r="K336" s="190" t="str">
        <x:v>ESMALTE</x:v>
      </x:c>
      <x:c r="L336" s="190" t="str">
        <x:v>BRANCO CARRARA</x:v>
      </x:c>
      <x:c r="M336" s="210" t="n">
        <x:v>6</x:v>
      </x:c>
      <x:c r="N336" s="210" t="n">
        <x:v>2250</x:v>
      </x:c>
      <x:c r="O336" s="210" t="n">
        <x:v>50</x:v>
      </x:c>
      <x:c r="P336" s="210" t="n">
        <x:v>9</x:v>
      </x:c>
      <x:c r="Q336" s="211" t="n">
        <x:v>0</x:v>
      </x:c>
      <x:c r="R336" s="207" t="str"/>
      <x:c r="S336" s="207" t="str"/>
      <x:c r="T336" s="207" t="str"/>
      <x:c r="U336" s="207" t="n">
        <x:v>0</x:v>
      </x:c>
      <x:c r="V336" s="208" t="n">
        <x:f>MAX(0,M336-U336)</x:f>
        <x:v>6</x:v>
      </x:c>
      <x:c r="W336" s="209" t="n">
        <x:f>IFERROR(U336/M336,0)</x:f>
        <x:v>0</x:v>
      </x:c>
      <x:c r="X336" s="201" t="str">
        <x:f>IF(U336=0,"Não iniciado",IF(U336&gt;=M336,"Concluído","Parcial"))</x:f>
        <x:v>Não iniciado</x:v>
      </x:c>
      <x:c r="Y336" s="199" t="str"/>
      <x:c r="Z336" s="188" t="str">
        <x:v>Normal</x:v>
      </x:c>
    </x:row>
    <x:row r="337" ht="22" customHeight="1">
      <x:c r="A337" s="217" t="n">
        <x:v>333</x:v>
      </x:c>
      <x:c r="B337" s="218" t="str">
        <x:v>26739</x:v>
      </x:c>
      <x:c r="C337" s="218" t="str">
        <x:v>20</x:v>
      </x:c>
      <x:c r="D337" s="218" t="str">
        <x:v>609723</x:v>
      </x:c>
      <x:c r="E337" s="218" t="str">
        <x:v>971601</x:v>
      </x:c>
      <x:c r="F337" s="218" t="str">
        <x:v>OUTROS</x:v>
      </x:c>
      <x:c r="G337" s="184" t="str">
        <x:v>PE AL 2250X50X9 RTO RL80 REC PET BCO(ULT</x:v>
      </x:c>
      <x:c r="H337" s="184" t="str"/>
      <x:c r="I337" s="184" t="str"/>
      <x:c r="J337" s="184" t="str"/>
      <x:c r="K337" s="184" t="str">
        <x:v>ESMALTE</x:v>
      </x:c>
      <x:c r="L337" s="184" t="str">
        <x:v>BRANCO CARRARA</x:v>
      </x:c>
      <x:c r="M337" s="205" t="n">
        <x:v>6</x:v>
      </x:c>
      <x:c r="N337" s="205" t="n">
        <x:v>2250</x:v>
      </x:c>
      <x:c r="O337" s="205" t="n">
        <x:v>50</x:v>
      </x:c>
      <x:c r="P337" s="205" t="n">
        <x:v>9</x:v>
      </x:c>
      <x:c r="Q337" s="206" t="n">
        <x:v>0</x:v>
      </x:c>
      <x:c r="R337" s="207" t="str"/>
      <x:c r="S337" s="207" t="str"/>
      <x:c r="T337" s="207" t="str"/>
      <x:c r="U337" s="207" t="n">
        <x:v>0</x:v>
      </x:c>
      <x:c r="V337" s="208" t="n">
        <x:f>MAX(0,M337-U337)</x:f>
        <x:v>6</x:v>
      </x:c>
      <x:c r="W337" s="209" t="n">
        <x:f>IFERROR(U337/M337,0)</x:f>
        <x:v>0</x:v>
      </x:c>
      <x:c r="X337" s="201" t="str">
        <x:f>IF(U337=0,"Não iniciado",IF(U337&gt;=M337,"Concluído","Parcial"))</x:f>
        <x:v>Não iniciado</x:v>
      </x:c>
      <x:c r="Y337" s="199" t="str"/>
      <x:c r="Z337" s="188" t="str">
        <x:v>Normal</x:v>
      </x:c>
    </x:row>
    <x:row r="338" ht="22" customHeight="1">
      <x:c r="A338" s="219" t="n">
        <x:v>334</x:v>
      </x:c>
      <x:c r="B338" s="220" t="str">
        <x:v>26739</x:v>
      </x:c>
      <x:c r="C338" s="220" t="str">
        <x:v>21</x:v>
      </x:c>
      <x:c r="D338" s="220" t="str">
        <x:v>609729</x:v>
      </x:c>
      <x:c r="E338" s="220" t="str">
        <x:v>963311</x:v>
      </x:c>
      <x:c r="F338" s="220" t="str">
        <x:v>OUTROS</x:v>
      </x:c>
      <x:c r="G338" s="190" t="str">
        <x:v>PE AL 2250X50X9 RTO LME REC PET BCO(ULTR</x:v>
      </x:c>
      <x:c r="H338" s="190" t="str"/>
      <x:c r="I338" s="190" t="str"/>
      <x:c r="J338" s="190" t="str"/>
      <x:c r="K338" s="190" t="str">
        <x:v>ESMALTE</x:v>
      </x:c>
      <x:c r="L338" s="190" t="str">
        <x:v>BRANCO CARRARA</x:v>
      </x:c>
      <x:c r="M338" s="210" t="n">
        <x:v>20</x:v>
      </x:c>
      <x:c r="N338" s="210" t="n">
        <x:v>2250</x:v>
      </x:c>
      <x:c r="O338" s="210" t="n">
        <x:v>50</x:v>
      </x:c>
      <x:c r="P338" s="210" t="n">
        <x:v>9</x:v>
      </x:c>
      <x:c r="Q338" s="211" t="n">
        <x:v>0</x:v>
      </x:c>
      <x:c r="R338" s="207" t="str"/>
      <x:c r="S338" s="207" t="str"/>
      <x:c r="T338" s="207" t="str"/>
      <x:c r="U338" s="207" t="n">
        <x:v>0</x:v>
      </x:c>
      <x:c r="V338" s="208" t="n">
        <x:f>MAX(0,M338-U338)</x:f>
        <x:v>20</x:v>
      </x:c>
      <x:c r="W338" s="209" t="n">
        <x:f>IFERROR(U338/M338,0)</x:f>
        <x:v>0</x:v>
      </x:c>
      <x:c r="X338" s="201" t="str">
        <x:f>IF(U338=0,"Não iniciado",IF(U338&gt;=M338,"Concluído","Parcial"))</x:f>
        <x:v>Não iniciado</x:v>
      </x:c>
      <x:c r="Y338" s="199" t="str"/>
      <x:c r="Z338" s="188" t="str">
        <x:v>Normal</x:v>
      </x:c>
    </x:row>
    <x:row r="339" ht="22" customHeight="1">
      <x:c r="A339" s="217" t="n">
        <x:v>335</x:v>
      </x:c>
      <x:c r="B339" s="218" t="str">
        <x:v>26739</x:v>
      </x:c>
      <x:c r="C339" s="218" t="str">
        <x:v>21</x:v>
      </x:c>
      <x:c r="D339" s="218" t="str">
        <x:v>609731</x:v>
      </x:c>
      <x:c r="E339" s="218" t="str">
        <x:v>971601</x:v>
      </x:c>
      <x:c r="F339" s="218" t="str">
        <x:v>OUTROS</x:v>
      </x:c>
      <x:c r="G339" s="184" t="str">
        <x:v>PE AL 2250X50X9 RTO RL80 REC PET BCO(ULT</x:v>
      </x:c>
      <x:c r="H339" s="184" t="str"/>
      <x:c r="I339" s="184" t="str"/>
      <x:c r="J339" s="184" t="str"/>
      <x:c r="K339" s="184" t="str">
        <x:v>ESMALTE</x:v>
      </x:c>
      <x:c r="L339" s="184" t="str">
        <x:v>BRANCO CARRARA</x:v>
      </x:c>
      <x:c r="M339" s="205" t="n">
        <x:v>20</x:v>
      </x:c>
      <x:c r="N339" s="205" t="n">
        <x:v>2250</x:v>
      </x:c>
      <x:c r="O339" s="205" t="n">
        <x:v>50</x:v>
      </x:c>
      <x:c r="P339" s="205" t="n">
        <x:v>9</x:v>
      </x:c>
      <x:c r="Q339" s="206" t="n">
        <x:v>0</x:v>
      </x:c>
      <x:c r="R339" s="207" t="str"/>
      <x:c r="S339" s="207" t="str"/>
      <x:c r="T339" s="207" t="str"/>
      <x:c r="U339" s="207" t="n">
        <x:v>0</x:v>
      </x:c>
      <x:c r="V339" s="208" t="n">
        <x:f>MAX(0,M339-U339)</x:f>
        <x:v>20</x:v>
      </x:c>
      <x:c r="W339" s="209" t="n">
        <x:f>IFERROR(U339/M339,0)</x:f>
        <x:v>0</x:v>
      </x:c>
      <x:c r="X339" s="201" t="str">
        <x:f>IF(U339=0,"Não iniciado",IF(U339&gt;=M339,"Concluído","Parcial"))</x:f>
        <x:v>Não iniciado</x:v>
      </x:c>
      <x:c r="Y339" s="199" t="str"/>
      <x:c r="Z339" s="188" t="str">
        <x:v>Normal</x:v>
      </x:c>
    </x:row>
    <x:row r="340" ht="22" customHeight="1">
      <x:c r="A340" s="219" t="n">
        <x:v>336</x:v>
      </x:c>
      <x:c r="B340" s="220" t="str">
        <x:v>26739</x:v>
      </x:c>
      <x:c r="C340" s="220" t="str">
        <x:v>22</x:v>
      </x:c>
      <x:c r="D340" s="220" t="str">
        <x:v>609735</x:v>
      </x:c>
      <x:c r="E340" s="220" t="str">
        <x:v>963311</x:v>
      </x:c>
      <x:c r="F340" s="220" t="str">
        <x:v>OUTROS</x:v>
      </x:c>
      <x:c r="G340" s="190" t="str">
        <x:v>PE AL 2250X50X9 RTO LME REC PET BCO(ULTR</x:v>
      </x:c>
      <x:c r="H340" s="190" t="str"/>
      <x:c r="I340" s="190" t="str"/>
      <x:c r="J340" s="190" t="str"/>
      <x:c r="K340" s="190" t="str">
        <x:v>ESMALTE</x:v>
      </x:c>
      <x:c r="L340" s="190" t="str">
        <x:v>BRANCO CARRARA</x:v>
      </x:c>
      <x:c r="M340" s="210" t="n">
        <x:v>2</x:v>
      </x:c>
      <x:c r="N340" s="210" t="n">
        <x:v>2250</x:v>
      </x:c>
      <x:c r="O340" s="210" t="n">
        <x:v>50</x:v>
      </x:c>
      <x:c r="P340" s="210" t="n">
        <x:v>9</x:v>
      </x:c>
      <x:c r="Q340" s="211" t="n">
        <x:v>0</x:v>
      </x:c>
      <x:c r="R340" s="207" t="str"/>
      <x:c r="S340" s="207" t="str"/>
      <x:c r="T340" s="207" t="str"/>
      <x:c r="U340" s="207" t="n">
        <x:v>0</x:v>
      </x:c>
      <x:c r="V340" s="208" t="n">
        <x:f>MAX(0,M340-U340)</x:f>
        <x:v>2</x:v>
      </x:c>
      <x:c r="W340" s="209" t="n">
        <x:f>IFERROR(U340/M340,0)</x:f>
        <x:v>0</x:v>
      </x:c>
      <x:c r="X340" s="201" t="str">
        <x:f>IF(U340=0,"Não iniciado",IF(U340&gt;=M340,"Concluído","Parcial"))</x:f>
        <x:v>Não iniciado</x:v>
      </x:c>
      <x:c r="Y340" s="199" t="str"/>
      <x:c r="Z340" s="188" t="str">
        <x:v>Normal</x:v>
      </x:c>
    </x:row>
    <x:row r="341" ht="22" customHeight="1">
      <x:c r="A341" s="217" t="n">
        <x:v>337</x:v>
      </x:c>
      <x:c r="B341" s="218" t="str">
        <x:v>26739</x:v>
      </x:c>
      <x:c r="C341" s="218" t="str">
        <x:v>22</x:v>
      </x:c>
      <x:c r="D341" s="218" t="str">
        <x:v>609737</x:v>
      </x:c>
      <x:c r="E341" s="218" t="str">
        <x:v>971601</x:v>
      </x:c>
      <x:c r="F341" s="218" t="str">
        <x:v>OUTROS</x:v>
      </x:c>
      <x:c r="G341" s="184" t="str">
        <x:v>PE AL 2250X50X9 RTO RL80 REC PET BCO(ULT</x:v>
      </x:c>
      <x:c r="H341" s="184" t="str"/>
      <x:c r="I341" s="184" t="str"/>
      <x:c r="J341" s="184" t="str"/>
      <x:c r="K341" s="184" t="str">
        <x:v>ESMALTE</x:v>
      </x:c>
      <x:c r="L341" s="184" t="str">
        <x:v>BRANCO CARRARA</x:v>
      </x:c>
      <x:c r="M341" s="205" t="n">
        <x:v>2</x:v>
      </x:c>
      <x:c r="N341" s="205" t="n">
        <x:v>2250</x:v>
      </x:c>
      <x:c r="O341" s="205" t="n">
        <x:v>50</x:v>
      </x:c>
      <x:c r="P341" s="205" t="n">
        <x:v>9</x:v>
      </x:c>
      <x:c r="Q341" s="206" t="n">
        <x:v>0</x:v>
      </x:c>
      <x:c r="R341" s="207" t="str"/>
      <x:c r="S341" s="207" t="str"/>
      <x:c r="T341" s="207" t="str"/>
      <x:c r="U341" s="207" t="n">
        <x:v>0</x:v>
      </x:c>
      <x:c r="V341" s="208" t="n">
        <x:f>MAX(0,M341-U341)</x:f>
        <x:v>2</x:v>
      </x:c>
      <x:c r="W341" s="209" t="n">
        <x:f>IFERROR(U341/M341,0)</x:f>
        <x:v>0</x:v>
      </x:c>
      <x:c r="X341" s="201" t="str">
        <x:f>IF(U341=0,"Não iniciado",IF(U341&gt;=M341,"Concluído","Parcial"))</x:f>
        <x:v>Não iniciado</x:v>
      </x:c>
      <x:c r="Y341" s="199" t="str"/>
      <x:c r="Z341" s="188" t="str">
        <x:v>Normal</x:v>
      </x:c>
    </x:row>
    <x:row r="342" ht="22" customHeight="1">
      <x:c r="A342" s="219" t="n">
        <x:v>338</x:v>
      </x:c>
      <x:c r="B342" s="220" t="str">
        <x:v>26739</x:v>
      </x:c>
      <x:c r="C342" s="220" t="str">
        <x:v>23</x:v>
      </x:c>
      <x:c r="D342" s="220" t="str">
        <x:v>609746</x:v>
      </x:c>
      <x:c r="E342" s="220" t="str">
        <x:v>963311</x:v>
      </x:c>
      <x:c r="F342" s="220" t="str">
        <x:v>OUTROS</x:v>
      </x:c>
      <x:c r="G342" s="190" t="str">
        <x:v>PE AL 2250X50X9 RTO LME REC PET BCO(ULTR</x:v>
      </x:c>
      <x:c r="H342" s="190" t="str"/>
      <x:c r="I342" s="190" t="str"/>
      <x:c r="J342" s="190" t="str"/>
      <x:c r="K342" s="190" t="str">
        <x:v>ESMALTE</x:v>
      </x:c>
      <x:c r="L342" s="190" t="str">
        <x:v>BRANCO CARRARA</x:v>
      </x:c>
      <x:c r="M342" s="210" t="n">
        <x:v>2</x:v>
      </x:c>
      <x:c r="N342" s="210" t="n">
        <x:v>2250</x:v>
      </x:c>
      <x:c r="O342" s="210" t="n">
        <x:v>50</x:v>
      </x:c>
      <x:c r="P342" s="210" t="n">
        <x:v>9</x:v>
      </x:c>
      <x:c r="Q342" s="211" t="n">
        <x:v>0</x:v>
      </x:c>
      <x:c r="R342" s="207" t="str"/>
      <x:c r="S342" s="207" t="str"/>
      <x:c r="T342" s="207" t="str"/>
      <x:c r="U342" s="207" t="n">
        <x:v>0</x:v>
      </x:c>
      <x:c r="V342" s="208" t="n">
        <x:f>MAX(0,M342-U342)</x:f>
        <x:v>2</x:v>
      </x:c>
      <x:c r="W342" s="209" t="n">
        <x:f>IFERROR(U342/M342,0)</x:f>
        <x:v>0</x:v>
      </x:c>
      <x:c r="X342" s="201" t="str">
        <x:f>IF(U342=0,"Não iniciado",IF(U342&gt;=M342,"Concluído","Parcial"))</x:f>
        <x:v>Não iniciado</x:v>
      </x:c>
      <x:c r="Y342" s="199" t="str"/>
      <x:c r="Z342" s="188" t="str">
        <x:v>Normal</x:v>
      </x:c>
    </x:row>
    <x:row r="343" ht="22" customHeight="1">
      <x:c r="A343" s="217" t="n">
        <x:v>339</x:v>
      </x:c>
      <x:c r="B343" s="218" t="str">
        <x:v>26739</x:v>
      </x:c>
      <x:c r="C343" s="218" t="str">
        <x:v>23</x:v>
      </x:c>
      <x:c r="D343" s="218" t="str">
        <x:v>609748</x:v>
      </x:c>
      <x:c r="E343" s="218" t="str">
        <x:v>971601</x:v>
      </x:c>
      <x:c r="F343" s="218" t="str">
        <x:v>OUTROS</x:v>
      </x:c>
      <x:c r="G343" s="184" t="str">
        <x:v>PE AL 2250X50X9 RTO RL80 REC PET BCO(ULT</x:v>
      </x:c>
      <x:c r="H343" s="184" t="str"/>
      <x:c r="I343" s="184" t="str"/>
      <x:c r="J343" s="184" t="str"/>
      <x:c r="K343" s="184" t="str">
        <x:v>ESMALTE</x:v>
      </x:c>
      <x:c r="L343" s="184" t="str">
        <x:v>BRANCO CARRARA</x:v>
      </x:c>
      <x:c r="M343" s="205" t="n">
        <x:v>2</x:v>
      </x:c>
      <x:c r="N343" s="205" t="n">
        <x:v>2250</x:v>
      </x:c>
      <x:c r="O343" s="205" t="n">
        <x:v>50</x:v>
      </x:c>
      <x:c r="P343" s="205" t="n">
        <x:v>9</x:v>
      </x:c>
      <x:c r="Q343" s="206" t="n">
        <x:v>0</x:v>
      </x:c>
      <x:c r="R343" s="207" t="str"/>
      <x:c r="S343" s="207" t="str"/>
      <x:c r="T343" s="207" t="str"/>
      <x:c r="U343" s="207" t="n">
        <x:v>0</x:v>
      </x:c>
      <x:c r="V343" s="208" t="n">
        <x:f>MAX(0,M343-U343)</x:f>
        <x:v>2</x:v>
      </x:c>
      <x:c r="W343" s="209" t="n">
        <x:f>IFERROR(U343/M343,0)</x:f>
        <x:v>0</x:v>
      </x:c>
      <x:c r="X343" s="201" t="str">
        <x:f>IF(U343=0,"Não iniciado",IF(U343&gt;=M343,"Concluído","Parcial"))</x:f>
        <x:v>Não iniciado</x:v>
      </x:c>
      <x:c r="Y343" s="199" t="str"/>
      <x:c r="Z343" s="188" t="str">
        <x:v>Normal</x:v>
      </x:c>
    </x:row>
    <x:row r="344" ht="22" customHeight="1">
      <x:c r="A344" s="219" t="n">
        <x:v>340</x:v>
      </x:c>
      <x:c r="B344" s="220" t="str">
        <x:v>26739</x:v>
      </x:c>
      <x:c r="C344" s="220" t="str">
        <x:v>24</x:v>
      </x:c>
      <x:c r="D344" s="220" t="str">
        <x:v>609760</x:v>
      </x:c>
      <x:c r="E344" s="220" t="str">
        <x:v>963311</x:v>
      </x:c>
      <x:c r="F344" s="220" t="str">
        <x:v>OUTROS</x:v>
      </x:c>
      <x:c r="G344" s="190" t="str">
        <x:v>PE AL 2250X50X9 RTO LME REC PET BCO(ULTR</x:v>
      </x:c>
      <x:c r="H344" s="190" t="str"/>
      <x:c r="I344" s="190" t="str"/>
      <x:c r="J344" s="190" t="str"/>
      <x:c r="K344" s="190" t="str">
        <x:v>ESMALTE</x:v>
      </x:c>
      <x:c r="L344" s="190" t="str">
        <x:v>BRANCO CARRARA</x:v>
      </x:c>
      <x:c r="M344" s="210" t="n">
        <x:v>4</x:v>
      </x:c>
      <x:c r="N344" s="210" t="n">
        <x:v>2250</x:v>
      </x:c>
      <x:c r="O344" s="210" t="n">
        <x:v>50</x:v>
      </x:c>
      <x:c r="P344" s="210" t="n">
        <x:v>9</x:v>
      </x:c>
      <x:c r="Q344" s="211" t="n">
        <x:v>0</x:v>
      </x:c>
      <x:c r="R344" s="207" t="str"/>
      <x:c r="S344" s="207" t="str"/>
      <x:c r="T344" s="207" t="str"/>
      <x:c r="U344" s="207" t="n">
        <x:v>0</x:v>
      </x:c>
      <x:c r="V344" s="208" t="n">
        <x:f>MAX(0,M344-U344)</x:f>
        <x:v>4</x:v>
      </x:c>
      <x:c r="W344" s="209" t="n">
        <x:f>IFERROR(U344/M344,0)</x:f>
        <x:v>0</x:v>
      </x:c>
      <x:c r="X344" s="201" t="str">
        <x:f>IF(U344=0,"Não iniciado",IF(U344&gt;=M344,"Concluído","Parcial"))</x:f>
        <x:v>Não iniciado</x:v>
      </x:c>
      <x:c r="Y344" s="199" t="str"/>
      <x:c r="Z344" s="188" t="str">
        <x:v>Normal</x:v>
      </x:c>
    </x:row>
    <x:row r="345" ht="22" customHeight="1">
      <x:c r="A345" s="217" t="n">
        <x:v>341</x:v>
      </x:c>
      <x:c r="B345" s="218" t="str">
        <x:v>26739</x:v>
      </x:c>
      <x:c r="C345" s="218" t="str">
        <x:v>24</x:v>
      </x:c>
      <x:c r="D345" s="218" t="str">
        <x:v>609762</x:v>
      </x:c>
      <x:c r="E345" s="218" t="str">
        <x:v>971601</x:v>
      </x:c>
      <x:c r="F345" s="218" t="str">
        <x:v>OUTROS</x:v>
      </x:c>
      <x:c r="G345" s="184" t="str">
        <x:v>PE AL 2250X50X9 RTO RL80 REC PET BCO(ULT</x:v>
      </x:c>
      <x:c r="H345" s="184" t="str"/>
      <x:c r="I345" s="184" t="str"/>
      <x:c r="J345" s="184" t="str"/>
      <x:c r="K345" s="184" t="str">
        <x:v>ESMALTE</x:v>
      </x:c>
      <x:c r="L345" s="184" t="str">
        <x:v>BRANCO CARRARA</x:v>
      </x:c>
      <x:c r="M345" s="205" t="n">
        <x:v>4</x:v>
      </x:c>
      <x:c r="N345" s="205" t="n">
        <x:v>2250</x:v>
      </x:c>
      <x:c r="O345" s="205" t="n">
        <x:v>50</x:v>
      </x:c>
      <x:c r="P345" s="205" t="n">
        <x:v>9</x:v>
      </x:c>
      <x:c r="Q345" s="206" t="n">
        <x:v>0</x:v>
      </x:c>
      <x:c r="R345" s="207" t="str"/>
      <x:c r="S345" s="207" t="str"/>
      <x:c r="T345" s="207" t="str"/>
      <x:c r="U345" s="207" t="n">
        <x:v>0</x:v>
      </x:c>
      <x:c r="V345" s="208" t="n">
        <x:f>MAX(0,M345-U345)</x:f>
        <x:v>4</x:v>
      </x:c>
      <x:c r="W345" s="209" t="n">
        <x:f>IFERROR(U345/M345,0)</x:f>
        <x:v>0</x:v>
      </x:c>
      <x:c r="X345" s="201" t="str">
        <x:f>IF(U345=0,"Não iniciado",IF(U345&gt;=M345,"Concluído","Parcial"))</x:f>
        <x:v>Não iniciado</x:v>
      </x:c>
      <x:c r="Y345" s="199" t="str"/>
      <x:c r="Z345" s="188" t="str">
        <x:v>Normal</x:v>
      </x:c>
    </x:row>
    <x:row r="346" ht="22" customHeight="1">
      <x:c r="A346" s="219" t="n">
        <x:v>342</x:v>
      </x:c>
      <x:c r="B346" s="220" t="str">
        <x:v>26739</x:v>
      </x:c>
      <x:c r="C346" s="220" t="str">
        <x:v>25</x:v>
      </x:c>
      <x:c r="D346" s="220" t="str">
        <x:v>609774</x:v>
      </x:c>
      <x:c r="E346" s="220" t="str">
        <x:v>963311</x:v>
      </x:c>
      <x:c r="F346" s="220" t="str">
        <x:v>OUTROS</x:v>
      </x:c>
      <x:c r="G346" s="190" t="str">
        <x:v>PE AL 2250X50X9 RTO LME REC PET BCO(ULTR</x:v>
      </x:c>
      <x:c r="H346" s="190" t="str"/>
      <x:c r="I346" s="190" t="str"/>
      <x:c r="J346" s="190" t="str"/>
      <x:c r="K346" s="190" t="str">
        <x:v>ESMALTE</x:v>
      </x:c>
      <x:c r="L346" s="190" t="str">
        <x:v>BRANCO CARRARA</x:v>
      </x:c>
      <x:c r="M346" s="210" t="n">
        <x:v>2</x:v>
      </x:c>
      <x:c r="N346" s="210" t="n">
        <x:v>2250</x:v>
      </x:c>
      <x:c r="O346" s="210" t="n">
        <x:v>50</x:v>
      </x:c>
      <x:c r="P346" s="210" t="n">
        <x:v>9</x:v>
      </x:c>
      <x:c r="Q346" s="211" t="n">
        <x:v>0</x:v>
      </x:c>
      <x:c r="R346" s="207" t="str"/>
      <x:c r="S346" s="207" t="str"/>
      <x:c r="T346" s="207" t="str"/>
      <x:c r="U346" s="207" t="n">
        <x:v>0</x:v>
      </x:c>
      <x:c r="V346" s="208" t="n">
        <x:f>MAX(0,M346-U346)</x:f>
        <x:v>2</x:v>
      </x:c>
      <x:c r="W346" s="209" t="n">
        <x:f>IFERROR(U346/M346,0)</x:f>
        <x:v>0</x:v>
      </x:c>
      <x:c r="X346" s="201" t="str">
        <x:f>IF(U346=0,"Não iniciado",IF(U346&gt;=M346,"Concluído","Parcial"))</x:f>
        <x:v>Não iniciado</x:v>
      </x:c>
      <x:c r="Y346" s="199" t="str"/>
      <x:c r="Z346" s="188" t="str">
        <x:v>Normal</x:v>
      </x:c>
    </x:row>
    <x:row r="347" ht="22" customHeight="1">
      <x:c r="A347" s="217" t="n">
        <x:v>343</x:v>
      </x:c>
      <x:c r="B347" s="218" t="str">
        <x:v>26739</x:v>
      </x:c>
      <x:c r="C347" s="218" t="str">
        <x:v>25</x:v>
      </x:c>
      <x:c r="D347" s="218" t="str">
        <x:v>609777</x:v>
      </x:c>
      <x:c r="E347" s="218" t="str">
        <x:v>971601</x:v>
      </x:c>
      <x:c r="F347" s="218" t="str">
        <x:v>OUTROS</x:v>
      </x:c>
      <x:c r="G347" s="184" t="str">
        <x:v>PE AL 2250X50X9 RTO RL80 REC PET BCO(ULT</x:v>
      </x:c>
      <x:c r="H347" s="184" t="str"/>
      <x:c r="I347" s="184" t="str"/>
      <x:c r="J347" s="184" t="str"/>
      <x:c r="K347" s="184" t="str">
        <x:v>ESMALTE</x:v>
      </x:c>
      <x:c r="L347" s="184" t="str">
        <x:v>BRANCO CARRARA</x:v>
      </x:c>
      <x:c r="M347" s="205" t="n">
        <x:v>2</x:v>
      </x:c>
      <x:c r="N347" s="205" t="n">
        <x:v>2250</x:v>
      </x:c>
      <x:c r="O347" s="205" t="n">
        <x:v>50</x:v>
      </x:c>
      <x:c r="P347" s="205" t="n">
        <x:v>9</x:v>
      </x:c>
      <x:c r="Q347" s="206" t="n">
        <x:v>0</x:v>
      </x:c>
      <x:c r="R347" s="207" t="str"/>
      <x:c r="S347" s="207" t="str"/>
      <x:c r="T347" s="207" t="str"/>
      <x:c r="U347" s="207" t="n">
        <x:v>0</x:v>
      </x:c>
      <x:c r="V347" s="208" t="n">
        <x:f>MAX(0,M347-U347)</x:f>
        <x:v>2</x:v>
      </x:c>
      <x:c r="W347" s="209" t="n">
        <x:f>IFERROR(U347/M347,0)</x:f>
        <x:v>0</x:v>
      </x:c>
      <x:c r="X347" s="201" t="str">
        <x:f>IF(U347=0,"Não iniciado",IF(U347&gt;=M347,"Concluído","Parcial"))</x:f>
        <x:v>Não iniciado</x:v>
      </x:c>
      <x:c r="Y347" s="199" t="str"/>
      <x:c r="Z347" s="188" t="str">
        <x:v>Normal</x:v>
      </x:c>
    </x:row>
    <x:row r="348" ht="22" customHeight="1">
      <x:c r="A348" s="219" t="n">
        <x:v>344</x:v>
      </x:c>
      <x:c r="B348" s="220" t="str">
        <x:v>26744</x:v>
      </x:c>
      <x:c r="C348" s="220" t="str">
        <x:v>1</x:v>
      </x:c>
      <x:c r="D348" s="220" t="str">
        <x:v>609992</x:v>
      </x:c>
      <x:c r="E348" s="220" t="str">
        <x:v>963311</x:v>
      </x:c>
      <x:c r="F348" s="220" t="str">
        <x:v>OUTROS</x:v>
      </x:c>
      <x:c r="G348" s="190" t="str">
        <x:v>PE AL 2250X50X9 RTO LME REC PET BCO(ULTR</x:v>
      </x:c>
      <x:c r="H348" s="190" t="str"/>
      <x:c r="I348" s="190" t="str"/>
      <x:c r="J348" s="190" t="str"/>
      <x:c r="K348" s="190" t="str">
        <x:v>RECOBERTO PET</x:v>
      </x:c>
      <x:c r="L348" s="190" t="str">
        <x:v>BRANCO CARRARA</x:v>
      </x:c>
      <x:c r="M348" s="210" t="n">
        <x:v>8</x:v>
      </x:c>
      <x:c r="N348" s="210" t="n">
        <x:v>2250</x:v>
      </x:c>
      <x:c r="O348" s="210" t="n">
        <x:v>50</x:v>
      </x:c>
      <x:c r="P348" s="210" t="n">
        <x:v>9</x:v>
      </x:c>
      <x:c r="Q348" s="211" t="n">
        <x:v>0</x:v>
      </x:c>
      <x:c r="R348" s="207" t="str"/>
      <x:c r="S348" s="207" t="str"/>
      <x:c r="T348" s="207" t="str"/>
      <x:c r="U348" s="207" t="n">
        <x:v>0</x:v>
      </x:c>
      <x:c r="V348" s="208" t="n">
        <x:f>MAX(0,M348-U348)</x:f>
        <x:v>8</x:v>
      </x:c>
      <x:c r="W348" s="209" t="n">
        <x:f>IFERROR(U348/M348,0)</x:f>
        <x:v>0</x:v>
      </x:c>
      <x:c r="X348" s="201" t="str">
        <x:f>IF(U348=0,"Não iniciado",IF(U348&gt;=M348,"Concluído","Parcial"))</x:f>
        <x:v>Não iniciado</x:v>
      </x:c>
      <x:c r="Y348" s="199" t="str"/>
      <x:c r="Z348" s="188" t="str">
        <x:v>Normal</x:v>
      </x:c>
    </x:row>
    <x:row r="349" ht="22" customHeight="1">
      <x:c r="A349" s="217" t="n">
        <x:v>345</x:v>
      </x:c>
      <x:c r="B349" s="218" t="str">
        <x:v>26744</x:v>
      </x:c>
      <x:c r="C349" s="218" t="str">
        <x:v>2</x:v>
      </x:c>
      <x:c r="D349" s="218" t="str">
        <x:v>610001</x:v>
      </x:c>
      <x:c r="E349" s="218" t="str">
        <x:v>963311</x:v>
      </x:c>
      <x:c r="F349" s="218" t="str">
        <x:v>OUTROS</x:v>
      </x:c>
      <x:c r="G349" s="184" t="str">
        <x:v>PE AL 2250X50X9 RTO LME REC PET BCO(ULTR</x:v>
      </x:c>
      <x:c r="H349" s="184" t="str"/>
      <x:c r="I349" s="184" t="str"/>
      <x:c r="J349" s="184" t="str"/>
      <x:c r="K349" s="184" t="str">
        <x:v>RECOBERTO PET</x:v>
      </x:c>
      <x:c r="L349" s="184" t="str">
        <x:v>BRANCO CARRARA</x:v>
      </x:c>
      <x:c r="M349" s="205" t="n">
        <x:v>10</x:v>
      </x:c>
      <x:c r="N349" s="205" t="n">
        <x:v>2250</x:v>
      </x:c>
      <x:c r="O349" s="205" t="n">
        <x:v>50</x:v>
      </x:c>
      <x:c r="P349" s="205" t="n">
        <x:v>9</x:v>
      </x:c>
      <x:c r="Q349" s="206" t="n">
        <x:v>0</x:v>
      </x:c>
      <x:c r="R349" s="207" t="str"/>
      <x:c r="S349" s="207" t="str"/>
      <x:c r="T349" s="207" t="str"/>
      <x:c r="U349" s="207" t="n">
        <x:v>0</x:v>
      </x:c>
      <x:c r="V349" s="208" t="n">
        <x:f>MAX(0,M349-U349)</x:f>
        <x:v>10</x:v>
      </x:c>
      <x:c r="W349" s="209" t="n">
        <x:f>IFERROR(U349/M349,0)</x:f>
        <x:v>0</x:v>
      </x:c>
      <x:c r="X349" s="201" t="str">
        <x:f>IF(U349=0,"Não iniciado",IF(U349&gt;=M349,"Concluído","Parcial"))</x:f>
        <x:v>Não iniciado</x:v>
      </x:c>
      <x:c r="Y349" s="199" t="str"/>
      <x:c r="Z349" s="188" t="str">
        <x:v>Normal</x:v>
      </x:c>
    </x:row>
    <x:row r="350" ht="22" customHeight="1">
      <x:c r="A350" s="219" t="n">
        <x:v>346</x:v>
      </x:c>
      <x:c r="B350" s="220" t="str">
        <x:v>26744</x:v>
      </x:c>
      <x:c r="C350" s="220" t="str">
        <x:v>3</x:v>
      </x:c>
      <x:c r="D350" s="220" t="str">
        <x:v>610009</x:v>
      </x:c>
      <x:c r="E350" s="220" t="str">
        <x:v>963311</x:v>
      </x:c>
      <x:c r="F350" s="220" t="str">
        <x:v>OUTROS</x:v>
      </x:c>
      <x:c r="G350" s="190" t="str">
        <x:v>PE AL 2250X50X9 RTO LME REC PET BCO(ULTR</x:v>
      </x:c>
      <x:c r="H350" s="190" t="str"/>
      <x:c r="I350" s="190" t="str"/>
      <x:c r="J350" s="190" t="str"/>
      <x:c r="K350" s="190" t="str">
        <x:v>RECOBERTO PET</x:v>
      </x:c>
      <x:c r="L350" s="190" t="str">
        <x:v>BRANCO CARRARA</x:v>
      </x:c>
      <x:c r="M350" s="210" t="n">
        <x:v>2</x:v>
      </x:c>
      <x:c r="N350" s="210" t="n">
        <x:v>2250</x:v>
      </x:c>
      <x:c r="O350" s="210" t="n">
        <x:v>50</x:v>
      </x:c>
      <x:c r="P350" s="210" t="n">
        <x:v>9</x:v>
      </x:c>
      <x:c r="Q350" s="211" t="n">
        <x:v>0</x:v>
      </x:c>
      <x:c r="R350" s="207" t="str"/>
      <x:c r="S350" s="207" t="str"/>
      <x:c r="T350" s="207" t="str"/>
      <x:c r="U350" s="207" t="n">
        <x:v>0</x:v>
      </x:c>
      <x:c r="V350" s="208" t="n">
        <x:f>MAX(0,M350-U350)</x:f>
        <x:v>2</x:v>
      </x:c>
      <x:c r="W350" s="209" t="n">
        <x:f>IFERROR(U350/M350,0)</x:f>
        <x:v>0</x:v>
      </x:c>
      <x:c r="X350" s="201" t="str">
        <x:f>IF(U350=0,"Não iniciado",IF(U350&gt;=M350,"Concluído","Parcial"))</x:f>
        <x:v>Não iniciado</x:v>
      </x:c>
      <x:c r="Y350" s="199" t="str"/>
      <x:c r="Z350" s="188" t="str">
        <x:v>Normal</x:v>
      </x:c>
    </x:row>
    <x:row r="351" ht="22" customHeight="1">
      <x:c r="A351" s="217" t="n">
        <x:v>347</x:v>
      </x:c>
      <x:c r="B351" s="218" t="str">
        <x:v>26744</x:v>
      </x:c>
      <x:c r="C351" s="218" t="str">
        <x:v>3</x:v>
      </x:c>
      <x:c r="D351" s="218" t="str">
        <x:v>610010</x:v>
      </x:c>
      <x:c r="E351" s="218" t="str">
        <x:v>965034</x:v>
      </x:c>
      <x:c r="F351" s="218" t="str">
        <x:v>OUTROS</x:v>
      </x:c>
      <x:c r="G351" s="184" t="str">
        <x:v>PE AL 2250X50X9 RTO RL55 REC PET BCO(ULT</x:v>
      </x:c>
      <x:c r="H351" s="184" t="str"/>
      <x:c r="I351" s="184" t="str"/>
      <x:c r="J351" s="184" t="str"/>
      <x:c r="K351" s="184" t="str">
        <x:v>RECOBERTO PET</x:v>
      </x:c>
      <x:c r="L351" s="184" t="str">
        <x:v>BRANCO CARRARA</x:v>
      </x:c>
      <x:c r="M351" s="205" t="n">
        <x:v>2</x:v>
      </x:c>
      <x:c r="N351" s="205" t="n">
        <x:v>2250</x:v>
      </x:c>
      <x:c r="O351" s="205" t="n">
        <x:v>50</x:v>
      </x:c>
      <x:c r="P351" s="205" t="n">
        <x:v>9</x:v>
      </x:c>
      <x:c r="Q351" s="206" t="n">
        <x:v>0</x:v>
      </x:c>
      <x:c r="R351" s="207" t="str"/>
      <x:c r="S351" s="207" t="str"/>
      <x:c r="T351" s="207" t="str"/>
      <x:c r="U351" s="207" t="n">
        <x:v>0</x:v>
      </x:c>
      <x:c r="V351" s="208" t="n">
        <x:f>MAX(0,M351-U351)</x:f>
        <x:v>2</x:v>
      </x:c>
      <x:c r="W351" s="209" t="n">
        <x:f>IFERROR(U351/M351,0)</x:f>
        <x:v>0</x:v>
      </x:c>
      <x:c r="X351" s="201" t="str">
        <x:f>IF(U351=0,"Não iniciado",IF(U351&gt;=M351,"Concluído","Parcial"))</x:f>
        <x:v>Não iniciado</x:v>
      </x:c>
      <x:c r="Y351" s="199" t="str"/>
      <x:c r="Z351" s="188" t="str">
        <x:v>Normal</x:v>
      </x:c>
    </x:row>
    <x:row r="352" ht="22" customHeight="1">
      <x:c r="A352" s="219" t="n">
        <x:v>348</x:v>
      </x:c>
      <x:c r="B352" s="220" t="str">
        <x:v>26744</x:v>
      </x:c>
      <x:c r="C352" s="220" t="str">
        <x:v>7</x:v>
      </x:c>
      <x:c r="D352" s="220" t="str">
        <x:v>610027</x:v>
      </x:c>
      <x:c r="E352" s="220" t="str">
        <x:v>963311</x:v>
      </x:c>
      <x:c r="F352" s="220" t="str">
        <x:v>OUTROS</x:v>
      </x:c>
      <x:c r="G352" s="190" t="str">
        <x:v>PE AL 2250X50X9 RTO LME REC PET BCO(ULTR</x:v>
      </x:c>
      <x:c r="H352" s="190" t="str">
        <x:v>REG 2L(MAIOR 35mm)</x:v>
      </x:c>
      <x:c r="I352" s="190" t="str"/>
      <x:c r="J352" s="190" t="str"/>
      <x:c r="K352" s="190" t="str">
        <x:v>RECOBERTO PET</x:v>
      </x:c>
      <x:c r="L352" s="190" t="str">
        <x:v>BRANCO CARRARA</x:v>
      </x:c>
      <x:c r="M352" s="210" t="n">
        <x:v>4</x:v>
      </x:c>
      <x:c r="N352" s="210" t="n">
        <x:v>2250</x:v>
      </x:c>
      <x:c r="O352" s="210" t="n">
        <x:v>50</x:v>
      </x:c>
      <x:c r="P352" s="210" t="n">
        <x:v>9</x:v>
      </x:c>
      <x:c r="Q352" s="211" t="n">
        <x:v>0</x:v>
      </x:c>
      <x:c r="R352" s="207" t="str"/>
      <x:c r="S352" s="207" t="str"/>
      <x:c r="T352" s="207" t="str"/>
      <x:c r="U352" s="207" t="n">
        <x:v>0</x:v>
      </x:c>
      <x:c r="V352" s="208" t="n">
        <x:f>MAX(0,M352-U352)</x:f>
        <x:v>4</x:v>
      </x:c>
      <x:c r="W352" s="209" t="n">
        <x:f>IFERROR(U352/M352,0)</x:f>
        <x:v>0</x:v>
      </x:c>
      <x:c r="X352" s="201" t="str">
        <x:f>IF(U352=0,"Não iniciado",IF(U352&gt;=M352,"Concluído","Parcial"))</x:f>
        <x:v>Não iniciado</x:v>
      </x:c>
      <x:c r="Y352" s="199" t="str"/>
      <x:c r="Z352" s="188" t="str">
        <x:v>Normal</x:v>
      </x:c>
    </x:row>
    <x:row r="353" ht="22" customHeight="1">
      <x:c r="A353" s="217" t="n">
        <x:v>349</x:v>
      </x:c>
      <x:c r="B353" s="218" t="str">
        <x:v>26750</x:v>
      </x:c>
      <x:c r="C353" s="218" t="str">
        <x:v>10</x:v>
      </x:c>
      <x:c r="D353" s="218" t="str">
        <x:v>609806</x:v>
      </x:c>
      <x:c r="E353" s="218" t="str">
        <x:v>963311</x:v>
      </x:c>
      <x:c r="F353" s="218" t="str">
        <x:v>OUTROS</x:v>
      </x:c>
      <x:c r="G353" s="184" t="str">
        <x:v>PE AL 2250X50X9 RTO LME REC PET BCO(ULTR</x:v>
      </x:c>
      <x:c r="H353" s="184" t="str"/>
      <x:c r="I353" s="184" t="str"/>
      <x:c r="J353" s="184" t="str"/>
      <x:c r="K353" s="184" t="str">
        <x:v>ESMALTE</x:v>
      </x:c>
      <x:c r="L353" s="184" t="str">
        <x:v>BRANCO CARRARA</x:v>
      </x:c>
      <x:c r="M353" s="205" t="n">
        <x:v>4</x:v>
      </x:c>
      <x:c r="N353" s="205" t="n">
        <x:v>2250</x:v>
      </x:c>
      <x:c r="O353" s="205" t="n">
        <x:v>50</x:v>
      </x:c>
      <x:c r="P353" s="205" t="n">
        <x:v>9</x:v>
      </x:c>
      <x:c r="Q353" s="206" t="n">
        <x:v>0</x:v>
      </x:c>
      <x:c r="R353" s="207" t="str"/>
      <x:c r="S353" s="207" t="str"/>
      <x:c r="T353" s="207" t="str"/>
      <x:c r="U353" s="207" t="n">
        <x:v>0</x:v>
      </x:c>
      <x:c r="V353" s="208" t="n">
        <x:f>MAX(0,M353-U353)</x:f>
        <x:v>4</x:v>
      </x:c>
      <x:c r="W353" s="209" t="n">
        <x:f>IFERROR(U353/M353,0)</x:f>
        <x:v>0</x:v>
      </x:c>
      <x:c r="X353" s="201" t="str">
        <x:f>IF(U353=0,"Não iniciado",IF(U353&gt;=M353,"Concluído","Parcial"))</x:f>
        <x:v>Não iniciado</x:v>
      </x:c>
      <x:c r="Y353" s="199" t="str"/>
      <x:c r="Z353" s="188" t="str">
        <x:v>Normal</x:v>
      </x:c>
    </x:row>
    <x:row r="354" ht="22" customHeight="1">
      <x:c r="A354" s="219" t="n">
        <x:v>350</x:v>
      </x:c>
      <x:c r="B354" s="220" t="str">
        <x:v>26750</x:v>
      </x:c>
      <x:c r="C354" s="220" t="str">
        <x:v>10</x:v>
      </x:c>
      <x:c r="D354" s="220" t="str">
        <x:v>609808</x:v>
      </x:c>
      <x:c r="E354" s="220" t="str">
        <x:v>971601</x:v>
      </x:c>
      <x:c r="F354" s="220" t="str">
        <x:v>OUTROS</x:v>
      </x:c>
      <x:c r="G354" s="190" t="str">
        <x:v>PE AL 2250X50X9 RTO RL80 REC PET BCO(ULT</x:v>
      </x:c>
      <x:c r="H354" s="190" t="str"/>
      <x:c r="I354" s="190" t="str"/>
      <x:c r="J354" s="190" t="str"/>
      <x:c r="K354" s="190" t="str">
        <x:v>ESMALTE</x:v>
      </x:c>
      <x:c r="L354" s="190" t="str">
        <x:v>BRANCO CARRARA</x:v>
      </x:c>
      <x:c r="M354" s="210" t="n">
        <x:v>4</x:v>
      </x:c>
      <x:c r="N354" s="210" t="n">
        <x:v>2250</x:v>
      </x:c>
      <x:c r="O354" s="210" t="n">
        <x:v>50</x:v>
      </x:c>
      <x:c r="P354" s="210" t="n">
        <x:v>9</x:v>
      </x:c>
      <x:c r="Q354" s="211" t="n">
        <x:v>0</x:v>
      </x:c>
      <x:c r="R354" s="207" t="str"/>
      <x:c r="S354" s="207" t="str"/>
      <x:c r="T354" s="207" t="str"/>
      <x:c r="U354" s="207" t="n">
        <x:v>0</x:v>
      </x:c>
      <x:c r="V354" s="208" t="n">
        <x:f>MAX(0,M354-U354)</x:f>
        <x:v>4</x:v>
      </x:c>
      <x:c r="W354" s="209" t="n">
        <x:f>IFERROR(U354/M354,0)</x:f>
        <x:v>0</x:v>
      </x:c>
      <x:c r="X354" s="201" t="str">
        <x:f>IF(U354=0,"Não iniciado",IF(U354&gt;=M354,"Concluído","Parcial"))</x:f>
        <x:v>Não iniciado</x:v>
      </x:c>
      <x:c r="Y354" s="199" t="str"/>
      <x:c r="Z354" s="188" t="str">
        <x:v>Normal</x:v>
      </x:c>
    </x:row>
    <x:row r="355" ht="22" customHeight="1">
      <x:c r="A355" s="217" t="n">
        <x:v>351</x:v>
      </x:c>
      <x:c r="B355" s="218" t="str">
        <x:v>26750</x:v>
      </x:c>
      <x:c r="C355" s="218" t="str">
        <x:v>11</x:v>
      </x:c>
      <x:c r="D355" s="218" t="str">
        <x:v>609813</x:v>
      </x:c>
      <x:c r="E355" s="218" t="str">
        <x:v>963311</x:v>
      </x:c>
      <x:c r="F355" s="218" t="str">
        <x:v>OUTROS</x:v>
      </x:c>
      <x:c r="G355" s="184" t="str">
        <x:v>PE AL 2250X50X9 RTO LME REC PET BCO(ULTR</x:v>
      </x:c>
      <x:c r="H355" s="184" t="str"/>
      <x:c r="I355" s="184" t="str"/>
      <x:c r="J355" s="184" t="str"/>
      <x:c r="K355" s="184" t="str">
        <x:v>ESMALTE</x:v>
      </x:c>
      <x:c r="L355" s="184" t="str">
        <x:v>BRANCO CARRARA</x:v>
      </x:c>
      <x:c r="M355" s="205" t="n">
        <x:v>24</x:v>
      </x:c>
      <x:c r="N355" s="205" t="n">
        <x:v>2250</x:v>
      </x:c>
      <x:c r="O355" s="205" t="n">
        <x:v>50</x:v>
      </x:c>
      <x:c r="P355" s="205" t="n">
        <x:v>9</x:v>
      </x:c>
      <x:c r="Q355" s="206" t="n">
        <x:v>0</x:v>
      </x:c>
      <x:c r="R355" s="207" t="str"/>
      <x:c r="S355" s="207" t="str"/>
      <x:c r="T355" s="207" t="str"/>
      <x:c r="U355" s="207" t="n">
        <x:v>0</x:v>
      </x:c>
      <x:c r="V355" s="208" t="n">
        <x:f>MAX(0,M355-U355)</x:f>
        <x:v>24</x:v>
      </x:c>
      <x:c r="W355" s="209" t="n">
        <x:f>IFERROR(U355/M355,0)</x:f>
        <x:v>0</x:v>
      </x:c>
      <x:c r="X355" s="201" t="str">
        <x:f>IF(U355=0,"Não iniciado",IF(U355&gt;=M355,"Concluído","Parcial"))</x:f>
        <x:v>Não iniciado</x:v>
      </x:c>
      <x:c r="Y355" s="199" t="str"/>
      <x:c r="Z355" s="188" t="str">
        <x:v>Normal</x:v>
      </x:c>
    </x:row>
    <x:row r="356" ht="22" customHeight="1">
      <x:c r="A356" s="219" t="n">
        <x:v>352</x:v>
      </x:c>
      <x:c r="B356" s="220" t="str">
        <x:v>26750</x:v>
      </x:c>
      <x:c r="C356" s="220" t="str">
        <x:v>11</x:v>
      </x:c>
      <x:c r="D356" s="220" t="str">
        <x:v>609815</x:v>
      </x:c>
      <x:c r="E356" s="220" t="str">
        <x:v>971601</x:v>
      </x:c>
      <x:c r="F356" s="220" t="str">
        <x:v>OUTROS</x:v>
      </x:c>
      <x:c r="G356" s="190" t="str">
        <x:v>PE AL 2250X50X9 RTO RL80 REC PET BCO(ULT</x:v>
      </x:c>
      <x:c r="H356" s="190" t="str"/>
      <x:c r="I356" s="190" t="str"/>
      <x:c r="J356" s="190" t="str"/>
      <x:c r="K356" s="190" t="str">
        <x:v>ESMALTE</x:v>
      </x:c>
      <x:c r="L356" s="190" t="str">
        <x:v>BRANCO CARRARA</x:v>
      </x:c>
      <x:c r="M356" s="210" t="n">
        <x:v>24</x:v>
      </x:c>
      <x:c r="N356" s="210" t="n">
        <x:v>2250</x:v>
      </x:c>
      <x:c r="O356" s="210" t="n">
        <x:v>50</x:v>
      </x:c>
      <x:c r="P356" s="210" t="n">
        <x:v>9</x:v>
      </x:c>
      <x:c r="Q356" s="211" t="n">
        <x:v>0</x:v>
      </x:c>
      <x:c r="R356" s="207" t="str"/>
      <x:c r="S356" s="207" t="str"/>
      <x:c r="T356" s="207" t="str"/>
      <x:c r="U356" s="207" t="n">
        <x:v>0</x:v>
      </x:c>
      <x:c r="V356" s="208" t="n">
        <x:f>MAX(0,M356-U356)</x:f>
        <x:v>24</x:v>
      </x:c>
      <x:c r="W356" s="209" t="n">
        <x:f>IFERROR(U356/M356,0)</x:f>
        <x:v>0</x:v>
      </x:c>
      <x:c r="X356" s="201" t="str">
        <x:f>IF(U356=0,"Não iniciado",IF(U356&gt;=M356,"Concluído","Parcial"))</x:f>
        <x:v>Não iniciado</x:v>
      </x:c>
      <x:c r="Y356" s="199" t="str"/>
      <x:c r="Z356" s="188" t="str">
        <x:v>Normal</x:v>
      </x:c>
    </x:row>
    <x:row r="357" ht="22" customHeight="1">
      <x:c r="A357" s="217" t="n">
        <x:v>353</x:v>
      </x:c>
      <x:c r="B357" s="218" t="str">
        <x:v>26750</x:v>
      </x:c>
      <x:c r="C357" s="218" t="str">
        <x:v>12</x:v>
      </x:c>
      <x:c r="D357" s="218" t="str">
        <x:v>609822</x:v>
      </x:c>
      <x:c r="E357" s="218" t="str">
        <x:v>963311</x:v>
      </x:c>
      <x:c r="F357" s="218" t="str">
        <x:v>OUTROS</x:v>
      </x:c>
      <x:c r="G357" s="184" t="str">
        <x:v>PE AL 2250X50X9 RTO LME REC PET BCO(ULTR</x:v>
      </x:c>
      <x:c r="H357" s="184" t="str"/>
      <x:c r="I357" s="184" t="str"/>
      <x:c r="J357" s="184" t="str"/>
      <x:c r="K357" s="184" t="str">
        <x:v>ESMALTE</x:v>
      </x:c>
      <x:c r="L357" s="184" t="str">
        <x:v>BRANCO CARRARA</x:v>
      </x:c>
      <x:c r="M357" s="205" t="n">
        <x:v>8</x:v>
      </x:c>
      <x:c r="N357" s="205" t="n">
        <x:v>2250</x:v>
      </x:c>
      <x:c r="O357" s="205" t="n">
        <x:v>50</x:v>
      </x:c>
      <x:c r="P357" s="205" t="n">
        <x:v>9</x:v>
      </x:c>
      <x:c r="Q357" s="206" t="n">
        <x:v>0</x:v>
      </x:c>
      <x:c r="R357" s="207" t="str"/>
      <x:c r="S357" s="207" t="str"/>
      <x:c r="T357" s="207" t="str"/>
      <x:c r="U357" s="207" t="n">
        <x:v>0</x:v>
      </x:c>
      <x:c r="V357" s="208" t="n">
        <x:f>MAX(0,M357-U357)</x:f>
        <x:v>8</x:v>
      </x:c>
      <x:c r="W357" s="209" t="n">
        <x:f>IFERROR(U357/M357,0)</x:f>
        <x:v>0</x:v>
      </x:c>
      <x:c r="X357" s="201" t="str">
        <x:f>IF(U357=0,"Não iniciado",IF(U357&gt;=M357,"Concluído","Parcial"))</x:f>
        <x:v>Não iniciado</x:v>
      </x:c>
      <x:c r="Y357" s="199" t="str"/>
      <x:c r="Z357" s="188" t="str">
        <x:v>Normal</x:v>
      </x:c>
    </x:row>
    <x:row r="358" ht="22" customHeight="1">
      <x:c r="A358" s="219" t="n">
        <x:v>354</x:v>
      </x:c>
      <x:c r="B358" s="220" t="str">
        <x:v>26750</x:v>
      </x:c>
      <x:c r="C358" s="220" t="str">
        <x:v>12</x:v>
      </x:c>
      <x:c r="D358" s="220" t="str">
        <x:v>609825</x:v>
      </x:c>
      <x:c r="E358" s="220" t="str">
        <x:v>971601</x:v>
      </x:c>
      <x:c r="F358" s="220" t="str">
        <x:v>OUTROS</x:v>
      </x:c>
      <x:c r="G358" s="190" t="str">
        <x:v>PE AL 2250X50X9 RTO RL80 REC PET BCO(ULT</x:v>
      </x:c>
      <x:c r="H358" s="190" t="str"/>
      <x:c r="I358" s="190" t="str"/>
      <x:c r="J358" s="190" t="str"/>
      <x:c r="K358" s="190" t="str">
        <x:v>ESMALTE</x:v>
      </x:c>
      <x:c r="L358" s="190" t="str">
        <x:v>BRANCO CARRARA</x:v>
      </x:c>
      <x:c r="M358" s="210" t="n">
        <x:v>8</x:v>
      </x:c>
      <x:c r="N358" s="210" t="n">
        <x:v>2250</x:v>
      </x:c>
      <x:c r="O358" s="210" t="n">
        <x:v>50</x:v>
      </x:c>
      <x:c r="P358" s="210" t="n">
        <x:v>9</x:v>
      </x:c>
      <x:c r="Q358" s="211" t="n">
        <x:v>0</x:v>
      </x:c>
      <x:c r="R358" s="207" t="str"/>
      <x:c r="S358" s="207" t="str"/>
      <x:c r="T358" s="207" t="str"/>
      <x:c r="U358" s="207" t="n">
        <x:v>0</x:v>
      </x:c>
      <x:c r="V358" s="208" t="n">
        <x:f>MAX(0,M358-U358)</x:f>
        <x:v>8</x:v>
      </x:c>
      <x:c r="W358" s="209" t="n">
        <x:f>IFERROR(U358/M358,0)</x:f>
        <x:v>0</x:v>
      </x:c>
      <x:c r="X358" s="201" t="str">
        <x:f>IF(U358=0,"Não iniciado",IF(U358&gt;=M358,"Concluído","Parcial"))</x:f>
        <x:v>Não iniciado</x:v>
      </x:c>
      <x:c r="Y358" s="199" t="str"/>
      <x:c r="Z358" s="188" t="str">
        <x:v>Normal</x:v>
      </x:c>
    </x:row>
    <x:row r="359" ht="22" customHeight="1">
      <x:c r="A359" s="217" t="n">
        <x:v>355</x:v>
      </x:c>
      <x:c r="B359" s="218" t="str">
        <x:v>26750</x:v>
      </x:c>
      <x:c r="C359" s="218" t="str">
        <x:v>13</x:v>
      </x:c>
      <x:c r="D359" s="218" t="str">
        <x:v>609829</x:v>
      </x:c>
      <x:c r="E359" s="218" t="str">
        <x:v>963311</x:v>
      </x:c>
      <x:c r="F359" s="218" t="str">
        <x:v>OUTROS</x:v>
      </x:c>
      <x:c r="G359" s="184" t="str">
        <x:v>PE AL 2250X50X9 RTO LME REC PET BCO(ULTR</x:v>
      </x:c>
      <x:c r="H359" s="184" t="str"/>
      <x:c r="I359" s="184" t="str"/>
      <x:c r="J359" s="184" t="str"/>
      <x:c r="K359" s="184" t="str">
        <x:v>ESMALTE</x:v>
      </x:c>
      <x:c r="L359" s="184" t="str">
        <x:v>BRANCO CARRARA</x:v>
      </x:c>
      <x:c r="M359" s="205" t="n">
        <x:v>56</x:v>
      </x:c>
      <x:c r="N359" s="205" t="n">
        <x:v>2250</x:v>
      </x:c>
      <x:c r="O359" s="205" t="n">
        <x:v>50</x:v>
      </x:c>
      <x:c r="P359" s="205" t="n">
        <x:v>9</x:v>
      </x:c>
      <x:c r="Q359" s="206" t="n">
        <x:v>0</x:v>
      </x:c>
      <x:c r="R359" s="207" t="str"/>
      <x:c r="S359" s="207" t="str"/>
      <x:c r="T359" s="207" t="str"/>
      <x:c r="U359" s="207" t="n">
        <x:v>0</x:v>
      </x:c>
      <x:c r="V359" s="208" t="n">
        <x:f>MAX(0,M359-U359)</x:f>
        <x:v>56</x:v>
      </x:c>
      <x:c r="W359" s="209" t="n">
        <x:f>IFERROR(U359/M359,0)</x:f>
        <x:v>0</x:v>
      </x:c>
      <x:c r="X359" s="201" t="str">
        <x:f>IF(U359=0,"Não iniciado",IF(U359&gt;=M359,"Concluído","Parcial"))</x:f>
        <x:v>Não iniciado</x:v>
      </x:c>
      <x:c r="Y359" s="199" t="str"/>
      <x:c r="Z359" s="188" t="str">
        <x:v>Normal</x:v>
      </x:c>
    </x:row>
    <x:row r="360" ht="22" customHeight="1">
      <x:c r="A360" s="219" t="n">
        <x:v>356</x:v>
      </x:c>
      <x:c r="B360" s="220" t="str">
        <x:v>26750</x:v>
      </x:c>
      <x:c r="C360" s="220" t="str">
        <x:v>13</x:v>
      </x:c>
      <x:c r="D360" s="220" t="str">
        <x:v>609831</x:v>
      </x:c>
      <x:c r="E360" s="220" t="str">
        <x:v>971601</x:v>
      </x:c>
      <x:c r="F360" s="220" t="str">
        <x:v>OUTROS</x:v>
      </x:c>
      <x:c r="G360" s="190" t="str">
        <x:v>PE AL 2250X50X9 RTO RL80 REC PET BCO(ULT</x:v>
      </x:c>
      <x:c r="H360" s="190" t="str"/>
      <x:c r="I360" s="190" t="str"/>
      <x:c r="J360" s="190" t="str"/>
      <x:c r="K360" s="190" t="str">
        <x:v>ESMALTE</x:v>
      </x:c>
      <x:c r="L360" s="190" t="str">
        <x:v>BRANCO CARRARA</x:v>
      </x:c>
      <x:c r="M360" s="210" t="n">
        <x:v>56</x:v>
      </x:c>
      <x:c r="N360" s="210" t="n">
        <x:v>2250</x:v>
      </x:c>
      <x:c r="O360" s="210" t="n">
        <x:v>50</x:v>
      </x:c>
      <x:c r="P360" s="210" t="n">
        <x:v>9</x:v>
      </x:c>
      <x:c r="Q360" s="211" t="n">
        <x:v>0</x:v>
      </x:c>
      <x:c r="R360" s="207" t="str"/>
      <x:c r="S360" s="207" t="str"/>
      <x:c r="T360" s="207" t="str"/>
      <x:c r="U360" s="207" t="n">
        <x:v>0</x:v>
      </x:c>
      <x:c r="V360" s="208" t="n">
        <x:f>MAX(0,M360-U360)</x:f>
        <x:v>56</x:v>
      </x:c>
      <x:c r="W360" s="209" t="n">
        <x:f>IFERROR(U360/M360,0)</x:f>
        <x:v>0</x:v>
      </x:c>
      <x:c r="X360" s="201" t="str">
        <x:f>IF(U360=0,"Não iniciado",IF(U360&gt;=M360,"Concluído","Parcial"))</x:f>
        <x:v>Não iniciado</x:v>
      </x:c>
      <x:c r="Y360" s="199" t="str"/>
      <x:c r="Z360" s="188" t="str">
        <x:v>Normal</x:v>
      </x:c>
    </x:row>
    <x:row r="361" ht="22" customHeight="1">
      <x:c r="A361" s="217" t="n">
        <x:v>357</x:v>
      </x:c>
      <x:c r="B361" s="218" t="str">
        <x:v>26750</x:v>
      </x:c>
      <x:c r="C361" s="218" t="str">
        <x:v>14</x:v>
      </x:c>
      <x:c r="D361" s="218" t="str">
        <x:v>609839</x:v>
      </x:c>
      <x:c r="E361" s="218" t="str">
        <x:v>963311</x:v>
      </x:c>
      <x:c r="F361" s="218" t="str">
        <x:v>OUTROS</x:v>
      </x:c>
      <x:c r="G361" s="184" t="str">
        <x:v>PE AL 2250X50X9 RTO LME REC PET BCO(ULTR</x:v>
      </x:c>
      <x:c r="H361" s="184" t="str"/>
      <x:c r="I361" s="184" t="str"/>
      <x:c r="J361" s="184" t="str"/>
      <x:c r="K361" s="184" t="str">
        <x:v>ESMALTE</x:v>
      </x:c>
      <x:c r="L361" s="184" t="str">
        <x:v>BRANCO CARRARA</x:v>
      </x:c>
      <x:c r="M361" s="205" t="n">
        <x:v>38</x:v>
      </x:c>
      <x:c r="N361" s="205" t="n">
        <x:v>2250</x:v>
      </x:c>
      <x:c r="O361" s="205" t="n">
        <x:v>50</x:v>
      </x:c>
      <x:c r="P361" s="205" t="n">
        <x:v>9</x:v>
      </x:c>
      <x:c r="Q361" s="206" t="n">
        <x:v>0</x:v>
      </x:c>
      <x:c r="R361" s="207" t="str"/>
      <x:c r="S361" s="207" t="str"/>
      <x:c r="T361" s="207" t="str"/>
      <x:c r="U361" s="207" t="n">
        <x:v>0</x:v>
      </x:c>
      <x:c r="V361" s="208" t="n">
        <x:f>MAX(0,M361-U361)</x:f>
        <x:v>38</x:v>
      </x:c>
      <x:c r="W361" s="209" t="n">
        <x:f>IFERROR(U361/M361,0)</x:f>
        <x:v>0</x:v>
      </x:c>
      <x:c r="X361" s="201" t="str">
        <x:f>IF(U361=0,"Não iniciado",IF(U361&gt;=M361,"Concluído","Parcial"))</x:f>
        <x:v>Não iniciado</x:v>
      </x:c>
      <x:c r="Y361" s="199" t="str"/>
      <x:c r="Z361" s="188" t="str">
        <x:v>Normal</x:v>
      </x:c>
    </x:row>
    <x:row r="362" ht="22" customHeight="1">
      <x:c r="A362" s="219" t="n">
        <x:v>358</x:v>
      </x:c>
      <x:c r="B362" s="220" t="str">
        <x:v>26750</x:v>
      </x:c>
      <x:c r="C362" s="220" t="str">
        <x:v>14</x:v>
      </x:c>
      <x:c r="D362" s="220" t="str">
        <x:v>609841</x:v>
      </x:c>
      <x:c r="E362" s="220" t="str">
        <x:v>971601</x:v>
      </x:c>
      <x:c r="F362" s="220" t="str">
        <x:v>OUTROS</x:v>
      </x:c>
      <x:c r="G362" s="190" t="str">
        <x:v>PE AL 2250X50X9 RTO RL80 REC PET BCO(ULT</x:v>
      </x:c>
      <x:c r="H362" s="190" t="str"/>
      <x:c r="I362" s="190" t="str"/>
      <x:c r="J362" s="190" t="str"/>
      <x:c r="K362" s="190" t="str">
        <x:v>ESMALTE</x:v>
      </x:c>
      <x:c r="L362" s="190" t="str">
        <x:v>BRANCO CARRARA</x:v>
      </x:c>
      <x:c r="M362" s="210" t="n">
        <x:v>38</x:v>
      </x:c>
      <x:c r="N362" s="210" t="n">
        <x:v>2250</x:v>
      </x:c>
      <x:c r="O362" s="210" t="n">
        <x:v>50</x:v>
      </x:c>
      <x:c r="P362" s="210" t="n">
        <x:v>9</x:v>
      </x:c>
      <x:c r="Q362" s="211" t="n">
        <x:v>0</x:v>
      </x:c>
      <x:c r="R362" s="207" t="str"/>
      <x:c r="S362" s="207" t="str"/>
      <x:c r="T362" s="207" t="str"/>
      <x:c r="U362" s="207" t="n">
        <x:v>0</x:v>
      </x:c>
      <x:c r="V362" s="208" t="n">
        <x:f>MAX(0,M362-U362)</x:f>
        <x:v>38</x:v>
      </x:c>
      <x:c r="W362" s="209" t="n">
        <x:f>IFERROR(U362/M362,0)</x:f>
        <x:v>0</x:v>
      </x:c>
      <x:c r="X362" s="201" t="str">
        <x:f>IF(U362=0,"Não iniciado",IF(U362&gt;=M362,"Concluído","Parcial"))</x:f>
        <x:v>Não iniciado</x:v>
      </x:c>
      <x:c r="Y362" s="199" t="str"/>
      <x:c r="Z362" s="188" t="str">
        <x:v>Normal</x:v>
      </x:c>
    </x:row>
    <x:row r="363" ht="22" customHeight="1">
      <x:c r="A363" s="217" t="n">
        <x:v>359</x:v>
      </x:c>
      <x:c r="B363" s="218" t="str">
        <x:v>26750</x:v>
      </x:c>
      <x:c r="C363" s="218" t="str">
        <x:v>15</x:v>
      </x:c>
      <x:c r="D363" s="218" t="str">
        <x:v>609846</x:v>
      </x:c>
      <x:c r="E363" s="218" t="str">
        <x:v>963311</x:v>
      </x:c>
      <x:c r="F363" s="218" t="str">
        <x:v>OUTROS</x:v>
      </x:c>
      <x:c r="G363" s="184" t="str">
        <x:v>PE AL 2250X50X9 RTO LME REC PET BCO(ULTR</x:v>
      </x:c>
      <x:c r="H363" s="184" t="str"/>
      <x:c r="I363" s="184" t="str"/>
      <x:c r="J363" s="184" t="str"/>
      <x:c r="K363" s="184" t="str">
        <x:v>ESMALTE</x:v>
      </x:c>
      <x:c r="L363" s="184" t="str">
        <x:v>BRANCO CARRARA</x:v>
      </x:c>
      <x:c r="M363" s="205" t="n">
        <x:v>8</x:v>
      </x:c>
      <x:c r="N363" s="205" t="n">
        <x:v>2250</x:v>
      </x:c>
      <x:c r="O363" s="205" t="n">
        <x:v>50</x:v>
      </x:c>
      <x:c r="P363" s="205" t="n">
        <x:v>9</x:v>
      </x:c>
      <x:c r="Q363" s="206" t="n">
        <x:v>0</x:v>
      </x:c>
      <x:c r="R363" s="207" t="str"/>
      <x:c r="S363" s="207" t="str"/>
      <x:c r="T363" s="207" t="str"/>
      <x:c r="U363" s="207" t="n">
        <x:v>0</x:v>
      </x:c>
      <x:c r="V363" s="208" t="n">
        <x:f>MAX(0,M363-U363)</x:f>
        <x:v>8</x:v>
      </x:c>
      <x:c r="W363" s="209" t="n">
        <x:f>IFERROR(U363/M363,0)</x:f>
        <x:v>0</x:v>
      </x:c>
      <x:c r="X363" s="201" t="str">
        <x:f>IF(U363=0,"Não iniciado",IF(U363&gt;=M363,"Concluído","Parcial"))</x:f>
        <x:v>Não iniciado</x:v>
      </x:c>
      <x:c r="Y363" s="199" t="str"/>
      <x:c r="Z363" s="188" t="str">
        <x:v>Normal</x:v>
      </x:c>
    </x:row>
    <x:row r="364" ht="22" customHeight="1">
      <x:c r="A364" s="219" t="n">
        <x:v>360</x:v>
      </x:c>
      <x:c r="B364" s="220" t="str">
        <x:v>26750</x:v>
      </x:c>
      <x:c r="C364" s="220" t="str">
        <x:v>15</x:v>
      </x:c>
      <x:c r="D364" s="220" t="str">
        <x:v>609849</x:v>
      </x:c>
      <x:c r="E364" s="220" t="str">
        <x:v>971601</x:v>
      </x:c>
      <x:c r="F364" s="220" t="str">
        <x:v>OUTROS</x:v>
      </x:c>
      <x:c r="G364" s="190" t="str">
        <x:v>PE AL 2250X50X9 RTO RL80 REC PET BCO(ULT</x:v>
      </x:c>
      <x:c r="H364" s="190" t="str"/>
      <x:c r="I364" s="190" t="str"/>
      <x:c r="J364" s="190" t="str"/>
      <x:c r="K364" s="190" t="str">
        <x:v>ESMALTE</x:v>
      </x:c>
      <x:c r="L364" s="190" t="str">
        <x:v>BRANCO CARRARA</x:v>
      </x:c>
      <x:c r="M364" s="210" t="n">
        <x:v>8</x:v>
      </x:c>
      <x:c r="N364" s="210" t="n">
        <x:v>2250</x:v>
      </x:c>
      <x:c r="O364" s="210" t="n">
        <x:v>50</x:v>
      </x:c>
      <x:c r="P364" s="210" t="n">
        <x:v>9</x:v>
      </x:c>
      <x:c r="Q364" s="211" t="n">
        <x:v>0</x:v>
      </x:c>
      <x:c r="R364" s="207" t="str"/>
      <x:c r="S364" s="207" t="str"/>
      <x:c r="T364" s="207" t="str"/>
      <x:c r="U364" s="207" t="n">
        <x:v>0</x:v>
      </x:c>
      <x:c r="V364" s="208" t="n">
        <x:f>MAX(0,M364-U364)</x:f>
        <x:v>8</x:v>
      </x:c>
      <x:c r="W364" s="209" t="n">
        <x:f>IFERROR(U364/M364,0)</x:f>
        <x:v>0</x:v>
      </x:c>
      <x:c r="X364" s="201" t="str">
        <x:f>IF(U364=0,"Não iniciado",IF(U364&gt;=M364,"Concluído","Parcial"))</x:f>
        <x:v>Não iniciado</x:v>
      </x:c>
      <x:c r="Y364" s="199" t="str"/>
      <x:c r="Z364" s="188" t="str">
        <x:v>Normal</x:v>
      </x:c>
    </x:row>
    <x:row r="365" ht="22" customHeight="1">
      <x:c r="A365" s="217" t="n">
        <x:v>361</x:v>
      </x:c>
      <x:c r="B365" s="218" t="str">
        <x:v>26750</x:v>
      </x:c>
      <x:c r="C365" s="218" t="str">
        <x:v>18</x:v>
      </x:c>
      <x:c r="D365" s="218" t="str">
        <x:v>609857</x:v>
      </x:c>
      <x:c r="E365" s="218" t="str">
        <x:v>963311</x:v>
      </x:c>
      <x:c r="F365" s="218" t="str">
        <x:v>OUTROS</x:v>
      </x:c>
      <x:c r="G365" s="184" t="str">
        <x:v>PE AL 2250X50X9 RTO LME REC PET BCO(ULTR</x:v>
      </x:c>
      <x:c r="H365" s="184" t="str">
        <x:v>REG 2L(MAIOR 80MM)</x:v>
      </x:c>
      <x:c r="I365" s="184" t="str"/>
      <x:c r="J365" s="184" t="str"/>
      <x:c r="K365" s="184" t="str">
        <x:v>RECOBERTO PET</x:v>
      </x:c>
      <x:c r="L365" s="184" t="str">
        <x:v>BRANCO CARRARA</x:v>
      </x:c>
      <x:c r="M365" s="205" t="n">
        <x:v>14</x:v>
      </x:c>
      <x:c r="N365" s="205" t="n">
        <x:v>2250</x:v>
      </x:c>
      <x:c r="O365" s="205" t="n">
        <x:v>50</x:v>
      </x:c>
      <x:c r="P365" s="205" t="n">
        <x:v>9</x:v>
      </x:c>
      <x:c r="Q365" s="206" t="n">
        <x:v>0</x:v>
      </x:c>
      <x:c r="R365" s="207" t="str"/>
      <x:c r="S365" s="207" t="str"/>
      <x:c r="T365" s="207" t="str"/>
      <x:c r="U365" s="207" t="n">
        <x:v>0</x:v>
      </x:c>
      <x:c r="V365" s="208" t="n">
        <x:f>MAX(0,M365-U365)</x:f>
        <x:v>14</x:v>
      </x:c>
      <x:c r="W365" s="209" t="n">
        <x:f>IFERROR(U365/M365,0)</x:f>
        <x:v>0</x:v>
      </x:c>
      <x:c r="X365" s="201" t="str">
        <x:f>IF(U365=0,"Não iniciado",IF(U365&gt;=M365,"Concluído","Parcial"))</x:f>
        <x:v>Não iniciado</x:v>
      </x:c>
      <x:c r="Y365" s="199" t="str"/>
      <x:c r="Z365" s="188" t="str">
        <x:v>Normal</x:v>
      </x:c>
    </x:row>
    <x:row r="366" ht="22" customHeight="1">
      <x:c r="A366" s="219" t="n">
        <x:v>362</x:v>
      </x:c>
      <x:c r="B366" s="220" t="str">
        <x:v>26750</x:v>
      </x:c>
      <x:c r="C366" s="220" t="str">
        <x:v>18</x:v>
      </x:c>
      <x:c r="D366" s="220" t="str">
        <x:v>609859</x:v>
      </x:c>
      <x:c r="E366" s="220" t="str">
        <x:v>971601</x:v>
      </x:c>
      <x:c r="F366" s="220" t="str">
        <x:v>OUTROS</x:v>
      </x:c>
      <x:c r="G366" s="190" t="str">
        <x:v>PE AL 2250X50X9 RTO RL80 REC PET BCO(ULT</x:v>
      </x:c>
      <x:c r="H366" s="190" t="str">
        <x:v>REG 2L(MAIOR 80MM)</x:v>
      </x:c>
      <x:c r="I366" s="190" t="str"/>
      <x:c r="J366" s="190" t="str"/>
      <x:c r="K366" s="190" t="str">
        <x:v>RECOBERTO PET</x:v>
      </x:c>
      <x:c r="L366" s="190" t="str">
        <x:v>BRANCO CARRARA</x:v>
      </x:c>
      <x:c r="M366" s="210" t="n">
        <x:v>14</x:v>
      </x:c>
      <x:c r="N366" s="210" t="n">
        <x:v>2250</x:v>
      </x:c>
      <x:c r="O366" s="210" t="n">
        <x:v>50</x:v>
      </x:c>
      <x:c r="P366" s="210" t="n">
        <x:v>9</x:v>
      </x:c>
      <x:c r="Q366" s="211" t="n">
        <x:v>0</x:v>
      </x:c>
      <x:c r="R366" s="207" t="str"/>
      <x:c r="S366" s="207" t="str"/>
      <x:c r="T366" s="207" t="str"/>
      <x:c r="U366" s="207" t="n">
        <x:v>0</x:v>
      </x:c>
      <x:c r="V366" s="208" t="n">
        <x:f>MAX(0,M366-U366)</x:f>
        <x:v>14</x:v>
      </x:c>
      <x:c r="W366" s="209" t="n">
        <x:f>IFERROR(U366/M366,0)</x:f>
        <x:v>0</x:v>
      </x:c>
      <x:c r="X366" s="201" t="str">
        <x:f>IF(U366=0,"Não iniciado",IF(U366&gt;=M366,"Concluído","Parcial"))</x:f>
        <x:v>Não iniciado</x:v>
      </x:c>
      <x:c r="Y366" s="199" t="str"/>
      <x:c r="Z366" s="188" t="str">
        <x:v>Normal</x:v>
      </x:c>
    </x:row>
    <x:row r="367" ht="22" customHeight="1">
      <x:c r="A367" s="217" t="n">
        <x:v>363</x:v>
      </x:c>
      <x:c r="B367" s="218" t="str">
        <x:v>26750</x:v>
      </x:c>
      <x:c r="C367" s="218" t="str">
        <x:v>20</x:v>
      </x:c>
      <x:c r="D367" s="218" t="str">
        <x:v>609868</x:v>
      </x:c>
      <x:c r="E367" s="218" t="str">
        <x:v>963311</x:v>
      </x:c>
      <x:c r="F367" s="218" t="str">
        <x:v>OUTROS</x:v>
      </x:c>
      <x:c r="G367" s="184" t="str">
        <x:v>PE AL 2250X50X9 RTO LME REC PET BCO(ULTR</x:v>
      </x:c>
      <x:c r="H367" s="184" t="str"/>
      <x:c r="I367" s="184" t="str"/>
      <x:c r="J367" s="184" t="str"/>
      <x:c r="K367" s="184" t="str">
        <x:v>ESMALTE</x:v>
      </x:c>
      <x:c r="L367" s="184" t="str">
        <x:v>BRANCO CARRARA</x:v>
      </x:c>
      <x:c r="M367" s="205" t="n">
        <x:v>18</x:v>
      </x:c>
      <x:c r="N367" s="205" t="n">
        <x:v>2250</x:v>
      </x:c>
      <x:c r="O367" s="205" t="n">
        <x:v>50</x:v>
      </x:c>
      <x:c r="P367" s="205" t="n">
        <x:v>9</x:v>
      </x:c>
      <x:c r="Q367" s="206" t="n">
        <x:v>0</x:v>
      </x:c>
      <x:c r="R367" s="207" t="str"/>
      <x:c r="S367" s="207" t="str"/>
      <x:c r="T367" s="207" t="str"/>
      <x:c r="U367" s="207" t="n">
        <x:v>0</x:v>
      </x:c>
      <x:c r="V367" s="208" t="n">
        <x:f>MAX(0,M367-U367)</x:f>
        <x:v>18</x:v>
      </x:c>
      <x:c r="W367" s="209" t="n">
        <x:f>IFERROR(U367/M367,0)</x:f>
        <x:v>0</x:v>
      </x:c>
      <x:c r="X367" s="201" t="str">
        <x:f>IF(U367=0,"Não iniciado",IF(U367&gt;=M367,"Concluído","Parcial"))</x:f>
        <x:v>Não iniciado</x:v>
      </x:c>
      <x:c r="Y367" s="199" t="str"/>
      <x:c r="Z367" s="188" t="str">
        <x:v>Normal</x:v>
      </x:c>
    </x:row>
    <x:row r="368" ht="22" customHeight="1">
      <x:c r="A368" s="219" t="n">
        <x:v>364</x:v>
      </x:c>
      <x:c r="B368" s="220" t="str">
        <x:v>26750</x:v>
      </x:c>
      <x:c r="C368" s="220" t="str">
        <x:v>20</x:v>
      </x:c>
      <x:c r="D368" s="220" t="str">
        <x:v>609870</x:v>
      </x:c>
      <x:c r="E368" s="220" t="str">
        <x:v>971601</x:v>
      </x:c>
      <x:c r="F368" s="220" t="str">
        <x:v>OUTROS</x:v>
      </x:c>
      <x:c r="G368" s="190" t="str">
        <x:v>PE AL 2250X50X9 RTO RL80 REC PET BCO(ULT</x:v>
      </x:c>
      <x:c r="H368" s="190" t="str"/>
      <x:c r="I368" s="190" t="str"/>
      <x:c r="J368" s="190" t="str"/>
      <x:c r="K368" s="190" t="str">
        <x:v>ESMALTE</x:v>
      </x:c>
      <x:c r="L368" s="190" t="str">
        <x:v>BRANCO CARRARA</x:v>
      </x:c>
      <x:c r="M368" s="210" t="n">
        <x:v>18</x:v>
      </x:c>
      <x:c r="N368" s="210" t="n">
        <x:v>2250</x:v>
      </x:c>
      <x:c r="O368" s="210" t="n">
        <x:v>50</x:v>
      </x:c>
      <x:c r="P368" s="210" t="n">
        <x:v>9</x:v>
      </x:c>
      <x:c r="Q368" s="211" t="n">
        <x:v>0</x:v>
      </x:c>
      <x:c r="R368" s="207" t="str"/>
      <x:c r="S368" s="207" t="str"/>
      <x:c r="T368" s="207" t="str"/>
      <x:c r="U368" s="207" t="n">
        <x:v>0</x:v>
      </x:c>
      <x:c r="V368" s="208" t="n">
        <x:f>MAX(0,M368-U368)</x:f>
        <x:v>18</x:v>
      </x:c>
      <x:c r="W368" s="209" t="n">
        <x:f>IFERROR(U368/M368,0)</x:f>
        <x:v>0</x:v>
      </x:c>
      <x:c r="X368" s="201" t="str">
        <x:f>IF(U368=0,"Não iniciado",IF(U368&gt;=M368,"Concluído","Parcial"))</x:f>
        <x:v>Não iniciado</x:v>
      </x:c>
      <x:c r="Y368" s="199" t="str"/>
      <x:c r="Z368" s="188" t="str">
        <x:v>Normal</x:v>
      </x:c>
    </x:row>
    <x:row r="369" ht="22" customHeight="1">
      <x:c r="A369" s="217" t="n">
        <x:v>365</x:v>
      </x:c>
      <x:c r="B369" s="218" t="str">
        <x:v>26750</x:v>
      </x:c>
      <x:c r="C369" s="218" t="str">
        <x:v>21</x:v>
      </x:c>
      <x:c r="D369" s="218" t="str">
        <x:v>609876</x:v>
      </x:c>
      <x:c r="E369" s="218" t="str">
        <x:v>963311</x:v>
      </x:c>
      <x:c r="F369" s="218" t="str">
        <x:v>OUTROS</x:v>
      </x:c>
      <x:c r="G369" s="184" t="str">
        <x:v>PE AL 2250X50X9 RTO LME REC PET BCO(ULTR</x:v>
      </x:c>
      <x:c r="H369" s="184" t="str"/>
      <x:c r="I369" s="184" t="str"/>
      <x:c r="J369" s="184" t="str"/>
      <x:c r="K369" s="184" t="str">
        <x:v>ESMALTE</x:v>
      </x:c>
      <x:c r="L369" s="184" t="str">
        <x:v>BRANCO CARRARA</x:v>
      </x:c>
      <x:c r="M369" s="205" t="n">
        <x:v>10</x:v>
      </x:c>
      <x:c r="N369" s="205" t="n">
        <x:v>2250</x:v>
      </x:c>
      <x:c r="O369" s="205" t="n">
        <x:v>50</x:v>
      </x:c>
      <x:c r="P369" s="205" t="n">
        <x:v>9</x:v>
      </x:c>
      <x:c r="Q369" s="206" t="n">
        <x:v>0</x:v>
      </x:c>
      <x:c r="R369" s="207" t="str"/>
      <x:c r="S369" s="207" t="str"/>
      <x:c r="T369" s="207" t="str"/>
      <x:c r="U369" s="207" t="n">
        <x:v>0</x:v>
      </x:c>
      <x:c r="V369" s="208" t="n">
        <x:f>MAX(0,M369-U369)</x:f>
        <x:v>10</x:v>
      </x:c>
      <x:c r="W369" s="209" t="n">
        <x:f>IFERROR(U369/M369,0)</x:f>
        <x:v>0</x:v>
      </x:c>
      <x:c r="X369" s="201" t="str">
        <x:f>IF(U369=0,"Não iniciado",IF(U369&gt;=M369,"Concluído","Parcial"))</x:f>
        <x:v>Não iniciado</x:v>
      </x:c>
      <x:c r="Y369" s="199" t="str"/>
      <x:c r="Z369" s="188" t="str">
        <x:v>Normal</x:v>
      </x:c>
    </x:row>
    <x:row r="370" ht="22" customHeight="1">
      <x:c r="A370" s="219" t="n">
        <x:v>366</x:v>
      </x:c>
      <x:c r="B370" s="220" t="str">
        <x:v>26750</x:v>
      </x:c>
      <x:c r="C370" s="220" t="str">
        <x:v>21</x:v>
      </x:c>
      <x:c r="D370" s="220" t="str">
        <x:v>609878</x:v>
      </x:c>
      <x:c r="E370" s="220" t="str">
        <x:v>971601</x:v>
      </x:c>
      <x:c r="F370" s="220" t="str">
        <x:v>OUTROS</x:v>
      </x:c>
      <x:c r="G370" s="190" t="str">
        <x:v>PE AL 2250X50X9 RTO RL80 REC PET BCO(ULT</x:v>
      </x:c>
      <x:c r="H370" s="190" t="str"/>
      <x:c r="I370" s="190" t="str"/>
      <x:c r="J370" s="190" t="str"/>
      <x:c r="K370" s="190" t="str">
        <x:v>ESMALTE</x:v>
      </x:c>
      <x:c r="L370" s="190" t="str">
        <x:v>BRANCO CARRARA</x:v>
      </x:c>
      <x:c r="M370" s="210" t="n">
        <x:v>10</x:v>
      </x:c>
      <x:c r="N370" s="210" t="n">
        <x:v>2250</x:v>
      </x:c>
      <x:c r="O370" s="210" t="n">
        <x:v>50</x:v>
      </x:c>
      <x:c r="P370" s="210" t="n">
        <x:v>9</x:v>
      </x:c>
      <x:c r="Q370" s="211" t="n">
        <x:v>0</x:v>
      </x:c>
      <x:c r="R370" s="207" t="str"/>
      <x:c r="S370" s="207" t="str"/>
      <x:c r="T370" s="207" t="str"/>
      <x:c r="U370" s="207" t="n">
        <x:v>0</x:v>
      </x:c>
      <x:c r="V370" s="208" t="n">
        <x:f>MAX(0,M370-U370)</x:f>
        <x:v>10</x:v>
      </x:c>
      <x:c r="W370" s="209" t="n">
        <x:f>IFERROR(U370/M370,0)</x:f>
        <x:v>0</x:v>
      </x:c>
      <x:c r="X370" s="201" t="str">
        <x:f>IF(U370=0,"Não iniciado",IF(U370&gt;=M370,"Concluído","Parcial"))</x:f>
        <x:v>Não iniciado</x:v>
      </x:c>
      <x:c r="Y370" s="199" t="str"/>
      <x:c r="Z370" s="188" t="str">
        <x:v>Normal</x:v>
      </x:c>
    </x:row>
    <x:row r="371" ht="22" customHeight="1">
      <x:c r="A371" s="217" t="n">
        <x:v>367</x:v>
      </x:c>
      <x:c r="B371" s="218" t="str">
        <x:v>26750</x:v>
      </x:c>
      <x:c r="C371" s="218" t="str">
        <x:v>22</x:v>
      </x:c>
      <x:c r="D371" s="218" t="str">
        <x:v>609885</x:v>
      </x:c>
      <x:c r="E371" s="218" t="str">
        <x:v>963311</x:v>
      </x:c>
      <x:c r="F371" s="218" t="str">
        <x:v>OUTROS</x:v>
      </x:c>
      <x:c r="G371" s="184" t="str">
        <x:v>PE AL 2250X50X9 RTO LME REC PET BCO(ULTR</x:v>
      </x:c>
      <x:c r="H371" s="184" t="str"/>
      <x:c r="I371" s="184" t="str"/>
      <x:c r="J371" s="184" t="str"/>
      <x:c r="K371" s="184" t="str">
        <x:v>ESMALTE</x:v>
      </x:c>
      <x:c r="L371" s="184" t="str">
        <x:v>BRANCO CARRARA</x:v>
      </x:c>
      <x:c r="M371" s="205" t="n">
        <x:v>38</x:v>
      </x:c>
      <x:c r="N371" s="205" t="n">
        <x:v>2250</x:v>
      </x:c>
      <x:c r="O371" s="205" t="n">
        <x:v>50</x:v>
      </x:c>
      <x:c r="P371" s="205" t="n">
        <x:v>9</x:v>
      </x:c>
      <x:c r="Q371" s="206" t="n">
        <x:v>0</x:v>
      </x:c>
      <x:c r="R371" s="207" t="str"/>
      <x:c r="S371" s="207" t="str"/>
      <x:c r="T371" s="207" t="str"/>
      <x:c r="U371" s="207" t="n">
        <x:v>0</x:v>
      </x:c>
      <x:c r="V371" s="208" t="n">
        <x:f>MAX(0,M371-U371)</x:f>
        <x:v>38</x:v>
      </x:c>
      <x:c r="W371" s="209" t="n">
        <x:f>IFERROR(U371/M371,0)</x:f>
        <x:v>0</x:v>
      </x:c>
      <x:c r="X371" s="201" t="str">
        <x:f>IF(U371=0,"Não iniciado",IF(U371&gt;=M371,"Concluído","Parcial"))</x:f>
        <x:v>Não iniciado</x:v>
      </x:c>
      <x:c r="Y371" s="199" t="str"/>
      <x:c r="Z371" s="188" t="str">
        <x:v>Normal</x:v>
      </x:c>
    </x:row>
    <x:row r="372" ht="22" customHeight="1">
      <x:c r="A372" s="219" t="n">
        <x:v>368</x:v>
      </x:c>
      <x:c r="B372" s="220" t="str">
        <x:v>26750</x:v>
      </x:c>
      <x:c r="C372" s="220" t="str">
        <x:v>22</x:v>
      </x:c>
      <x:c r="D372" s="220" t="str">
        <x:v>609887</x:v>
      </x:c>
      <x:c r="E372" s="220" t="str">
        <x:v>971601</x:v>
      </x:c>
      <x:c r="F372" s="220" t="str">
        <x:v>OUTROS</x:v>
      </x:c>
      <x:c r="G372" s="190" t="str">
        <x:v>PE AL 2250X50X9 RTO RL80 REC PET BCO(ULT</x:v>
      </x:c>
      <x:c r="H372" s="190" t="str"/>
      <x:c r="I372" s="190" t="str"/>
      <x:c r="J372" s="190" t="str"/>
      <x:c r="K372" s="190" t="str">
        <x:v>ESMALTE</x:v>
      </x:c>
      <x:c r="L372" s="190" t="str">
        <x:v>BRANCO CARRARA</x:v>
      </x:c>
      <x:c r="M372" s="210" t="n">
        <x:v>38</x:v>
      </x:c>
      <x:c r="N372" s="210" t="n">
        <x:v>2250</x:v>
      </x:c>
      <x:c r="O372" s="210" t="n">
        <x:v>50</x:v>
      </x:c>
      <x:c r="P372" s="210" t="n">
        <x:v>9</x:v>
      </x:c>
      <x:c r="Q372" s="211" t="n">
        <x:v>0</x:v>
      </x:c>
      <x:c r="R372" s="207" t="str"/>
      <x:c r="S372" s="207" t="str"/>
      <x:c r="T372" s="207" t="str"/>
      <x:c r="U372" s="207" t="n">
        <x:v>0</x:v>
      </x:c>
      <x:c r="V372" s="208" t="n">
        <x:f>MAX(0,M372-U372)</x:f>
        <x:v>38</x:v>
      </x:c>
      <x:c r="W372" s="209" t="n">
        <x:f>IFERROR(U372/M372,0)</x:f>
        <x:v>0</x:v>
      </x:c>
      <x:c r="X372" s="201" t="str">
        <x:f>IF(U372=0,"Não iniciado",IF(U372&gt;=M372,"Concluído","Parcial"))</x:f>
        <x:v>Não iniciado</x:v>
      </x:c>
      <x:c r="Y372" s="199" t="str"/>
      <x:c r="Z372" s="188" t="str">
        <x:v>Normal</x:v>
      </x:c>
    </x:row>
    <x:row r="373" ht="22" customHeight="1">
      <x:c r="A373" s="217" t="n">
        <x:v>369</x:v>
      </x:c>
      <x:c r="B373" s="218" t="str">
        <x:v>26750</x:v>
      </x:c>
      <x:c r="C373" s="218" t="str">
        <x:v>23</x:v>
      </x:c>
      <x:c r="D373" s="218" t="str">
        <x:v>609893</x:v>
      </x:c>
      <x:c r="E373" s="218" t="str">
        <x:v>963311</x:v>
      </x:c>
      <x:c r="F373" s="218" t="str">
        <x:v>OUTROS</x:v>
      </x:c>
      <x:c r="G373" s="184" t="str">
        <x:v>PE AL 2250X50X9 RTO LME REC PET BCO(ULTR</x:v>
      </x:c>
      <x:c r="H373" s="184" t="str"/>
      <x:c r="I373" s="184" t="str"/>
      <x:c r="J373" s="184" t="str"/>
      <x:c r="K373" s="184" t="str">
        <x:v>ESMALTE</x:v>
      </x:c>
      <x:c r="L373" s="184" t="str">
        <x:v>BRANCO CARRARA</x:v>
      </x:c>
      <x:c r="M373" s="205" t="n">
        <x:v>8</x:v>
      </x:c>
      <x:c r="N373" s="205" t="n">
        <x:v>2250</x:v>
      </x:c>
      <x:c r="O373" s="205" t="n">
        <x:v>50</x:v>
      </x:c>
      <x:c r="P373" s="205" t="n">
        <x:v>9</x:v>
      </x:c>
      <x:c r="Q373" s="206" t="n">
        <x:v>0</x:v>
      </x:c>
      <x:c r="R373" s="207" t="str"/>
      <x:c r="S373" s="207" t="str"/>
      <x:c r="T373" s="207" t="str"/>
      <x:c r="U373" s="207" t="n">
        <x:v>0</x:v>
      </x:c>
      <x:c r="V373" s="208" t="n">
        <x:f>MAX(0,M373-U373)</x:f>
        <x:v>8</x:v>
      </x:c>
      <x:c r="W373" s="209" t="n">
        <x:f>IFERROR(U373/M373,0)</x:f>
        <x:v>0</x:v>
      </x:c>
      <x:c r="X373" s="201" t="str">
        <x:f>IF(U373=0,"Não iniciado",IF(U373&gt;=M373,"Concluído","Parcial"))</x:f>
        <x:v>Não iniciado</x:v>
      </x:c>
      <x:c r="Y373" s="199" t="str"/>
      <x:c r="Z373" s="188" t="str">
        <x:v>Normal</x:v>
      </x:c>
    </x:row>
    <x:row r="374" ht="22" customHeight="1">
      <x:c r="A374" s="219" t="n">
        <x:v>370</x:v>
      </x:c>
      <x:c r="B374" s="220" t="str">
        <x:v>26750</x:v>
      </x:c>
      <x:c r="C374" s="220" t="str">
        <x:v>23</x:v>
      </x:c>
      <x:c r="D374" s="220" t="str">
        <x:v>609896</x:v>
      </x:c>
      <x:c r="E374" s="220" t="str">
        <x:v>971601</x:v>
      </x:c>
      <x:c r="F374" s="220" t="str">
        <x:v>OUTROS</x:v>
      </x:c>
      <x:c r="G374" s="190" t="str">
        <x:v>PE AL 2250X50X9 RTO RL80 REC PET BCO(ULT</x:v>
      </x:c>
      <x:c r="H374" s="190" t="str"/>
      <x:c r="I374" s="190" t="str"/>
      <x:c r="J374" s="190" t="str"/>
      <x:c r="K374" s="190" t="str">
        <x:v>ESMALTE</x:v>
      </x:c>
      <x:c r="L374" s="190" t="str">
        <x:v>BRANCO CARRARA</x:v>
      </x:c>
      <x:c r="M374" s="210" t="n">
        <x:v>8</x:v>
      </x:c>
      <x:c r="N374" s="210" t="n">
        <x:v>2250</x:v>
      </x:c>
      <x:c r="O374" s="210" t="n">
        <x:v>50</x:v>
      </x:c>
      <x:c r="P374" s="210" t="n">
        <x:v>9</x:v>
      </x:c>
      <x:c r="Q374" s="211" t="n">
        <x:v>0</x:v>
      </x:c>
      <x:c r="R374" s="207" t="str"/>
      <x:c r="S374" s="207" t="str"/>
      <x:c r="T374" s="207" t="str"/>
      <x:c r="U374" s="207" t="n">
        <x:v>0</x:v>
      </x:c>
      <x:c r="V374" s="208" t="n">
        <x:f>MAX(0,M374-U374)</x:f>
        <x:v>8</x:v>
      </x:c>
      <x:c r="W374" s="209" t="n">
        <x:f>IFERROR(U374/M374,0)</x:f>
        <x:v>0</x:v>
      </x:c>
      <x:c r="X374" s="201" t="str">
        <x:f>IF(U374=0,"Não iniciado",IF(U374&gt;=M374,"Concluído","Parcial"))</x:f>
        <x:v>Não iniciado</x:v>
      </x:c>
      <x:c r="Y374" s="199" t="str"/>
      <x:c r="Z374" s="188" t="str">
        <x:v>Normal</x:v>
      </x:c>
    </x:row>
    <x:row r="375" ht="22" customHeight="1">
      <x:c r="A375" s="217" t="n">
        <x:v>371</x:v>
      </x:c>
      <x:c r="B375" s="218" t="str">
        <x:v>26750</x:v>
      </x:c>
      <x:c r="C375" s="218" t="str">
        <x:v>24</x:v>
      </x:c>
      <x:c r="D375" s="218" t="str">
        <x:v>609902</x:v>
      </x:c>
      <x:c r="E375" s="218" t="str">
        <x:v>963311</x:v>
      </x:c>
      <x:c r="F375" s="218" t="str">
        <x:v>OUTROS</x:v>
      </x:c>
      <x:c r="G375" s="184" t="str">
        <x:v>PE AL 2250X50X9 RTO LME REC PET BCO(ULTR</x:v>
      </x:c>
      <x:c r="H375" s="184" t="str"/>
      <x:c r="I375" s="184" t="str"/>
      <x:c r="J375" s="184" t="str"/>
      <x:c r="K375" s="184" t="str">
        <x:v>ESMALTE</x:v>
      </x:c>
      <x:c r="L375" s="184" t="str">
        <x:v>BRANCO CARRARA</x:v>
      </x:c>
      <x:c r="M375" s="205" t="n">
        <x:v>20</x:v>
      </x:c>
      <x:c r="N375" s="205" t="n">
        <x:v>2250</x:v>
      </x:c>
      <x:c r="O375" s="205" t="n">
        <x:v>50</x:v>
      </x:c>
      <x:c r="P375" s="205" t="n">
        <x:v>9</x:v>
      </x:c>
      <x:c r="Q375" s="206" t="n">
        <x:v>0</x:v>
      </x:c>
      <x:c r="R375" s="207" t="str"/>
      <x:c r="S375" s="207" t="str"/>
      <x:c r="T375" s="207" t="str"/>
      <x:c r="U375" s="207" t="n">
        <x:v>0</x:v>
      </x:c>
      <x:c r="V375" s="208" t="n">
        <x:f>MAX(0,M375-U375)</x:f>
        <x:v>20</x:v>
      </x:c>
      <x:c r="W375" s="209" t="n">
        <x:f>IFERROR(U375/M375,0)</x:f>
        <x:v>0</x:v>
      </x:c>
      <x:c r="X375" s="201" t="str">
        <x:f>IF(U375=0,"Não iniciado",IF(U375&gt;=M375,"Concluído","Parcial"))</x:f>
        <x:v>Não iniciado</x:v>
      </x:c>
      <x:c r="Y375" s="199" t="str"/>
      <x:c r="Z375" s="188" t="str">
        <x:v>Normal</x:v>
      </x:c>
    </x:row>
    <x:row r="376" ht="22" customHeight="1">
      <x:c r="A376" s="219" t="n">
        <x:v>372</x:v>
      </x:c>
      <x:c r="B376" s="220" t="str">
        <x:v>26750</x:v>
      </x:c>
      <x:c r="C376" s="220" t="str">
        <x:v>24</x:v>
      </x:c>
      <x:c r="D376" s="220" t="str">
        <x:v>609904</x:v>
      </x:c>
      <x:c r="E376" s="220" t="str">
        <x:v>971601</x:v>
      </x:c>
      <x:c r="F376" s="220" t="str">
        <x:v>OUTROS</x:v>
      </x:c>
      <x:c r="G376" s="190" t="str">
        <x:v>PE AL 2250X50X9 RTO RL80 REC PET BCO(ULT</x:v>
      </x:c>
      <x:c r="H376" s="190" t="str"/>
      <x:c r="I376" s="190" t="str"/>
      <x:c r="J376" s="190" t="str"/>
      <x:c r="K376" s="190" t="str">
        <x:v>ESMALTE</x:v>
      </x:c>
      <x:c r="L376" s="190" t="str">
        <x:v>BRANCO CARRARA</x:v>
      </x:c>
      <x:c r="M376" s="210" t="n">
        <x:v>20</x:v>
      </x:c>
      <x:c r="N376" s="210" t="n">
        <x:v>2250</x:v>
      </x:c>
      <x:c r="O376" s="210" t="n">
        <x:v>50</x:v>
      </x:c>
      <x:c r="P376" s="210" t="n">
        <x:v>9</x:v>
      </x:c>
      <x:c r="Q376" s="211" t="n">
        <x:v>0</x:v>
      </x:c>
      <x:c r="R376" s="207" t="str"/>
      <x:c r="S376" s="207" t="str"/>
      <x:c r="T376" s="207" t="str"/>
      <x:c r="U376" s="207" t="n">
        <x:v>0</x:v>
      </x:c>
      <x:c r="V376" s="208" t="n">
        <x:f>MAX(0,M376-U376)</x:f>
        <x:v>20</x:v>
      </x:c>
      <x:c r="W376" s="209" t="n">
        <x:f>IFERROR(U376/M376,0)</x:f>
        <x:v>0</x:v>
      </x:c>
      <x:c r="X376" s="201" t="str">
        <x:f>IF(U376=0,"Não iniciado",IF(U376&gt;=M376,"Concluído","Parcial"))</x:f>
        <x:v>Não iniciado</x:v>
      </x:c>
      <x:c r="Y376" s="199" t="str"/>
      <x:c r="Z376" s="188" t="str">
        <x:v>Normal</x:v>
      </x:c>
    </x:row>
    <x:row r="377" ht="22" customHeight="1">
      <x:c r="A377" s="217" t="n">
        <x:v>373</x:v>
      </x:c>
      <x:c r="B377" s="218" t="str">
        <x:v>26750</x:v>
      </x:c>
      <x:c r="C377" s="218" t="str">
        <x:v>25</x:v>
      </x:c>
      <x:c r="D377" s="218" t="str">
        <x:v>609908</x:v>
      </x:c>
      <x:c r="E377" s="218" t="str">
        <x:v>963311</x:v>
      </x:c>
      <x:c r="F377" s="218" t="str">
        <x:v>OUTROS</x:v>
      </x:c>
      <x:c r="G377" s="184" t="str">
        <x:v>PE AL 2250X50X9 RTO LME REC PET BCO(ULTR</x:v>
      </x:c>
      <x:c r="H377" s="184" t="str"/>
      <x:c r="I377" s="184" t="str"/>
      <x:c r="J377" s="184" t="str"/>
      <x:c r="K377" s="184" t="str">
        <x:v>ESMALTE</x:v>
      </x:c>
      <x:c r="L377" s="184" t="str">
        <x:v>BRANCO CARRARA</x:v>
      </x:c>
      <x:c r="M377" s="205" t="n">
        <x:v>6</x:v>
      </x:c>
      <x:c r="N377" s="205" t="n">
        <x:v>2250</x:v>
      </x:c>
      <x:c r="O377" s="205" t="n">
        <x:v>50</x:v>
      </x:c>
      <x:c r="P377" s="205" t="n">
        <x:v>9</x:v>
      </x:c>
      <x:c r="Q377" s="206" t="n">
        <x:v>0</x:v>
      </x:c>
      <x:c r="R377" s="207" t="str"/>
      <x:c r="S377" s="207" t="str"/>
      <x:c r="T377" s="207" t="str"/>
      <x:c r="U377" s="207" t="n">
        <x:v>0</x:v>
      </x:c>
      <x:c r="V377" s="208" t="n">
        <x:f>MAX(0,M377-U377)</x:f>
        <x:v>6</x:v>
      </x:c>
      <x:c r="W377" s="209" t="n">
        <x:f>IFERROR(U377/M377,0)</x:f>
        <x:v>0</x:v>
      </x:c>
      <x:c r="X377" s="201" t="str">
        <x:f>IF(U377=0,"Não iniciado",IF(U377&gt;=M377,"Concluído","Parcial"))</x:f>
        <x:v>Não iniciado</x:v>
      </x:c>
      <x:c r="Y377" s="199" t="str"/>
      <x:c r="Z377" s="188" t="str">
        <x:v>Normal</x:v>
      </x:c>
    </x:row>
    <x:row r="378" ht="22" customHeight="1">
      <x:c r="A378" s="219" t="n">
        <x:v>374</x:v>
      </x:c>
      <x:c r="B378" s="220" t="str">
        <x:v>26750</x:v>
      </x:c>
      <x:c r="C378" s="220" t="str">
        <x:v>25</x:v>
      </x:c>
      <x:c r="D378" s="220" t="str">
        <x:v>609910</x:v>
      </x:c>
      <x:c r="E378" s="220" t="str">
        <x:v>971601</x:v>
      </x:c>
      <x:c r="F378" s="220" t="str">
        <x:v>OUTROS</x:v>
      </x:c>
      <x:c r="G378" s="190" t="str">
        <x:v>PE AL 2250X50X9 RTO RL80 REC PET BCO(ULT</x:v>
      </x:c>
      <x:c r="H378" s="190" t="str"/>
      <x:c r="I378" s="190" t="str"/>
      <x:c r="J378" s="190" t="str"/>
      <x:c r="K378" s="190" t="str">
        <x:v>ESMALTE</x:v>
      </x:c>
      <x:c r="L378" s="190" t="str">
        <x:v>BRANCO CARRARA</x:v>
      </x:c>
      <x:c r="M378" s="210" t="n">
        <x:v>6</x:v>
      </x:c>
      <x:c r="N378" s="210" t="n">
        <x:v>2250</x:v>
      </x:c>
      <x:c r="O378" s="210" t="n">
        <x:v>50</x:v>
      </x:c>
      <x:c r="P378" s="210" t="n">
        <x:v>9</x:v>
      </x:c>
      <x:c r="Q378" s="211" t="n">
        <x:v>0</x:v>
      </x:c>
      <x:c r="R378" s="207" t="str"/>
      <x:c r="S378" s="207" t="str"/>
      <x:c r="T378" s="207" t="str"/>
      <x:c r="U378" s="207" t="n">
        <x:v>0</x:v>
      </x:c>
      <x:c r="V378" s="208" t="n">
        <x:f>MAX(0,M378-U378)</x:f>
        <x:v>6</x:v>
      </x:c>
      <x:c r="W378" s="209" t="n">
        <x:f>IFERROR(U378/M378,0)</x:f>
        <x:v>0</x:v>
      </x:c>
      <x:c r="X378" s="201" t="str">
        <x:f>IF(U378=0,"Não iniciado",IF(U378&gt;=M378,"Concluído","Parcial"))</x:f>
        <x:v>Não iniciado</x:v>
      </x:c>
      <x:c r="Y378" s="199" t="str"/>
      <x:c r="Z378" s="188" t="str">
        <x:v>Normal</x:v>
      </x:c>
    </x:row>
    <x:row r="379" ht="22" customHeight="1">
      <x:c r="A379" s="217" t="n">
        <x:v>375</x:v>
      </x:c>
      <x:c r="B379" s="218" t="str">
        <x:v>26750</x:v>
      </x:c>
      <x:c r="C379" s="218" t="str">
        <x:v>26</x:v>
      </x:c>
      <x:c r="D379" s="218" t="str">
        <x:v>609921</x:v>
      </x:c>
      <x:c r="E379" s="218" t="str">
        <x:v>963311</x:v>
      </x:c>
      <x:c r="F379" s="218" t="str">
        <x:v>OUTROS</x:v>
      </x:c>
      <x:c r="G379" s="184" t="str">
        <x:v>PE AL 2250X50X9 RTO LME REC PET BCO(ULTR</x:v>
      </x:c>
      <x:c r="H379" s="184" t="str"/>
      <x:c r="I379" s="184" t="str"/>
      <x:c r="J379" s="184" t="str"/>
      <x:c r="K379" s="184" t="str">
        <x:v>ESMALTE</x:v>
      </x:c>
      <x:c r="L379" s="184" t="str">
        <x:v>BRANCO CARRARA</x:v>
      </x:c>
      <x:c r="M379" s="205" t="n">
        <x:v>4</x:v>
      </x:c>
      <x:c r="N379" s="205" t="n">
        <x:v>2250</x:v>
      </x:c>
      <x:c r="O379" s="205" t="n">
        <x:v>50</x:v>
      </x:c>
      <x:c r="P379" s="205" t="n">
        <x:v>9</x:v>
      </x:c>
      <x:c r="Q379" s="206" t="n">
        <x:v>0</x:v>
      </x:c>
      <x:c r="R379" s="207" t="str"/>
      <x:c r="S379" s="207" t="str"/>
      <x:c r="T379" s="207" t="str"/>
      <x:c r="U379" s="207" t="n">
        <x:v>0</x:v>
      </x:c>
      <x:c r="V379" s="208" t="n">
        <x:f>MAX(0,M379-U379)</x:f>
        <x:v>4</x:v>
      </x:c>
      <x:c r="W379" s="209" t="n">
        <x:f>IFERROR(U379/M379,0)</x:f>
        <x:v>0</x:v>
      </x:c>
      <x:c r="X379" s="201" t="str">
        <x:f>IF(U379=0,"Não iniciado",IF(U379&gt;=M379,"Concluído","Parcial"))</x:f>
        <x:v>Não iniciado</x:v>
      </x:c>
      <x:c r="Y379" s="199" t="str"/>
      <x:c r="Z379" s="188" t="str">
        <x:v>Normal</x:v>
      </x:c>
    </x:row>
    <x:row r="380" ht="22" customHeight="1">
      <x:c r="A380" s="219" t="n">
        <x:v>376</x:v>
      </x:c>
      <x:c r="B380" s="220" t="str">
        <x:v>26750</x:v>
      </x:c>
      <x:c r="C380" s="220" t="str">
        <x:v>26</x:v>
      </x:c>
      <x:c r="D380" s="220" t="str">
        <x:v>609923</x:v>
      </x:c>
      <x:c r="E380" s="220" t="str">
        <x:v>971601</x:v>
      </x:c>
      <x:c r="F380" s="220" t="str">
        <x:v>OUTROS</x:v>
      </x:c>
      <x:c r="G380" s="190" t="str">
        <x:v>PE AL 2250X50X9 RTO RL80 REC PET BCO(ULT</x:v>
      </x:c>
      <x:c r="H380" s="190" t="str"/>
      <x:c r="I380" s="190" t="str"/>
      <x:c r="J380" s="190" t="str"/>
      <x:c r="K380" s="190" t="str">
        <x:v>ESMALTE</x:v>
      </x:c>
      <x:c r="L380" s="190" t="str">
        <x:v>BRANCO CARRARA</x:v>
      </x:c>
      <x:c r="M380" s="210" t="n">
        <x:v>4</x:v>
      </x:c>
      <x:c r="N380" s="210" t="n">
        <x:v>2250</x:v>
      </x:c>
      <x:c r="O380" s="210" t="n">
        <x:v>50</x:v>
      </x:c>
      <x:c r="P380" s="210" t="n">
        <x:v>9</x:v>
      </x:c>
      <x:c r="Q380" s="211" t="n">
        <x:v>0</x:v>
      </x:c>
      <x:c r="R380" s="207" t="str"/>
      <x:c r="S380" s="207" t="str"/>
      <x:c r="T380" s="207" t="str"/>
      <x:c r="U380" s="207" t="n">
        <x:v>0</x:v>
      </x:c>
      <x:c r="V380" s="208" t="n">
        <x:f>MAX(0,M380-U380)</x:f>
        <x:v>4</x:v>
      </x:c>
      <x:c r="W380" s="209" t="n">
        <x:f>IFERROR(U380/M380,0)</x:f>
        <x:v>0</x:v>
      </x:c>
      <x:c r="X380" s="201" t="str">
        <x:f>IF(U380=0,"Não iniciado",IF(U380&gt;=M380,"Concluído","Parcial"))</x:f>
        <x:v>Não iniciado</x:v>
      </x:c>
      <x:c r="Y380" s="199" t="str"/>
      <x:c r="Z380" s="188" t="str">
        <x:v>Normal</x:v>
      </x:c>
    </x:row>
    <x:row r="381" ht="22" customHeight="1">
      <x:c r="A381" s="217" t="n">
        <x:v>377</x:v>
      </x:c>
      <x:c r="B381" s="218" t="str">
        <x:v>26796</x:v>
      </x:c>
      <x:c r="C381" s="218" t="str">
        <x:v>1</x:v>
      </x:c>
      <x:c r="D381" s="218" t="str">
        <x:v>609284</x:v>
      </x:c>
      <x:c r="E381" s="218" t="str">
        <x:v>956374</x:v>
      </x:c>
      <x:c r="F381" s="218" t="str">
        <x:v>OUTROS</x:v>
      </x:c>
      <x:c r="G381" s="184" t="str">
        <x:v>2250X50X9 RTO LME PET BCO TXT MPMV(STD)</x:v>
      </x:c>
      <x:c r="H381" s="184" t="str"/>
      <x:c r="I381" s="184" t="str"/>
      <x:c r="J381" s="184" t="str"/>
      <x:c r="K381" s="184" t="str">
        <x:v>ESMALTE</x:v>
      </x:c>
      <x:c r="L381" s="184" t="str">
        <x:v>BRANCO CARRARA</x:v>
      </x:c>
      <x:c r="M381" s="205" t="n">
        <x:v>432</x:v>
      </x:c>
      <x:c r="N381" s="205" t="n">
        <x:v>2250</x:v>
      </x:c>
      <x:c r="O381" s="205" t="n">
        <x:v>50</x:v>
      </x:c>
      <x:c r="P381" s="205" t="n">
        <x:v>9</x:v>
      </x:c>
      <x:c r="Q381" s="206" t="n">
        <x:v>0</x:v>
      </x:c>
      <x:c r="R381" s="207" t="str"/>
      <x:c r="S381" s="207" t="str"/>
      <x:c r="T381" s="207" t="str"/>
      <x:c r="U381" s="207" t="n">
        <x:v>0</x:v>
      </x:c>
      <x:c r="V381" s="208" t="n">
        <x:f>MAX(0,M381-U381)</x:f>
        <x:v>432</x:v>
      </x:c>
      <x:c r="W381" s="209" t="n">
        <x:f>IFERROR(U381/M381,0)</x:f>
        <x:v>0</x:v>
      </x:c>
      <x:c r="X381" s="201" t="str">
        <x:f>IF(U381=0,"Não iniciado",IF(U381&gt;=M381,"Concluído","Parcial"))</x:f>
        <x:v>Não iniciado</x:v>
      </x:c>
      <x:c r="Y381" s="199" t="str"/>
      <x:c r="Z381" s="188" t="str">
        <x:v>Normal</x:v>
      </x:c>
    </x:row>
    <x:row r="382" ht="22" customHeight="1">
      <x:c r="A382" s="219" t="n">
        <x:v>378</x:v>
      </x:c>
      <x:c r="B382" s="220" t="str">
        <x:v>26796</x:v>
      </x:c>
      <x:c r="C382" s="220" t="str">
        <x:v>3</x:v>
      </x:c>
      <x:c r="D382" s="220" t="str">
        <x:v>609300</x:v>
      </x:c>
      <x:c r="E382" s="220" t="str">
        <x:v>956374</x:v>
      </x:c>
      <x:c r="F382" s="220" t="str">
        <x:v>OUTROS</x:v>
      </x:c>
      <x:c r="G382" s="190" t="str">
        <x:v>2250X50X9 RTO LME PET BCO TXT MPMV(STD)</x:v>
      </x:c>
      <x:c r="H382" s="190" t="str"/>
      <x:c r="I382" s="190" t="str"/>
      <x:c r="J382" s="190" t="str"/>
      <x:c r="K382" s="190" t="str">
        <x:v>ESMALTE</x:v>
      </x:c>
      <x:c r="L382" s="190" t="str">
        <x:v>BRANCO CARRARA</x:v>
      </x:c>
      <x:c r="M382" s="210" t="n">
        <x:v>384</x:v>
      </x:c>
      <x:c r="N382" s="210" t="n">
        <x:v>2250</x:v>
      </x:c>
      <x:c r="O382" s="210" t="n">
        <x:v>50</x:v>
      </x:c>
      <x:c r="P382" s="210" t="n">
        <x:v>9</x:v>
      </x:c>
      <x:c r="Q382" s="211" t="n">
        <x:v>0</x:v>
      </x:c>
      <x:c r="R382" s="207" t="str"/>
      <x:c r="S382" s="207" t="str"/>
      <x:c r="T382" s="207" t="str"/>
      <x:c r="U382" s="207" t="n">
        <x:v>0</x:v>
      </x:c>
      <x:c r="V382" s="208" t="n">
        <x:f>MAX(0,M382-U382)</x:f>
        <x:v>384</x:v>
      </x:c>
      <x:c r="W382" s="209" t="n">
        <x:f>IFERROR(U382/M382,0)</x:f>
        <x:v>0</x:v>
      </x:c>
      <x:c r="X382" s="201" t="str">
        <x:f>IF(U382=0,"Não iniciado",IF(U382&gt;=M382,"Concluído","Parcial"))</x:f>
        <x:v>Não iniciado</x:v>
      </x:c>
      <x:c r="Y382" s="199" t="str"/>
      <x:c r="Z382" s="188" t="str">
        <x:v>Normal</x:v>
      </x:c>
    </x:row>
    <x:row r="383" ht="22" customHeight="1">
      <x:c r="A383" s="217" t="n">
        <x:v>379</x:v>
      </x:c>
      <x:c r="B383" s="218" t="str">
        <x:v>26799</x:v>
      </x:c>
      <x:c r="C383" s="218" t="str">
        <x:v>1</x:v>
      </x:c>
      <x:c r="D383" s="218" t="str">
        <x:v>609389</x:v>
      </x:c>
      <x:c r="E383" s="218" t="str">
        <x:v>956374</x:v>
      </x:c>
      <x:c r="F383" s="218" t="str">
        <x:v>OUTROS</x:v>
      </x:c>
      <x:c r="G383" s="184" t="str">
        <x:v>2250X50X9 RTO LME PET BCO TXT MPMV(STD)</x:v>
      </x:c>
      <x:c r="H383" s="184" t="str"/>
      <x:c r="I383" s="184" t="str"/>
      <x:c r="J383" s="184" t="str"/>
      <x:c r="K383" s="184" t="str">
        <x:v>ESMALTE</x:v>
      </x:c>
      <x:c r="L383" s="184" t="str">
        <x:v>BRANCO CARRARA</x:v>
      </x:c>
      <x:c r="M383" s="205" t="n">
        <x:v>144</x:v>
      </x:c>
      <x:c r="N383" s="205" t="n">
        <x:v>2250</x:v>
      </x:c>
      <x:c r="O383" s="205" t="n">
        <x:v>50</x:v>
      </x:c>
      <x:c r="P383" s="205" t="n">
        <x:v>9</x:v>
      </x:c>
      <x:c r="Q383" s="206" t="n">
        <x:v>0</x:v>
      </x:c>
      <x:c r="R383" s="207" t="str"/>
      <x:c r="S383" s="207" t="str"/>
      <x:c r="T383" s="207" t="str"/>
      <x:c r="U383" s="207" t="n">
        <x:v>0</x:v>
      </x:c>
      <x:c r="V383" s="208" t="n">
        <x:f>MAX(0,M383-U383)</x:f>
        <x:v>144</x:v>
      </x:c>
      <x:c r="W383" s="209" t="n">
        <x:f>IFERROR(U383/M383,0)</x:f>
        <x:v>0</x:v>
      </x:c>
      <x:c r="X383" s="201" t="str">
        <x:f>IF(U383=0,"Não iniciado",IF(U383&gt;=M383,"Concluído","Parcial"))</x:f>
        <x:v>Não iniciado</x:v>
      </x:c>
      <x:c r="Y383" s="199" t="str"/>
      <x:c r="Z383" s="188" t="str">
        <x:v>Normal</x:v>
      </x:c>
    </x:row>
    <x:row r="384" ht="22" customHeight="1">
      <x:c r="A384" s="219" t="n">
        <x:v>380</x:v>
      </x:c>
      <x:c r="B384" s="220" t="str">
        <x:v>26799</x:v>
      </x:c>
      <x:c r="C384" s="220" t="str">
        <x:v>3</x:v>
      </x:c>
      <x:c r="D384" s="220" t="str">
        <x:v>609405</x:v>
      </x:c>
      <x:c r="E384" s="220" t="str">
        <x:v>956374</x:v>
      </x:c>
      <x:c r="F384" s="220" t="str">
        <x:v>OUTROS</x:v>
      </x:c>
      <x:c r="G384" s="190" t="str">
        <x:v>2250X50X9 RTO LME PET BCO TXT MPMV(STD)</x:v>
      </x:c>
      <x:c r="H384" s="190" t="str"/>
      <x:c r="I384" s="190" t="str"/>
      <x:c r="J384" s="190" t="str"/>
      <x:c r="K384" s="190" t="str">
        <x:v>ESMALTE</x:v>
      </x:c>
      <x:c r="L384" s="190" t="str">
        <x:v>BRANCO CARRARA</x:v>
      </x:c>
      <x:c r="M384" s="210" t="n">
        <x:v>128</x:v>
      </x:c>
      <x:c r="N384" s="210" t="n">
        <x:v>2250</x:v>
      </x:c>
      <x:c r="O384" s="210" t="n">
        <x:v>50</x:v>
      </x:c>
      <x:c r="P384" s="210" t="n">
        <x:v>9</x:v>
      </x:c>
      <x:c r="Q384" s="211" t="n">
        <x:v>0</x:v>
      </x:c>
      <x:c r="R384" s="207" t="str"/>
      <x:c r="S384" s="207" t="str"/>
      <x:c r="T384" s="207" t="str"/>
      <x:c r="U384" s="207" t="n">
        <x:v>0</x:v>
      </x:c>
      <x:c r="V384" s="208" t="n">
        <x:f>MAX(0,M384-U384)</x:f>
        <x:v>128</x:v>
      </x:c>
      <x:c r="W384" s="209" t="n">
        <x:f>IFERROR(U384/M384,0)</x:f>
        <x:v>0</x:v>
      </x:c>
      <x:c r="X384" s="201" t="str">
        <x:f>IF(U384=0,"Não iniciado",IF(U384&gt;=M384,"Concluído","Parcial"))</x:f>
        <x:v>Não iniciado</x:v>
      </x:c>
      <x:c r="Y384" s="199" t="str"/>
      <x:c r="Z384" s="188" t="str">
        <x:v>Normal</x:v>
      </x:c>
    </x:row>
    <x:row r="385" ht="22" customHeight="1">
      <x:c r="A385" s="217" t="n">
        <x:v>381</x:v>
      </x:c>
      <x:c r="B385" s="218" t="str">
        <x:v>26824</x:v>
      </x:c>
      <x:c r="C385" s="218" t="str">
        <x:v>1</x:v>
      </x:c>
      <x:c r="D385" s="218" t="str">
        <x:v>609579</x:v>
      </x:c>
      <x:c r="E385" s="218" t="str">
        <x:v>956369</x:v>
      </x:c>
      <x:c r="F385" s="218" t="str">
        <x:v>OUTROS</x:v>
      </x:c>
      <x:c r="G385" s="184" t="str">
        <x:v>2250X50X9 RTO RL55 PET BCO TXT MPMV(STD)</x:v>
      </x:c>
      <x:c r="H385" s="184" t="str"/>
      <x:c r="I385" s="184" t="str"/>
      <x:c r="J385" s="184" t="str"/>
      <x:c r="K385" s="184" t="str">
        <x:v>ESMALTE</x:v>
      </x:c>
      <x:c r="L385" s="184" t="str">
        <x:v>BRANCO CARRARA</x:v>
      </x:c>
      <x:c r="M385" s="205" t="n">
        <x:v>246</x:v>
      </x:c>
      <x:c r="N385" s="205" t="n">
        <x:v>2250</x:v>
      </x:c>
      <x:c r="O385" s="205" t="n">
        <x:v>50</x:v>
      </x:c>
      <x:c r="P385" s="205" t="n">
        <x:v>9</x:v>
      </x:c>
      <x:c r="Q385" s="206" t="n">
        <x:v>0</x:v>
      </x:c>
      <x:c r="R385" s="207" t="str"/>
      <x:c r="S385" s="207" t="str"/>
      <x:c r="T385" s="207" t="str"/>
      <x:c r="U385" s="207" t="n">
        <x:v>0</x:v>
      </x:c>
      <x:c r="V385" s="208" t="n">
        <x:f>MAX(0,M385-U385)</x:f>
        <x:v>246</x:v>
      </x:c>
      <x:c r="W385" s="209" t="n">
        <x:f>IFERROR(U385/M385,0)</x:f>
        <x:v>0</x:v>
      </x:c>
      <x:c r="X385" s="201" t="str">
        <x:f>IF(U385=0,"Não iniciado",IF(U385&gt;=M385,"Concluído","Parcial"))</x:f>
        <x:v>Não iniciado</x:v>
      </x:c>
      <x:c r="Y385" s="199" t="str"/>
      <x:c r="Z385" s="188" t="str">
        <x:v>Normal</x:v>
      </x:c>
    </x:row>
    <x:row r="386" ht="22" customHeight="1">
      <x:c r="A386" s="219" t="n">
        <x:v>382</x:v>
      </x:c>
      <x:c r="B386" s="220" t="str">
        <x:v>26824</x:v>
      </x:c>
      <x:c r="C386" s="220" t="str">
        <x:v>1</x:v>
      </x:c>
      <x:c r="D386" s="220" t="str">
        <x:v>609580</x:v>
      </x:c>
      <x:c r="E386" s="220" t="str">
        <x:v>956374</x:v>
      </x:c>
      <x:c r="F386" s="220" t="str">
        <x:v>OUTROS</x:v>
      </x:c>
      <x:c r="G386" s="190" t="str">
        <x:v>2250X50X9 RTO LME PET BCO TXT MPMV(STD)</x:v>
      </x:c>
      <x:c r="H386" s="190" t="str"/>
      <x:c r="I386" s="190" t="str"/>
      <x:c r="J386" s="190" t="str"/>
      <x:c r="K386" s="190" t="str">
        <x:v>ESMALTE</x:v>
      </x:c>
      <x:c r="L386" s="190" t="str">
        <x:v>BRANCO CARRARA</x:v>
      </x:c>
      <x:c r="M386" s="210" t="n">
        <x:v>246</x:v>
      </x:c>
      <x:c r="N386" s="210" t="n">
        <x:v>2250</x:v>
      </x:c>
      <x:c r="O386" s="210" t="n">
        <x:v>50</x:v>
      </x:c>
      <x:c r="P386" s="210" t="n">
        <x:v>9</x:v>
      </x:c>
      <x:c r="Q386" s="211" t="n">
        <x:v>0</x:v>
      </x:c>
      <x:c r="R386" s="207" t="str"/>
      <x:c r="S386" s="207" t="str"/>
      <x:c r="T386" s="207" t="str"/>
      <x:c r="U386" s="207" t="n">
        <x:v>0</x:v>
      </x:c>
      <x:c r="V386" s="208" t="n">
        <x:f>MAX(0,M386-U386)</x:f>
        <x:v>246</x:v>
      </x:c>
      <x:c r="W386" s="209" t="n">
        <x:f>IFERROR(U386/M386,0)</x:f>
        <x:v>0</x:v>
      </x:c>
      <x:c r="X386" s="201" t="str">
        <x:f>IF(U386=0,"Não iniciado",IF(U386&gt;=M386,"Concluído","Parcial"))</x:f>
        <x:v>Não iniciado</x:v>
      </x:c>
      <x:c r="Y386" s="199" t="str"/>
      <x:c r="Z386" s="188" t="str">
        <x:v>Normal</x:v>
      </x:c>
    </x:row>
    <x:row r="387" ht="22" customHeight="1">
      <x:c r="A387" s="217" t="n">
        <x:v>383</x:v>
      </x:c>
      <x:c r="B387" s="218" t="str">
        <x:v>26824</x:v>
      </x:c>
      <x:c r="C387" s="218" t="str">
        <x:v>3</x:v>
      </x:c>
      <x:c r="D387" s="218" t="str">
        <x:v>609595</x:v>
      </x:c>
      <x:c r="E387" s="218" t="str">
        <x:v>956374</x:v>
      </x:c>
      <x:c r="F387" s="218" t="str">
        <x:v>OUTROS</x:v>
      </x:c>
      <x:c r="G387" s="184" t="str">
        <x:v>2250X50X9 RTO LME PET BCO TXT MPMV(STD)</x:v>
      </x:c>
      <x:c r="H387" s="184" t="str"/>
      <x:c r="I387" s="184" t="str"/>
      <x:c r="J387" s="184" t="str"/>
      <x:c r="K387" s="184" t="str">
        <x:v>ESMALTE</x:v>
      </x:c>
      <x:c r="L387" s="184" t="str">
        <x:v>BRANCO CARRARA</x:v>
      </x:c>
      <x:c r="M387" s="205" t="n">
        <x:v>10</x:v>
      </x:c>
      <x:c r="N387" s="205" t="n">
        <x:v>2250</x:v>
      </x:c>
      <x:c r="O387" s="205" t="n">
        <x:v>50</x:v>
      </x:c>
      <x:c r="P387" s="205" t="n">
        <x:v>9</x:v>
      </x:c>
      <x:c r="Q387" s="206" t="n">
        <x:v>0</x:v>
      </x:c>
      <x:c r="R387" s="207" t="str"/>
      <x:c r="S387" s="207" t="str"/>
      <x:c r="T387" s="207" t="str"/>
      <x:c r="U387" s="207" t="n">
        <x:v>0</x:v>
      </x:c>
      <x:c r="V387" s="208" t="n">
        <x:f>MAX(0,M387-U387)</x:f>
        <x:v>10</x:v>
      </x:c>
      <x:c r="W387" s="209" t="n">
        <x:f>IFERROR(U387/M387,0)</x:f>
        <x:v>0</x:v>
      </x:c>
      <x:c r="X387" s="201" t="str">
        <x:f>IF(U387=0,"Não iniciado",IF(U387&gt;=M387,"Concluído","Parcial"))</x:f>
        <x:v>Não iniciado</x:v>
      </x:c>
      <x:c r="Y387" s="199" t="str"/>
      <x:c r="Z387" s="188" t="str">
        <x:v>Normal</x:v>
      </x:c>
    </x:row>
    <x:row r="388" ht="22" customHeight="1">
      <x:c r="A388" s="219" t="n">
        <x:v>384</x:v>
      </x:c>
      <x:c r="B388" s="220" t="str">
        <x:v>26824</x:v>
      </x:c>
      <x:c r="C388" s="220" t="str">
        <x:v>3</x:v>
      </x:c>
      <x:c r="D388" s="220" t="str">
        <x:v>609596</x:v>
      </x:c>
      <x:c r="E388" s="220" t="str">
        <x:v>956400</x:v>
      </x:c>
      <x:c r="F388" s="220" t="str">
        <x:v>OUTROS</x:v>
      </x:c>
      <x:c r="G388" s="190" t="str">
        <x:v>2250X50X9 RTO RL80 PET BCO TXT MPMV(STD)</x:v>
      </x:c>
      <x:c r="H388" s="190" t="str"/>
      <x:c r="I388" s="190" t="str"/>
      <x:c r="J388" s="190" t="str"/>
      <x:c r="K388" s="190" t="str">
        <x:v>ESMALTE</x:v>
      </x:c>
      <x:c r="L388" s="190" t="str">
        <x:v>BRANCO CARRARA</x:v>
      </x:c>
      <x:c r="M388" s="210" t="n">
        <x:v>10</x:v>
      </x:c>
      <x:c r="N388" s="210" t="n">
        <x:v>2250</x:v>
      </x:c>
      <x:c r="O388" s="210" t="n">
        <x:v>50</x:v>
      </x:c>
      <x:c r="P388" s="210" t="n">
        <x:v>9</x:v>
      </x:c>
      <x:c r="Q388" s="211" t="n">
        <x:v>0</x:v>
      </x:c>
      <x:c r="R388" s="207" t="str"/>
      <x:c r="S388" s="207" t="str"/>
      <x:c r="T388" s="207" t="str"/>
      <x:c r="U388" s="207" t="n">
        <x:v>0</x:v>
      </x:c>
      <x:c r="V388" s="208" t="n">
        <x:f>MAX(0,M388-U388)</x:f>
        <x:v>10</x:v>
      </x:c>
      <x:c r="W388" s="209" t="n">
        <x:f>IFERROR(U388/M388,0)</x:f>
        <x:v>0</x:v>
      </x:c>
      <x:c r="X388" s="201" t="str">
        <x:f>IF(U388=0,"Não iniciado",IF(U388&gt;=M388,"Concluído","Parcial"))</x:f>
        <x:v>Não iniciado</x:v>
      </x:c>
      <x:c r="Y388" s="199" t="str"/>
      <x:c r="Z388" s="188" t="str">
        <x:v>Normal</x:v>
      </x:c>
    </x:row>
    <x:row r="389" ht="22" customHeight="1">
      <x:c r="A389" s="217" t="n">
        <x:v>385</x:v>
      </x:c>
      <x:c r="B389" s="218" t="str">
        <x:v>26520</x:v>
      </x:c>
      <x:c r="C389" s="218" t="str">
        <x:v>3</x:v>
      </x:c>
      <x:c r="D389" s="218" t="str">
        <x:v>610079</x:v>
      </x:c>
      <x:c r="E389" s="218" t="str">
        <x:v>969662</x:v>
      </x:c>
      <x:c r="F389" s="218" t="str">
        <x:v>ALIZAR</x:v>
      </x:c>
      <x:c r="G389" s="184" t="str">
        <x:v>P A 2200X50X9 RTO RL55 PET CIN VER ULTRA</x:v>
      </x:c>
      <x:c r="H389" s="184" t="str"/>
      <x:c r="I389" s="184" t="str"/>
      <x:c r="J389" s="184" t="str"/>
      <x:c r="K389" s="184" t="str">
        <x:v>RECOBERTO PET</x:v>
      </x:c>
      <x:c r="L389" s="184" t="str">
        <x:v>CINZA VERONA</x:v>
      </x:c>
      <x:c r="M389" s="205" t="n">
        <x:v>8</x:v>
      </x:c>
      <x:c r="N389" s="205" t="n">
        <x:v>2200</x:v>
      </x:c>
      <x:c r="O389" s="205" t="n">
        <x:v>50</x:v>
      </x:c>
      <x:c r="P389" s="205" t="n">
        <x:v>9</x:v>
      </x:c>
      <x:c r="Q389" s="206" t="n">
        <x:v>0</x:v>
      </x:c>
      <x:c r="R389" s="207" t="str"/>
      <x:c r="S389" s="207" t="str"/>
      <x:c r="T389" s="207" t="str"/>
      <x:c r="U389" s="207" t="n">
        <x:v>0</x:v>
      </x:c>
      <x:c r="V389" s="208" t="n">
        <x:f>MAX(0,M389-U389)</x:f>
        <x:v>8</x:v>
      </x:c>
      <x:c r="W389" s="209" t="n">
        <x:f>IFERROR(U389/M389,0)</x:f>
        <x:v>0</x:v>
      </x:c>
      <x:c r="X389" s="201" t="str">
        <x:f>IF(U389=0,"Não iniciado",IF(U389&gt;=M389,"Concluído","Parcial"))</x:f>
        <x:v>Não iniciado</x:v>
      </x:c>
      <x:c r="Y389" s="199" t="str"/>
      <x:c r="Z389" s="188" t="str">
        <x:v>Normal</x:v>
      </x:c>
    </x:row>
    <x:row r="390" ht="22" customHeight="1">
      <x:c r="A390" s="219" t="n">
        <x:v>386</x:v>
      </x:c>
      <x:c r="B390" s="220" t="str">
        <x:v>26520</x:v>
      </x:c>
      <x:c r="C390" s="220" t="str">
        <x:v>3</x:v>
      </x:c>
      <x:c r="D390" s="220" t="str">
        <x:v>610081</x:v>
      </x:c>
      <x:c r="E390" s="220" t="str">
        <x:v>969664</x:v>
      </x:c>
      <x:c r="F390" s="220" t="str">
        <x:v>ALIZAR</x:v>
      </x:c>
      <x:c r="G390" s="190" t="str">
        <x:v>P A 2200X50X9 RTO LME PET CIN VER ULTRA</x:v>
      </x:c>
      <x:c r="H390" s="190" t="str"/>
      <x:c r="I390" s="190" t="str"/>
      <x:c r="J390" s="190" t="str"/>
      <x:c r="K390" s="190" t="str">
        <x:v>RECOBERTO PET</x:v>
      </x:c>
      <x:c r="L390" s="190" t="str">
        <x:v>CINZA VERONA</x:v>
      </x:c>
      <x:c r="M390" s="210" t="n">
        <x:v>8</x:v>
      </x:c>
      <x:c r="N390" s="210" t="n">
        <x:v>2200</x:v>
      </x:c>
      <x:c r="O390" s="210" t="n">
        <x:v>50</x:v>
      </x:c>
      <x:c r="P390" s="210" t="n">
        <x:v>9</x:v>
      </x:c>
      <x:c r="Q390" s="211" t="n">
        <x:v>0</x:v>
      </x:c>
      <x:c r="R390" s="207" t="str"/>
      <x:c r="S390" s="207" t="str"/>
      <x:c r="T390" s="207" t="str"/>
      <x:c r="U390" s="207" t="n">
        <x:v>0</x:v>
      </x:c>
      <x:c r="V390" s="208" t="n">
        <x:f>MAX(0,M390-U390)</x:f>
        <x:v>8</x:v>
      </x:c>
      <x:c r="W390" s="209" t="n">
        <x:f>IFERROR(U390/M390,0)</x:f>
        <x:v>0</x:v>
      </x:c>
      <x:c r="X390" s="201" t="str">
        <x:f>IF(U390=0,"Não iniciado",IF(U390&gt;=M390,"Concluído","Parcial"))</x:f>
        <x:v>Não iniciado</x:v>
      </x:c>
      <x:c r="Y390" s="199" t="str"/>
      <x:c r="Z390" s="188" t="str">
        <x:v>Normal</x:v>
      </x:c>
    </x:row>
    <x:row r="391" ht="22" customHeight="1">
      <x:c r="A391" s="217" t="n">
        <x:v>387</x:v>
      </x:c>
      <x:c r="B391" s="218" t="str">
        <x:v>26520</x:v>
      </x:c>
      <x:c r="C391" s="218" t="str">
        <x:v>4</x:v>
      </x:c>
      <x:c r="D391" s="218" t="str">
        <x:v>610087</x:v>
      </x:c>
      <x:c r="E391" s="218" t="str">
        <x:v>969662</x:v>
      </x:c>
      <x:c r="F391" s="218" t="str">
        <x:v>ALIZAR</x:v>
      </x:c>
      <x:c r="G391" s="184" t="str">
        <x:v>P A 2200X50X9 RTO RL55 PET CIN VER ULTRA</x:v>
      </x:c>
      <x:c r="H391" s="184" t="str"/>
      <x:c r="I391" s="184" t="str"/>
      <x:c r="J391" s="184" t="str"/>
      <x:c r="K391" s="184" t="str">
        <x:v>RECOBERTO PET</x:v>
      </x:c>
      <x:c r="L391" s="184" t="str">
        <x:v>CINZA VERONA</x:v>
      </x:c>
      <x:c r="M391" s="205" t="n">
        <x:v>8</x:v>
      </x:c>
      <x:c r="N391" s="205" t="n">
        <x:v>2200</x:v>
      </x:c>
      <x:c r="O391" s="205" t="n">
        <x:v>50</x:v>
      </x:c>
      <x:c r="P391" s="205" t="n">
        <x:v>9</x:v>
      </x:c>
      <x:c r="Q391" s="206" t="n">
        <x:v>0</x:v>
      </x:c>
      <x:c r="R391" s="207" t="str"/>
      <x:c r="S391" s="207" t="str"/>
      <x:c r="T391" s="207" t="str"/>
      <x:c r="U391" s="207" t="n">
        <x:v>0</x:v>
      </x:c>
      <x:c r="V391" s="208" t="n">
        <x:f>MAX(0,M391-U391)</x:f>
        <x:v>8</x:v>
      </x:c>
      <x:c r="W391" s="209" t="n">
        <x:f>IFERROR(U391/M391,0)</x:f>
        <x:v>0</x:v>
      </x:c>
      <x:c r="X391" s="201" t="str">
        <x:f>IF(U391=0,"Não iniciado",IF(U391&gt;=M391,"Concluído","Parcial"))</x:f>
        <x:v>Não iniciado</x:v>
      </x:c>
      <x:c r="Y391" s="199" t="str"/>
      <x:c r="Z391" s="188" t="str">
        <x:v>Normal</x:v>
      </x:c>
    </x:row>
    <x:row r="392" ht="22" customHeight="1">
      <x:c r="A392" s="219" t="n">
        <x:v>388</x:v>
      </x:c>
      <x:c r="B392" s="220" t="str">
        <x:v>26520</x:v>
      </x:c>
      <x:c r="C392" s="220" t="str">
        <x:v>4</x:v>
      </x:c>
      <x:c r="D392" s="220" t="str">
        <x:v>610089</x:v>
      </x:c>
      <x:c r="E392" s="220" t="str">
        <x:v>969664</x:v>
      </x:c>
      <x:c r="F392" s="220" t="str">
        <x:v>ALIZAR</x:v>
      </x:c>
      <x:c r="G392" s="190" t="str">
        <x:v>P A 2200X50X9 RTO LME PET CIN VER ULTRA</x:v>
      </x:c>
      <x:c r="H392" s="190" t="str"/>
      <x:c r="I392" s="190" t="str"/>
      <x:c r="J392" s="190" t="str"/>
      <x:c r="K392" s="190" t="str">
        <x:v>RECOBERTO PET</x:v>
      </x:c>
      <x:c r="L392" s="190" t="str">
        <x:v>CINZA VERONA</x:v>
      </x:c>
      <x:c r="M392" s="210" t="n">
        <x:v>8</x:v>
      </x:c>
      <x:c r="N392" s="210" t="n">
        <x:v>2200</x:v>
      </x:c>
      <x:c r="O392" s="210" t="n">
        <x:v>50</x:v>
      </x:c>
      <x:c r="P392" s="210" t="n">
        <x:v>9</x:v>
      </x:c>
      <x:c r="Q392" s="211" t="n">
        <x:v>0</x:v>
      </x:c>
      <x:c r="R392" s="207" t="str"/>
      <x:c r="S392" s="207" t="str"/>
      <x:c r="T392" s="207" t="str"/>
      <x:c r="U392" s="207" t="n">
        <x:v>0</x:v>
      </x:c>
      <x:c r="V392" s="208" t="n">
        <x:f>MAX(0,M392-U392)</x:f>
        <x:v>8</x:v>
      </x:c>
      <x:c r="W392" s="209" t="n">
        <x:f>IFERROR(U392/M392,0)</x:f>
        <x:v>0</x:v>
      </x:c>
      <x:c r="X392" s="201" t="str">
        <x:f>IF(U392=0,"Não iniciado",IF(U392&gt;=M392,"Concluído","Parcial"))</x:f>
        <x:v>Não iniciado</x:v>
      </x:c>
      <x:c r="Y392" s="199" t="str"/>
      <x:c r="Z392" s="188" t="str">
        <x:v>Normal</x:v>
      </x:c>
    </x:row>
    <x:row r="393" ht="22" customHeight="1">
      <x:c r="A393" s="217" t="n">
        <x:v>389</x:v>
      </x:c>
      <x:c r="B393" s="218" t="str">
        <x:v>26520</x:v>
      </x:c>
      <x:c r="C393" s="218" t="str">
        <x:v>5</x:v>
      </x:c>
      <x:c r="D393" s="218" t="str">
        <x:v>610095</x:v>
      </x:c>
      <x:c r="E393" s="218" t="str">
        <x:v>969662</x:v>
      </x:c>
      <x:c r="F393" s="218" t="str">
        <x:v>ALIZAR</x:v>
      </x:c>
      <x:c r="G393" s="184" t="str">
        <x:v>P A 2200X50X9 RTO RL55 PET CIN VER ULTRA</x:v>
      </x:c>
      <x:c r="H393" s="184" t="str"/>
      <x:c r="I393" s="184" t="str"/>
      <x:c r="J393" s="184" t="str"/>
      <x:c r="K393" s="184" t="str">
        <x:v>RECOBERTO PET</x:v>
      </x:c>
      <x:c r="L393" s="184" t="str">
        <x:v>CINZA VERONA</x:v>
      </x:c>
      <x:c r="M393" s="205" t="n">
        <x:v>2</x:v>
      </x:c>
      <x:c r="N393" s="205" t="n">
        <x:v>2200</x:v>
      </x:c>
      <x:c r="O393" s="205" t="n">
        <x:v>50</x:v>
      </x:c>
      <x:c r="P393" s="205" t="n">
        <x:v>9</x:v>
      </x:c>
      <x:c r="Q393" s="206" t="n">
        <x:v>0</x:v>
      </x:c>
      <x:c r="R393" s="207" t="str"/>
      <x:c r="S393" s="207" t="str"/>
      <x:c r="T393" s="207" t="str"/>
      <x:c r="U393" s="207" t="n">
        <x:v>0</x:v>
      </x:c>
      <x:c r="V393" s="208" t="n">
        <x:f>MAX(0,M393-U393)</x:f>
        <x:v>2</x:v>
      </x:c>
      <x:c r="W393" s="209" t="n">
        <x:f>IFERROR(U393/M393,0)</x:f>
        <x:v>0</x:v>
      </x:c>
      <x:c r="X393" s="201" t="str">
        <x:f>IF(U393=0,"Não iniciado",IF(U393&gt;=M393,"Concluído","Parcial"))</x:f>
        <x:v>Não iniciado</x:v>
      </x:c>
      <x:c r="Y393" s="199" t="str"/>
      <x:c r="Z393" s="188" t="str">
        <x:v>Normal</x:v>
      </x:c>
    </x:row>
    <x:row r="394" ht="22" customHeight="1">
      <x:c r="A394" s="219" t="n">
        <x:v>390</x:v>
      </x:c>
      <x:c r="B394" s="220" t="str">
        <x:v>26520</x:v>
      </x:c>
      <x:c r="C394" s="220" t="str">
        <x:v>5</x:v>
      </x:c>
      <x:c r="D394" s="220" t="str">
        <x:v>610097</x:v>
      </x:c>
      <x:c r="E394" s="220" t="str">
        <x:v>969664</x:v>
      </x:c>
      <x:c r="F394" s="220" t="str">
        <x:v>ALIZAR</x:v>
      </x:c>
      <x:c r="G394" s="190" t="str">
        <x:v>P A 2200X50X9 RTO LME PET CIN VER ULTRA</x:v>
      </x:c>
      <x:c r="H394" s="190" t="str"/>
      <x:c r="I394" s="190" t="str"/>
      <x:c r="J394" s="190" t="str"/>
      <x:c r="K394" s="190" t="str">
        <x:v>RECOBERTO PET</x:v>
      </x:c>
      <x:c r="L394" s="190" t="str">
        <x:v>CINZA VERONA</x:v>
      </x:c>
      <x:c r="M394" s="210" t="n">
        <x:v>2</x:v>
      </x:c>
      <x:c r="N394" s="210" t="n">
        <x:v>2200</x:v>
      </x:c>
      <x:c r="O394" s="210" t="n">
        <x:v>50</x:v>
      </x:c>
      <x:c r="P394" s="210" t="n">
        <x:v>9</x:v>
      </x:c>
      <x:c r="Q394" s="211" t="n">
        <x:v>0</x:v>
      </x:c>
      <x:c r="R394" s="207" t="str"/>
      <x:c r="S394" s="207" t="str"/>
      <x:c r="T394" s="207" t="str"/>
      <x:c r="U394" s="207" t="n">
        <x:v>0</x:v>
      </x:c>
      <x:c r="V394" s="208" t="n">
        <x:f>MAX(0,M394-U394)</x:f>
        <x:v>2</x:v>
      </x:c>
      <x:c r="W394" s="209" t="n">
        <x:f>IFERROR(U394/M394,0)</x:f>
        <x:v>0</x:v>
      </x:c>
      <x:c r="X394" s="201" t="str">
        <x:f>IF(U394=0,"Não iniciado",IF(U394&gt;=M394,"Concluído","Parcial"))</x:f>
        <x:v>Não iniciado</x:v>
      </x:c>
      <x:c r="Y394" s="199" t="str"/>
      <x:c r="Z394" s="188" t="str">
        <x:v>Normal</x:v>
      </x:c>
    </x:row>
    <x:row r="395" ht="22" customHeight="1">
      <x:c r="A395" s="217" t="n">
        <x:v>391</x:v>
      </x:c>
      <x:c r="B395" s="218" t="str">
        <x:v>26520</x:v>
      </x:c>
      <x:c r="C395" s="218" t="str">
        <x:v>6</x:v>
      </x:c>
      <x:c r="D395" s="218" t="str">
        <x:v>610103</x:v>
      </x:c>
      <x:c r="E395" s="218" t="str">
        <x:v>969662</x:v>
      </x:c>
      <x:c r="F395" s="218" t="str">
        <x:v>ALIZAR</x:v>
      </x:c>
      <x:c r="G395" s="184" t="str">
        <x:v>P A 2200X50X9 RTO RL55 PET CIN VER ULTRA</x:v>
      </x:c>
      <x:c r="H395" s="184" t="str"/>
      <x:c r="I395" s="184" t="str"/>
      <x:c r="J395" s="184" t="str"/>
      <x:c r="K395" s="184" t="str">
        <x:v>RECOBERTO PET</x:v>
      </x:c>
      <x:c r="L395" s="184" t="str">
        <x:v>CINZA VERONA</x:v>
      </x:c>
      <x:c r="M395" s="205" t="n">
        <x:v>2</x:v>
      </x:c>
      <x:c r="N395" s="205" t="n">
        <x:v>2200</x:v>
      </x:c>
      <x:c r="O395" s="205" t="n">
        <x:v>50</x:v>
      </x:c>
      <x:c r="P395" s="205" t="n">
        <x:v>9</x:v>
      </x:c>
      <x:c r="Q395" s="206" t="n">
        <x:v>0</x:v>
      </x:c>
      <x:c r="R395" s="207" t="str"/>
      <x:c r="S395" s="207" t="str"/>
      <x:c r="T395" s="207" t="str"/>
      <x:c r="U395" s="207" t="n">
        <x:v>0</x:v>
      </x:c>
      <x:c r="V395" s="208" t="n">
        <x:f>MAX(0,M395-U395)</x:f>
        <x:v>2</x:v>
      </x:c>
      <x:c r="W395" s="209" t="n">
        <x:f>IFERROR(U395/M395,0)</x:f>
        <x:v>0</x:v>
      </x:c>
      <x:c r="X395" s="201" t="str">
        <x:f>IF(U395=0,"Não iniciado",IF(U395&gt;=M395,"Concluído","Parcial"))</x:f>
        <x:v>Não iniciado</x:v>
      </x:c>
      <x:c r="Y395" s="199" t="str"/>
      <x:c r="Z395" s="188" t="str">
        <x:v>Normal</x:v>
      </x:c>
    </x:row>
    <x:row r="396" ht="22" customHeight="1">
      <x:c r="A396" s="219" t="n">
        <x:v>392</x:v>
      </x:c>
      <x:c r="B396" s="220" t="str">
        <x:v>26520</x:v>
      </x:c>
      <x:c r="C396" s="220" t="str">
        <x:v>6</x:v>
      </x:c>
      <x:c r="D396" s="220" t="str">
        <x:v>610105</x:v>
      </x:c>
      <x:c r="E396" s="220" t="str">
        <x:v>969664</x:v>
      </x:c>
      <x:c r="F396" s="220" t="str">
        <x:v>ALIZAR</x:v>
      </x:c>
      <x:c r="G396" s="190" t="str">
        <x:v>P A 2200X50X9 RTO LME PET CIN VER ULTRA</x:v>
      </x:c>
      <x:c r="H396" s="190" t="str"/>
      <x:c r="I396" s="190" t="str"/>
      <x:c r="J396" s="190" t="str"/>
      <x:c r="K396" s="190" t="str">
        <x:v>RECOBERTO PET</x:v>
      </x:c>
      <x:c r="L396" s="190" t="str">
        <x:v>CINZA VERONA</x:v>
      </x:c>
      <x:c r="M396" s="210" t="n">
        <x:v>2</x:v>
      </x:c>
      <x:c r="N396" s="210" t="n">
        <x:v>2200</x:v>
      </x:c>
      <x:c r="O396" s="210" t="n">
        <x:v>50</x:v>
      </x:c>
      <x:c r="P396" s="210" t="n">
        <x:v>9</x:v>
      </x:c>
      <x:c r="Q396" s="211" t="n">
        <x:v>0</x:v>
      </x:c>
      <x:c r="R396" s="207" t="str"/>
      <x:c r="S396" s="207" t="str"/>
      <x:c r="T396" s="207" t="str"/>
      <x:c r="U396" s="207" t="n">
        <x:v>0</x:v>
      </x:c>
      <x:c r="V396" s="208" t="n">
        <x:f>MAX(0,M396-U396)</x:f>
        <x:v>2</x:v>
      </x:c>
      <x:c r="W396" s="209" t="n">
        <x:f>IFERROR(U396/M396,0)</x:f>
        <x:v>0</x:v>
      </x:c>
      <x:c r="X396" s="201" t="str">
        <x:f>IF(U396=0,"Não iniciado",IF(U396&gt;=M396,"Concluído","Parcial"))</x:f>
        <x:v>Não iniciado</x:v>
      </x:c>
      <x:c r="Y396" s="199" t="str"/>
      <x:c r="Z396" s="188" t="str">
        <x:v>Normal</x:v>
      </x:c>
    </x:row>
    <x:row r="397" ht="22" customHeight="1">
      <x:c r="A397" s="217" t="n">
        <x:v>393</x:v>
      </x:c>
      <x:c r="B397" s="218" t="str">
        <x:v>26739</x:v>
      </x:c>
      <x:c r="C397" s="218" t="str">
        <x:v>4</x:v>
      </x:c>
      <x:c r="D397" s="218" t="str">
        <x:v>609633</x:v>
      </x:c>
      <x:c r="E397" s="218" t="str">
        <x:v>2020700628</x:v>
      </x:c>
      <x:c r="F397" s="218" t="str">
        <x:v>OUTROS</x:v>
      </x:c>
      <x:c r="G397" s="184" t="str">
        <x:v>A ULTRA PVC R BCO 2200X50X9 RG(ME) RTO</x:v>
      </x:c>
      <x:c r="H397" s="184" t="str">
        <x:v>REG 1L(MENOR)</x:v>
      </x:c>
      <x:c r="I397" s="184" t="str"/>
      <x:c r="J397" s="184" t="str"/>
      <x:c r="K397" s="184" t="str">
        <x:v>RECOBERTO PVC RENOLIT</x:v>
      </x:c>
      <x:c r="L397" s="184" t="str">
        <x:v>BRANCO</x:v>
      </x:c>
      <x:c r="M397" s="205" t="n">
        <x:v>32</x:v>
      </x:c>
      <x:c r="N397" s="205" t="n">
        <x:v>2200</x:v>
      </x:c>
      <x:c r="O397" s="205" t="n">
        <x:v>50</x:v>
      </x:c>
      <x:c r="P397" s="205" t="n">
        <x:v>9</x:v>
      </x:c>
      <x:c r="Q397" s="206" t="n">
        <x:v>0</x:v>
      </x:c>
      <x:c r="R397" s="207" t="str"/>
      <x:c r="S397" s="207" t="str"/>
      <x:c r="T397" s="207" t="str"/>
      <x:c r="U397" s="207" t="n">
        <x:v>0</x:v>
      </x:c>
      <x:c r="V397" s="208" t="n">
        <x:f>MAX(0,M397-U397)</x:f>
        <x:v>32</x:v>
      </x:c>
      <x:c r="W397" s="209" t="n">
        <x:f>IFERROR(U397/M397,0)</x:f>
        <x:v>0</x:v>
      </x:c>
      <x:c r="X397" s="201" t="str">
        <x:f>IF(U397=0,"Não iniciado",IF(U397&gt;=M397,"Concluído","Parcial"))</x:f>
        <x:v>Não iniciado</x:v>
      </x:c>
      <x:c r="Y397" s="199" t="str"/>
      <x:c r="Z397" s="188" t="str">
        <x:v>Normal</x:v>
      </x:c>
    </x:row>
    <x:row r="398" ht="22" customHeight="1">
      <x:c r="A398" s="219" t="n">
        <x:v>394</x:v>
      </x:c>
      <x:c r="B398" s="220" t="str">
        <x:v>26750</x:v>
      </x:c>
      <x:c r="C398" s="220" t="str">
        <x:v>5</x:v>
      </x:c>
      <x:c r="D398" s="220" t="str">
        <x:v>609796</x:v>
      </x:c>
      <x:c r="E398" s="220" t="str">
        <x:v>2020700628</x:v>
      </x:c>
      <x:c r="F398" s="220" t="str">
        <x:v>OUTROS</x:v>
      </x:c>
      <x:c r="G398" s="190" t="str">
        <x:v>A ULTRA PVC R BCO 2200X50X9 RG(ME) RTO</x:v>
      </x:c>
      <x:c r="H398" s="190" t="str">
        <x:v>REG 1L(MENOR)</x:v>
      </x:c>
      <x:c r="I398" s="190" t="str"/>
      <x:c r="J398" s="190" t="str"/>
      <x:c r="K398" s="190" t="str">
        <x:v>RECOBERTO PVC RENOLIT</x:v>
      </x:c>
      <x:c r="L398" s="190" t="str">
        <x:v>BRANCO</x:v>
      </x:c>
      <x:c r="M398" s="210" t="n">
        <x:v>22</x:v>
      </x:c>
      <x:c r="N398" s="210" t="n">
        <x:v>2200</x:v>
      </x:c>
      <x:c r="O398" s="210" t="n">
        <x:v>50</x:v>
      </x:c>
      <x:c r="P398" s="210" t="n">
        <x:v>9</x:v>
      </x:c>
      <x:c r="Q398" s="211" t="n">
        <x:v>0</x:v>
      </x:c>
      <x:c r="R398" s="207" t="str"/>
      <x:c r="S398" s="207" t="str"/>
      <x:c r="T398" s="207" t="str"/>
      <x:c r="U398" s="207" t="n">
        <x:v>0</x:v>
      </x:c>
      <x:c r="V398" s="208" t="n">
        <x:f>MAX(0,M398-U398)</x:f>
        <x:v>22</x:v>
      </x:c>
      <x:c r="W398" s="209" t="n">
        <x:f>IFERROR(U398/M398,0)</x:f>
        <x:v>0</x:v>
      </x:c>
      <x:c r="X398" s="201" t="str">
        <x:f>IF(U398=0,"Não iniciado",IF(U398&gt;=M398,"Concluído","Parcial"))</x:f>
        <x:v>Não iniciado</x:v>
      </x:c>
      <x:c r="Y398" s="199" t="str"/>
      <x:c r="Z398" s="188" t="str">
        <x:v>Normal</x:v>
      </x:c>
    </x:row>
    <x:row r="399" ht="22" customHeight="1">
      <x:c r="A399" s="217" t="n">
        <x:v>395</x:v>
      </x:c>
      <x:c r="B399" s="218" t="str">
        <x:v>26796</x:v>
      </x:c>
      <x:c r="C399" s="218" t="str">
        <x:v>2</x:v>
      </x:c>
      <x:c r="D399" s="218" t="str">
        <x:v>609294</x:v>
      </x:c>
      <x:c r="E399" s="218" t="str">
        <x:v>986855</x:v>
      </x:c>
      <x:c r="F399" s="218" t="str">
        <x:v>OUTROS</x:v>
      </x:c>
      <x:c r="G399" s="184" t="str">
        <x:v>P.A. 2200X50X9 RT RL35 PET TXT BCO STD</x:v>
      </x:c>
      <x:c r="H399" s="184" t="str"/>
      <x:c r="I399" s="184" t="str"/>
      <x:c r="J399" s="184" t="str"/>
      <x:c r="K399" s="184" t="str">
        <x:v>ESMALTE</x:v>
      </x:c>
      <x:c r="L399" s="184" t="str">
        <x:v>BRANCO</x:v>
      </x:c>
      <x:c r="M399" s="205" t="n">
        <x:v>96</x:v>
      </x:c>
      <x:c r="N399" s="205" t="n">
        <x:v>2200</x:v>
      </x:c>
      <x:c r="O399" s="205" t="n">
        <x:v>50</x:v>
      </x:c>
      <x:c r="P399" s="205" t="n">
        <x:v>9</x:v>
      </x:c>
      <x:c r="Q399" s="206" t="n">
        <x:v>0.095</x:v>
      </x:c>
      <x:c r="R399" s="207" t="str"/>
      <x:c r="S399" s="207" t="str"/>
      <x:c r="T399" s="207" t="str"/>
      <x:c r="U399" s="207" t="n">
        <x:v>0</x:v>
      </x:c>
      <x:c r="V399" s="208" t="n">
        <x:f>MAX(0,M399-U399)</x:f>
        <x:v>96</x:v>
      </x:c>
      <x:c r="W399" s="209" t="n">
        <x:f>IFERROR(U399/M399,0)</x:f>
        <x:v>0</x:v>
      </x:c>
      <x:c r="X399" s="201" t="str">
        <x:f>IF(U399=0,"Não iniciado",IF(U399&gt;=M399,"Concluído","Parcial"))</x:f>
        <x:v>Não iniciado</x:v>
      </x:c>
      <x:c r="Y399" s="199" t="str"/>
      <x:c r="Z399" s="188" t="str">
        <x:v>Normal</x:v>
      </x:c>
    </x:row>
    <x:row r="400" ht="22" customHeight="1">
      <x:c r="A400" s="219" t="n">
        <x:v>396</x:v>
      </x:c>
      <x:c r="B400" s="220" t="str">
        <x:v>26799</x:v>
      </x:c>
      <x:c r="C400" s="220" t="str">
        <x:v>2</x:v>
      </x:c>
      <x:c r="D400" s="220" t="str">
        <x:v>609399</x:v>
      </x:c>
      <x:c r="E400" s="220" t="str">
        <x:v>986855</x:v>
      </x:c>
      <x:c r="F400" s="220" t="str">
        <x:v>OUTROS</x:v>
      </x:c>
      <x:c r="G400" s="190" t="str">
        <x:v>P.A. 2200X50X9 RT RL35 PET TXT BCO STD</x:v>
      </x:c>
      <x:c r="H400" s="190" t="str"/>
      <x:c r="I400" s="190" t="str"/>
      <x:c r="J400" s="190" t="str"/>
      <x:c r="K400" s="190" t="str">
        <x:v>ESMALTE</x:v>
      </x:c>
      <x:c r="L400" s="190" t="str">
        <x:v>BRANCO</x:v>
      </x:c>
      <x:c r="M400" s="210" t="n">
        <x:v>32</x:v>
      </x:c>
      <x:c r="N400" s="210" t="n">
        <x:v>2200</x:v>
      </x:c>
      <x:c r="O400" s="210" t="n">
        <x:v>50</x:v>
      </x:c>
      <x:c r="P400" s="210" t="n">
        <x:v>9</x:v>
      </x:c>
      <x:c r="Q400" s="211" t="n">
        <x:v>0.032</x:v>
      </x:c>
      <x:c r="R400" s="207" t="str"/>
      <x:c r="S400" s="207" t="str"/>
      <x:c r="T400" s="207" t="str"/>
      <x:c r="U400" s="207" t="n">
        <x:v>0</x:v>
      </x:c>
      <x:c r="V400" s="208" t="n">
        <x:f>MAX(0,M400-U400)</x:f>
        <x:v>32</x:v>
      </x:c>
      <x:c r="W400" s="209" t="n">
        <x:f>IFERROR(U400/M400,0)</x:f>
        <x:v>0</x:v>
      </x:c>
      <x:c r="X400" s="201" t="str">
        <x:f>IF(U400=0,"Não iniciado",IF(U400&gt;=M400,"Concluído","Parcial"))</x:f>
        <x:v>Não iniciado</x:v>
      </x:c>
      <x:c r="Y400" s="199" t="str"/>
      <x:c r="Z400" s="188" t="str">
        <x:v>Normal</x:v>
      </x:c>
    </x:row>
    <x:row r="401" ht="22" customHeight="1">
      <x:c r="A401" s="217" t="n">
        <x:v>397</x:v>
      </x:c>
      <x:c r="B401" s="218" t="str">
        <x:v>26744</x:v>
      </x:c>
      <x:c r="C401" s="218" t="str">
        <x:v>1</x:v>
      </x:c>
      <x:c r="D401" s="218" t="str">
        <x:v>609990</x:v>
      </x:c>
      <x:c r="E401" s="218" t="str">
        <x:v>962729</x:v>
      </x:c>
      <x:c r="F401" s="218" t="str">
        <x:v>OUTROS</x:v>
      </x:c>
      <x:c r="G401" s="184" t="str">
        <x:v>PE AL 2200X50X9 RTO RL35 REC PET BCO(ULT</x:v>
      </x:c>
      <x:c r="H401" s="184" t="str"/>
      <x:c r="I401" s="184" t="str"/>
      <x:c r="J401" s="184" t="str"/>
      <x:c r="K401" s="184" t="str">
        <x:v>RECOBERTO PET</x:v>
      </x:c>
      <x:c r="L401" s="184" t="str">
        <x:v>BRANCO CARRARA</x:v>
      </x:c>
      <x:c r="M401" s="205" t="n">
        <x:v>8</x:v>
      </x:c>
      <x:c r="N401" s="205" t="n">
        <x:v>2200</x:v>
      </x:c>
      <x:c r="O401" s="205" t="n">
        <x:v>50</x:v>
      </x:c>
      <x:c r="P401" s="205" t="n">
        <x:v>9</x:v>
      </x:c>
      <x:c r="Q401" s="206" t="n">
        <x:v>0</x:v>
      </x:c>
      <x:c r="R401" s="207" t="str"/>
      <x:c r="S401" s="207" t="str"/>
      <x:c r="T401" s="207" t="str"/>
      <x:c r="U401" s="207" t="n">
        <x:v>0</x:v>
      </x:c>
      <x:c r="V401" s="208" t="n">
        <x:f>MAX(0,M401-U401)</x:f>
        <x:v>8</x:v>
      </x:c>
      <x:c r="W401" s="209" t="n">
        <x:f>IFERROR(U401/M401,0)</x:f>
        <x:v>0</x:v>
      </x:c>
      <x:c r="X401" s="201" t="str">
        <x:f>IF(U401=0,"Não iniciado",IF(U401&gt;=M401,"Concluído","Parcial"))</x:f>
        <x:v>Não iniciado</x:v>
      </x:c>
      <x:c r="Y401" s="199" t="str"/>
      <x:c r="Z401" s="188" t="str">
        <x:v>Normal</x:v>
      </x:c>
    </x:row>
    <x:row r="402" ht="22" customHeight="1">
      <x:c r="A402" s="219" t="n">
        <x:v>398</x:v>
      </x:c>
      <x:c r="B402" s="220" t="str">
        <x:v>26744</x:v>
      </x:c>
      <x:c r="C402" s="220" t="str">
        <x:v>2</x:v>
      </x:c>
      <x:c r="D402" s="220" t="str">
        <x:v>609999</x:v>
      </x:c>
      <x:c r="E402" s="220" t="str">
        <x:v>962729</x:v>
      </x:c>
      <x:c r="F402" s="220" t="str">
        <x:v>OUTROS</x:v>
      </x:c>
      <x:c r="G402" s="190" t="str">
        <x:v>PE AL 2200X50X9 RTO RL35 REC PET BCO(ULT</x:v>
      </x:c>
      <x:c r="H402" s="190" t="str"/>
      <x:c r="I402" s="190" t="str"/>
      <x:c r="J402" s="190" t="str"/>
      <x:c r="K402" s="190" t="str">
        <x:v>RECOBERTO PET</x:v>
      </x:c>
      <x:c r="L402" s="190" t="str">
        <x:v>BRANCO CARRARA</x:v>
      </x:c>
      <x:c r="M402" s="210" t="n">
        <x:v>10</x:v>
      </x:c>
      <x:c r="N402" s="210" t="n">
        <x:v>2200</x:v>
      </x:c>
      <x:c r="O402" s="210" t="n">
        <x:v>50</x:v>
      </x:c>
      <x:c r="P402" s="210" t="n">
        <x:v>9</x:v>
      </x:c>
      <x:c r="Q402" s="211" t="n">
        <x:v>0</x:v>
      </x:c>
      <x:c r="R402" s="207" t="str"/>
      <x:c r="S402" s="207" t="str"/>
      <x:c r="T402" s="207" t="str"/>
      <x:c r="U402" s="207" t="n">
        <x:v>0</x:v>
      </x:c>
      <x:c r="V402" s="208" t="n">
        <x:f>MAX(0,M402-U402)</x:f>
        <x:v>10</x:v>
      </x:c>
      <x:c r="W402" s="209" t="n">
        <x:f>IFERROR(U402/M402,0)</x:f>
        <x:v>0</x:v>
      </x:c>
      <x:c r="X402" s="201" t="str">
        <x:f>IF(U402=0,"Não iniciado",IF(U402&gt;=M402,"Concluído","Parcial"))</x:f>
        <x:v>Não iniciado</x:v>
      </x:c>
      <x:c r="Y402" s="199" t="str"/>
      <x:c r="Z402" s="188" t="str">
        <x:v>Normal</x:v>
      </x:c>
    </x:row>
    <x:row r="403" ht="22" customHeight="1">
      <x:c r="A403" s="217" t="n">
        <x:v>399</x:v>
      </x:c>
      <x:c r="B403" s="218" t="str">
        <x:v>26744</x:v>
      </x:c>
      <x:c r="C403" s="218" t="str">
        <x:v>7</x:v>
      </x:c>
      <x:c r="D403" s="218" t="str">
        <x:v>610025</x:v>
      </x:c>
      <x:c r="E403" s="218" t="str">
        <x:v>962729</x:v>
      </x:c>
      <x:c r="F403" s="218" t="str">
        <x:v>OUTROS</x:v>
      </x:c>
      <x:c r="G403" s="184" t="str">
        <x:v>PE AL 2200X50X9 RTO RL35 REC PET BCO(ULT</x:v>
      </x:c>
      <x:c r="H403" s="184" t="str">
        <x:v>REG 2L(MAIOR 35mm)</x:v>
      </x:c>
      <x:c r="I403" s="184" t="str"/>
      <x:c r="J403" s="184" t="str"/>
      <x:c r="K403" s="184" t="str">
        <x:v>RECOBERTO PET</x:v>
      </x:c>
      <x:c r="L403" s="184" t="str">
        <x:v>BRANCO CARRARA</x:v>
      </x:c>
      <x:c r="M403" s="205" t="n">
        <x:v>4</x:v>
      </x:c>
      <x:c r="N403" s="205" t="n">
        <x:v>2200</x:v>
      </x:c>
      <x:c r="O403" s="205" t="n">
        <x:v>50</x:v>
      </x:c>
      <x:c r="P403" s="205" t="n">
        <x:v>9</x:v>
      </x:c>
      <x:c r="Q403" s="206" t="n">
        <x:v>0</x:v>
      </x:c>
      <x:c r="R403" s="207" t="str"/>
      <x:c r="S403" s="207" t="str"/>
      <x:c r="T403" s="207" t="str"/>
      <x:c r="U403" s="207" t="n">
        <x:v>0</x:v>
      </x:c>
      <x:c r="V403" s="208" t="n">
        <x:f>MAX(0,M403-U403)</x:f>
        <x:v>4</x:v>
      </x:c>
      <x:c r="W403" s="209" t="n">
        <x:f>IFERROR(U403/M403,0)</x:f>
        <x:v>0</x:v>
      </x:c>
      <x:c r="X403" s="201" t="str">
        <x:f>IF(U403=0,"Não iniciado",IF(U403&gt;=M403,"Concluído","Parcial"))</x:f>
        <x:v>Não iniciado</x:v>
      </x:c>
      <x:c r="Y403" s="199" t="str"/>
      <x:c r="Z403" s="188" t="str">
        <x:v>Normal</x:v>
      </x:c>
    </x:row>
    <x:row r="404" ht="22" customHeight="1">
      <x:c r="A404" s="219" t="n">
        <x:v>400</x:v>
      </x:c>
      <x:c r="B404" s="220" t="str">
        <x:v>26796</x:v>
      </x:c>
      <x:c r="C404" s="220" t="str">
        <x:v>1</x:v>
      </x:c>
      <x:c r="D404" s="220" t="str">
        <x:v>609286</x:v>
      </x:c>
      <x:c r="E404" s="220" t="str">
        <x:v>986855</x:v>
      </x:c>
      <x:c r="F404" s="220" t="str">
        <x:v>OUTROS</x:v>
      </x:c>
      <x:c r="G404" s="190" t="str">
        <x:v>P.A. 2200X50X9 RT RL35 PET TXT BCO STD</x:v>
      </x:c>
      <x:c r="H404" s="190" t="str"/>
      <x:c r="I404" s="190" t="str"/>
      <x:c r="J404" s="190" t="str"/>
      <x:c r="K404" s="190" t="str">
        <x:v>ESMALTE</x:v>
      </x:c>
      <x:c r="L404" s="190" t="str">
        <x:v>BRANCO CARRARA</x:v>
      </x:c>
      <x:c r="M404" s="210" t="n">
        <x:v>432</x:v>
      </x:c>
      <x:c r="N404" s="210" t="n">
        <x:v>2200</x:v>
      </x:c>
      <x:c r="O404" s="210" t="n">
        <x:v>50</x:v>
      </x:c>
      <x:c r="P404" s="210" t="n">
        <x:v>9</x:v>
      </x:c>
      <x:c r="Q404" s="211" t="n">
        <x:v>0.428</x:v>
      </x:c>
      <x:c r="R404" s="207" t="str"/>
      <x:c r="S404" s="207" t="str"/>
      <x:c r="T404" s="207" t="str"/>
      <x:c r="U404" s="207" t="n">
        <x:v>0</x:v>
      </x:c>
      <x:c r="V404" s="208" t="n">
        <x:f>MAX(0,M404-U404)</x:f>
        <x:v>432</x:v>
      </x:c>
      <x:c r="W404" s="209" t="n">
        <x:f>IFERROR(U404/M404,0)</x:f>
        <x:v>0</x:v>
      </x:c>
      <x:c r="X404" s="201" t="str">
        <x:f>IF(U404=0,"Não iniciado",IF(U404&gt;=M404,"Concluído","Parcial"))</x:f>
        <x:v>Não iniciado</x:v>
      </x:c>
      <x:c r="Y404" s="199" t="str"/>
      <x:c r="Z404" s="188" t="str">
        <x:v>Normal</x:v>
      </x:c>
    </x:row>
    <x:row r="405" ht="22" customHeight="1">
      <x:c r="A405" s="217" t="n">
        <x:v>401</x:v>
      </x:c>
      <x:c r="B405" s="218" t="str">
        <x:v>26796</x:v>
      </x:c>
      <x:c r="C405" s="218" t="str">
        <x:v>3</x:v>
      </x:c>
      <x:c r="D405" s="218" t="str">
        <x:v>609302</x:v>
      </x:c>
      <x:c r="E405" s="218" t="str">
        <x:v>988573</x:v>
      </x:c>
      <x:c r="F405" s="218" t="str">
        <x:v>OUTROS</x:v>
      </x:c>
      <x:c r="G405" s="184" t="str">
        <x:v>P.A. 2200X50X9 RT RL45 PET TXT BCO STD</x:v>
      </x:c>
      <x:c r="H405" s="184" t="str"/>
      <x:c r="I405" s="184" t="str"/>
      <x:c r="J405" s="184" t="str"/>
      <x:c r="K405" s="184" t="str">
        <x:v>ESMALTE</x:v>
      </x:c>
      <x:c r="L405" s="184" t="str">
        <x:v>BRANCO CARRARA</x:v>
      </x:c>
      <x:c r="M405" s="205" t="n">
        <x:v>384</x:v>
      </x:c>
      <x:c r="N405" s="205" t="n">
        <x:v>2200</x:v>
      </x:c>
      <x:c r="O405" s="205" t="n">
        <x:v>50</x:v>
      </x:c>
      <x:c r="P405" s="205" t="n">
        <x:v>9</x:v>
      </x:c>
      <x:c r="Q405" s="206" t="n">
        <x:v>0.38</x:v>
      </x:c>
      <x:c r="R405" s="207" t="str"/>
      <x:c r="S405" s="207" t="str"/>
      <x:c r="T405" s="207" t="str"/>
      <x:c r="U405" s="207" t="n">
        <x:v>0</x:v>
      </x:c>
      <x:c r="V405" s="208" t="n">
        <x:f>MAX(0,M405-U405)</x:f>
        <x:v>384</x:v>
      </x:c>
      <x:c r="W405" s="209" t="n">
        <x:f>IFERROR(U405/M405,0)</x:f>
        <x:v>0</x:v>
      </x:c>
      <x:c r="X405" s="201" t="str">
        <x:f>IF(U405=0,"Não iniciado",IF(U405&gt;=M405,"Concluído","Parcial"))</x:f>
        <x:v>Não iniciado</x:v>
      </x:c>
      <x:c r="Y405" s="199" t="str"/>
      <x:c r="Z405" s="188" t="str">
        <x:v>Normal</x:v>
      </x:c>
    </x:row>
    <x:row r="406" ht="22" customHeight="1">
      <x:c r="A406" s="219" t="n">
        <x:v>402</x:v>
      </x:c>
      <x:c r="B406" s="220" t="str">
        <x:v>26799</x:v>
      </x:c>
      <x:c r="C406" s="220" t="str">
        <x:v>1</x:v>
      </x:c>
      <x:c r="D406" s="220" t="str">
        <x:v>609391</x:v>
      </x:c>
      <x:c r="E406" s="220" t="str">
        <x:v>986855</x:v>
      </x:c>
      <x:c r="F406" s="220" t="str">
        <x:v>OUTROS</x:v>
      </x:c>
      <x:c r="G406" s="190" t="str">
        <x:v>P.A. 2200X50X9 RT RL35 PET TXT BCO STD</x:v>
      </x:c>
      <x:c r="H406" s="190" t="str"/>
      <x:c r="I406" s="190" t="str"/>
      <x:c r="J406" s="190" t="str"/>
      <x:c r="K406" s="190" t="str">
        <x:v>ESMALTE</x:v>
      </x:c>
      <x:c r="L406" s="190" t="str">
        <x:v>BRANCO CARRARA</x:v>
      </x:c>
      <x:c r="M406" s="210" t="n">
        <x:v>144</x:v>
      </x:c>
      <x:c r="N406" s="210" t="n">
        <x:v>2200</x:v>
      </x:c>
      <x:c r="O406" s="210" t="n">
        <x:v>50</x:v>
      </x:c>
      <x:c r="P406" s="210" t="n">
        <x:v>9</x:v>
      </x:c>
      <x:c r="Q406" s="211" t="n">
        <x:v>0.143</x:v>
      </x:c>
      <x:c r="R406" s="207" t="str"/>
      <x:c r="S406" s="207" t="str"/>
      <x:c r="T406" s="207" t="str"/>
      <x:c r="U406" s="207" t="n">
        <x:v>0</x:v>
      </x:c>
      <x:c r="V406" s="208" t="n">
        <x:f>MAX(0,M406-U406)</x:f>
        <x:v>144</x:v>
      </x:c>
      <x:c r="W406" s="209" t="n">
        <x:f>IFERROR(U406/M406,0)</x:f>
        <x:v>0</x:v>
      </x:c>
      <x:c r="X406" s="201" t="str">
        <x:f>IF(U406=0,"Não iniciado",IF(U406&gt;=M406,"Concluído","Parcial"))</x:f>
        <x:v>Não iniciado</x:v>
      </x:c>
      <x:c r="Y406" s="199" t="str"/>
      <x:c r="Z406" s="188" t="str">
        <x:v>Normal</x:v>
      </x:c>
    </x:row>
    <x:row r="407" ht="22" customHeight="1">
      <x:c r="A407" s="217" t="n">
        <x:v>403</x:v>
      </x:c>
      <x:c r="B407" s="218" t="str">
        <x:v>26799</x:v>
      </x:c>
      <x:c r="C407" s="218" t="str">
        <x:v>3</x:v>
      </x:c>
      <x:c r="D407" s="218" t="str">
        <x:v>609407</x:v>
      </x:c>
      <x:c r="E407" s="218" t="str">
        <x:v>988573</x:v>
      </x:c>
      <x:c r="F407" s="218" t="str">
        <x:v>OUTROS</x:v>
      </x:c>
      <x:c r="G407" s="184" t="str">
        <x:v>P.A. 2200X50X9 RT RL45 PET TXT BCO STD</x:v>
      </x:c>
      <x:c r="H407" s="184" t="str"/>
      <x:c r="I407" s="184" t="str"/>
      <x:c r="J407" s="184" t="str"/>
      <x:c r="K407" s="184" t="str">
        <x:v>ESMALTE</x:v>
      </x:c>
      <x:c r="L407" s="184" t="str">
        <x:v>BRANCO CARRARA</x:v>
      </x:c>
      <x:c r="M407" s="205" t="n">
        <x:v>128</x:v>
      </x:c>
      <x:c r="N407" s="205" t="n">
        <x:v>2200</x:v>
      </x:c>
      <x:c r="O407" s="205" t="n">
        <x:v>50</x:v>
      </x:c>
      <x:c r="P407" s="205" t="n">
        <x:v>9</x:v>
      </x:c>
      <x:c r="Q407" s="206" t="n">
        <x:v>0.127</x:v>
      </x:c>
      <x:c r="R407" s="207" t="str"/>
      <x:c r="S407" s="207" t="str"/>
      <x:c r="T407" s="207" t="str"/>
      <x:c r="U407" s="207" t="n">
        <x:v>0</x:v>
      </x:c>
      <x:c r="V407" s="208" t="n">
        <x:f>MAX(0,M407-U407)</x:f>
        <x:v>128</x:v>
      </x:c>
      <x:c r="W407" s="209" t="n">
        <x:f>IFERROR(U407/M407,0)</x:f>
        <x:v>0</x:v>
      </x:c>
      <x:c r="X407" s="201" t="str">
        <x:f>IF(U407=0,"Não iniciado",IF(U407&gt;=M407,"Concluído","Parcial"))</x:f>
        <x:v>Não iniciado</x:v>
      </x:c>
      <x:c r="Y407" s="199" t="str"/>
      <x:c r="Z407" s="188" t="str">
        <x:v>Normal</x:v>
      </x:c>
    </x:row>
    <x:row r="408" ht="22" customHeight="1">
      <x:c r="A408" s="219" t="n">
        <x:v>404</x:v>
      </x:c>
      <x:c r="B408" s="220" t="str">
        <x:v>26807</x:v>
      </x:c>
      <x:c r="C408" s="220" t="str">
        <x:v>2</x:v>
      </x:c>
      <x:c r="D408" s="220" t="str">
        <x:v>610046</x:v>
      </x:c>
      <x:c r="E408" s="220" t="str">
        <x:v>2020700631</x:v>
      </x:c>
      <x:c r="F408" s="220" t="str">
        <x:v>OUTROS</x:v>
      </x:c>
      <x:c r="G408" s="190" t="str">
        <x:v>A ULTRA PET CA PE 2200X50X9 RG(55) RTO</x:v>
      </x:c>
      <x:c r="H408" s="190" t="str">
        <x:v>REG 2L(MAIOR 55MM)</x:v>
      </x:c>
      <x:c r="I408" s="190" t="str"/>
      <x:c r="J408" s="190" t="str"/>
      <x:c r="K408" s="190" t="str">
        <x:v>RECOBERTO PET</x:v>
      </x:c>
      <x:c r="L408" s="190" t="str">
        <x:v>CARVALHO PESCARA</x:v>
      </x:c>
      <x:c r="M408" s="210" t="n">
        <x:v>40</x:v>
      </x:c>
      <x:c r="N408" s="210" t="n">
        <x:v>2200</x:v>
      </x:c>
      <x:c r="O408" s="210" t="n">
        <x:v>50</x:v>
      </x:c>
      <x:c r="P408" s="210" t="n">
        <x:v>9</x:v>
      </x:c>
      <x:c r="Q408" s="211" t="n">
        <x:v>0</x:v>
      </x:c>
      <x:c r="R408" s="207" t="str"/>
      <x:c r="S408" s="207" t="str"/>
      <x:c r="T408" s="207" t="str"/>
      <x:c r="U408" s="207" t="n">
        <x:v>0</x:v>
      </x:c>
      <x:c r="V408" s="208" t="n">
        <x:f>MAX(0,M408-U408)</x:f>
        <x:v>40</x:v>
      </x:c>
      <x:c r="W408" s="209" t="n">
        <x:f>IFERROR(U408/M408,0)</x:f>
        <x:v>0</x:v>
      </x:c>
      <x:c r="X408" s="201" t="str">
        <x:f>IF(U408=0,"Não iniciado",IF(U408&gt;=M408,"Concluído","Parcial"))</x:f>
        <x:v>Não iniciado</x:v>
      </x:c>
      <x:c r="Y408" s="199" t="str"/>
      <x:c r="Z408" s="188" t="str">
        <x:v>Normal</x:v>
      </x:c>
    </x:row>
    <x:row r="409" ht="22" customHeight="1">
      <x:c r="A409" s="217" t="n">
        <x:v>405</x:v>
      </x:c>
      <x:c r="B409" s="218" t="str">
        <x:v>26807</x:v>
      </x:c>
      <x:c r="C409" s="218" t="str">
        <x:v>2</x:v>
      </x:c>
      <x:c r="D409" s="218" t="str">
        <x:v>610047</x:v>
      </x:c>
      <x:c r="E409" s="218" t="str">
        <x:v>2020700632</x:v>
      </x:c>
      <x:c r="F409" s="218" t="str">
        <x:v>OUTROS</x:v>
      </x:c>
      <x:c r="G409" s="184" t="str">
        <x:v>A ULTRA PET CA PE 2200X50X9 RG(ME) RTO</x:v>
      </x:c>
      <x:c r="H409" s="184" t="str">
        <x:v>REG 2L(MAIOR 55MM)</x:v>
      </x:c>
      <x:c r="I409" s="184" t="str"/>
      <x:c r="J409" s="184" t="str"/>
      <x:c r="K409" s="184" t="str">
        <x:v>RECOBERTO PET</x:v>
      </x:c>
      <x:c r="L409" s="184" t="str">
        <x:v>CARVALHO PESCARA</x:v>
      </x:c>
      <x:c r="M409" s="205" t="n">
        <x:v>40</x:v>
      </x:c>
      <x:c r="N409" s="205" t="n">
        <x:v>2200</x:v>
      </x:c>
      <x:c r="O409" s="205" t="n">
        <x:v>50</x:v>
      </x:c>
      <x:c r="P409" s="205" t="n">
        <x:v>9</x:v>
      </x:c>
      <x:c r="Q409" s="206" t="n">
        <x:v>0</x:v>
      </x:c>
      <x:c r="R409" s="207" t="str"/>
      <x:c r="S409" s="207" t="str"/>
      <x:c r="T409" s="207" t="str"/>
      <x:c r="U409" s="207" t="n">
        <x:v>0</x:v>
      </x:c>
      <x:c r="V409" s="208" t="n">
        <x:f>MAX(0,M409-U409)</x:f>
        <x:v>40</x:v>
      </x:c>
      <x:c r="W409" s="209" t="n">
        <x:f>IFERROR(U409/M409,0)</x:f>
        <x:v>0</x:v>
      </x:c>
      <x:c r="X409" s="201" t="str">
        <x:f>IF(U409=0,"Não iniciado",IF(U409&gt;=M409,"Concluído","Parcial"))</x:f>
        <x:v>Não iniciado</x:v>
      </x:c>
      <x:c r="Y409" s="199" t="str"/>
      <x:c r="Z409" s="188" t="str">
        <x:v>Normal</x:v>
      </x:c>
    </x:row>
    <x:row r="410" ht="22" customHeight="1">
      <x:c r="A410" s="219" t="n">
        <x:v>406</x:v>
      </x:c>
      <x:c r="B410" s="220" t="str">
        <x:v>26520</x:v>
      </x:c>
      <x:c r="C410" s="220" t="str">
        <x:v>9</x:v>
      </x:c>
      <x:c r="D410" s="220" t="str">
        <x:v>610115</x:v>
      </x:c>
      <x:c r="E410" s="220" t="str">
        <x:v>975915</x:v>
      </x:c>
      <x:c r="F410" s="220" t="str">
        <x:v>OUTROS</x:v>
      </x:c>
      <x:c r="G410" s="190" t="str">
        <x:v>PE AL 2200X50X9 RTO RL55 REC PET CURUP(U</x:v>
      </x:c>
      <x:c r="H410" s="190" t="str">
        <x:v>REG 1L(MAIOR 55MM)</x:v>
      </x:c>
      <x:c r="I410" s="190" t="str"/>
      <x:c r="J410" s="190" t="str"/>
      <x:c r="K410" s="190" t="str">
        <x:v>RECOBERTO PET</x:v>
      </x:c>
      <x:c r="L410" s="190" t="str">
        <x:v>CURUPIXA RAVENNA</x:v>
      </x:c>
      <x:c r="M410" s="210" t="n">
        <x:v>2</x:v>
      </x:c>
      <x:c r="N410" s="210" t="n">
        <x:v>2200</x:v>
      </x:c>
      <x:c r="O410" s="210" t="n">
        <x:v>50</x:v>
      </x:c>
      <x:c r="P410" s="210" t="n">
        <x:v>9</x:v>
      </x:c>
      <x:c r="Q410" s="211" t="n">
        <x:v>0</x:v>
      </x:c>
      <x:c r="R410" s="207" t="str"/>
      <x:c r="S410" s="207" t="str"/>
      <x:c r="T410" s="207" t="str"/>
      <x:c r="U410" s="207" t="n">
        <x:v>0</x:v>
      </x:c>
      <x:c r="V410" s="208" t="n">
        <x:f>MAX(0,M410-U410)</x:f>
        <x:v>2</x:v>
      </x:c>
      <x:c r="W410" s="209" t="n">
        <x:f>IFERROR(U410/M410,0)</x:f>
        <x:v>0</x:v>
      </x:c>
      <x:c r="X410" s="201" t="str">
        <x:f>IF(U410=0,"Não iniciado",IF(U410&gt;=M410,"Concluído","Parcial"))</x:f>
        <x:v>Não iniciado</x:v>
      </x:c>
      <x:c r="Y410" s="199" t="str"/>
      <x:c r="Z410" s="188" t="str">
        <x:v>Normal</x:v>
      </x:c>
    </x:row>
    <x:row r="411" ht="22" customHeight="1">
      <x:c r="A411" s="217" t="n">
        <x:v>407</x:v>
      </x:c>
      <x:c r="B411" s="218" t="str">
        <x:v>26520</x:v>
      </x:c>
      <x:c r="C411" s="218" t="str">
        <x:v>11</x:v>
      </x:c>
      <x:c r="D411" s="218" t="str">
        <x:v>610124</x:v>
      </x:c>
      <x:c r="E411" s="218" t="str">
        <x:v>975915</x:v>
      </x:c>
      <x:c r="F411" s="218" t="str">
        <x:v>OUTROS</x:v>
      </x:c>
      <x:c r="G411" s="184" t="str">
        <x:v>PE AL 2200X50X9 RTO RL55 REC PET CURUP(U</x:v>
      </x:c>
      <x:c r="H411" s="184" t="str"/>
      <x:c r="I411" s="184" t="str"/>
      <x:c r="J411" s="184" t="str"/>
      <x:c r="K411" s="184" t="str">
        <x:v>RECOBERTO PET</x:v>
      </x:c>
      <x:c r="L411" s="184" t="str">
        <x:v>CURUPIXA RAVENNA</x:v>
      </x:c>
      <x:c r="M411" s="205" t="n">
        <x:v>6</x:v>
      </x:c>
      <x:c r="N411" s="205" t="n">
        <x:v>2200</x:v>
      </x:c>
      <x:c r="O411" s="205" t="n">
        <x:v>50</x:v>
      </x:c>
      <x:c r="P411" s="205" t="n">
        <x:v>9</x:v>
      </x:c>
      <x:c r="Q411" s="206" t="n">
        <x:v>0</x:v>
      </x:c>
      <x:c r="R411" s="207" t="str"/>
      <x:c r="S411" s="207" t="str"/>
      <x:c r="T411" s="207" t="str"/>
      <x:c r="U411" s="207" t="n">
        <x:v>0</x:v>
      </x:c>
      <x:c r="V411" s="208" t="n">
        <x:f>MAX(0,M411-U411)</x:f>
        <x:v>6</x:v>
      </x:c>
      <x:c r="W411" s="209" t="n">
        <x:f>IFERROR(U411/M411,0)</x:f>
        <x:v>0</x:v>
      </x:c>
      <x:c r="X411" s="201" t="str">
        <x:f>IF(U411=0,"Não iniciado",IF(U411&gt;=M411,"Concluído","Parcial"))</x:f>
        <x:v>Não iniciado</x:v>
      </x:c>
      <x:c r="Y411" s="199" t="str"/>
      <x:c r="Z411" s="188" t="str">
        <x:v>Normal</x:v>
      </x:c>
    </x:row>
    <x:row r="412" ht="22" customHeight="1">
      <x:c r="A412" s="219" t="n">
        <x:v>408</x:v>
      </x:c>
      <x:c r="B412" s="220" t="str">
        <x:v>26520</x:v>
      </x:c>
      <x:c r="C412" s="220" t="str">
        <x:v>11</x:v>
      </x:c>
      <x:c r="D412" s="220" t="str">
        <x:v>610126</x:v>
      </x:c>
      <x:c r="E412" s="220" t="str">
        <x:v>975918</x:v>
      </x:c>
      <x:c r="F412" s="220" t="str">
        <x:v>OUTROS</x:v>
      </x:c>
      <x:c r="G412" s="190" t="str">
        <x:v>PE AL 2200X50X9 RTO LME REC PET CURUP(UL</x:v>
      </x:c>
      <x:c r="H412" s="190" t="str"/>
      <x:c r="I412" s="190" t="str"/>
      <x:c r="J412" s="190" t="str"/>
      <x:c r="K412" s="190" t="str">
        <x:v>RECOBERTO PET</x:v>
      </x:c>
      <x:c r="L412" s="190" t="str">
        <x:v>CURUPIXA RAVENNA</x:v>
      </x:c>
      <x:c r="M412" s="210" t="n">
        <x:v>6</x:v>
      </x:c>
      <x:c r="N412" s="210" t="n">
        <x:v>2200</x:v>
      </x:c>
      <x:c r="O412" s="210" t="n">
        <x:v>50</x:v>
      </x:c>
      <x:c r="P412" s="210" t="n">
        <x:v>9</x:v>
      </x:c>
      <x:c r="Q412" s="211" t="n">
        <x:v>0</x:v>
      </x:c>
      <x:c r="R412" s="207" t="str"/>
      <x:c r="S412" s="207" t="str"/>
      <x:c r="T412" s="207" t="str"/>
      <x:c r="U412" s="207" t="n">
        <x:v>0</x:v>
      </x:c>
      <x:c r="V412" s="208" t="n">
        <x:f>MAX(0,M412-U412)</x:f>
        <x:v>6</x:v>
      </x:c>
      <x:c r="W412" s="209" t="n">
        <x:f>IFERROR(U412/M412,0)</x:f>
        <x:v>0</x:v>
      </x:c>
      <x:c r="X412" s="201" t="str">
        <x:f>IF(U412=0,"Não iniciado",IF(U412&gt;=M412,"Concluído","Parcial"))</x:f>
        <x:v>Não iniciado</x:v>
      </x:c>
      <x:c r="Y412" s="199" t="str"/>
      <x:c r="Z412" s="188" t="str">
        <x:v>Normal</x:v>
      </x:c>
    </x:row>
    <x:row r="413" ht="22" customHeight="1">
      <x:c r="A413" s="217" t="n">
        <x:v>409</x:v>
      </x:c>
      <x:c r="B413" s="218" t="str">
        <x:v>26520</x:v>
      </x:c>
      <x:c r="C413" s="218" t="str">
        <x:v>12</x:v>
      </x:c>
      <x:c r="D413" s="218" t="str">
        <x:v>610132</x:v>
      </x:c>
      <x:c r="E413" s="218" t="str">
        <x:v>975915</x:v>
      </x:c>
      <x:c r="F413" s="218" t="str">
        <x:v>OUTROS</x:v>
      </x:c>
      <x:c r="G413" s="184" t="str">
        <x:v>PE AL 2200X50X9 RTO RL55 REC PET CURUP(U</x:v>
      </x:c>
      <x:c r="H413" s="184" t="str"/>
      <x:c r="I413" s="184" t="str"/>
      <x:c r="J413" s="184" t="str"/>
      <x:c r="K413" s="184" t="str">
        <x:v>RECOBERTO PET</x:v>
      </x:c>
      <x:c r="L413" s="184" t="str">
        <x:v>CURUPIXA RAVENNA</x:v>
      </x:c>
      <x:c r="M413" s="205" t="n">
        <x:v>2</x:v>
      </x:c>
      <x:c r="N413" s="205" t="n">
        <x:v>2200</x:v>
      </x:c>
      <x:c r="O413" s="205" t="n">
        <x:v>50</x:v>
      </x:c>
      <x:c r="P413" s="205" t="n">
        <x:v>9</x:v>
      </x:c>
      <x:c r="Q413" s="206" t="n">
        <x:v>0</x:v>
      </x:c>
      <x:c r="R413" s="207" t="str"/>
      <x:c r="S413" s="207" t="str"/>
      <x:c r="T413" s="207" t="str"/>
      <x:c r="U413" s="207" t="n">
        <x:v>0</x:v>
      </x:c>
      <x:c r="V413" s="208" t="n">
        <x:f>MAX(0,M413-U413)</x:f>
        <x:v>2</x:v>
      </x:c>
      <x:c r="W413" s="209" t="n">
        <x:f>IFERROR(U413/M413,0)</x:f>
        <x:v>0</x:v>
      </x:c>
      <x:c r="X413" s="201" t="str">
        <x:f>IF(U413=0,"Não iniciado",IF(U413&gt;=M413,"Concluído","Parcial"))</x:f>
        <x:v>Não iniciado</x:v>
      </x:c>
      <x:c r="Y413" s="199" t="str"/>
      <x:c r="Z413" s="188" t="str">
        <x:v>Normal</x:v>
      </x:c>
    </x:row>
    <x:row r="414" ht="22" customHeight="1">
      <x:c r="A414" s="219" t="n">
        <x:v>410</x:v>
      </x:c>
      <x:c r="B414" s="220" t="str">
        <x:v>26520</x:v>
      </x:c>
      <x:c r="C414" s="220" t="str">
        <x:v>12</x:v>
      </x:c>
      <x:c r="D414" s="220" t="str">
        <x:v>610134</x:v>
      </x:c>
      <x:c r="E414" s="220" t="str">
        <x:v>975918</x:v>
      </x:c>
      <x:c r="F414" s="220" t="str">
        <x:v>OUTROS</x:v>
      </x:c>
      <x:c r="G414" s="190" t="str">
        <x:v>PE AL 2200X50X9 RTO LME REC PET CURUP(UL</x:v>
      </x:c>
      <x:c r="H414" s="190" t="str"/>
      <x:c r="I414" s="190" t="str"/>
      <x:c r="J414" s="190" t="str"/>
      <x:c r="K414" s="190" t="str">
        <x:v>RECOBERTO PET</x:v>
      </x:c>
      <x:c r="L414" s="190" t="str">
        <x:v>CURUPIXA RAVENNA</x:v>
      </x:c>
      <x:c r="M414" s="210" t="n">
        <x:v>2</x:v>
      </x:c>
      <x:c r="N414" s="210" t="n">
        <x:v>2200</x:v>
      </x:c>
      <x:c r="O414" s="210" t="n">
        <x:v>50</x:v>
      </x:c>
      <x:c r="P414" s="210" t="n">
        <x:v>9</x:v>
      </x:c>
      <x:c r="Q414" s="211" t="n">
        <x:v>0</x:v>
      </x:c>
      <x:c r="R414" s="207" t="str"/>
      <x:c r="S414" s="207" t="str"/>
      <x:c r="T414" s="207" t="str"/>
      <x:c r="U414" s="207" t="n">
        <x:v>0</x:v>
      </x:c>
      <x:c r="V414" s="208" t="n">
        <x:f>MAX(0,M414-U414)</x:f>
        <x:v>2</x:v>
      </x:c>
      <x:c r="W414" s="209" t="n">
        <x:f>IFERROR(U414/M414,0)</x:f>
        <x:v>0</x:v>
      </x:c>
      <x:c r="X414" s="201" t="str">
        <x:f>IF(U414=0,"Não iniciado",IF(U414&gt;=M414,"Concluído","Parcial"))</x:f>
        <x:v>Não iniciado</x:v>
      </x:c>
      <x:c r="Y414" s="199" t="str"/>
      <x:c r="Z414" s="188" t="str">
        <x:v>Normal</x:v>
      </x:c>
    </x:row>
    <x:row r="415" ht="22" customHeight="1">
      <x:c r="A415" s="217" t="n">
        <x:v>411</x:v>
      </x:c>
      <x:c r="B415" s="218" t="str">
        <x:v>26739</x:v>
      </x:c>
      <x:c r="C415" s="218" t="str">
        <x:v>4</x:v>
      </x:c>
      <x:c r="D415" s="218" t="str">
        <x:v>609634</x:v>
      </x:c>
      <x:c r="E415" s="218" t="str">
        <x:v>2020700629</x:v>
      </x:c>
      <x:c r="F415" s="218" t="str">
        <x:v>OUTROS</x:v>
      </x:c>
      <x:c r="G415" s="184" t="str">
        <x:v>A ULTRA PVC R BCO 1200X50X9 RG(ME) RTO</x:v>
      </x:c>
      <x:c r="H415" s="184" t="str">
        <x:v>REG 1L(MENOR)</x:v>
      </x:c>
      <x:c r="I415" s="184" t="str"/>
      <x:c r="J415" s="184" t="str"/>
      <x:c r="K415" s="184" t="str">
        <x:v>RECOBERTO PVC RENOLIT</x:v>
      </x:c>
      <x:c r="L415" s="184" t="str">
        <x:v>BRANCO</x:v>
      </x:c>
      <x:c r="M415" s="205" t="n">
        <x:v>16</x:v>
      </x:c>
      <x:c r="N415" s="205" t="n">
        <x:v>1200</x:v>
      </x:c>
      <x:c r="O415" s="205" t="n">
        <x:v>50</x:v>
      </x:c>
      <x:c r="P415" s="205" t="n">
        <x:v>9</x:v>
      </x:c>
      <x:c r="Q415" s="206" t="n">
        <x:v>0</x:v>
      </x:c>
      <x:c r="R415" s="207" t="str"/>
      <x:c r="S415" s="207" t="str"/>
      <x:c r="T415" s="207" t="str"/>
      <x:c r="U415" s="207" t="n">
        <x:v>0</x:v>
      </x:c>
      <x:c r="V415" s="208" t="n">
        <x:f>MAX(0,M415-U415)</x:f>
        <x:v>16</x:v>
      </x:c>
      <x:c r="W415" s="209" t="n">
        <x:f>IFERROR(U415/M415,0)</x:f>
        <x:v>0</x:v>
      </x:c>
      <x:c r="X415" s="201" t="str">
        <x:f>IF(U415=0,"Não iniciado",IF(U415&gt;=M415,"Concluído","Parcial"))</x:f>
        <x:v>Não iniciado</x:v>
      </x:c>
      <x:c r="Y415" s="199" t="str"/>
      <x:c r="Z415" s="188" t="str">
        <x:v>Normal</x:v>
      </x:c>
    </x:row>
    <x:row r="416" ht="22" customHeight="1">
      <x:c r="A416" s="219" t="n">
        <x:v>412</x:v>
      </x:c>
      <x:c r="B416" s="220" t="str">
        <x:v>26750</x:v>
      </x:c>
      <x:c r="C416" s="220" t="str">
        <x:v>5</x:v>
      </x:c>
      <x:c r="D416" s="220" t="str">
        <x:v>609797</x:v>
      </x:c>
      <x:c r="E416" s="220" t="str">
        <x:v>2020700629</x:v>
      </x:c>
      <x:c r="F416" s="220" t="str">
        <x:v>OUTROS</x:v>
      </x:c>
      <x:c r="G416" s="190" t="str">
        <x:v>A ULTRA PVC R BCO 1200X50X9 RG(ME) RTO</x:v>
      </x:c>
      <x:c r="H416" s="190" t="str">
        <x:v>REG 1L(MENOR)</x:v>
      </x:c>
      <x:c r="I416" s="190" t="str"/>
      <x:c r="J416" s="190" t="str"/>
      <x:c r="K416" s="190" t="str">
        <x:v>RECOBERTO PVC RENOLIT</x:v>
      </x:c>
      <x:c r="L416" s="190" t="str">
        <x:v>BRANCO</x:v>
      </x:c>
      <x:c r="M416" s="210" t="n">
        <x:v>11</x:v>
      </x:c>
      <x:c r="N416" s="210" t="n">
        <x:v>1200</x:v>
      </x:c>
      <x:c r="O416" s="210" t="n">
        <x:v>50</x:v>
      </x:c>
      <x:c r="P416" s="210" t="n">
        <x:v>9</x:v>
      </x:c>
      <x:c r="Q416" s="211" t="n">
        <x:v>0</x:v>
      </x:c>
      <x:c r="R416" s="207" t="str"/>
      <x:c r="S416" s="207" t="str"/>
      <x:c r="T416" s="207" t="str"/>
      <x:c r="U416" s="207" t="n">
        <x:v>0</x:v>
      </x:c>
      <x:c r="V416" s="208" t="n">
        <x:f>MAX(0,M416-U416)</x:f>
        <x:v>11</x:v>
      </x:c>
      <x:c r="W416" s="209" t="n">
        <x:f>IFERROR(U416/M416,0)</x:f>
        <x:v>0</x:v>
      </x:c>
      <x:c r="X416" s="201" t="str">
        <x:f>IF(U416=0,"Não iniciado",IF(U416&gt;=M416,"Concluído","Parcial"))</x:f>
        <x:v>Não iniciado</x:v>
      </x:c>
      <x:c r="Y416" s="199" t="str"/>
      <x:c r="Z416" s="188" t="str">
        <x:v>Normal</x:v>
      </x:c>
    </x:row>
    <x:row r="417" ht="22" customHeight="1">
      <x:c r="A417" s="217" t="n">
        <x:v>413</x:v>
      </x:c>
      <x:c r="B417" s="218" t="str">
        <x:v>26796</x:v>
      </x:c>
      <x:c r="C417" s="218" t="str">
        <x:v>2</x:v>
      </x:c>
      <x:c r="D417" s="218" t="str">
        <x:v>609293</x:v>
      </x:c>
      <x:c r="E417" s="218" t="str">
        <x:v>985577</x:v>
      </x:c>
      <x:c r="F417" s="218" t="str">
        <x:v>ALIZAR</x:v>
      </x:c>
      <x:c r="G417" s="184" t="str">
        <x:v>T A 1100X50X9 RTO LME PET BCO TXT (STD)</x:v>
      </x:c>
      <x:c r="H417" s="184" t="str"/>
      <x:c r="I417" s="184" t="str"/>
      <x:c r="J417" s="184" t="str"/>
      <x:c r="K417" s="184" t="str">
        <x:v>ESMALTE</x:v>
      </x:c>
      <x:c r="L417" s="184" t="str">
        <x:v>BRANCO</x:v>
      </x:c>
      <x:c r="M417" s="205" t="n">
        <x:v>48</x:v>
      </x:c>
      <x:c r="N417" s="205" t="n">
        <x:v>1100</x:v>
      </x:c>
      <x:c r="O417" s="205" t="n">
        <x:v>50</x:v>
      </x:c>
      <x:c r="P417" s="205" t="n">
        <x:v>9</x:v>
      </x:c>
      <x:c r="Q417" s="206" t="n">
        <x:v>0</x:v>
      </x:c>
      <x:c r="R417" s="207" t="str"/>
      <x:c r="S417" s="207" t="str"/>
      <x:c r="T417" s="207" t="str"/>
      <x:c r="U417" s="207" t="n">
        <x:v>0</x:v>
      </x:c>
      <x:c r="V417" s="208" t="n">
        <x:f>MAX(0,M417-U417)</x:f>
        <x:v>48</x:v>
      </x:c>
      <x:c r="W417" s="209" t="n">
        <x:f>IFERROR(U417/M417,0)</x:f>
        <x:v>0</x:v>
      </x:c>
      <x:c r="X417" s="201" t="str">
        <x:f>IF(U417=0,"Não iniciado",IF(U417&gt;=M417,"Concluído","Parcial"))</x:f>
        <x:v>Não iniciado</x:v>
      </x:c>
      <x:c r="Y417" s="199" t="str"/>
      <x:c r="Z417" s="188" t="str">
        <x:v>Normal</x:v>
      </x:c>
    </x:row>
    <x:row r="418" ht="22" customHeight="1">
      <x:c r="A418" s="219" t="n">
        <x:v>414</x:v>
      </x:c>
      <x:c r="B418" s="220" t="str">
        <x:v>26799</x:v>
      </x:c>
      <x:c r="C418" s="220" t="str">
        <x:v>2</x:v>
      </x:c>
      <x:c r="D418" s="220" t="str">
        <x:v>609398</x:v>
      </x:c>
      <x:c r="E418" s="220" t="str">
        <x:v>985577</x:v>
      </x:c>
      <x:c r="F418" s="220" t="str">
        <x:v>ALIZAR</x:v>
      </x:c>
      <x:c r="G418" s="190" t="str">
        <x:v>T A 1100X50X9 RTO LME PET BCO TXT (STD)</x:v>
      </x:c>
      <x:c r="H418" s="190" t="str"/>
      <x:c r="I418" s="190" t="str"/>
      <x:c r="J418" s="190" t="str"/>
      <x:c r="K418" s="190" t="str">
        <x:v>ESMALTE</x:v>
      </x:c>
      <x:c r="L418" s="190" t="str">
        <x:v>BRANCO</x:v>
      </x:c>
      <x:c r="M418" s="210" t="n">
        <x:v>16</x:v>
      </x:c>
      <x:c r="N418" s="210" t="n">
        <x:v>1100</x:v>
      </x:c>
      <x:c r="O418" s="210" t="n">
        <x:v>50</x:v>
      </x:c>
      <x:c r="P418" s="210" t="n">
        <x:v>9</x:v>
      </x:c>
      <x:c r="Q418" s="211" t="n">
        <x:v>0</x:v>
      </x:c>
      <x:c r="R418" s="207" t="str"/>
      <x:c r="S418" s="207" t="str"/>
      <x:c r="T418" s="207" t="str"/>
      <x:c r="U418" s="207" t="n">
        <x:v>0</x:v>
      </x:c>
      <x:c r="V418" s="208" t="n">
        <x:f>MAX(0,M418-U418)</x:f>
        <x:v>16</x:v>
      </x:c>
      <x:c r="W418" s="209" t="n">
        <x:f>IFERROR(U418/M418,0)</x:f>
        <x:v>0</x:v>
      </x:c>
      <x:c r="X418" s="201" t="str">
        <x:f>IF(U418=0,"Não iniciado",IF(U418&gt;=M418,"Concluído","Parcial"))</x:f>
        <x:v>Não iniciado</x:v>
      </x:c>
      <x:c r="Y418" s="199" t="str"/>
      <x:c r="Z418" s="188" t="str">
        <x:v>Normal</x:v>
      </x:c>
    </x:row>
    <x:row r="419" ht="22" customHeight="1">
      <x:c r="A419" s="217" t="n">
        <x:v>415</x:v>
      </x:c>
      <x:c r="B419" s="218" t="str">
        <x:v>26824</x:v>
      </x:c>
      <x:c r="C419" s="218" t="str">
        <x:v>2</x:v>
      </x:c>
      <x:c r="D419" s="218" t="str">
        <x:v>609589</x:v>
      </x:c>
      <x:c r="E419" s="218" t="str">
        <x:v>985577</x:v>
      </x:c>
      <x:c r="F419" s="218" t="str">
        <x:v>ALIZAR</x:v>
      </x:c>
      <x:c r="G419" s="184" t="str">
        <x:v>T A 1100X50X9 RTO LME PET BCO TXT (STD)</x:v>
      </x:c>
      <x:c r="H419" s="184" t="str"/>
      <x:c r="I419" s="184" t="str"/>
      <x:c r="J419" s="184" t="str"/>
      <x:c r="K419" s="184" t="str">
        <x:v>ESMALTE</x:v>
      </x:c>
      <x:c r="L419" s="184" t="str">
        <x:v>BRANCO</x:v>
      </x:c>
      <x:c r="M419" s="205" t="n">
        <x:v>181</x:v>
      </x:c>
      <x:c r="N419" s="205" t="n">
        <x:v>1100</x:v>
      </x:c>
      <x:c r="O419" s="205" t="n">
        <x:v>50</x:v>
      </x:c>
      <x:c r="P419" s="205" t="n">
        <x:v>9</x:v>
      </x:c>
      <x:c r="Q419" s="206" t="n">
        <x:v>0</x:v>
      </x:c>
      <x:c r="R419" s="207" t="str"/>
      <x:c r="S419" s="207" t="str"/>
      <x:c r="T419" s="207" t="str"/>
      <x:c r="U419" s="207" t="n">
        <x:v>0</x:v>
      </x:c>
      <x:c r="V419" s="208" t="n">
        <x:f>MAX(0,M419-U419)</x:f>
        <x:v>181</x:v>
      </x:c>
      <x:c r="W419" s="209" t="n">
        <x:f>IFERROR(U419/M419,0)</x:f>
        <x:v>0</x:v>
      </x:c>
      <x:c r="X419" s="201" t="str">
        <x:f>IF(U419=0,"Não iniciado",IF(U419&gt;=M419,"Concluído","Parcial"))</x:f>
        <x:v>Não iniciado</x:v>
      </x:c>
      <x:c r="Y419" s="199" t="str"/>
      <x:c r="Z419" s="188" t="str">
        <x:v>Normal</x:v>
      </x:c>
    </x:row>
    <x:row r="420" ht="22" customHeight="1">
      <x:c r="A420" s="219" t="n">
        <x:v>416</x:v>
      </x:c>
      <x:c r="B420" s="220" t="str">
        <x:v>26824</x:v>
      </x:c>
      <x:c r="C420" s="220" t="str">
        <x:v>2</x:v>
      </x:c>
      <x:c r="D420" s="220" t="str">
        <x:v>609590</x:v>
      </x:c>
      <x:c r="E420" s="220" t="str">
        <x:v>986505</x:v>
      </x:c>
      <x:c r="F420" s="220" t="str">
        <x:v>ALIZAR</x:v>
      </x:c>
      <x:c r="G420" s="190" t="str">
        <x:v>T A 1100X50X9 RT RL55 PET BCO TXT (STD)</x:v>
      </x:c>
      <x:c r="H420" s="190" t="str"/>
      <x:c r="I420" s="190" t="str"/>
      <x:c r="J420" s="190" t="str"/>
      <x:c r="K420" s="190" t="str">
        <x:v>ESMALTE</x:v>
      </x:c>
      <x:c r="L420" s="190" t="str">
        <x:v>BRANCO</x:v>
      </x:c>
      <x:c r="M420" s="210" t="n">
        <x:v>181</x:v>
      </x:c>
      <x:c r="N420" s="210" t="n">
        <x:v>1100</x:v>
      </x:c>
      <x:c r="O420" s="210" t="n">
        <x:v>50</x:v>
      </x:c>
      <x:c r="P420" s="210" t="n">
        <x:v>9</x:v>
      </x:c>
      <x:c r="Q420" s="211" t="n">
        <x:v>0</x:v>
      </x:c>
      <x:c r="R420" s="207" t="str"/>
      <x:c r="S420" s="207" t="str"/>
      <x:c r="T420" s="207" t="str"/>
      <x:c r="U420" s="207" t="n">
        <x:v>0</x:v>
      </x:c>
      <x:c r="V420" s="208" t="n">
        <x:f>MAX(0,M420-U420)</x:f>
        <x:v>181</x:v>
      </x:c>
      <x:c r="W420" s="209" t="n">
        <x:f>IFERROR(U420/M420,0)</x:f>
        <x:v>0</x:v>
      </x:c>
      <x:c r="X420" s="201" t="str">
        <x:f>IF(U420=0,"Não iniciado",IF(U420&gt;=M420,"Concluído","Parcial"))</x:f>
        <x:v>Não iniciado</x:v>
      </x:c>
      <x:c r="Y420" s="199" t="str"/>
      <x:c r="Z420" s="188" t="str">
        <x:v>Normal</x:v>
      </x:c>
    </x:row>
    <x:row r="421" ht="22" customHeight="1">
      <x:c r="A421" s="217" t="n">
        <x:v>417</x:v>
      </x:c>
      <x:c r="B421" s="218" t="str">
        <x:v>26824</x:v>
      </x:c>
      <x:c r="C421" s="218" t="str">
        <x:v>4</x:v>
      </x:c>
      <x:c r="D421" s="218" t="str">
        <x:v>609605</x:v>
      </x:c>
      <x:c r="E421" s="218" t="str">
        <x:v>985576</x:v>
      </x:c>
      <x:c r="F421" s="218" t="str">
        <x:v>ALIZAR</x:v>
      </x:c>
      <x:c r="G421" s="184" t="str">
        <x:v>T A 1100X50X9 RT RL80 PET BCO TXT (STD)</x:v>
      </x:c>
      <x:c r="H421" s="184" t="str"/>
      <x:c r="I421" s="184" t="str"/>
      <x:c r="J421" s="184" t="str"/>
      <x:c r="K421" s="184" t="str">
        <x:v>ESMALTE</x:v>
      </x:c>
      <x:c r="L421" s="184" t="str">
        <x:v>BRANCO</x:v>
      </x:c>
      <x:c r="M421" s="205" t="n">
        <x:v>42</x:v>
      </x:c>
      <x:c r="N421" s="205" t="n">
        <x:v>1100</x:v>
      </x:c>
      <x:c r="O421" s="205" t="n">
        <x:v>50</x:v>
      </x:c>
      <x:c r="P421" s="205" t="n">
        <x:v>9</x:v>
      </x:c>
      <x:c r="Q421" s="206" t="n">
        <x:v>0</x:v>
      </x:c>
      <x:c r="R421" s="207" t="str"/>
      <x:c r="S421" s="207" t="str"/>
      <x:c r="T421" s="207" t="str"/>
      <x:c r="U421" s="207" t="n">
        <x:v>0</x:v>
      </x:c>
      <x:c r="V421" s="208" t="n">
        <x:f>MAX(0,M421-U421)</x:f>
        <x:v>42</x:v>
      </x:c>
      <x:c r="W421" s="209" t="n">
        <x:f>IFERROR(U421/M421,0)</x:f>
        <x:v>0</x:v>
      </x:c>
      <x:c r="X421" s="201" t="str">
        <x:f>IF(U421=0,"Não iniciado",IF(U421&gt;=M421,"Concluído","Parcial"))</x:f>
        <x:v>Não iniciado</x:v>
      </x:c>
      <x:c r="Y421" s="199" t="str"/>
      <x:c r="Z421" s="188" t="str">
        <x:v>Normal</x:v>
      </x:c>
    </x:row>
    <x:row r="422" ht="22" customHeight="1">
      <x:c r="A422" s="219" t="n">
        <x:v>418</x:v>
      </x:c>
      <x:c r="B422" s="220" t="str">
        <x:v>26824</x:v>
      </x:c>
      <x:c r="C422" s="220" t="str">
        <x:v>4</x:v>
      </x:c>
      <x:c r="D422" s="220" t="str">
        <x:v>609606</x:v>
      </x:c>
      <x:c r="E422" s="220" t="str">
        <x:v>985577</x:v>
      </x:c>
      <x:c r="F422" s="220" t="str">
        <x:v>ALIZAR</x:v>
      </x:c>
      <x:c r="G422" s="190" t="str">
        <x:v>T A 1100X50X9 RTO LME PET BCO TXT (STD)</x:v>
      </x:c>
      <x:c r="H422" s="190" t="str"/>
      <x:c r="I422" s="190" t="str"/>
      <x:c r="J422" s="190" t="str"/>
      <x:c r="K422" s="190" t="str">
        <x:v>ESMALTE</x:v>
      </x:c>
      <x:c r="L422" s="190" t="str">
        <x:v>BRANCO</x:v>
      </x:c>
      <x:c r="M422" s="210" t="n">
        <x:v>42</x:v>
      </x:c>
      <x:c r="N422" s="210" t="n">
        <x:v>1100</x:v>
      </x:c>
      <x:c r="O422" s="210" t="n">
        <x:v>50</x:v>
      </x:c>
      <x:c r="P422" s="210" t="n">
        <x:v>9</x:v>
      </x:c>
      <x:c r="Q422" s="211" t="n">
        <x:v>0</x:v>
      </x:c>
      <x:c r="R422" s="207" t="str"/>
      <x:c r="S422" s="207" t="str"/>
      <x:c r="T422" s="207" t="str"/>
      <x:c r="U422" s="207" t="n">
        <x:v>0</x:v>
      </x:c>
      <x:c r="V422" s="208" t="n">
        <x:f>MAX(0,M422-U422)</x:f>
        <x:v>42</x:v>
      </x:c>
      <x:c r="W422" s="209" t="n">
        <x:f>IFERROR(U422/M422,0)</x:f>
        <x:v>0</x:v>
      </x:c>
      <x:c r="X422" s="201" t="str">
        <x:f>IF(U422=0,"Não iniciado",IF(U422&gt;=M422,"Concluído","Parcial"))</x:f>
        <x:v>Não iniciado</x:v>
      </x:c>
      <x:c r="Y422" s="199" t="str"/>
      <x:c r="Z422" s="188" t="str">
        <x:v>Normal</x:v>
      </x:c>
    </x:row>
    <x:row r="423" ht="22" customHeight="1">
      <x:c r="A423" s="217" t="n">
        <x:v>419</x:v>
      </x:c>
      <x:c r="B423" s="218" t="str">
        <x:v>26824</x:v>
      </x:c>
      <x:c r="C423" s="218" t="str">
        <x:v>5</x:v>
      </x:c>
      <x:c r="D423" s="218" t="str">
        <x:v>609613</x:v>
      </x:c>
      <x:c r="E423" s="218" t="str">
        <x:v>985577</x:v>
      </x:c>
      <x:c r="F423" s="218" t="str">
        <x:v>ALIZAR</x:v>
      </x:c>
      <x:c r="G423" s="184" t="str">
        <x:v>T A 1100X50X9 RTO LME PET BCO TXT (STD)</x:v>
      </x:c>
      <x:c r="H423" s="184" t="str"/>
      <x:c r="I423" s="184" t="str"/>
      <x:c r="J423" s="184" t="str"/>
      <x:c r="K423" s="184" t="str">
        <x:v>ESMALTE</x:v>
      </x:c>
      <x:c r="L423" s="184" t="str">
        <x:v>BRANCO</x:v>
      </x:c>
      <x:c r="M423" s="205" t="n">
        <x:v>21</x:v>
      </x:c>
      <x:c r="N423" s="205" t="n">
        <x:v>1100</x:v>
      </x:c>
      <x:c r="O423" s="205" t="n">
        <x:v>50</x:v>
      </x:c>
      <x:c r="P423" s="205" t="n">
        <x:v>9</x:v>
      </x:c>
      <x:c r="Q423" s="206" t="n">
        <x:v>0</x:v>
      </x:c>
      <x:c r="R423" s="207" t="str"/>
      <x:c r="S423" s="207" t="str"/>
      <x:c r="T423" s="207" t="str"/>
      <x:c r="U423" s="207" t="n">
        <x:v>0</x:v>
      </x:c>
      <x:c r="V423" s="208" t="n">
        <x:f>MAX(0,M423-U423)</x:f>
        <x:v>21</x:v>
      </x:c>
      <x:c r="W423" s="209" t="n">
        <x:f>IFERROR(U423/M423,0)</x:f>
        <x:v>0</x:v>
      </x:c>
      <x:c r="X423" s="201" t="str">
        <x:f>IF(U423=0,"Não iniciado",IF(U423&gt;=M423,"Concluído","Parcial"))</x:f>
        <x:v>Não iniciado</x:v>
      </x:c>
      <x:c r="Y423" s="199" t="str"/>
      <x:c r="Z423" s="188" t="str">
        <x:v>Normal</x:v>
      </x:c>
    </x:row>
    <x:row r="424" ht="22" customHeight="1">
      <x:c r="A424" s="219" t="n">
        <x:v>420</x:v>
      </x:c>
      <x:c r="B424" s="220" t="str">
        <x:v>26824</x:v>
      </x:c>
      <x:c r="C424" s="220" t="str">
        <x:v>5</x:v>
      </x:c>
      <x:c r="D424" s="220" t="str">
        <x:v>609614</x:v>
      </x:c>
      <x:c r="E424" s="220" t="str">
        <x:v>986505</x:v>
      </x:c>
      <x:c r="F424" s="220" t="str">
        <x:v>ALIZAR</x:v>
      </x:c>
      <x:c r="G424" s="190" t="str">
        <x:v>T A 1100X50X9 RT RL55 PET BCO TXT (STD)</x:v>
      </x:c>
      <x:c r="H424" s="190" t="str"/>
      <x:c r="I424" s="190" t="str"/>
      <x:c r="J424" s="190" t="str"/>
      <x:c r="K424" s="190" t="str">
        <x:v>ESMALTE</x:v>
      </x:c>
      <x:c r="L424" s="190" t="str">
        <x:v>BRANCO</x:v>
      </x:c>
      <x:c r="M424" s="210" t="n">
        <x:v>21</x:v>
      </x:c>
      <x:c r="N424" s="210" t="n">
        <x:v>1100</x:v>
      </x:c>
      <x:c r="O424" s="210" t="n">
        <x:v>50</x:v>
      </x:c>
      <x:c r="P424" s="210" t="n">
        <x:v>9</x:v>
      </x:c>
      <x:c r="Q424" s="211" t="n">
        <x:v>0</x:v>
      </x:c>
      <x:c r="R424" s="207" t="str"/>
      <x:c r="S424" s="207" t="str"/>
      <x:c r="T424" s="207" t="str"/>
      <x:c r="U424" s="207" t="n">
        <x:v>0</x:v>
      </x:c>
      <x:c r="V424" s="208" t="n">
        <x:f>MAX(0,M424-U424)</x:f>
        <x:v>21</x:v>
      </x:c>
      <x:c r="W424" s="209" t="n">
        <x:f>IFERROR(U424/M424,0)</x:f>
        <x:v>0</x:v>
      </x:c>
      <x:c r="X424" s="201" t="str">
        <x:f>IF(U424=0,"Não iniciado",IF(U424&gt;=M424,"Concluído","Parcial"))</x:f>
        <x:v>Não iniciado</x:v>
      </x:c>
      <x:c r="Y424" s="199" t="str"/>
      <x:c r="Z424" s="188" t="str">
        <x:v>Normal</x:v>
      </x:c>
    </x:row>
    <x:row r="425" ht="22" customHeight="1">
      <x:c r="A425" s="217" t="n">
        <x:v>421</x:v>
      </x:c>
      <x:c r="B425" s="218" t="str">
        <x:v>26824</x:v>
      </x:c>
      <x:c r="C425" s="218" t="str">
        <x:v>6</x:v>
      </x:c>
      <x:c r="D425" s="218" t="str">
        <x:v>609621</x:v>
      </x:c>
      <x:c r="E425" s="218" t="str">
        <x:v>985576</x:v>
      </x:c>
      <x:c r="F425" s="218" t="str">
        <x:v>ALIZAR</x:v>
      </x:c>
      <x:c r="G425" s="184" t="str">
        <x:v>T A 1100X50X9 RT RL80 PET BCO TXT (STD)</x:v>
      </x:c>
      <x:c r="H425" s="184" t="str"/>
      <x:c r="I425" s="184" t="str"/>
      <x:c r="J425" s="184" t="str"/>
      <x:c r="K425" s="184" t="str">
        <x:v>ESMALTE</x:v>
      </x:c>
      <x:c r="L425" s="184" t="str">
        <x:v>BRANCO</x:v>
      </x:c>
      <x:c r="M425" s="205" t="n">
        <x:v>2</x:v>
      </x:c>
      <x:c r="N425" s="205" t="n">
        <x:v>1100</x:v>
      </x:c>
      <x:c r="O425" s="205" t="n">
        <x:v>50</x:v>
      </x:c>
      <x:c r="P425" s="205" t="n">
        <x:v>9</x:v>
      </x:c>
      <x:c r="Q425" s="206" t="n">
        <x:v>0</x:v>
      </x:c>
      <x:c r="R425" s="207" t="str"/>
      <x:c r="S425" s="207" t="str"/>
      <x:c r="T425" s="207" t="str"/>
      <x:c r="U425" s="207" t="n">
        <x:v>0</x:v>
      </x:c>
      <x:c r="V425" s="208" t="n">
        <x:f>MAX(0,M425-U425)</x:f>
        <x:v>2</x:v>
      </x:c>
      <x:c r="W425" s="209" t="n">
        <x:f>IFERROR(U425/M425,0)</x:f>
        <x:v>0</x:v>
      </x:c>
      <x:c r="X425" s="201" t="str">
        <x:f>IF(U425=0,"Não iniciado",IF(U425&gt;=M425,"Concluído","Parcial"))</x:f>
        <x:v>Não iniciado</x:v>
      </x:c>
      <x:c r="Y425" s="199" t="str"/>
      <x:c r="Z425" s="188" t="str">
        <x:v>Normal</x:v>
      </x:c>
    </x:row>
    <x:row r="426" ht="22" customHeight="1">
      <x:c r="A426" s="219" t="n">
        <x:v>422</x:v>
      </x:c>
      <x:c r="B426" s="220" t="str">
        <x:v>26824</x:v>
      </x:c>
      <x:c r="C426" s="220" t="str">
        <x:v>6</x:v>
      </x:c>
      <x:c r="D426" s="220" t="str">
        <x:v>609622</x:v>
      </x:c>
      <x:c r="E426" s="220" t="str">
        <x:v>985577</x:v>
      </x:c>
      <x:c r="F426" s="220" t="str">
        <x:v>ALIZAR</x:v>
      </x:c>
      <x:c r="G426" s="190" t="str">
        <x:v>T A 1100X50X9 RTO LME PET BCO TXT (STD)</x:v>
      </x:c>
      <x:c r="H426" s="190" t="str"/>
      <x:c r="I426" s="190" t="str"/>
      <x:c r="J426" s="190" t="str"/>
      <x:c r="K426" s="190" t="str">
        <x:v>ESMALTE</x:v>
      </x:c>
      <x:c r="L426" s="190" t="str">
        <x:v>BRANCO</x:v>
      </x:c>
      <x:c r="M426" s="210" t="n">
        <x:v>2</x:v>
      </x:c>
      <x:c r="N426" s="210" t="n">
        <x:v>1100</x:v>
      </x:c>
      <x:c r="O426" s="210" t="n">
        <x:v>50</x:v>
      </x:c>
      <x:c r="P426" s="210" t="n">
        <x:v>9</x:v>
      </x:c>
      <x:c r="Q426" s="211" t="n">
        <x:v>0</x:v>
      </x:c>
      <x:c r="R426" s="207" t="str"/>
      <x:c r="S426" s="207" t="str"/>
      <x:c r="T426" s="207" t="str"/>
      <x:c r="U426" s="207" t="n">
        <x:v>0</x:v>
      </x:c>
      <x:c r="V426" s="208" t="n">
        <x:f>MAX(0,M426-U426)</x:f>
        <x:v>2</x:v>
      </x:c>
      <x:c r="W426" s="209" t="n">
        <x:f>IFERROR(U426/M426,0)</x:f>
        <x:v>0</x:v>
      </x:c>
      <x:c r="X426" s="201" t="str">
        <x:f>IF(U426=0,"Não iniciado",IF(U426&gt;=M426,"Concluído","Parcial"))</x:f>
        <x:v>Não iniciado</x:v>
      </x:c>
      <x:c r="Y426" s="199" t="str"/>
      <x:c r="Z426" s="188" t="str">
        <x:v>Normal</x:v>
      </x:c>
    </x:row>
    <x:row r="427" ht="22" customHeight="1">
      <x:c r="A427" s="217" t="n">
        <x:v>423</x:v>
      </x:c>
      <x:c r="B427" s="218" t="str">
        <x:v>26826</x:v>
      </x:c>
      <x:c r="C427" s="218" t="str">
        <x:v>6</x:v>
      </x:c>
      <x:c r="D427" s="218" t="str">
        <x:v>609074</x:v>
      </x:c>
      <x:c r="E427" s="218" t="str">
        <x:v>985577</x:v>
      </x:c>
      <x:c r="F427" s="218" t="str">
        <x:v>ALIZAR</x:v>
      </x:c>
      <x:c r="G427" s="184" t="str">
        <x:v>T A 1100X50X9 RTO LME PET BCO TXT (STD)</x:v>
      </x:c>
      <x:c r="H427" s="184" t="str">
        <x:v>REG 2L(MAIOR 55MM)</x:v>
      </x:c>
      <x:c r="I427" s="184" t="str"/>
      <x:c r="J427" s="184" t="str"/>
      <x:c r="K427" s="184" t="str">
        <x:v>RECOBERTO PET TXT</x:v>
      </x:c>
      <x:c r="L427" s="184" t="str">
        <x:v>BRANCO</x:v>
      </x:c>
      <x:c r="M427" s="205" t="n">
        <x:v>115</x:v>
      </x:c>
      <x:c r="N427" s="205" t="n">
        <x:v>1100</x:v>
      </x:c>
      <x:c r="O427" s="205" t="n">
        <x:v>50</x:v>
      </x:c>
      <x:c r="P427" s="205" t="n">
        <x:v>9</x:v>
      </x:c>
      <x:c r="Q427" s="206" t="n">
        <x:v>0</x:v>
      </x:c>
      <x:c r="R427" s="207" t="str"/>
      <x:c r="S427" s="207" t="str"/>
      <x:c r="T427" s="207" t="str"/>
      <x:c r="U427" s="207" t="n">
        <x:v>0</x:v>
      </x:c>
      <x:c r="V427" s="208" t="n">
        <x:f>MAX(0,M427-U427)</x:f>
        <x:v>115</x:v>
      </x:c>
      <x:c r="W427" s="209" t="n">
        <x:f>IFERROR(U427/M427,0)</x:f>
        <x:v>0</x:v>
      </x:c>
      <x:c r="X427" s="201" t="str">
        <x:f>IF(U427=0,"Não iniciado",IF(U427&gt;=M427,"Concluído","Parcial"))</x:f>
        <x:v>Não iniciado</x:v>
      </x:c>
      <x:c r="Y427" s="199" t="str"/>
      <x:c r="Z427" s="188" t="str">
        <x:v>Normal</x:v>
      </x:c>
    </x:row>
    <x:row r="428" ht="22" customHeight="1">
      <x:c r="A428" s="219" t="n">
        <x:v>424</x:v>
      </x:c>
      <x:c r="B428" s="220" t="str">
        <x:v>26826</x:v>
      </x:c>
      <x:c r="C428" s="220" t="str">
        <x:v>6</x:v>
      </x:c>
      <x:c r="D428" s="220" t="str">
        <x:v>609075</x:v>
      </x:c>
      <x:c r="E428" s="220" t="str">
        <x:v>986505</x:v>
      </x:c>
      <x:c r="F428" s="220" t="str">
        <x:v>ALIZAR</x:v>
      </x:c>
      <x:c r="G428" s="190" t="str">
        <x:v>T A 1100X50X9 RT RL55 PET BCO TXT (STD)</x:v>
      </x:c>
      <x:c r="H428" s="190" t="str">
        <x:v>REG 2L(MAIOR 55MM)</x:v>
      </x:c>
      <x:c r="I428" s="190" t="str"/>
      <x:c r="J428" s="190" t="str"/>
      <x:c r="K428" s="190" t="str">
        <x:v>RECOBERTO PET TXT</x:v>
      </x:c>
      <x:c r="L428" s="190" t="str">
        <x:v>BRANCO</x:v>
      </x:c>
      <x:c r="M428" s="210" t="n">
        <x:v>115</x:v>
      </x:c>
      <x:c r="N428" s="210" t="n">
        <x:v>1100</x:v>
      </x:c>
      <x:c r="O428" s="210" t="n">
        <x:v>50</x:v>
      </x:c>
      <x:c r="P428" s="210" t="n">
        <x:v>9</x:v>
      </x:c>
      <x:c r="Q428" s="211" t="n">
        <x:v>0</x:v>
      </x:c>
      <x:c r="R428" s="207" t="str"/>
      <x:c r="S428" s="207" t="str"/>
      <x:c r="T428" s="207" t="str"/>
      <x:c r="U428" s="207" t="n">
        <x:v>0</x:v>
      </x:c>
      <x:c r="V428" s="208" t="n">
        <x:f>MAX(0,M428-U428)</x:f>
        <x:v>115</x:v>
      </x:c>
      <x:c r="W428" s="209" t="n">
        <x:f>IFERROR(U428/M428,0)</x:f>
        <x:v>0</x:v>
      </x:c>
      <x:c r="X428" s="201" t="str">
        <x:f>IF(U428=0,"Não iniciado",IF(U428&gt;=M428,"Concluído","Parcial"))</x:f>
        <x:v>Não iniciado</x:v>
      </x:c>
      <x:c r="Y428" s="199" t="str"/>
      <x:c r="Z428" s="188" t="str">
        <x:v>Normal</x:v>
      </x:c>
    </x:row>
    <x:row r="429" ht="22" customHeight="1">
      <x:c r="A429" s="217" t="n">
        <x:v>425</x:v>
      </x:c>
      <x:c r="B429" s="218" t="str">
        <x:v>26796</x:v>
      </x:c>
      <x:c r="C429" s="218" t="str">
        <x:v>1</x:v>
      </x:c>
      <x:c r="D429" s="218" t="str">
        <x:v>609285</x:v>
      </x:c>
      <x:c r="E429" s="218" t="str">
        <x:v>985577</x:v>
      </x:c>
      <x:c r="F429" s="218" t="str">
        <x:v>ALIZAR</x:v>
      </x:c>
      <x:c r="G429" s="184" t="str">
        <x:v>T A 1100X50X9 RTO LME PET BCO TXT (STD)</x:v>
      </x:c>
      <x:c r="H429" s="184" t="str"/>
      <x:c r="I429" s="184" t="str"/>
      <x:c r="J429" s="184" t="str"/>
      <x:c r="K429" s="184" t="str">
        <x:v>ESMALTE</x:v>
      </x:c>
      <x:c r="L429" s="184" t="str">
        <x:v>BRANCO CARRARA</x:v>
      </x:c>
      <x:c r="M429" s="205" t="n">
        <x:v>216</x:v>
      </x:c>
      <x:c r="N429" s="205" t="n">
        <x:v>1100</x:v>
      </x:c>
      <x:c r="O429" s="205" t="n">
        <x:v>50</x:v>
      </x:c>
      <x:c r="P429" s="205" t="n">
        <x:v>9</x:v>
      </x:c>
      <x:c r="Q429" s="206" t="n">
        <x:v>0</x:v>
      </x:c>
      <x:c r="R429" s="207" t="str"/>
      <x:c r="S429" s="207" t="str"/>
      <x:c r="T429" s="207" t="str"/>
      <x:c r="U429" s="207" t="n">
        <x:v>0</x:v>
      </x:c>
      <x:c r="V429" s="208" t="n">
        <x:f>MAX(0,M429-U429)</x:f>
        <x:v>216</x:v>
      </x:c>
      <x:c r="W429" s="209" t="n">
        <x:f>IFERROR(U429/M429,0)</x:f>
        <x:v>0</x:v>
      </x:c>
      <x:c r="X429" s="201" t="str">
        <x:f>IF(U429=0,"Não iniciado",IF(U429&gt;=M429,"Concluído","Parcial"))</x:f>
        <x:v>Não iniciado</x:v>
      </x:c>
      <x:c r="Y429" s="199" t="str"/>
      <x:c r="Z429" s="188" t="str">
        <x:v>Normal</x:v>
      </x:c>
    </x:row>
    <x:row r="430" ht="22" customHeight="1">
      <x:c r="A430" s="219" t="n">
        <x:v>426</x:v>
      </x:c>
      <x:c r="B430" s="220" t="str">
        <x:v>26796</x:v>
      </x:c>
      <x:c r="C430" s="220" t="str">
        <x:v>3</x:v>
      </x:c>
      <x:c r="D430" s="220" t="str">
        <x:v>609301</x:v>
      </x:c>
      <x:c r="E430" s="220" t="str">
        <x:v>985577</x:v>
      </x:c>
      <x:c r="F430" s="220" t="str">
        <x:v>ALIZAR</x:v>
      </x:c>
      <x:c r="G430" s="190" t="str">
        <x:v>T A 1100X50X9 RTO LME PET BCO TXT (STD)</x:v>
      </x:c>
      <x:c r="H430" s="190" t="str"/>
      <x:c r="I430" s="190" t="str"/>
      <x:c r="J430" s="190" t="str"/>
      <x:c r="K430" s="190" t="str">
        <x:v>ESMALTE</x:v>
      </x:c>
      <x:c r="L430" s="190" t="str">
        <x:v>BRANCO CARRARA</x:v>
      </x:c>
      <x:c r="M430" s="210" t="n">
        <x:v>192</x:v>
      </x:c>
      <x:c r="N430" s="210" t="n">
        <x:v>1100</x:v>
      </x:c>
      <x:c r="O430" s="210" t="n">
        <x:v>50</x:v>
      </x:c>
      <x:c r="P430" s="210" t="n">
        <x:v>9</x:v>
      </x:c>
      <x:c r="Q430" s="211" t="n">
        <x:v>0</x:v>
      </x:c>
      <x:c r="R430" s="207" t="str"/>
      <x:c r="S430" s="207" t="str"/>
      <x:c r="T430" s="207" t="str"/>
      <x:c r="U430" s="207" t="n">
        <x:v>0</x:v>
      </x:c>
      <x:c r="V430" s="208" t="n">
        <x:f>MAX(0,M430-U430)</x:f>
        <x:v>192</x:v>
      </x:c>
      <x:c r="W430" s="209" t="n">
        <x:f>IFERROR(U430/M430,0)</x:f>
        <x:v>0</x:v>
      </x:c>
      <x:c r="X430" s="201" t="str">
        <x:f>IF(U430=0,"Não iniciado",IF(U430&gt;=M430,"Concluído","Parcial"))</x:f>
        <x:v>Não iniciado</x:v>
      </x:c>
      <x:c r="Y430" s="199" t="str"/>
      <x:c r="Z430" s="188" t="str">
        <x:v>Normal</x:v>
      </x:c>
    </x:row>
    <x:row r="431" ht="22" customHeight="1">
      <x:c r="A431" s="217" t="n">
        <x:v>427</x:v>
      </x:c>
      <x:c r="B431" s="218" t="str">
        <x:v>26799</x:v>
      </x:c>
      <x:c r="C431" s="218" t="str">
        <x:v>1</x:v>
      </x:c>
      <x:c r="D431" s="218" t="str">
        <x:v>609390</x:v>
      </x:c>
      <x:c r="E431" s="218" t="str">
        <x:v>985577</x:v>
      </x:c>
      <x:c r="F431" s="218" t="str">
        <x:v>ALIZAR</x:v>
      </x:c>
      <x:c r="G431" s="184" t="str">
        <x:v>T A 1100X50X9 RTO LME PET BCO TXT (STD)</x:v>
      </x:c>
      <x:c r="H431" s="184" t="str"/>
      <x:c r="I431" s="184" t="str"/>
      <x:c r="J431" s="184" t="str"/>
      <x:c r="K431" s="184" t="str">
        <x:v>ESMALTE</x:v>
      </x:c>
      <x:c r="L431" s="184" t="str">
        <x:v>BRANCO CARRARA</x:v>
      </x:c>
      <x:c r="M431" s="205" t="n">
        <x:v>72</x:v>
      </x:c>
      <x:c r="N431" s="205" t="n">
        <x:v>1100</x:v>
      </x:c>
      <x:c r="O431" s="205" t="n">
        <x:v>50</x:v>
      </x:c>
      <x:c r="P431" s="205" t="n">
        <x:v>9</x:v>
      </x:c>
      <x:c r="Q431" s="206" t="n">
        <x:v>0</x:v>
      </x:c>
      <x:c r="R431" s="207" t="str"/>
      <x:c r="S431" s="207" t="str"/>
      <x:c r="T431" s="207" t="str"/>
      <x:c r="U431" s="207" t="n">
        <x:v>0</x:v>
      </x:c>
      <x:c r="V431" s="208" t="n">
        <x:f>MAX(0,M431-U431)</x:f>
        <x:v>72</x:v>
      </x:c>
      <x:c r="W431" s="209" t="n">
        <x:f>IFERROR(U431/M431,0)</x:f>
        <x:v>0</x:v>
      </x:c>
      <x:c r="X431" s="201" t="str">
        <x:f>IF(U431=0,"Não iniciado",IF(U431&gt;=M431,"Concluído","Parcial"))</x:f>
        <x:v>Não iniciado</x:v>
      </x:c>
      <x:c r="Y431" s="199" t="str"/>
      <x:c r="Z431" s="188" t="str">
        <x:v>Normal</x:v>
      </x:c>
    </x:row>
    <x:row r="432" ht="22" customHeight="1">
      <x:c r="A432" s="219" t="n">
        <x:v>428</x:v>
      </x:c>
      <x:c r="B432" s="220" t="str">
        <x:v>26799</x:v>
      </x:c>
      <x:c r="C432" s="220" t="str">
        <x:v>3</x:v>
      </x:c>
      <x:c r="D432" s="220" t="str">
        <x:v>609406</x:v>
      </x:c>
      <x:c r="E432" s="220" t="str">
        <x:v>985577</x:v>
      </x:c>
      <x:c r="F432" s="220" t="str">
        <x:v>ALIZAR</x:v>
      </x:c>
      <x:c r="G432" s="190" t="str">
        <x:v>T A 1100X50X9 RTO LME PET BCO TXT (STD)</x:v>
      </x:c>
      <x:c r="H432" s="190" t="str"/>
      <x:c r="I432" s="190" t="str"/>
      <x:c r="J432" s="190" t="str"/>
      <x:c r="K432" s="190" t="str">
        <x:v>ESMALTE</x:v>
      </x:c>
      <x:c r="L432" s="190" t="str">
        <x:v>BRANCO CARRARA</x:v>
      </x:c>
      <x:c r="M432" s="210" t="n">
        <x:v>64</x:v>
      </x:c>
      <x:c r="N432" s="210" t="n">
        <x:v>1100</x:v>
      </x:c>
      <x:c r="O432" s="210" t="n">
        <x:v>50</x:v>
      </x:c>
      <x:c r="P432" s="210" t="n">
        <x:v>9</x:v>
      </x:c>
      <x:c r="Q432" s="211" t="n">
        <x:v>0</x:v>
      </x:c>
      <x:c r="R432" s="207" t="str"/>
      <x:c r="S432" s="207" t="str"/>
      <x:c r="T432" s="207" t="str"/>
      <x:c r="U432" s="207" t="n">
        <x:v>0</x:v>
      </x:c>
      <x:c r="V432" s="208" t="n">
        <x:f>MAX(0,M432-U432)</x:f>
        <x:v>64</x:v>
      </x:c>
      <x:c r="W432" s="209" t="n">
        <x:f>IFERROR(U432/M432,0)</x:f>
        <x:v>0</x:v>
      </x:c>
      <x:c r="X432" s="201" t="str">
        <x:f>IF(U432=0,"Não iniciado",IF(U432&gt;=M432,"Concluído","Parcial"))</x:f>
        <x:v>Não iniciado</x:v>
      </x:c>
      <x:c r="Y432" s="199" t="str"/>
      <x:c r="Z432" s="188" t="str">
        <x:v>Normal</x:v>
      </x:c>
    </x:row>
    <x:row r="433" ht="22" customHeight="1">
      <x:c r="A433" s="217" t="n">
        <x:v>429</x:v>
      </x:c>
      <x:c r="B433" s="218" t="str">
        <x:v>26824</x:v>
      </x:c>
      <x:c r="C433" s="218" t="str">
        <x:v>1</x:v>
      </x:c>
      <x:c r="D433" s="218" t="str">
        <x:v>609581</x:v>
      </x:c>
      <x:c r="E433" s="218" t="str">
        <x:v>985577</x:v>
      </x:c>
      <x:c r="F433" s="218" t="str">
        <x:v>ALIZAR</x:v>
      </x:c>
      <x:c r="G433" s="184" t="str">
        <x:v>T A 1100X50X9 RTO LME PET BCO TXT (STD)</x:v>
      </x:c>
      <x:c r="H433" s="184" t="str"/>
      <x:c r="I433" s="184" t="str"/>
      <x:c r="J433" s="184" t="str"/>
      <x:c r="K433" s="184" t="str">
        <x:v>ESMALTE</x:v>
      </x:c>
      <x:c r="L433" s="184" t="str">
        <x:v>BRANCO CARRARA</x:v>
      </x:c>
      <x:c r="M433" s="205" t="n">
        <x:v>123</x:v>
      </x:c>
      <x:c r="N433" s="205" t="n">
        <x:v>1100</x:v>
      </x:c>
      <x:c r="O433" s="205" t="n">
        <x:v>50</x:v>
      </x:c>
      <x:c r="P433" s="205" t="n">
        <x:v>9</x:v>
      </x:c>
      <x:c r="Q433" s="206" t="n">
        <x:v>0</x:v>
      </x:c>
      <x:c r="R433" s="207" t="str"/>
      <x:c r="S433" s="207" t="str"/>
      <x:c r="T433" s="207" t="str"/>
      <x:c r="U433" s="207" t="n">
        <x:v>0</x:v>
      </x:c>
      <x:c r="V433" s="208" t="n">
        <x:f>MAX(0,M433-U433)</x:f>
        <x:v>123</x:v>
      </x:c>
      <x:c r="W433" s="209" t="n">
        <x:f>IFERROR(U433/M433,0)</x:f>
        <x:v>0</x:v>
      </x:c>
      <x:c r="X433" s="201" t="str">
        <x:f>IF(U433=0,"Não iniciado",IF(U433&gt;=M433,"Concluído","Parcial"))</x:f>
        <x:v>Não iniciado</x:v>
      </x:c>
      <x:c r="Y433" s="199" t="str"/>
      <x:c r="Z433" s="188" t="str">
        <x:v>Normal</x:v>
      </x:c>
    </x:row>
    <x:row r="434" ht="22" customHeight="1">
      <x:c r="A434" s="219" t="n">
        <x:v>430</x:v>
      </x:c>
      <x:c r="B434" s="220" t="str">
        <x:v>26824</x:v>
      </x:c>
      <x:c r="C434" s="220" t="str">
        <x:v>1</x:v>
      </x:c>
      <x:c r="D434" s="220" t="str">
        <x:v>609582</x:v>
      </x:c>
      <x:c r="E434" s="220" t="str">
        <x:v>986505</x:v>
      </x:c>
      <x:c r="F434" s="220" t="str">
        <x:v>ALIZAR</x:v>
      </x:c>
      <x:c r="G434" s="190" t="str">
        <x:v>T A 1100X50X9 RT RL55 PET BCO TXT (STD)</x:v>
      </x:c>
      <x:c r="H434" s="190" t="str"/>
      <x:c r="I434" s="190" t="str"/>
      <x:c r="J434" s="190" t="str"/>
      <x:c r="K434" s="190" t="str">
        <x:v>ESMALTE</x:v>
      </x:c>
      <x:c r="L434" s="190" t="str">
        <x:v>BRANCO CARRARA</x:v>
      </x:c>
      <x:c r="M434" s="210" t="n">
        <x:v>123</x:v>
      </x:c>
      <x:c r="N434" s="210" t="n">
        <x:v>1100</x:v>
      </x:c>
      <x:c r="O434" s="210" t="n">
        <x:v>50</x:v>
      </x:c>
      <x:c r="P434" s="210" t="n">
        <x:v>9</x:v>
      </x:c>
      <x:c r="Q434" s="211" t="n">
        <x:v>0</x:v>
      </x:c>
      <x:c r="R434" s="207" t="str"/>
      <x:c r="S434" s="207" t="str"/>
      <x:c r="T434" s="207" t="str"/>
      <x:c r="U434" s="207" t="n">
        <x:v>0</x:v>
      </x:c>
      <x:c r="V434" s="208" t="n">
        <x:f>MAX(0,M434-U434)</x:f>
        <x:v>123</x:v>
      </x:c>
      <x:c r="W434" s="209" t="n">
        <x:f>IFERROR(U434/M434,0)</x:f>
        <x:v>0</x:v>
      </x:c>
      <x:c r="X434" s="201" t="str">
        <x:f>IF(U434=0,"Não iniciado",IF(U434&gt;=M434,"Concluído","Parcial"))</x:f>
        <x:v>Não iniciado</x:v>
      </x:c>
      <x:c r="Y434" s="199" t="str"/>
      <x:c r="Z434" s="188" t="str">
        <x:v>Normal</x:v>
      </x:c>
    </x:row>
    <x:row r="435" ht="22" customHeight="1">
      <x:c r="A435" s="217" t="n">
        <x:v>431</x:v>
      </x:c>
      <x:c r="B435" s="218" t="str">
        <x:v>26824</x:v>
      </x:c>
      <x:c r="C435" s="218" t="str">
        <x:v>3</x:v>
      </x:c>
      <x:c r="D435" s="218" t="str">
        <x:v>609597</x:v>
      </x:c>
      <x:c r="E435" s="218" t="str">
        <x:v>985576</x:v>
      </x:c>
      <x:c r="F435" s="218" t="str">
        <x:v>ALIZAR</x:v>
      </x:c>
      <x:c r="G435" s="184" t="str">
        <x:v>T A 1100X50X9 RT RL80 PET BCO TXT (STD)</x:v>
      </x:c>
      <x:c r="H435" s="184" t="str"/>
      <x:c r="I435" s="184" t="str"/>
      <x:c r="J435" s="184" t="str"/>
      <x:c r="K435" s="184" t="str">
        <x:v>ESMALTE</x:v>
      </x:c>
      <x:c r="L435" s="184" t="str">
        <x:v>BRANCO CARRARA</x:v>
      </x:c>
      <x:c r="M435" s="205" t="n">
        <x:v>5</x:v>
      </x:c>
      <x:c r="N435" s="205" t="n">
        <x:v>1100</x:v>
      </x:c>
      <x:c r="O435" s="205" t="n">
        <x:v>50</x:v>
      </x:c>
      <x:c r="P435" s="205" t="n">
        <x:v>9</x:v>
      </x:c>
      <x:c r="Q435" s="206" t="n">
        <x:v>0</x:v>
      </x:c>
      <x:c r="R435" s="207" t="str"/>
      <x:c r="S435" s="207" t="str"/>
      <x:c r="T435" s="207" t="str"/>
      <x:c r="U435" s="207" t="n">
        <x:v>0</x:v>
      </x:c>
      <x:c r="V435" s="208" t="n">
        <x:f>MAX(0,M435-U435)</x:f>
        <x:v>5</x:v>
      </x:c>
      <x:c r="W435" s="209" t="n">
        <x:f>IFERROR(U435/M435,0)</x:f>
        <x:v>0</x:v>
      </x:c>
      <x:c r="X435" s="201" t="str">
        <x:f>IF(U435=0,"Não iniciado",IF(U435&gt;=M435,"Concluído","Parcial"))</x:f>
        <x:v>Não iniciado</x:v>
      </x:c>
      <x:c r="Y435" s="199" t="str"/>
      <x:c r="Z435" s="188" t="str">
        <x:v>Normal</x:v>
      </x:c>
    </x:row>
    <x:row r="436" ht="22" customHeight="1">
      <x:c r="A436" s="219" t="n">
        <x:v>432</x:v>
      </x:c>
      <x:c r="B436" s="220" t="str">
        <x:v>26824</x:v>
      </x:c>
      <x:c r="C436" s="220" t="str">
        <x:v>3</x:v>
      </x:c>
      <x:c r="D436" s="220" t="str">
        <x:v>609598</x:v>
      </x:c>
      <x:c r="E436" s="220" t="str">
        <x:v>985577</x:v>
      </x:c>
      <x:c r="F436" s="220" t="str">
        <x:v>ALIZAR</x:v>
      </x:c>
      <x:c r="G436" s="190" t="str">
        <x:v>T A 1100X50X9 RTO LME PET BCO TXT (STD)</x:v>
      </x:c>
      <x:c r="H436" s="190" t="str"/>
      <x:c r="I436" s="190" t="str"/>
      <x:c r="J436" s="190" t="str"/>
      <x:c r="K436" s="190" t="str">
        <x:v>ESMALTE</x:v>
      </x:c>
      <x:c r="L436" s="190" t="str">
        <x:v>BRANCO CARRARA</x:v>
      </x:c>
      <x:c r="M436" s="210" t="n">
        <x:v>5</x:v>
      </x:c>
      <x:c r="N436" s="210" t="n">
        <x:v>1100</x:v>
      </x:c>
      <x:c r="O436" s="210" t="n">
        <x:v>50</x:v>
      </x:c>
      <x:c r="P436" s="210" t="n">
        <x:v>9</x:v>
      </x:c>
      <x:c r="Q436" s="211" t="n">
        <x:v>0</x:v>
      </x:c>
      <x:c r="R436" s="207" t="str"/>
      <x:c r="S436" s="207" t="str"/>
      <x:c r="T436" s="207" t="str"/>
      <x:c r="U436" s="207" t="n">
        <x:v>0</x:v>
      </x:c>
      <x:c r="V436" s="208" t="n">
        <x:f>MAX(0,M436-U436)</x:f>
        <x:v>5</x:v>
      </x:c>
      <x:c r="W436" s="209" t="n">
        <x:f>IFERROR(U436/M436,0)</x:f>
        <x:v>0</x:v>
      </x:c>
      <x:c r="X436" s="201" t="str">
        <x:f>IF(U436=0,"Não iniciado",IF(U436&gt;=M436,"Concluído","Parcial"))</x:f>
        <x:v>Não iniciado</x:v>
      </x:c>
      <x:c r="Y436" s="199" t="str"/>
      <x:c r="Z436" s="188" t="str">
        <x:v>Normal</x:v>
      </x:c>
    </x:row>
    <x:row r="437" ht="22" customHeight="1">
      <x:c r="A437" s="217" t="n">
        <x:v>433</x:v>
      </x:c>
      <x:c r="B437" s="218" t="str">
        <x:v>26739</x:v>
      </x:c>
      <x:c r="C437" s="218" t="str">
        <x:v>8</x:v>
      </x:c>
      <x:c r="D437" s="218" t="str">
        <x:v>609639</x:v>
      </x:c>
      <x:c r="E437" s="218" t="str">
        <x:v>919640</x:v>
      </x:c>
      <x:c r="F437" s="218" t="str">
        <x:v>OUTROS</x:v>
      </x:c>
      <x:c r="G437" s="184" t="str">
        <x:v>TR AL 1100X50X9 RTO LME REC PET BCO (ULT</x:v>
      </x:c>
      <x:c r="H437" s="184" t="str"/>
      <x:c r="I437" s="184" t="str"/>
      <x:c r="J437" s="184" t="str"/>
      <x:c r="K437" s="184" t="str">
        <x:v>ESMALTE</x:v>
      </x:c>
      <x:c r="L437" s="184" t="str">
        <x:v>BRANCO CARRARA</x:v>
      </x:c>
      <x:c r="M437" s="205" t="n">
        <x:v>18</x:v>
      </x:c>
      <x:c r="N437" s="205" t="n">
        <x:v>1100</x:v>
      </x:c>
      <x:c r="O437" s="205" t="n">
        <x:v>50</x:v>
      </x:c>
      <x:c r="P437" s="205" t="n">
        <x:v>9</x:v>
      </x:c>
      <x:c r="Q437" s="206" t="n">
        <x:v>0</x:v>
      </x:c>
      <x:c r="R437" s="207" t="str"/>
      <x:c r="S437" s="207" t="str"/>
      <x:c r="T437" s="207" t="str"/>
      <x:c r="U437" s="207" t="n">
        <x:v>0</x:v>
      </x:c>
      <x:c r="V437" s="208" t="n">
        <x:f>MAX(0,M437-U437)</x:f>
        <x:v>18</x:v>
      </x:c>
      <x:c r="W437" s="209" t="n">
        <x:f>IFERROR(U437/M437,0)</x:f>
        <x:v>0</x:v>
      </x:c>
      <x:c r="X437" s="201" t="str">
        <x:f>IF(U437=0,"Não iniciado",IF(U437&gt;=M437,"Concluído","Parcial"))</x:f>
        <x:v>Não iniciado</x:v>
      </x:c>
      <x:c r="Y437" s="199" t="str"/>
      <x:c r="Z437" s="188" t="str">
        <x:v>Normal</x:v>
      </x:c>
    </x:row>
    <x:row r="438" ht="22" customHeight="1">
      <x:c r="A438" s="219" t="n">
        <x:v>434</x:v>
      </x:c>
      <x:c r="B438" s="220" t="str">
        <x:v>26739</x:v>
      </x:c>
      <x:c r="C438" s="220" t="str">
        <x:v>8</x:v>
      </x:c>
      <x:c r="D438" s="220" t="str">
        <x:v>609641</x:v>
      </x:c>
      <x:c r="E438" s="220" t="str">
        <x:v>966149</x:v>
      </x:c>
      <x:c r="F438" s="220" t="str">
        <x:v>OUTROS</x:v>
      </x:c>
      <x:c r="G438" s="190" t="str">
        <x:v>TR AL 1100X50X9 RTO RL80 REC PET BCO (UL</x:v>
      </x:c>
      <x:c r="H438" s="190" t="str"/>
      <x:c r="I438" s="190" t="str"/>
      <x:c r="J438" s="190" t="str"/>
      <x:c r="K438" s="190" t="str">
        <x:v>ESMALTE</x:v>
      </x:c>
      <x:c r="L438" s="190" t="str">
        <x:v>BRANCO CARRARA</x:v>
      </x:c>
      <x:c r="M438" s="210" t="n">
        <x:v>18</x:v>
      </x:c>
      <x:c r="N438" s="210" t="n">
        <x:v>1100</x:v>
      </x:c>
      <x:c r="O438" s="210" t="n">
        <x:v>50</x:v>
      </x:c>
      <x:c r="P438" s="210" t="n">
        <x:v>9</x:v>
      </x:c>
      <x:c r="Q438" s="211" t="n">
        <x:v>0</x:v>
      </x:c>
      <x:c r="R438" s="207" t="str"/>
      <x:c r="S438" s="207" t="str"/>
      <x:c r="T438" s="207" t="str"/>
      <x:c r="U438" s="207" t="n">
        <x:v>0</x:v>
      </x:c>
      <x:c r="V438" s="208" t="n">
        <x:f>MAX(0,M438-U438)</x:f>
        <x:v>18</x:v>
      </x:c>
      <x:c r="W438" s="209" t="n">
        <x:f>IFERROR(U438/M438,0)</x:f>
        <x:v>0</x:v>
      </x:c>
      <x:c r="X438" s="201" t="str">
        <x:f>IF(U438=0,"Não iniciado",IF(U438&gt;=M438,"Concluído","Parcial"))</x:f>
        <x:v>Não iniciado</x:v>
      </x:c>
      <x:c r="Y438" s="199" t="str"/>
      <x:c r="Z438" s="188" t="str">
        <x:v>Normal</x:v>
      </x:c>
    </x:row>
    <x:row r="439" ht="22" customHeight="1">
      <x:c r="A439" s="217" t="n">
        <x:v>435</x:v>
      </x:c>
      <x:c r="B439" s="218" t="str">
        <x:v>26739</x:v>
      </x:c>
      <x:c r="C439" s="218" t="str">
        <x:v>9</x:v>
      </x:c>
      <x:c r="D439" s="218" t="str">
        <x:v>609648</x:v>
      </x:c>
      <x:c r="E439" s="218" t="str">
        <x:v>919640</x:v>
      </x:c>
      <x:c r="F439" s="218" t="str">
        <x:v>OUTROS</x:v>
      </x:c>
      <x:c r="G439" s="184" t="str">
        <x:v>TR AL 1100X50X9 RTO LME REC PET BCO (ULT</x:v>
      </x:c>
      <x:c r="H439" s="184" t="str"/>
      <x:c r="I439" s="184" t="str"/>
      <x:c r="J439" s="184" t="str"/>
      <x:c r="K439" s="184" t="str">
        <x:v>ESMALTE</x:v>
      </x:c>
      <x:c r="L439" s="184" t="str">
        <x:v>BRANCO CARRARA</x:v>
      </x:c>
      <x:c r="M439" s="205" t="n">
        <x:v>6</x:v>
      </x:c>
      <x:c r="N439" s="205" t="n">
        <x:v>1100</x:v>
      </x:c>
      <x:c r="O439" s="205" t="n">
        <x:v>50</x:v>
      </x:c>
      <x:c r="P439" s="205" t="n">
        <x:v>9</x:v>
      </x:c>
      <x:c r="Q439" s="206" t="n">
        <x:v>0</x:v>
      </x:c>
      <x:c r="R439" s="207" t="str"/>
      <x:c r="S439" s="207" t="str"/>
      <x:c r="T439" s="207" t="str"/>
      <x:c r="U439" s="207" t="n">
        <x:v>0</x:v>
      </x:c>
      <x:c r="V439" s="208" t="n">
        <x:f>MAX(0,M439-U439)</x:f>
        <x:v>6</x:v>
      </x:c>
      <x:c r="W439" s="209" t="n">
        <x:f>IFERROR(U439/M439,0)</x:f>
        <x:v>0</x:v>
      </x:c>
      <x:c r="X439" s="201" t="str">
        <x:f>IF(U439=0,"Não iniciado",IF(U439&gt;=M439,"Concluído","Parcial"))</x:f>
        <x:v>Não iniciado</x:v>
      </x:c>
      <x:c r="Y439" s="199" t="str"/>
      <x:c r="Z439" s="188" t="str">
        <x:v>Normal</x:v>
      </x:c>
    </x:row>
    <x:row r="440" ht="22" customHeight="1">
      <x:c r="A440" s="219" t="n">
        <x:v>436</x:v>
      </x:c>
      <x:c r="B440" s="220" t="str">
        <x:v>26739</x:v>
      </x:c>
      <x:c r="C440" s="220" t="str">
        <x:v>9</x:v>
      </x:c>
      <x:c r="D440" s="220" t="str">
        <x:v>609650</x:v>
      </x:c>
      <x:c r="E440" s="220" t="str">
        <x:v>966149</x:v>
      </x:c>
      <x:c r="F440" s="220" t="str">
        <x:v>OUTROS</x:v>
      </x:c>
      <x:c r="G440" s="190" t="str">
        <x:v>TR AL 1100X50X9 RTO RL80 REC PET BCO (UL</x:v>
      </x:c>
      <x:c r="H440" s="190" t="str"/>
      <x:c r="I440" s="190" t="str"/>
      <x:c r="J440" s="190" t="str"/>
      <x:c r="K440" s="190" t="str">
        <x:v>ESMALTE</x:v>
      </x:c>
      <x:c r="L440" s="190" t="str">
        <x:v>BRANCO CARRARA</x:v>
      </x:c>
      <x:c r="M440" s="210" t="n">
        <x:v>6</x:v>
      </x:c>
      <x:c r="N440" s="210" t="n">
        <x:v>1100</x:v>
      </x:c>
      <x:c r="O440" s="210" t="n">
        <x:v>50</x:v>
      </x:c>
      <x:c r="P440" s="210" t="n">
        <x:v>9</x:v>
      </x:c>
      <x:c r="Q440" s="211" t="n">
        <x:v>0</x:v>
      </x:c>
      <x:c r="R440" s="207" t="str"/>
      <x:c r="S440" s="207" t="str"/>
      <x:c r="T440" s="207" t="str"/>
      <x:c r="U440" s="207" t="n">
        <x:v>0</x:v>
      </x:c>
      <x:c r="V440" s="208" t="n">
        <x:f>MAX(0,M440-U440)</x:f>
        <x:v>6</x:v>
      </x:c>
      <x:c r="W440" s="209" t="n">
        <x:f>IFERROR(U440/M440,0)</x:f>
        <x:v>0</x:v>
      </x:c>
      <x:c r="X440" s="201" t="str">
        <x:f>IF(U440=0,"Não iniciado",IF(U440&gt;=M440,"Concluído","Parcial"))</x:f>
        <x:v>Não iniciado</x:v>
      </x:c>
      <x:c r="Y440" s="199" t="str"/>
      <x:c r="Z440" s="188" t="str">
        <x:v>Normal</x:v>
      </x:c>
    </x:row>
    <x:row r="441" ht="22" customHeight="1">
      <x:c r="A441" s="217" t="n">
        <x:v>437</x:v>
      </x:c>
      <x:c r="B441" s="218" t="str">
        <x:v>26739</x:v>
      </x:c>
      <x:c r="C441" s="218" t="str">
        <x:v>10</x:v>
      </x:c>
      <x:c r="D441" s="218" t="str">
        <x:v>609655</x:v>
      </x:c>
      <x:c r="E441" s="218" t="str">
        <x:v>919640</x:v>
      </x:c>
      <x:c r="F441" s="218" t="str">
        <x:v>OUTROS</x:v>
      </x:c>
      <x:c r="G441" s="184" t="str">
        <x:v>TR AL 1100X50X9 RTO LME REC PET BCO (ULT</x:v>
      </x:c>
      <x:c r="H441" s="184" t="str"/>
      <x:c r="I441" s="184" t="str"/>
      <x:c r="J441" s="184" t="str"/>
      <x:c r="K441" s="184" t="str">
        <x:v>ESMALTE</x:v>
      </x:c>
      <x:c r="L441" s="184" t="str">
        <x:v>BRANCO CARRARA</x:v>
      </x:c>
      <x:c r="M441" s="205" t="n">
        <x:v>22</x:v>
      </x:c>
      <x:c r="N441" s="205" t="n">
        <x:v>1100</x:v>
      </x:c>
      <x:c r="O441" s="205" t="n">
        <x:v>50</x:v>
      </x:c>
      <x:c r="P441" s="205" t="n">
        <x:v>9</x:v>
      </x:c>
      <x:c r="Q441" s="206" t="n">
        <x:v>0</x:v>
      </x:c>
      <x:c r="R441" s="207" t="str"/>
      <x:c r="S441" s="207" t="str"/>
      <x:c r="T441" s="207" t="str"/>
      <x:c r="U441" s="207" t="n">
        <x:v>0</x:v>
      </x:c>
      <x:c r="V441" s="208" t="n">
        <x:f>MAX(0,M441-U441)</x:f>
        <x:v>22</x:v>
      </x:c>
      <x:c r="W441" s="209" t="n">
        <x:f>IFERROR(U441/M441,0)</x:f>
        <x:v>0</x:v>
      </x:c>
      <x:c r="X441" s="201" t="str">
        <x:f>IF(U441=0,"Não iniciado",IF(U441&gt;=M441,"Concluído","Parcial"))</x:f>
        <x:v>Não iniciado</x:v>
      </x:c>
      <x:c r="Y441" s="199" t="str"/>
      <x:c r="Z441" s="188" t="str">
        <x:v>Normal</x:v>
      </x:c>
    </x:row>
    <x:row r="442" ht="22" customHeight="1">
      <x:c r="A442" s="219" t="n">
        <x:v>438</x:v>
      </x:c>
      <x:c r="B442" s="220" t="str">
        <x:v>26739</x:v>
      </x:c>
      <x:c r="C442" s="220" t="str">
        <x:v>10</x:v>
      </x:c>
      <x:c r="D442" s="220" t="str">
        <x:v>609657</x:v>
      </x:c>
      <x:c r="E442" s="220" t="str">
        <x:v>966149</x:v>
      </x:c>
      <x:c r="F442" s="220" t="str">
        <x:v>OUTROS</x:v>
      </x:c>
      <x:c r="G442" s="190" t="str">
        <x:v>TR AL 1100X50X9 RTO RL80 REC PET BCO (UL</x:v>
      </x:c>
      <x:c r="H442" s="190" t="str"/>
      <x:c r="I442" s="190" t="str"/>
      <x:c r="J442" s="190" t="str"/>
      <x:c r="K442" s="190" t="str">
        <x:v>ESMALTE</x:v>
      </x:c>
      <x:c r="L442" s="190" t="str">
        <x:v>BRANCO CARRARA</x:v>
      </x:c>
      <x:c r="M442" s="210" t="n">
        <x:v>22</x:v>
      </x:c>
      <x:c r="N442" s="210" t="n">
        <x:v>1100</x:v>
      </x:c>
      <x:c r="O442" s="210" t="n">
        <x:v>50</x:v>
      </x:c>
      <x:c r="P442" s="210" t="n">
        <x:v>9</x:v>
      </x:c>
      <x:c r="Q442" s="211" t="n">
        <x:v>0</x:v>
      </x:c>
      <x:c r="R442" s="207" t="str"/>
      <x:c r="S442" s="207" t="str"/>
      <x:c r="T442" s="207" t="str"/>
      <x:c r="U442" s="207" t="n">
        <x:v>0</x:v>
      </x:c>
      <x:c r="V442" s="208" t="n">
        <x:f>MAX(0,M442-U442)</x:f>
        <x:v>22</x:v>
      </x:c>
      <x:c r="W442" s="209" t="n">
        <x:f>IFERROR(U442/M442,0)</x:f>
        <x:v>0</x:v>
      </x:c>
      <x:c r="X442" s="201" t="str">
        <x:f>IF(U442=0,"Não iniciado",IF(U442&gt;=M442,"Concluído","Parcial"))</x:f>
        <x:v>Não iniciado</x:v>
      </x:c>
      <x:c r="Y442" s="199" t="str"/>
      <x:c r="Z442" s="188" t="str">
        <x:v>Normal</x:v>
      </x:c>
    </x:row>
    <x:row r="443" ht="22" customHeight="1">
      <x:c r="A443" s="217" t="n">
        <x:v>439</x:v>
      </x:c>
      <x:c r="B443" s="218" t="str">
        <x:v>26739</x:v>
      </x:c>
      <x:c r="C443" s="218" t="str">
        <x:v>11</x:v>
      </x:c>
      <x:c r="D443" s="218" t="str">
        <x:v>609663</x:v>
      </x:c>
      <x:c r="E443" s="218" t="str">
        <x:v>919640</x:v>
      </x:c>
      <x:c r="F443" s="218" t="str">
        <x:v>OUTROS</x:v>
      </x:c>
      <x:c r="G443" s="184" t="str">
        <x:v>TR AL 1100X50X9 RTO LME REC PET BCO (ULT</x:v>
      </x:c>
      <x:c r="H443" s="184" t="str"/>
      <x:c r="I443" s="184" t="str"/>
      <x:c r="J443" s="184" t="str"/>
      <x:c r="K443" s="184" t="str">
        <x:v>ESMALTE</x:v>
      </x:c>
      <x:c r="L443" s="184" t="str">
        <x:v>BRANCO CARRARA</x:v>
      </x:c>
      <x:c r="M443" s="205" t="n">
        <x:v>16</x:v>
      </x:c>
      <x:c r="N443" s="205" t="n">
        <x:v>1100</x:v>
      </x:c>
      <x:c r="O443" s="205" t="n">
        <x:v>50</x:v>
      </x:c>
      <x:c r="P443" s="205" t="n">
        <x:v>9</x:v>
      </x:c>
      <x:c r="Q443" s="206" t="n">
        <x:v>0</x:v>
      </x:c>
      <x:c r="R443" s="207" t="str"/>
      <x:c r="S443" s="207" t="str"/>
      <x:c r="T443" s="207" t="str"/>
      <x:c r="U443" s="207" t="n">
        <x:v>0</x:v>
      </x:c>
      <x:c r="V443" s="208" t="n">
        <x:f>MAX(0,M443-U443)</x:f>
        <x:v>16</x:v>
      </x:c>
      <x:c r="W443" s="209" t="n">
        <x:f>IFERROR(U443/M443,0)</x:f>
        <x:v>0</x:v>
      </x:c>
      <x:c r="X443" s="201" t="str">
        <x:f>IF(U443=0,"Não iniciado",IF(U443&gt;=M443,"Concluído","Parcial"))</x:f>
        <x:v>Não iniciado</x:v>
      </x:c>
      <x:c r="Y443" s="199" t="str"/>
      <x:c r="Z443" s="188" t="str">
        <x:v>Normal</x:v>
      </x:c>
    </x:row>
    <x:row r="444" ht="22" customHeight="1">
      <x:c r="A444" s="219" t="n">
        <x:v>440</x:v>
      </x:c>
      <x:c r="B444" s="220" t="str">
        <x:v>26739</x:v>
      </x:c>
      <x:c r="C444" s="220" t="str">
        <x:v>11</x:v>
      </x:c>
      <x:c r="D444" s="220" t="str">
        <x:v>609667</x:v>
      </x:c>
      <x:c r="E444" s="220" t="str">
        <x:v>966149</x:v>
      </x:c>
      <x:c r="F444" s="220" t="str">
        <x:v>OUTROS</x:v>
      </x:c>
      <x:c r="G444" s="190" t="str">
        <x:v>TR AL 1100X50X9 RTO RL80 REC PET BCO (UL</x:v>
      </x:c>
      <x:c r="H444" s="190" t="str"/>
      <x:c r="I444" s="190" t="str"/>
      <x:c r="J444" s="190" t="str"/>
      <x:c r="K444" s="190" t="str">
        <x:v>ESMALTE</x:v>
      </x:c>
      <x:c r="L444" s="190" t="str">
        <x:v>BRANCO CARRARA</x:v>
      </x:c>
      <x:c r="M444" s="210" t="n">
        <x:v>16</x:v>
      </x:c>
      <x:c r="N444" s="210" t="n">
        <x:v>1100</x:v>
      </x:c>
      <x:c r="O444" s="210" t="n">
        <x:v>50</x:v>
      </x:c>
      <x:c r="P444" s="210" t="n">
        <x:v>9</x:v>
      </x:c>
      <x:c r="Q444" s="211" t="n">
        <x:v>0</x:v>
      </x:c>
      <x:c r="R444" s="207" t="str"/>
      <x:c r="S444" s="207" t="str"/>
      <x:c r="T444" s="207" t="str"/>
      <x:c r="U444" s="207" t="n">
        <x:v>0</x:v>
      </x:c>
      <x:c r="V444" s="208" t="n">
        <x:f>MAX(0,M444-U444)</x:f>
        <x:v>16</x:v>
      </x:c>
      <x:c r="W444" s="209" t="n">
        <x:f>IFERROR(U444/M444,0)</x:f>
        <x:v>0</x:v>
      </x:c>
      <x:c r="X444" s="201" t="str">
        <x:f>IF(U444=0,"Não iniciado",IF(U444&gt;=M444,"Concluído","Parcial"))</x:f>
        <x:v>Não iniciado</x:v>
      </x:c>
      <x:c r="Y444" s="199" t="str"/>
      <x:c r="Z444" s="188" t="str">
        <x:v>Normal</x:v>
      </x:c>
    </x:row>
    <x:row r="445" ht="22" customHeight="1">
      <x:c r="A445" s="217" t="n">
        <x:v>441</x:v>
      </x:c>
      <x:c r="B445" s="218" t="str">
        <x:v>26739</x:v>
      </x:c>
      <x:c r="C445" s="218" t="str">
        <x:v>12</x:v>
      </x:c>
      <x:c r="D445" s="218" t="str">
        <x:v>609672</x:v>
      </x:c>
      <x:c r="E445" s="218" t="str">
        <x:v>919640</x:v>
      </x:c>
      <x:c r="F445" s="218" t="str">
        <x:v>OUTROS</x:v>
      </x:c>
      <x:c r="G445" s="184" t="str">
        <x:v>TR AL 1100X50X9 RTO LME REC PET BCO (ULT</x:v>
      </x:c>
      <x:c r="H445" s="184" t="str"/>
      <x:c r="I445" s="184" t="str"/>
      <x:c r="J445" s="184" t="str"/>
      <x:c r="K445" s="184" t="str">
        <x:v>ESMALTE</x:v>
      </x:c>
      <x:c r="L445" s="184" t="str">
        <x:v>BRANCO CARRARA</x:v>
      </x:c>
      <x:c r="M445" s="205" t="n">
        <x:v>1</x:v>
      </x:c>
      <x:c r="N445" s="205" t="n">
        <x:v>1100</x:v>
      </x:c>
      <x:c r="O445" s="205" t="n">
        <x:v>50</x:v>
      </x:c>
      <x:c r="P445" s="205" t="n">
        <x:v>9</x:v>
      </x:c>
      <x:c r="Q445" s="206" t="n">
        <x:v>0</x:v>
      </x:c>
      <x:c r="R445" s="207" t="str"/>
      <x:c r="S445" s="207" t="str"/>
      <x:c r="T445" s="207" t="str"/>
      <x:c r="U445" s="207" t="n">
        <x:v>0</x:v>
      </x:c>
      <x:c r="V445" s="208" t="n">
        <x:f>MAX(0,M445-U445)</x:f>
        <x:v>1</x:v>
      </x:c>
      <x:c r="W445" s="209" t="n">
        <x:f>IFERROR(U445/M445,0)</x:f>
        <x:v>0</x:v>
      </x:c>
      <x:c r="X445" s="201" t="str">
        <x:f>IF(U445=0,"Não iniciado",IF(U445&gt;=M445,"Concluído","Parcial"))</x:f>
        <x:v>Não iniciado</x:v>
      </x:c>
      <x:c r="Y445" s="199" t="str"/>
      <x:c r="Z445" s="188" t="str">
        <x:v>Normal</x:v>
      </x:c>
    </x:row>
    <x:row r="446" ht="22" customHeight="1">
      <x:c r="A446" s="219" t="n">
        <x:v>442</x:v>
      </x:c>
      <x:c r="B446" s="220" t="str">
        <x:v>26739</x:v>
      </x:c>
      <x:c r="C446" s="220" t="str">
        <x:v>12</x:v>
      </x:c>
      <x:c r="D446" s="220" t="str">
        <x:v>609674</x:v>
      </x:c>
      <x:c r="E446" s="220" t="str">
        <x:v>966149</x:v>
      </x:c>
      <x:c r="F446" s="220" t="str">
        <x:v>OUTROS</x:v>
      </x:c>
      <x:c r="G446" s="190" t="str">
        <x:v>TR AL 1100X50X9 RTO RL80 REC PET BCO (UL</x:v>
      </x:c>
      <x:c r="H446" s="190" t="str"/>
      <x:c r="I446" s="190" t="str"/>
      <x:c r="J446" s="190" t="str"/>
      <x:c r="K446" s="190" t="str">
        <x:v>ESMALTE</x:v>
      </x:c>
      <x:c r="L446" s="190" t="str">
        <x:v>BRANCO CARRARA</x:v>
      </x:c>
      <x:c r="M446" s="210" t="n">
        <x:v>1</x:v>
      </x:c>
      <x:c r="N446" s="210" t="n">
        <x:v>1100</x:v>
      </x:c>
      <x:c r="O446" s="210" t="n">
        <x:v>50</x:v>
      </x:c>
      <x:c r="P446" s="210" t="n">
        <x:v>9</x:v>
      </x:c>
      <x:c r="Q446" s="211" t="n">
        <x:v>0</x:v>
      </x:c>
      <x:c r="R446" s="207" t="str"/>
      <x:c r="S446" s="207" t="str"/>
      <x:c r="T446" s="207" t="str"/>
      <x:c r="U446" s="207" t="n">
        <x:v>0</x:v>
      </x:c>
      <x:c r="V446" s="208" t="n">
        <x:f>MAX(0,M446-U446)</x:f>
        <x:v>1</x:v>
      </x:c>
      <x:c r="W446" s="209" t="n">
        <x:f>IFERROR(U446/M446,0)</x:f>
        <x:v>0</x:v>
      </x:c>
      <x:c r="X446" s="201" t="str">
        <x:f>IF(U446=0,"Não iniciado",IF(U446&gt;=M446,"Concluído","Parcial"))</x:f>
        <x:v>Não iniciado</x:v>
      </x:c>
      <x:c r="Y446" s="199" t="str"/>
      <x:c r="Z446" s="188" t="str">
        <x:v>Normal</x:v>
      </x:c>
    </x:row>
    <x:row r="447" ht="22" customHeight="1">
      <x:c r="A447" s="217" t="n">
        <x:v>443</x:v>
      </x:c>
      <x:c r="B447" s="218" t="str">
        <x:v>26739</x:v>
      </x:c>
      <x:c r="C447" s="218" t="str">
        <x:v>15</x:v>
      </x:c>
      <x:c r="D447" s="218" t="str">
        <x:v>609683</x:v>
      </x:c>
      <x:c r="E447" s="218" t="str">
        <x:v>919640</x:v>
      </x:c>
      <x:c r="F447" s="218" t="str">
        <x:v>OUTROS</x:v>
      </x:c>
      <x:c r="G447" s="184" t="str">
        <x:v>TR AL 1100X50X9 RTO LME REC PET BCO (ULT</x:v>
      </x:c>
      <x:c r="H447" s="184" t="str">
        <x:v>REG 2L(MAIOR 80MM)</x:v>
      </x:c>
      <x:c r="I447" s="184" t="str"/>
      <x:c r="J447" s="184" t="str"/>
      <x:c r="K447" s="184" t="str">
        <x:v>RECOBERTO PET</x:v>
      </x:c>
      <x:c r="L447" s="184" t="str">
        <x:v>BRANCO CARRARA</x:v>
      </x:c>
      <x:c r="M447" s="205" t="n">
        <x:v>7</x:v>
      </x:c>
      <x:c r="N447" s="205" t="n">
        <x:v>1100</x:v>
      </x:c>
      <x:c r="O447" s="205" t="n">
        <x:v>50</x:v>
      </x:c>
      <x:c r="P447" s="205" t="n">
        <x:v>9</x:v>
      </x:c>
      <x:c r="Q447" s="206" t="n">
        <x:v>0</x:v>
      </x:c>
      <x:c r="R447" s="207" t="str"/>
      <x:c r="S447" s="207" t="str"/>
      <x:c r="T447" s="207" t="str"/>
      <x:c r="U447" s="207" t="n">
        <x:v>0</x:v>
      </x:c>
      <x:c r="V447" s="208" t="n">
        <x:f>MAX(0,M447-U447)</x:f>
        <x:v>7</x:v>
      </x:c>
      <x:c r="W447" s="209" t="n">
        <x:f>IFERROR(U447/M447,0)</x:f>
        <x:v>0</x:v>
      </x:c>
      <x:c r="X447" s="201" t="str">
        <x:f>IF(U447=0,"Não iniciado",IF(U447&gt;=M447,"Concluído","Parcial"))</x:f>
        <x:v>Não iniciado</x:v>
      </x:c>
      <x:c r="Y447" s="199" t="str"/>
      <x:c r="Z447" s="188" t="str">
        <x:v>Normal</x:v>
      </x:c>
    </x:row>
    <x:row r="448" ht="22" customHeight="1">
      <x:c r="A448" s="219" t="n">
        <x:v>444</x:v>
      </x:c>
      <x:c r="B448" s="220" t="str">
        <x:v>26739</x:v>
      </x:c>
      <x:c r="C448" s="220" t="str">
        <x:v>15</x:v>
      </x:c>
      <x:c r="D448" s="220" t="str">
        <x:v>609685</x:v>
      </x:c>
      <x:c r="E448" s="220" t="str">
        <x:v>966149</x:v>
      </x:c>
      <x:c r="F448" s="220" t="str">
        <x:v>OUTROS</x:v>
      </x:c>
      <x:c r="G448" s="190" t="str">
        <x:v>TR AL 1100X50X9 RTO RL80 REC PET BCO (UL</x:v>
      </x:c>
      <x:c r="H448" s="190" t="str">
        <x:v>REG 2L(MAIOR 80MM)</x:v>
      </x:c>
      <x:c r="I448" s="190" t="str"/>
      <x:c r="J448" s="190" t="str"/>
      <x:c r="K448" s="190" t="str">
        <x:v>RECOBERTO PET</x:v>
      </x:c>
      <x:c r="L448" s="190" t="str">
        <x:v>BRANCO CARRARA</x:v>
      </x:c>
      <x:c r="M448" s="210" t="n">
        <x:v>7</x:v>
      </x:c>
      <x:c r="N448" s="210" t="n">
        <x:v>1100</x:v>
      </x:c>
      <x:c r="O448" s="210" t="n">
        <x:v>50</x:v>
      </x:c>
      <x:c r="P448" s="210" t="n">
        <x:v>9</x:v>
      </x:c>
      <x:c r="Q448" s="211" t="n">
        <x:v>0</x:v>
      </x:c>
      <x:c r="R448" s="207" t="str"/>
      <x:c r="S448" s="207" t="str"/>
      <x:c r="T448" s="207" t="str"/>
      <x:c r="U448" s="207" t="n">
        <x:v>0</x:v>
      </x:c>
      <x:c r="V448" s="208" t="n">
        <x:f>MAX(0,M448-U448)</x:f>
        <x:v>7</x:v>
      </x:c>
      <x:c r="W448" s="209" t="n">
        <x:f>IFERROR(U448/M448,0)</x:f>
        <x:v>0</x:v>
      </x:c>
      <x:c r="X448" s="201" t="str">
        <x:f>IF(U448=0,"Não iniciado",IF(U448&gt;=M448,"Concluído","Parcial"))</x:f>
        <x:v>Não iniciado</x:v>
      </x:c>
      <x:c r="Y448" s="199" t="str"/>
      <x:c r="Z448" s="188" t="str">
        <x:v>Normal</x:v>
      </x:c>
    </x:row>
    <x:row r="449" ht="22" customHeight="1">
      <x:c r="A449" s="217" t="n">
        <x:v>445</x:v>
      </x:c>
      <x:c r="B449" s="218" t="str">
        <x:v>26739</x:v>
      </x:c>
      <x:c r="C449" s="218" t="str">
        <x:v>17</x:v>
      </x:c>
      <x:c r="D449" s="218" t="str">
        <x:v>609694</x:v>
      </x:c>
      <x:c r="E449" s="218" t="str">
        <x:v>919640</x:v>
      </x:c>
      <x:c r="F449" s="218" t="str">
        <x:v>OUTROS</x:v>
      </x:c>
      <x:c r="G449" s="184" t="str">
        <x:v>TR AL 1100X50X9 RTO LME REC PET BCO (ULT</x:v>
      </x:c>
      <x:c r="H449" s="184" t="str"/>
      <x:c r="I449" s="184" t="str"/>
      <x:c r="J449" s="184" t="str"/>
      <x:c r="K449" s="184" t="str">
        <x:v>ESMALTE</x:v>
      </x:c>
      <x:c r="L449" s="184" t="str">
        <x:v>BRANCO CARRARA</x:v>
      </x:c>
      <x:c r="M449" s="205" t="n">
        <x:v>9</x:v>
      </x:c>
      <x:c r="N449" s="205" t="n">
        <x:v>1100</x:v>
      </x:c>
      <x:c r="O449" s="205" t="n">
        <x:v>50</x:v>
      </x:c>
      <x:c r="P449" s="205" t="n">
        <x:v>9</x:v>
      </x:c>
      <x:c r="Q449" s="206" t="n">
        <x:v>0</x:v>
      </x:c>
      <x:c r="R449" s="207" t="str"/>
      <x:c r="S449" s="207" t="str"/>
      <x:c r="T449" s="207" t="str"/>
      <x:c r="U449" s="207" t="n">
        <x:v>0</x:v>
      </x:c>
      <x:c r="V449" s="208" t="n">
        <x:f>MAX(0,M449-U449)</x:f>
        <x:v>9</x:v>
      </x:c>
      <x:c r="W449" s="209" t="n">
        <x:f>IFERROR(U449/M449,0)</x:f>
        <x:v>0</x:v>
      </x:c>
      <x:c r="X449" s="201" t="str">
        <x:f>IF(U449=0,"Não iniciado",IF(U449&gt;=M449,"Concluído","Parcial"))</x:f>
        <x:v>Não iniciado</x:v>
      </x:c>
      <x:c r="Y449" s="199" t="str"/>
      <x:c r="Z449" s="188" t="str">
        <x:v>Normal</x:v>
      </x:c>
    </x:row>
    <x:row r="450" ht="22" customHeight="1">
      <x:c r="A450" s="219" t="n">
        <x:v>446</x:v>
      </x:c>
      <x:c r="B450" s="220" t="str">
        <x:v>26739</x:v>
      </x:c>
      <x:c r="C450" s="220" t="str">
        <x:v>17</x:v>
      </x:c>
      <x:c r="D450" s="220" t="str">
        <x:v>609696</x:v>
      </x:c>
      <x:c r="E450" s="220" t="str">
        <x:v>966149</x:v>
      </x:c>
      <x:c r="F450" s="220" t="str">
        <x:v>OUTROS</x:v>
      </x:c>
      <x:c r="G450" s="190" t="str">
        <x:v>TR AL 1100X50X9 RTO RL80 REC PET BCO (UL</x:v>
      </x:c>
      <x:c r="H450" s="190" t="str"/>
      <x:c r="I450" s="190" t="str"/>
      <x:c r="J450" s="190" t="str"/>
      <x:c r="K450" s="190" t="str">
        <x:v>ESMALTE</x:v>
      </x:c>
      <x:c r="L450" s="190" t="str">
        <x:v>BRANCO CARRARA</x:v>
      </x:c>
      <x:c r="M450" s="210" t="n">
        <x:v>9</x:v>
      </x:c>
      <x:c r="N450" s="210" t="n">
        <x:v>1100</x:v>
      </x:c>
      <x:c r="O450" s="210" t="n">
        <x:v>50</x:v>
      </x:c>
      <x:c r="P450" s="210" t="n">
        <x:v>9</x:v>
      </x:c>
      <x:c r="Q450" s="211" t="n">
        <x:v>0</x:v>
      </x:c>
      <x:c r="R450" s="207" t="str"/>
      <x:c r="S450" s="207" t="str"/>
      <x:c r="T450" s="207" t="str"/>
      <x:c r="U450" s="207" t="n">
        <x:v>0</x:v>
      </x:c>
      <x:c r="V450" s="208" t="n">
        <x:f>MAX(0,M450-U450)</x:f>
        <x:v>9</x:v>
      </x:c>
      <x:c r="W450" s="209" t="n">
        <x:f>IFERROR(U450/M450,0)</x:f>
        <x:v>0</x:v>
      </x:c>
      <x:c r="X450" s="201" t="str">
        <x:f>IF(U450=0,"Não iniciado",IF(U450&gt;=M450,"Concluído","Parcial"))</x:f>
        <x:v>Não iniciado</x:v>
      </x:c>
      <x:c r="Y450" s="199" t="str"/>
      <x:c r="Z450" s="188" t="str">
        <x:v>Normal</x:v>
      </x:c>
    </x:row>
    <x:row r="451" ht="22" customHeight="1">
      <x:c r="A451" s="217" t="n">
        <x:v>447</x:v>
      </x:c>
      <x:c r="B451" s="218" t="str">
        <x:v>26739</x:v>
      </x:c>
      <x:c r="C451" s="218" t="str">
        <x:v>18</x:v>
      </x:c>
      <x:c r="D451" s="218" t="str">
        <x:v>609702</x:v>
      </x:c>
      <x:c r="E451" s="218" t="str">
        <x:v>919640</x:v>
      </x:c>
      <x:c r="F451" s="218" t="str">
        <x:v>OUTROS</x:v>
      </x:c>
      <x:c r="G451" s="184" t="str">
        <x:v>TR AL 1100X50X9 RTO LME REC PET BCO (ULT</x:v>
      </x:c>
      <x:c r="H451" s="184" t="str"/>
      <x:c r="I451" s="184" t="str"/>
      <x:c r="J451" s="184" t="str"/>
      <x:c r="K451" s="184" t="str">
        <x:v>ESMALTE</x:v>
      </x:c>
      <x:c r="L451" s="184" t="str">
        <x:v>BRANCO CARRARA</x:v>
      </x:c>
      <x:c r="M451" s="205" t="n">
        <x:v>5</x:v>
      </x:c>
      <x:c r="N451" s="205" t="n">
        <x:v>1100</x:v>
      </x:c>
      <x:c r="O451" s="205" t="n">
        <x:v>50</x:v>
      </x:c>
      <x:c r="P451" s="205" t="n">
        <x:v>9</x:v>
      </x:c>
      <x:c r="Q451" s="206" t="n">
        <x:v>0</x:v>
      </x:c>
      <x:c r="R451" s="207" t="str"/>
      <x:c r="S451" s="207" t="str"/>
      <x:c r="T451" s="207" t="str"/>
      <x:c r="U451" s="207" t="n">
        <x:v>0</x:v>
      </x:c>
      <x:c r="V451" s="208" t="n">
        <x:f>MAX(0,M451-U451)</x:f>
        <x:v>5</x:v>
      </x:c>
      <x:c r="W451" s="209" t="n">
        <x:f>IFERROR(U451/M451,0)</x:f>
        <x:v>0</x:v>
      </x:c>
      <x:c r="X451" s="201" t="str">
        <x:f>IF(U451=0,"Não iniciado",IF(U451&gt;=M451,"Concluído","Parcial"))</x:f>
        <x:v>Não iniciado</x:v>
      </x:c>
      <x:c r="Y451" s="199" t="str"/>
      <x:c r="Z451" s="188" t="str">
        <x:v>Normal</x:v>
      </x:c>
    </x:row>
    <x:row r="452" ht="22" customHeight="1">
      <x:c r="A452" s="219" t="n">
        <x:v>448</x:v>
      </x:c>
      <x:c r="B452" s="220" t="str">
        <x:v>26739</x:v>
      </x:c>
      <x:c r="C452" s="220" t="str">
        <x:v>18</x:v>
      </x:c>
      <x:c r="D452" s="220" t="str">
        <x:v>609704</x:v>
      </x:c>
      <x:c r="E452" s="220" t="str">
        <x:v>966149</x:v>
      </x:c>
      <x:c r="F452" s="220" t="str">
        <x:v>OUTROS</x:v>
      </x:c>
      <x:c r="G452" s="190" t="str">
        <x:v>TR AL 1100X50X9 RTO RL80 REC PET BCO (UL</x:v>
      </x:c>
      <x:c r="H452" s="190" t="str"/>
      <x:c r="I452" s="190" t="str"/>
      <x:c r="J452" s="190" t="str"/>
      <x:c r="K452" s="190" t="str">
        <x:v>ESMALTE</x:v>
      </x:c>
      <x:c r="L452" s="190" t="str">
        <x:v>BRANCO CARRARA</x:v>
      </x:c>
      <x:c r="M452" s="210" t="n">
        <x:v>5</x:v>
      </x:c>
      <x:c r="N452" s="210" t="n">
        <x:v>1100</x:v>
      </x:c>
      <x:c r="O452" s="210" t="n">
        <x:v>50</x:v>
      </x:c>
      <x:c r="P452" s="210" t="n">
        <x:v>9</x:v>
      </x:c>
      <x:c r="Q452" s="211" t="n">
        <x:v>0</x:v>
      </x:c>
      <x:c r="R452" s="207" t="str"/>
      <x:c r="S452" s="207" t="str"/>
      <x:c r="T452" s="207" t="str"/>
      <x:c r="U452" s="207" t="n">
        <x:v>0</x:v>
      </x:c>
      <x:c r="V452" s="208" t="n">
        <x:f>MAX(0,M452-U452)</x:f>
        <x:v>5</x:v>
      </x:c>
      <x:c r="W452" s="209" t="n">
        <x:f>IFERROR(U452/M452,0)</x:f>
        <x:v>0</x:v>
      </x:c>
      <x:c r="X452" s="201" t="str">
        <x:f>IF(U452=0,"Não iniciado",IF(U452&gt;=M452,"Concluído","Parcial"))</x:f>
        <x:v>Não iniciado</x:v>
      </x:c>
      <x:c r="Y452" s="199" t="str"/>
      <x:c r="Z452" s="188" t="str">
        <x:v>Normal</x:v>
      </x:c>
    </x:row>
    <x:row r="453" ht="22" customHeight="1">
      <x:c r="A453" s="217" t="n">
        <x:v>449</x:v>
      </x:c>
      <x:c r="B453" s="218" t="str">
        <x:v>26739</x:v>
      </x:c>
      <x:c r="C453" s="218" t="str">
        <x:v>19</x:v>
      </x:c>
      <x:c r="D453" s="218" t="str">
        <x:v>609710</x:v>
      </x:c>
      <x:c r="E453" s="218" t="str">
        <x:v>919640</x:v>
      </x:c>
      <x:c r="F453" s="218" t="str">
        <x:v>OUTROS</x:v>
      </x:c>
      <x:c r="G453" s="184" t="str">
        <x:v>TR AL 1100X50X9 RTO LME REC PET BCO (ULT</x:v>
      </x:c>
      <x:c r="H453" s="184" t="str"/>
      <x:c r="I453" s="184" t="str"/>
      <x:c r="J453" s="184" t="str"/>
      <x:c r="K453" s="184" t="str">
        <x:v>ESMALTE</x:v>
      </x:c>
      <x:c r="L453" s="184" t="str">
        <x:v>BRANCO CARRARA</x:v>
      </x:c>
      <x:c r="M453" s="205" t="n">
        <x:v>27</x:v>
      </x:c>
      <x:c r="N453" s="205" t="n">
        <x:v>1100</x:v>
      </x:c>
      <x:c r="O453" s="205" t="n">
        <x:v>50</x:v>
      </x:c>
      <x:c r="P453" s="205" t="n">
        <x:v>9</x:v>
      </x:c>
      <x:c r="Q453" s="206" t="n">
        <x:v>0</x:v>
      </x:c>
      <x:c r="R453" s="207" t="str"/>
      <x:c r="S453" s="207" t="str"/>
      <x:c r="T453" s="207" t="str"/>
      <x:c r="U453" s="207" t="n">
        <x:v>0</x:v>
      </x:c>
      <x:c r="V453" s="208" t="n">
        <x:f>MAX(0,M453-U453)</x:f>
        <x:v>27</x:v>
      </x:c>
      <x:c r="W453" s="209" t="n">
        <x:f>IFERROR(U453/M453,0)</x:f>
        <x:v>0</x:v>
      </x:c>
      <x:c r="X453" s="201" t="str">
        <x:f>IF(U453=0,"Não iniciado",IF(U453&gt;=M453,"Concluído","Parcial"))</x:f>
        <x:v>Não iniciado</x:v>
      </x:c>
      <x:c r="Y453" s="199" t="str"/>
      <x:c r="Z453" s="188" t="str">
        <x:v>Normal</x:v>
      </x:c>
    </x:row>
    <x:row r="454" ht="22" customHeight="1">
      <x:c r="A454" s="219" t="n">
        <x:v>450</x:v>
      </x:c>
      <x:c r="B454" s="220" t="str">
        <x:v>26739</x:v>
      </x:c>
      <x:c r="C454" s="220" t="str">
        <x:v>19</x:v>
      </x:c>
      <x:c r="D454" s="220" t="str">
        <x:v>609713</x:v>
      </x:c>
      <x:c r="E454" s="220" t="str">
        <x:v>966149</x:v>
      </x:c>
      <x:c r="F454" s="220" t="str">
        <x:v>OUTROS</x:v>
      </x:c>
      <x:c r="G454" s="190" t="str">
        <x:v>TR AL 1100X50X9 RTO RL80 REC PET BCO (UL</x:v>
      </x:c>
      <x:c r="H454" s="190" t="str"/>
      <x:c r="I454" s="190" t="str"/>
      <x:c r="J454" s="190" t="str"/>
      <x:c r="K454" s="190" t="str">
        <x:v>ESMALTE</x:v>
      </x:c>
      <x:c r="L454" s="190" t="str">
        <x:v>BRANCO CARRARA</x:v>
      </x:c>
      <x:c r="M454" s="210" t="n">
        <x:v>27</x:v>
      </x:c>
      <x:c r="N454" s="210" t="n">
        <x:v>1100</x:v>
      </x:c>
      <x:c r="O454" s="210" t="n">
        <x:v>50</x:v>
      </x:c>
      <x:c r="P454" s="210" t="n">
        <x:v>9</x:v>
      </x:c>
      <x:c r="Q454" s="211" t="n">
        <x:v>0</x:v>
      </x:c>
      <x:c r="R454" s="207" t="str"/>
      <x:c r="S454" s="207" t="str"/>
      <x:c r="T454" s="207" t="str"/>
      <x:c r="U454" s="207" t="n">
        <x:v>0</x:v>
      </x:c>
      <x:c r="V454" s="208" t="n">
        <x:f>MAX(0,M454-U454)</x:f>
        <x:v>27</x:v>
      </x:c>
      <x:c r="W454" s="209" t="n">
        <x:f>IFERROR(U454/M454,0)</x:f>
        <x:v>0</x:v>
      </x:c>
      <x:c r="X454" s="201" t="str">
        <x:f>IF(U454=0,"Não iniciado",IF(U454&gt;=M454,"Concluído","Parcial"))</x:f>
        <x:v>Não iniciado</x:v>
      </x:c>
      <x:c r="Y454" s="199" t="str"/>
      <x:c r="Z454" s="188" t="str">
        <x:v>Normal</x:v>
      </x:c>
    </x:row>
    <x:row r="455" ht="22" customHeight="1">
      <x:c r="A455" s="217" t="n">
        <x:v>451</x:v>
      </x:c>
      <x:c r="B455" s="218" t="str">
        <x:v>26739</x:v>
      </x:c>
      <x:c r="C455" s="218" t="str">
        <x:v>20</x:v>
      </x:c>
      <x:c r="D455" s="218" t="str">
        <x:v>609718</x:v>
      </x:c>
      <x:c r="E455" s="218" t="str">
        <x:v>919640</x:v>
      </x:c>
      <x:c r="F455" s="218" t="str">
        <x:v>OUTROS</x:v>
      </x:c>
      <x:c r="G455" s="184" t="str">
        <x:v>TR AL 1100X50X9 RTO LME REC PET BCO (ULT</x:v>
      </x:c>
      <x:c r="H455" s="184" t="str"/>
      <x:c r="I455" s="184" t="str"/>
      <x:c r="J455" s="184" t="str"/>
      <x:c r="K455" s="184" t="str">
        <x:v>ESMALTE</x:v>
      </x:c>
      <x:c r="L455" s="184" t="str">
        <x:v>BRANCO CARRARA</x:v>
      </x:c>
      <x:c r="M455" s="205" t="n">
        <x:v>3</x:v>
      </x:c>
      <x:c r="N455" s="205" t="n">
        <x:v>1100</x:v>
      </x:c>
      <x:c r="O455" s="205" t="n">
        <x:v>50</x:v>
      </x:c>
      <x:c r="P455" s="205" t="n">
        <x:v>9</x:v>
      </x:c>
      <x:c r="Q455" s="206" t="n">
        <x:v>0</x:v>
      </x:c>
      <x:c r="R455" s="207" t="str"/>
      <x:c r="S455" s="207" t="str"/>
      <x:c r="T455" s="207" t="str"/>
      <x:c r="U455" s="207" t="n">
        <x:v>0</x:v>
      </x:c>
      <x:c r="V455" s="208" t="n">
        <x:f>MAX(0,M455-U455)</x:f>
        <x:v>3</x:v>
      </x:c>
      <x:c r="W455" s="209" t="n">
        <x:f>IFERROR(U455/M455,0)</x:f>
        <x:v>0</x:v>
      </x:c>
      <x:c r="X455" s="201" t="str">
        <x:f>IF(U455=0,"Não iniciado",IF(U455&gt;=M455,"Concluído","Parcial"))</x:f>
        <x:v>Não iniciado</x:v>
      </x:c>
      <x:c r="Y455" s="199" t="str"/>
      <x:c r="Z455" s="188" t="str">
        <x:v>Normal</x:v>
      </x:c>
    </x:row>
    <x:row r="456" ht="22" customHeight="1">
      <x:c r="A456" s="219" t="n">
        <x:v>452</x:v>
      </x:c>
      <x:c r="B456" s="220" t="str">
        <x:v>26739</x:v>
      </x:c>
      <x:c r="C456" s="220" t="str">
        <x:v>20</x:v>
      </x:c>
      <x:c r="D456" s="220" t="str">
        <x:v>609721</x:v>
      </x:c>
      <x:c r="E456" s="220" t="str">
        <x:v>966149</x:v>
      </x:c>
      <x:c r="F456" s="220" t="str">
        <x:v>OUTROS</x:v>
      </x:c>
      <x:c r="G456" s="190" t="str">
        <x:v>TR AL 1100X50X9 RTO RL80 REC PET BCO (UL</x:v>
      </x:c>
      <x:c r="H456" s="190" t="str"/>
      <x:c r="I456" s="190" t="str"/>
      <x:c r="J456" s="190" t="str"/>
      <x:c r="K456" s="190" t="str">
        <x:v>ESMALTE</x:v>
      </x:c>
      <x:c r="L456" s="190" t="str">
        <x:v>BRANCO CARRARA</x:v>
      </x:c>
      <x:c r="M456" s="210" t="n">
        <x:v>3</x:v>
      </x:c>
      <x:c r="N456" s="210" t="n">
        <x:v>1100</x:v>
      </x:c>
      <x:c r="O456" s="210" t="n">
        <x:v>50</x:v>
      </x:c>
      <x:c r="P456" s="210" t="n">
        <x:v>9</x:v>
      </x:c>
      <x:c r="Q456" s="211" t="n">
        <x:v>0</x:v>
      </x:c>
      <x:c r="R456" s="207" t="str"/>
      <x:c r="S456" s="207" t="str"/>
      <x:c r="T456" s="207" t="str"/>
      <x:c r="U456" s="207" t="n">
        <x:v>0</x:v>
      </x:c>
      <x:c r="V456" s="208" t="n">
        <x:f>MAX(0,M456-U456)</x:f>
        <x:v>3</x:v>
      </x:c>
      <x:c r="W456" s="209" t="n">
        <x:f>IFERROR(U456/M456,0)</x:f>
        <x:v>0</x:v>
      </x:c>
      <x:c r="X456" s="201" t="str">
        <x:f>IF(U456=0,"Não iniciado",IF(U456&gt;=M456,"Concluído","Parcial"))</x:f>
        <x:v>Não iniciado</x:v>
      </x:c>
      <x:c r="Y456" s="199" t="str"/>
      <x:c r="Z456" s="188" t="str">
        <x:v>Normal</x:v>
      </x:c>
    </x:row>
    <x:row r="457" ht="22" customHeight="1">
      <x:c r="A457" s="217" t="n">
        <x:v>453</x:v>
      </x:c>
      <x:c r="B457" s="218" t="str">
        <x:v>26739</x:v>
      </x:c>
      <x:c r="C457" s="218" t="str">
        <x:v>21</x:v>
      </x:c>
      <x:c r="D457" s="218" t="str">
        <x:v>609727</x:v>
      </x:c>
      <x:c r="E457" s="218" t="str">
        <x:v>919640</x:v>
      </x:c>
      <x:c r="F457" s="218" t="str">
        <x:v>OUTROS</x:v>
      </x:c>
      <x:c r="G457" s="184" t="str">
        <x:v>TR AL 1100X50X9 RTO LME REC PET BCO (ULT</x:v>
      </x:c>
      <x:c r="H457" s="184" t="str"/>
      <x:c r="I457" s="184" t="str"/>
      <x:c r="J457" s="184" t="str"/>
      <x:c r="K457" s="184" t="str">
        <x:v>ESMALTE</x:v>
      </x:c>
      <x:c r="L457" s="184" t="str">
        <x:v>BRANCO CARRARA</x:v>
      </x:c>
      <x:c r="M457" s="205" t="n">
        <x:v>10</x:v>
      </x:c>
      <x:c r="N457" s="205" t="n">
        <x:v>1100</x:v>
      </x:c>
      <x:c r="O457" s="205" t="n">
        <x:v>50</x:v>
      </x:c>
      <x:c r="P457" s="205" t="n">
        <x:v>9</x:v>
      </x:c>
      <x:c r="Q457" s="206" t="n">
        <x:v>0</x:v>
      </x:c>
      <x:c r="R457" s="207" t="str"/>
      <x:c r="S457" s="207" t="str"/>
      <x:c r="T457" s="207" t="str"/>
      <x:c r="U457" s="207" t="n">
        <x:v>0</x:v>
      </x:c>
      <x:c r="V457" s="208" t="n">
        <x:f>MAX(0,M457-U457)</x:f>
        <x:v>10</x:v>
      </x:c>
      <x:c r="W457" s="209" t="n">
        <x:f>IFERROR(U457/M457,0)</x:f>
        <x:v>0</x:v>
      </x:c>
      <x:c r="X457" s="201" t="str">
        <x:f>IF(U457=0,"Não iniciado",IF(U457&gt;=M457,"Concluído","Parcial"))</x:f>
        <x:v>Não iniciado</x:v>
      </x:c>
      <x:c r="Y457" s="199" t="str"/>
      <x:c r="Z457" s="188" t="str">
        <x:v>Normal</x:v>
      </x:c>
    </x:row>
    <x:row r="458" ht="22" customHeight="1">
      <x:c r="A458" s="219" t="n">
        <x:v>454</x:v>
      </x:c>
      <x:c r="B458" s="220" t="str">
        <x:v>26739</x:v>
      </x:c>
      <x:c r="C458" s="220" t="str">
        <x:v>21</x:v>
      </x:c>
      <x:c r="D458" s="220" t="str">
        <x:v>609730</x:v>
      </x:c>
      <x:c r="E458" s="220" t="str">
        <x:v>966149</x:v>
      </x:c>
      <x:c r="F458" s="220" t="str">
        <x:v>OUTROS</x:v>
      </x:c>
      <x:c r="G458" s="190" t="str">
        <x:v>TR AL 1100X50X9 RTO RL80 REC PET BCO (UL</x:v>
      </x:c>
      <x:c r="H458" s="190" t="str"/>
      <x:c r="I458" s="190" t="str"/>
      <x:c r="J458" s="190" t="str"/>
      <x:c r="K458" s="190" t="str">
        <x:v>ESMALTE</x:v>
      </x:c>
      <x:c r="L458" s="190" t="str">
        <x:v>BRANCO CARRARA</x:v>
      </x:c>
      <x:c r="M458" s="210" t="n">
        <x:v>10</x:v>
      </x:c>
      <x:c r="N458" s="210" t="n">
        <x:v>1100</x:v>
      </x:c>
      <x:c r="O458" s="210" t="n">
        <x:v>50</x:v>
      </x:c>
      <x:c r="P458" s="210" t="n">
        <x:v>9</x:v>
      </x:c>
      <x:c r="Q458" s="211" t="n">
        <x:v>0</x:v>
      </x:c>
      <x:c r="R458" s="207" t="str"/>
      <x:c r="S458" s="207" t="str"/>
      <x:c r="T458" s="207" t="str"/>
      <x:c r="U458" s="207" t="n">
        <x:v>0</x:v>
      </x:c>
      <x:c r="V458" s="208" t="n">
        <x:f>MAX(0,M458-U458)</x:f>
        <x:v>10</x:v>
      </x:c>
      <x:c r="W458" s="209" t="n">
        <x:f>IFERROR(U458/M458,0)</x:f>
        <x:v>0</x:v>
      </x:c>
      <x:c r="X458" s="201" t="str">
        <x:f>IF(U458=0,"Não iniciado",IF(U458&gt;=M458,"Concluído","Parcial"))</x:f>
        <x:v>Não iniciado</x:v>
      </x:c>
      <x:c r="Y458" s="199" t="str"/>
      <x:c r="Z458" s="188" t="str">
        <x:v>Normal</x:v>
      </x:c>
    </x:row>
    <x:row r="459" ht="22" customHeight="1">
      <x:c r="A459" s="217" t="n">
        <x:v>455</x:v>
      </x:c>
      <x:c r="B459" s="218" t="str">
        <x:v>26739</x:v>
      </x:c>
      <x:c r="C459" s="218" t="str">
        <x:v>22</x:v>
      </x:c>
      <x:c r="D459" s="218" t="str">
        <x:v>609734</x:v>
      </x:c>
      <x:c r="E459" s="218" t="str">
        <x:v>919640</x:v>
      </x:c>
      <x:c r="F459" s="218" t="str">
        <x:v>OUTROS</x:v>
      </x:c>
      <x:c r="G459" s="184" t="str">
        <x:v>TR AL 1100X50X9 RTO LME REC PET BCO (ULT</x:v>
      </x:c>
      <x:c r="H459" s="184" t="str"/>
      <x:c r="I459" s="184" t="str"/>
      <x:c r="J459" s="184" t="str"/>
      <x:c r="K459" s="184" t="str">
        <x:v>ESMALTE</x:v>
      </x:c>
      <x:c r="L459" s="184" t="str">
        <x:v>BRANCO CARRARA</x:v>
      </x:c>
      <x:c r="M459" s="205" t="n">
        <x:v>1</x:v>
      </x:c>
      <x:c r="N459" s="205" t="n">
        <x:v>1100</x:v>
      </x:c>
      <x:c r="O459" s="205" t="n">
        <x:v>50</x:v>
      </x:c>
      <x:c r="P459" s="205" t="n">
        <x:v>9</x:v>
      </x:c>
      <x:c r="Q459" s="206" t="n">
        <x:v>0</x:v>
      </x:c>
      <x:c r="R459" s="207" t="str"/>
      <x:c r="S459" s="207" t="str"/>
      <x:c r="T459" s="207" t="str"/>
      <x:c r="U459" s="207" t="n">
        <x:v>0</x:v>
      </x:c>
      <x:c r="V459" s="208" t="n">
        <x:f>MAX(0,M459-U459)</x:f>
        <x:v>1</x:v>
      </x:c>
      <x:c r="W459" s="209" t="n">
        <x:f>IFERROR(U459/M459,0)</x:f>
        <x:v>0</x:v>
      </x:c>
      <x:c r="X459" s="201" t="str">
        <x:f>IF(U459=0,"Não iniciado",IF(U459&gt;=M459,"Concluído","Parcial"))</x:f>
        <x:v>Não iniciado</x:v>
      </x:c>
      <x:c r="Y459" s="199" t="str"/>
      <x:c r="Z459" s="188" t="str">
        <x:v>Normal</x:v>
      </x:c>
    </x:row>
    <x:row r="460" ht="22" customHeight="1">
      <x:c r="A460" s="219" t="n">
        <x:v>456</x:v>
      </x:c>
      <x:c r="B460" s="220" t="str">
        <x:v>26739</x:v>
      </x:c>
      <x:c r="C460" s="220" t="str">
        <x:v>22</x:v>
      </x:c>
      <x:c r="D460" s="220" t="str">
        <x:v>609736</x:v>
      </x:c>
      <x:c r="E460" s="220" t="str">
        <x:v>966149</x:v>
      </x:c>
      <x:c r="F460" s="220" t="str">
        <x:v>OUTROS</x:v>
      </x:c>
      <x:c r="G460" s="190" t="str">
        <x:v>TR AL 1100X50X9 RTO RL80 REC PET BCO (UL</x:v>
      </x:c>
      <x:c r="H460" s="190" t="str"/>
      <x:c r="I460" s="190" t="str"/>
      <x:c r="J460" s="190" t="str"/>
      <x:c r="K460" s="190" t="str">
        <x:v>ESMALTE</x:v>
      </x:c>
      <x:c r="L460" s="190" t="str">
        <x:v>BRANCO CARRARA</x:v>
      </x:c>
      <x:c r="M460" s="210" t="n">
        <x:v>1</x:v>
      </x:c>
      <x:c r="N460" s="210" t="n">
        <x:v>1100</x:v>
      </x:c>
      <x:c r="O460" s="210" t="n">
        <x:v>50</x:v>
      </x:c>
      <x:c r="P460" s="210" t="n">
        <x:v>9</x:v>
      </x:c>
      <x:c r="Q460" s="211" t="n">
        <x:v>0</x:v>
      </x:c>
      <x:c r="R460" s="207" t="str"/>
      <x:c r="S460" s="207" t="str"/>
      <x:c r="T460" s="207" t="str"/>
      <x:c r="U460" s="207" t="n">
        <x:v>0</x:v>
      </x:c>
      <x:c r="V460" s="208" t="n">
        <x:f>MAX(0,M460-U460)</x:f>
        <x:v>1</x:v>
      </x:c>
      <x:c r="W460" s="209" t="n">
        <x:f>IFERROR(U460/M460,0)</x:f>
        <x:v>0</x:v>
      </x:c>
      <x:c r="X460" s="201" t="str">
        <x:f>IF(U460=0,"Não iniciado",IF(U460&gt;=M460,"Concluído","Parcial"))</x:f>
        <x:v>Não iniciado</x:v>
      </x:c>
      <x:c r="Y460" s="199" t="str"/>
      <x:c r="Z460" s="188" t="str">
        <x:v>Normal</x:v>
      </x:c>
    </x:row>
    <x:row r="461" ht="22" customHeight="1">
      <x:c r="A461" s="217" t="n">
        <x:v>457</x:v>
      </x:c>
      <x:c r="B461" s="218" t="str">
        <x:v>26739</x:v>
      </x:c>
      <x:c r="C461" s="218" t="str">
        <x:v>23</x:v>
      </x:c>
      <x:c r="D461" s="218" t="str">
        <x:v>609742</x:v>
      </x:c>
      <x:c r="E461" s="218" t="str">
        <x:v>919640</x:v>
      </x:c>
      <x:c r="F461" s="218" t="str">
        <x:v>OUTROS</x:v>
      </x:c>
      <x:c r="G461" s="184" t="str">
        <x:v>TR AL 1100X50X9 RTO LME REC PET BCO (ULT</x:v>
      </x:c>
      <x:c r="H461" s="184" t="str"/>
      <x:c r="I461" s="184" t="str"/>
      <x:c r="J461" s="184" t="str"/>
      <x:c r="K461" s="184" t="str">
        <x:v>ESMALTE</x:v>
      </x:c>
      <x:c r="L461" s="184" t="str">
        <x:v>BRANCO CARRARA</x:v>
      </x:c>
      <x:c r="M461" s="205" t="n">
        <x:v>1</x:v>
      </x:c>
      <x:c r="N461" s="205" t="n">
        <x:v>1100</x:v>
      </x:c>
      <x:c r="O461" s="205" t="n">
        <x:v>50</x:v>
      </x:c>
      <x:c r="P461" s="205" t="n">
        <x:v>9</x:v>
      </x:c>
      <x:c r="Q461" s="206" t="n">
        <x:v>0</x:v>
      </x:c>
      <x:c r="R461" s="207" t="str"/>
      <x:c r="S461" s="207" t="str"/>
      <x:c r="T461" s="207" t="str"/>
      <x:c r="U461" s="207" t="n">
        <x:v>0</x:v>
      </x:c>
      <x:c r="V461" s="208" t="n">
        <x:f>MAX(0,M461-U461)</x:f>
        <x:v>1</x:v>
      </x:c>
      <x:c r="W461" s="209" t="n">
        <x:f>IFERROR(U461/M461,0)</x:f>
        <x:v>0</x:v>
      </x:c>
      <x:c r="X461" s="201" t="str">
        <x:f>IF(U461=0,"Não iniciado",IF(U461&gt;=M461,"Concluído","Parcial"))</x:f>
        <x:v>Não iniciado</x:v>
      </x:c>
      <x:c r="Y461" s="199" t="str"/>
      <x:c r="Z461" s="188" t="str">
        <x:v>Normal</x:v>
      </x:c>
    </x:row>
    <x:row r="462" ht="22" customHeight="1">
      <x:c r="A462" s="219" t="n">
        <x:v>458</x:v>
      </x:c>
      <x:c r="B462" s="220" t="str">
        <x:v>26739</x:v>
      </x:c>
      <x:c r="C462" s="220" t="str">
        <x:v>23</x:v>
      </x:c>
      <x:c r="D462" s="220" t="str">
        <x:v>609747</x:v>
      </x:c>
      <x:c r="E462" s="220" t="str">
        <x:v>966149</x:v>
      </x:c>
      <x:c r="F462" s="220" t="str">
        <x:v>OUTROS</x:v>
      </x:c>
      <x:c r="G462" s="190" t="str">
        <x:v>TR AL 1100X50X9 RTO RL80 REC PET BCO (UL</x:v>
      </x:c>
      <x:c r="H462" s="190" t="str"/>
      <x:c r="I462" s="190" t="str"/>
      <x:c r="J462" s="190" t="str"/>
      <x:c r="K462" s="190" t="str">
        <x:v>ESMALTE</x:v>
      </x:c>
      <x:c r="L462" s="190" t="str">
        <x:v>BRANCO CARRARA</x:v>
      </x:c>
      <x:c r="M462" s="210" t="n">
        <x:v>1</x:v>
      </x:c>
      <x:c r="N462" s="210" t="n">
        <x:v>1100</x:v>
      </x:c>
      <x:c r="O462" s="210" t="n">
        <x:v>50</x:v>
      </x:c>
      <x:c r="P462" s="210" t="n">
        <x:v>9</x:v>
      </x:c>
      <x:c r="Q462" s="211" t="n">
        <x:v>0</x:v>
      </x:c>
      <x:c r="R462" s="207" t="str"/>
      <x:c r="S462" s="207" t="str"/>
      <x:c r="T462" s="207" t="str"/>
      <x:c r="U462" s="207" t="n">
        <x:v>0</x:v>
      </x:c>
      <x:c r="V462" s="208" t="n">
        <x:f>MAX(0,M462-U462)</x:f>
        <x:v>1</x:v>
      </x:c>
      <x:c r="W462" s="209" t="n">
        <x:f>IFERROR(U462/M462,0)</x:f>
        <x:v>0</x:v>
      </x:c>
      <x:c r="X462" s="201" t="str">
        <x:f>IF(U462=0,"Não iniciado",IF(U462&gt;=M462,"Concluído","Parcial"))</x:f>
        <x:v>Não iniciado</x:v>
      </x:c>
      <x:c r="Y462" s="199" t="str"/>
      <x:c r="Z462" s="188" t="str">
        <x:v>Normal</x:v>
      </x:c>
    </x:row>
    <x:row r="463" ht="22" customHeight="1">
      <x:c r="A463" s="217" t="n">
        <x:v>459</x:v>
      </x:c>
      <x:c r="B463" s="218" t="str">
        <x:v>26739</x:v>
      </x:c>
      <x:c r="C463" s="218" t="str">
        <x:v>24</x:v>
      </x:c>
      <x:c r="D463" s="218" t="str">
        <x:v>609755</x:v>
      </x:c>
      <x:c r="E463" s="218" t="str">
        <x:v>919640</x:v>
      </x:c>
      <x:c r="F463" s="218" t="str">
        <x:v>OUTROS</x:v>
      </x:c>
      <x:c r="G463" s="184" t="str">
        <x:v>TR AL 1100X50X9 RTO LME REC PET BCO (ULT</x:v>
      </x:c>
      <x:c r="H463" s="184" t="str"/>
      <x:c r="I463" s="184" t="str"/>
      <x:c r="J463" s="184" t="str"/>
      <x:c r="K463" s="184" t="str">
        <x:v>ESMALTE</x:v>
      </x:c>
      <x:c r="L463" s="184" t="str">
        <x:v>BRANCO CARRARA</x:v>
      </x:c>
      <x:c r="M463" s="205" t="n">
        <x:v>2</x:v>
      </x:c>
      <x:c r="N463" s="205" t="n">
        <x:v>1100</x:v>
      </x:c>
      <x:c r="O463" s="205" t="n">
        <x:v>50</x:v>
      </x:c>
      <x:c r="P463" s="205" t="n">
        <x:v>9</x:v>
      </x:c>
      <x:c r="Q463" s="206" t="n">
        <x:v>0</x:v>
      </x:c>
      <x:c r="R463" s="207" t="str"/>
      <x:c r="S463" s="207" t="str"/>
      <x:c r="T463" s="207" t="str"/>
      <x:c r="U463" s="207" t="n">
        <x:v>0</x:v>
      </x:c>
      <x:c r="V463" s="208" t="n">
        <x:f>MAX(0,M463-U463)</x:f>
        <x:v>2</x:v>
      </x:c>
      <x:c r="W463" s="209" t="n">
        <x:f>IFERROR(U463/M463,0)</x:f>
        <x:v>0</x:v>
      </x:c>
      <x:c r="X463" s="201" t="str">
        <x:f>IF(U463=0,"Não iniciado",IF(U463&gt;=M463,"Concluído","Parcial"))</x:f>
        <x:v>Não iniciado</x:v>
      </x:c>
      <x:c r="Y463" s="199" t="str"/>
      <x:c r="Z463" s="188" t="str">
        <x:v>Normal</x:v>
      </x:c>
    </x:row>
    <x:row r="464" ht="22" customHeight="1">
      <x:c r="A464" s="219" t="n">
        <x:v>460</x:v>
      </x:c>
      <x:c r="B464" s="220" t="str">
        <x:v>26739</x:v>
      </x:c>
      <x:c r="C464" s="220" t="str">
        <x:v>24</x:v>
      </x:c>
      <x:c r="D464" s="220" t="str">
        <x:v>609761</x:v>
      </x:c>
      <x:c r="E464" s="220" t="str">
        <x:v>966149</x:v>
      </x:c>
      <x:c r="F464" s="220" t="str">
        <x:v>OUTROS</x:v>
      </x:c>
      <x:c r="G464" s="190" t="str">
        <x:v>TR AL 1100X50X9 RTO RL80 REC PET BCO (UL</x:v>
      </x:c>
      <x:c r="H464" s="190" t="str"/>
      <x:c r="I464" s="190" t="str"/>
      <x:c r="J464" s="190" t="str"/>
      <x:c r="K464" s="190" t="str">
        <x:v>ESMALTE</x:v>
      </x:c>
      <x:c r="L464" s="190" t="str">
        <x:v>BRANCO CARRARA</x:v>
      </x:c>
      <x:c r="M464" s="210" t="n">
        <x:v>2</x:v>
      </x:c>
      <x:c r="N464" s="210" t="n">
        <x:v>1100</x:v>
      </x:c>
      <x:c r="O464" s="210" t="n">
        <x:v>50</x:v>
      </x:c>
      <x:c r="P464" s="210" t="n">
        <x:v>9</x:v>
      </x:c>
      <x:c r="Q464" s="211" t="n">
        <x:v>0</x:v>
      </x:c>
      <x:c r="R464" s="207" t="str"/>
      <x:c r="S464" s="207" t="str"/>
      <x:c r="T464" s="207" t="str"/>
      <x:c r="U464" s="207" t="n">
        <x:v>0</x:v>
      </x:c>
      <x:c r="V464" s="208" t="n">
        <x:f>MAX(0,M464-U464)</x:f>
        <x:v>2</x:v>
      </x:c>
      <x:c r="W464" s="209" t="n">
        <x:f>IFERROR(U464/M464,0)</x:f>
        <x:v>0</x:v>
      </x:c>
      <x:c r="X464" s="201" t="str">
        <x:f>IF(U464=0,"Não iniciado",IF(U464&gt;=M464,"Concluído","Parcial"))</x:f>
        <x:v>Não iniciado</x:v>
      </x:c>
      <x:c r="Y464" s="199" t="str"/>
      <x:c r="Z464" s="188" t="str">
        <x:v>Normal</x:v>
      </x:c>
    </x:row>
    <x:row r="465" ht="22" customHeight="1">
      <x:c r="A465" s="217" t="n">
        <x:v>461</x:v>
      </x:c>
      <x:c r="B465" s="218" t="str">
        <x:v>26739</x:v>
      </x:c>
      <x:c r="C465" s="218" t="str">
        <x:v>25</x:v>
      </x:c>
      <x:c r="D465" s="218" t="str">
        <x:v>609769</x:v>
      </x:c>
      <x:c r="E465" s="218" t="str">
        <x:v>919640</x:v>
      </x:c>
      <x:c r="F465" s="218" t="str">
        <x:v>OUTROS</x:v>
      </x:c>
      <x:c r="G465" s="184" t="str">
        <x:v>TR AL 1100X50X9 RTO LME REC PET BCO (ULT</x:v>
      </x:c>
      <x:c r="H465" s="184" t="str"/>
      <x:c r="I465" s="184" t="str"/>
      <x:c r="J465" s="184" t="str"/>
      <x:c r="K465" s="184" t="str">
        <x:v>ESMALTE</x:v>
      </x:c>
      <x:c r="L465" s="184" t="str">
        <x:v>BRANCO CARRARA</x:v>
      </x:c>
      <x:c r="M465" s="205" t="n">
        <x:v>1</x:v>
      </x:c>
      <x:c r="N465" s="205" t="n">
        <x:v>1100</x:v>
      </x:c>
      <x:c r="O465" s="205" t="n">
        <x:v>50</x:v>
      </x:c>
      <x:c r="P465" s="205" t="n">
        <x:v>9</x:v>
      </x:c>
      <x:c r="Q465" s="206" t="n">
        <x:v>0</x:v>
      </x:c>
      <x:c r="R465" s="207" t="str"/>
      <x:c r="S465" s="207" t="str"/>
      <x:c r="T465" s="207" t="str"/>
      <x:c r="U465" s="207" t="n">
        <x:v>0</x:v>
      </x:c>
      <x:c r="V465" s="208" t="n">
        <x:f>MAX(0,M465-U465)</x:f>
        <x:v>1</x:v>
      </x:c>
      <x:c r="W465" s="209" t="n">
        <x:f>IFERROR(U465/M465,0)</x:f>
        <x:v>0</x:v>
      </x:c>
      <x:c r="X465" s="201" t="str">
        <x:f>IF(U465=0,"Não iniciado",IF(U465&gt;=M465,"Concluído","Parcial"))</x:f>
        <x:v>Não iniciado</x:v>
      </x:c>
      <x:c r="Y465" s="199" t="str"/>
      <x:c r="Z465" s="188" t="str">
        <x:v>Normal</x:v>
      </x:c>
    </x:row>
    <x:row r="466" ht="22" customHeight="1">
      <x:c r="A466" s="219" t="n">
        <x:v>462</x:v>
      </x:c>
      <x:c r="B466" s="220" t="str">
        <x:v>26739</x:v>
      </x:c>
      <x:c r="C466" s="220" t="str">
        <x:v>25</x:v>
      </x:c>
      <x:c r="D466" s="220" t="str">
        <x:v>609775</x:v>
      </x:c>
      <x:c r="E466" s="220" t="str">
        <x:v>966149</x:v>
      </x:c>
      <x:c r="F466" s="220" t="str">
        <x:v>OUTROS</x:v>
      </x:c>
      <x:c r="G466" s="190" t="str">
        <x:v>TR AL 1100X50X9 RTO RL80 REC PET BCO (UL</x:v>
      </x:c>
      <x:c r="H466" s="190" t="str"/>
      <x:c r="I466" s="190" t="str"/>
      <x:c r="J466" s="190" t="str"/>
      <x:c r="K466" s="190" t="str">
        <x:v>ESMALTE</x:v>
      </x:c>
      <x:c r="L466" s="190" t="str">
        <x:v>BRANCO CARRARA</x:v>
      </x:c>
      <x:c r="M466" s="210" t="n">
        <x:v>1</x:v>
      </x:c>
      <x:c r="N466" s="210" t="n">
        <x:v>1100</x:v>
      </x:c>
      <x:c r="O466" s="210" t="n">
        <x:v>50</x:v>
      </x:c>
      <x:c r="P466" s="210" t="n">
        <x:v>9</x:v>
      </x:c>
      <x:c r="Q466" s="211" t="n">
        <x:v>0</x:v>
      </x:c>
      <x:c r="R466" s="207" t="str"/>
      <x:c r="S466" s="207" t="str"/>
      <x:c r="T466" s="207" t="str"/>
      <x:c r="U466" s="207" t="n">
        <x:v>0</x:v>
      </x:c>
      <x:c r="V466" s="208" t="n">
        <x:f>MAX(0,M466-U466)</x:f>
        <x:v>1</x:v>
      </x:c>
      <x:c r="W466" s="209" t="n">
        <x:f>IFERROR(U466/M466,0)</x:f>
        <x:v>0</x:v>
      </x:c>
      <x:c r="X466" s="201" t="str">
        <x:f>IF(U466=0,"Não iniciado",IF(U466&gt;=M466,"Concluído","Parcial"))</x:f>
        <x:v>Não iniciado</x:v>
      </x:c>
      <x:c r="Y466" s="199" t="str"/>
      <x:c r="Z466" s="188" t="str">
        <x:v>Normal</x:v>
      </x:c>
    </x:row>
    <x:row r="467" ht="22" customHeight="1">
      <x:c r="A467" s="217" t="n">
        <x:v>463</x:v>
      </x:c>
      <x:c r="B467" s="218" t="str">
        <x:v>26744</x:v>
      </x:c>
      <x:c r="C467" s="218" t="str">
        <x:v>1</x:v>
      </x:c>
      <x:c r="D467" s="218" t="str">
        <x:v>609989</x:v>
      </x:c>
      <x:c r="E467" s="218" t="str">
        <x:v>919640</x:v>
      </x:c>
      <x:c r="F467" s="218" t="str">
        <x:v>OUTROS</x:v>
      </x:c>
      <x:c r="G467" s="184" t="str">
        <x:v>TR AL 1100X50X9 RTO LME REC PET BCO (ULT</x:v>
      </x:c>
      <x:c r="H467" s="184" t="str"/>
      <x:c r="I467" s="184" t="str"/>
      <x:c r="J467" s="184" t="str"/>
      <x:c r="K467" s="184" t="str">
        <x:v>RECOBERTO PET</x:v>
      </x:c>
      <x:c r="L467" s="184" t="str">
        <x:v>BRANCO CARRARA</x:v>
      </x:c>
      <x:c r="M467" s="205" t="n">
        <x:v>4</x:v>
      </x:c>
      <x:c r="N467" s="205" t="n">
        <x:v>1100</x:v>
      </x:c>
      <x:c r="O467" s="205" t="n">
        <x:v>50</x:v>
      </x:c>
      <x:c r="P467" s="205" t="n">
        <x:v>9</x:v>
      </x:c>
      <x:c r="Q467" s="206" t="n">
        <x:v>0</x:v>
      </x:c>
      <x:c r="R467" s="207" t="str"/>
      <x:c r="S467" s="207" t="str"/>
      <x:c r="T467" s="207" t="str"/>
      <x:c r="U467" s="207" t="n">
        <x:v>0</x:v>
      </x:c>
      <x:c r="V467" s="208" t="n">
        <x:f>MAX(0,M467-U467)</x:f>
        <x:v>4</x:v>
      </x:c>
      <x:c r="W467" s="209" t="n">
        <x:f>IFERROR(U467/M467,0)</x:f>
        <x:v>0</x:v>
      </x:c>
      <x:c r="X467" s="201" t="str">
        <x:f>IF(U467=0,"Não iniciado",IF(U467&gt;=M467,"Concluído","Parcial"))</x:f>
        <x:v>Não iniciado</x:v>
      </x:c>
      <x:c r="Y467" s="199" t="str"/>
      <x:c r="Z467" s="188" t="str">
        <x:v>Normal</x:v>
      </x:c>
    </x:row>
    <x:row r="468" ht="22" customHeight="1">
      <x:c r="A468" s="219" t="n">
        <x:v>464</x:v>
      </x:c>
      <x:c r="B468" s="220" t="str">
        <x:v>26744</x:v>
      </x:c>
      <x:c r="C468" s="220" t="str">
        <x:v>2</x:v>
      </x:c>
      <x:c r="D468" s="220" t="str">
        <x:v>609998</x:v>
      </x:c>
      <x:c r="E468" s="220" t="str">
        <x:v>919640</x:v>
      </x:c>
      <x:c r="F468" s="220" t="str">
        <x:v>OUTROS</x:v>
      </x:c>
      <x:c r="G468" s="190" t="str">
        <x:v>TR AL 1100X50X9 RTO LME REC PET BCO (ULT</x:v>
      </x:c>
      <x:c r="H468" s="190" t="str"/>
      <x:c r="I468" s="190" t="str"/>
      <x:c r="J468" s="190" t="str"/>
      <x:c r="K468" s="190" t="str">
        <x:v>RECOBERTO PET</x:v>
      </x:c>
      <x:c r="L468" s="190" t="str">
        <x:v>BRANCO CARRARA</x:v>
      </x:c>
      <x:c r="M468" s="210" t="n">
        <x:v>5</x:v>
      </x:c>
      <x:c r="N468" s="210" t="n">
        <x:v>1100</x:v>
      </x:c>
      <x:c r="O468" s="210" t="n">
        <x:v>50</x:v>
      </x:c>
      <x:c r="P468" s="210" t="n">
        <x:v>9</x:v>
      </x:c>
      <x:c r="Q468" s="211" t="n">
        <x:v>0</x:v>
      </x:c>
      <x:c r="R468" s="207" t="str"/>
      <x:c r="S468" s="207" t="str"/>
      <x:c r="T468" s="207" t="str"/>
      <x:c r="U468" s="207" t="n">
        <x:v>0</x:v>
      </x:c>
      <x:c r="V468" s="208" t="n">
        <x:f>MAX(0,M468-U468)</x:f>
        <x:v>5</x:v>
      </x:c>
      <x:c r="W468" s="209" t="n">
        <x:f>IFERROR(U468/M468,0)</x:f>
        <x:v>0</x:v>
      </x:c>
      <x:c r="X468" s="201" t="str">
        <x:f>IF(U468=0,"Não iniciado",IF(U468&gt;=M468,"Concluído","Parcial"))</x:f>
        <x:v>Não iniciado</x:v>
      </x:c>
      <x:c r="Y468" s="199" t="str"/>
      <x:c r="Z468" s="188" t="str">
        <x:v>Normal</x:v>
      </x:c>
    </x:row>
    <x:row r="469" ht="22" customHeight="1">
      <x:c r="A469" s="217" t="n">
        <x:v>465</x:v>
      </x:c>
      <x:c r="B469" s="218" t="str">
        <x:v>26744</x:v>
      </x:c>
      <x:c r="C469" s="218" t="str">
        <x:v>3</x:v>
      </x:c>
      <x:c r="D469" s="218" t="str">
        <x:v>610007</x:v>
      </x:c>
      <x:c r="E469" s="218" t="str">
        <x:v>919639</x:v>
      </x:c>
      <x:c r="F469" s="218" t="str">
        <x:v>OUTROS</x:v>
      </x:c>
      <x:c r="G469" s="184" t="str">
        <x:v>TR AL 1100X50X9 RTO RL55 REC PET BCO (UL</x:v>
      </x:c>
      <x:c r="H469" s="184" t="str"/>
      <x:c r="I469" s="184" t="str"/>
      <x:c r="J469" s="184" t="str"/>
      <x:c r="K469" s="184" t="str">
        <x:v>RECOBERTO PET</x:v>
      </x:c>
      <x:c r="L469" s="184" t="str">
        <x:v>BRANCO CARRARA</x:v>
      </x:c>
      <x:c r="M469" s="205" t="n">
        <x:v>1</x:v>
      </x:c>
      <x:c r="N469" s="205" t="n">
        <x:v>1100</x:v>
      </x:c>
      <x:c r="O469" s="205" t="n">
        <x:v>50</x:v>
      </x:c>
      <x:c r="P469" s="205" t="n">
        <x:v>9</x:v>
      </x:c>
      <x:c r="Q469" s="206" t="n">
        <x:v>0</x:v>
      </x:c>
      <x:c r="R469" s="207" t="str"/>
      <x:c r="S469" s="207" t="str"/>
      <x:c r="T469" s="207" t="str"/>
      <x:c r="U469" s="207" t="n">
        <x:v>0</x:v>
      </x:c>
      <x:c r="V469" s="208" t="n">
        <x:f>MAX(0,M469-U469)</x:f>
        <x:v>1</x:v>
      </x:c>
      <x:c r="W469" s="209" t="n">
        <x:f>IFERROR(U469/M469,0)</x:f>
        <x:v>0</x:v>
      </x:c>
      <x:c r="X469" s="201" t="str">
        <x:f>IF(U469=0,"Não iniciado",IF(U469&gt;=M469,"Concluído","Parcial"))</x:f>
        <x:v>Não iniciado</x:v>
      </x:c>
      <x:c r="Y469" s="199" t="str"/>
      <x:c r="Z469" s="188" t="str">
        <x:v>Normal</x:v>
      </x:c>
    </x:row>
    <x:row r="470" ht="22" customHeight="1">
      <x:c r="A470" s="219" t="n">
        <x:v>466</x:v>
      </x:c>
      <x:c r="B470" s="220" t="str">
        <x:v>26744</x:v>
      </x:c>
      <x:c r="C470" s="220" t="str">
        <x:v>3</x:v>
      </x:c>
      <x:c r="D470" s="220" t="str">
        <x:v>610008</x:v>
      </x:c>
      <x:c r="E470" s="220" t="str">
        <x:v>919640</x:v>
      </x:c>
      <x:c r="F470" s="220" t="str">
        <x:v>OUTROS</x:v>
      </x:c>
      <x:c r="G470" s="190" t="str">
        <x:v>TR AL 1100X50X9 RTO LME REC PET BCO (ULT</x:v>
      </x:c>
      <x:c r="H470" s="190" t="str"/>
      <x:c r="I470" s="190" t="str"/>
      <x:c r="J470" s="190" t="str"/>
      <x:c r="K470" s="190" t="str">
        <x:v>RECOBERTO PET</x:v>
      </x:c>
      <x:c r="L470" s="190" t="str">
        <x:v>BRANCO CARRARA</x:v>
      </x:c>
      <x:c r="M470" s="210" t="n">
        <x:v>1</x:v>
      </x:c>
      <x:c r="N470" s="210" t="n">
        <x:v>1100</x:v>
      </x:c>
      <x:c r="O470" s="210" t="n">
        <x:v>50</x:v>
      </x:c>
      <x:c r="P470" s="210" t="n">
        <x:v>9</x:v>
      </x:c>
      <x:c r="Q470" s="211" t="n">
        <x:v>0</x:v>
      </x:c>
      <x:c r="R470" s="207" t="str"/>
      <x:c r="S470" s="207" t="str"/>
      <x:c r="T470" s="207" t="str"/>
      <x:c r="U470" s="207" t="n">
        <x:v>0</x:v>
      </x:c>
      <x:c r="V470" s="208" t="n">
        <x:f>MAX(0,M470-U470)</x:f>
        <x:v>1</x:v>
      </x:c>
      <x:c r="W470" s="209" t="n">
        <x:f>IFERROR(U470/M470,0)</x:f>
        <x:v>0</x:v>
      </x:c>
      <x:c r="X470" s="201" t="str">
        <x:f>IF(U470=0,"Não iniciado",IF(U470&gt;=M470,"Concluído","Parcial"))</x:f>
        <x:v>Não iniciado</x:v>
      </x:c>
      <x:c r="Y470" s="199" t="str"/>
      <x:c r="Z470" s="188" t="str">
        <x:v>Normal</x:v>
      </x:c>
    </x:row>
    <x:row r="471" ht="22" customHeight="1">
      <x:c r="A471" s="217" t="n">
        <x:v>467</x:v>
      </x:c>
      <x:c r="B471" s="218" t="str">
        <x:v>26744</x:v>
      </x:c>
      <x:c r="C471" s="218" t="str">
        <x:v>7</x:v>
      </x:c>
      <x:c r="D471" s="218" t="str">
        <x:v>610024</x:v>
      </x:c>
      <x:c r="E471" s="218" t="str">
        <x:v>919640</x:v>
      </x:c>
      <x:c r="F471" s="218" t="str">
        <x:v>OUTROS</x:v>
      </x:c>
      <x:c r="G471" s="184" t="str">
        <x:v>TR AL 1100X50X9 RTO LME REC PET BCO (ULT</x:v>
      </x:c>
      <x:c r="H471" s="184" t="str">
        <x:v>REG 2L(MAIOR 35mm)</x:v>
      </x:c>
      <x:c r="I471" s="184" t="str"/>
      <x:c r="J471" s="184" t="str"/>
      <x:c r="K471" s="184" t="str">
        <x:v>RECOBERTO PET</x:v>
      </x:c>
      <x:c r="L471" s="184" t="str">
        <x:v>BRANCO CARRARA</x:v>
      </x:c>
      <x:c r="M471" s="205" t="n">
        <x:v>2</x:v>
      </x:c>
      <x:c r="N471" s="205" t="n">
        <x:v>1100</x:v>
      </x:c>
      <x:c r="O471" s="205" t="n">
        <x:v>50</x:v>
      </x:c>
      <x:c r="P471" s="205" t="n">
        <x:v>9</x:v>
      </x:c>
      <x:c r="Q471" s="206" t="n">
        <x:v>0</x:v>
      </x:c>
      <x:c r="R471" s="207" t="str"/>
      <x:c r="S471" s="207" t="str"/>
      <x:c r="T471" s="207" t="str"/>
      <x:c r="U471" s="207" t="n">
        <x:v>0</x:v>
      </x:c>
      <x:c r="V471" s="208" t="n">
        <x:f>MAX(0,M471-U471)</x:f>
        <x:v>2</x:v>
      </x:c>
      <x:c r="W471" s="209" t="n">
        <x:f>IFERROR(U471/M471,0)</x:f>
        <x:v>0</x:v>
      </x:c>
      <x:c r="X471" s="201" t="str">
        <x:f>IF(U471=0,"Não iniciado",IF(U471&gt;=M471,"Concluído","Parcial"))</x:f>
        <x:v>Não iniciado</x:v>
      </x:c>
      <x:c r="Y471" s="199" t="str"/>
      <x:c r="Z471" s="188" t="str">
        <x:v>Normal</x:v>
      </x:c>
    </x:row>
    <x:row r="472" ht="22" customHeight="1">
      <x:c r="A472" s="219" t="n">
        <x:v>468</x:v>
      </x:c>
      <x:c r="B472" s="220" t="str">
        <x:v>26750</x:v>
      </x:c>
      <x:c r="C472" s="220" t="str">
        <x:v>10</x:v>
      </x:c>
      <x:c r="D472" s="220" t="str">
        <x:v>609804</x:v>
      </x:c>
      <x:c r="E472" s="220" t="str">
        <x:v>919640</x:v>
      </x:c>
      <x:c r="F472" s="220" t="str">
        <x:v>OUTROS</x:v>
      </x:c>
      <x:c r="G472" s="190" t="str">
        <x:v>TR AL 1100X50X9 RTO LME REC PET BCO (ULT</x:v>
      </x:c>
      <x:c r="H472" s="190" t="str"/>
      <x:c r="I472" s="190" t="str"/>
      <x:c r="J472" s="190" t="str"/>
      <x:c r="K472" s="190" t="str">
        <x:v>ESMALTE</x:v>
      </x:c>
      <x:c r="L472" s="190" t="str">
        <x:v>BRANCO CARRARA</x:v>
      </x:c>
      <x:c r="M472" s="210" t="n">
        <x:v>2</x:v>
      </x:c>
      <x:c r="N472" s="210" t="n">
        <x:v>1100</x:v>
      </x:c>
      <x:c r="O472" s="210" t="n">
        <x:v>50</x:v>
      </x:c>
      <x:c r="P472" s="210" t="n">
        <x:v>9</x:v>
      </x:c>
      <x:c r="Q472" s="211" t="n">
        <x:v>0</x:v>
      </x:c>
      <x:c r="R472" s="207" t="str"/>
      <x:c r="S472" s="207" t="str"/>
      <x:c r="T472" s="207" t="str"/>
      <x:c r="U472" s="207" t="n">
        <x:v>0</x:v>
      </x:c>
      <x:c r="V472" s="208" t="n">
        <x:f>MAX(0,M472-U472)</x:f>
        <x:v>2</x:v>
      </x:c>
      <x:c r="W472" s="209" t="n">
        <x:f>IFERROR(U472/M472,0)</x:f>
        <x:v>0</x:v>
      </x:c>
      <x:c r="X472" s="201" t="str">
        <x:f>IF(U472=0,"Não iniciado",IF(U472&gt;=M472,"Concluído","Parcial"))</x:f>
        <x:v>Não iniciado</x:v>
      </x:c>
      <x:c r="Y472" s="199" t="str"/>
      <x:c r="Z472" s="188" t="str">
        <x:v>Normal</x:v>
      </x:c>
    </x:row>
    <x:row r="473" ht="22" customHeight="1">
      <x:c r="A473" s="217" t="n">
        <x:v>469</x:v>
      </x:c>
      <x:c r="B473" s="218" t="str">
        <x:v>26750</x:v>
      </x:c>
      <x:c r="C473" s="218" t="str">
        <x:v>10</x:v>
      </x:c>
      <x:c r="D473" s="218" t="str">
        <x:v>609807</x:v>
      </x:c>
      <x:c r="E473" s="218" t="str">
        <x:v>966149</x:v>
      </x:c>
      <x:c r="F473" s="218" t="str">
        <x:v>OUTROS</x:v>
      </x:c>
      <x:c r="G473" s="184" t="str">
        <x:v>TR AL 1100X50X9 RTO RL80 REC PET BCO (UL</x:v>
      </x:c>
      <x:c r="H473" s="184" t="str"/>
      <x:c r="I473" s="184" t="str"/>
      <x:c r="J473" s="184" t="str"/>
      <x:c r="K473" s="184" t="str">
        <x:v>ESMALTE</x:v>
      </x:c>
      <x:c r="L473" s="184" t="str">
        <x:v>BRANCO CARRARA</x:v>
      </x:c>
      <x:c r="M473" s="205" t="n">
        <x:v>2</x:v>
      </x:c>
      <x:c r="N473" s="205" t="n">
        <x:v>1100</x:v>
      </x:c>
      <x:c r="O473" s="205" t="n">
        <x:v>50</x:v>
      </x:c>
      <x:c r="P473" s="205" t="n">
        <x:v>9</x:v>
      </x:c>
      <x:c r="Q473" s="206" t="n">
        <x:v>0</x:v>
      </x:c>
      <x:c r="R473" s="207" t="str"/>
      <x:c r="S473" s="207" t="str"/>
      <x:c r="T473" s="207" t="str"/>
      <x:c r="U473" s="207" t="n">
        <x:v>0</x:v>
      </x:c>
      <x:c r="V473" s="208" t="n">
        <x:f>MAX(0,M473-U473)</x:f>
        <x:v>2</x:v>
      </x:c>
      <x:c r="W473" s="209" t="n">
        <x:f>IFERROR(U473/M473,0)</x:f>
        <x:v>0</x:v>
      </x:c>
      <x:c r="X473" s="201" t="str">
        <x:f>IF(U473=0,"Não iniciado",IF(U473&gt;=M473,"Concluído","Parcial"))</x:f>
        <x:v>Não iniciado</x:v>
      </x:c>
      <x:c r="Y473" s="199" t="str"/>
      <x:c r="Z473" s="188" t="str">
        <x:v>Normal</x:v>
      </x:c>
    </x:row>
    <x:row r="474" ht="22" customHeight="1">
      <x:c r="A474" s="219" t="n">
        <x:v>470</x:v>
      </x:c>
      <x:c r="B474" s="220" t="str">
        <x:v>26750</x:v>
      </x:c>
      <x:c r="C474" s="220" t="str">
        <x:v>11</x:v>
      </x:c>
      <x:c r="D474" s="220" t="str">
        <x:v>609812</x:v>
      </x:c>
      <x:c r="E474" s="220" t="str">
        <x:v>919640</x:v>
      </x:c>
      <x:c r="F474" s="220" t="str">
        <x:v>OUTROS</x:v>
      </x:c>
      <x:c r="G474" s="190" t="str">
        <x:v>TR AL 1100X50X9 RTO LME REC PET BCO (ULT</x:v>
      </x:c>
      <x:c r="H474" s="190" t="str"/>
      <x:c r="I474" s="190" t="str"/>
      <x:c r="J474" s="190" t="str"/>
      <x:c r="K474" s="190" t="str">
        <x:v>ESMALTE</x:v>
      </x:c>
      <x:c r="L474" s="190" t="str">
        <x:v>BRANCO CARRARA</x:v>
      </x:c>
      <x:c r="M474" s="210" t="n">
        <x:v>12</x:v>
      </x:c>
      <x:c r="N474" s="210" t="n">
        <x:v>1100</x:v>
      </x:c>
      <x:c r="O474" s="210" t="n">
        <x:v>50</x:v>
      </x:c>
      <x:c r="P474" s="210" t="n">
        <x:v>9</x:v>
      </x:c>
      <x:c r="Q474" s="211" t="n">
        <x:v>0</x:v>
      </x:c>
      <x:c r="R474" s="207" t="str"/>
      <x:c r="S474" s="207" t="str"/>
      <x:c r="T474" s="207" t="str"/>
      <x:c r="U474" s="207" t="n">
        <x:v>0</x:v>
      </x:c>
      <x:c r="V474" s="208" t="n">
        <x:f>MAX(0,M474-U474)</x:f>
        <x:v>12</x:v>
      </x:c>
      <x:c r="W474" s="209" t="n">
        <x:f>IFERROR(U474/M474,0)</x:f>
        <x:v>0</x:v>
      </x:c>
      <x:c r="X474" s="201" t="str">
        <x:f>IF(U474=0,"Não iniciado",IF(U474&gt;=M474,"Concluído","Parcial"))</x:f>
        <x:v>Não iniciado</x:v>
      </x:c>
      <x:c r="Y474" s="199" t="str"/>
      <x:c r="Z474" s="188" t="str">
        <x:v>Normal</x:v>
      </x:c>
    </x:row>
    <x:row r="475" ht="22" customHeight="1">
      <x:c r="A475" s="217" t="n">
        <x:v>471</x:v>
      </x:c>
      <x:c r="B475" s="218" t="str">
        <x:v>26750</x:v>
      </x:c>
      <x:c r="C475" s="218" t="str">
        <x:v>11</x:v>
      </x:c>
      <x:c r="D475" s="218" t="str">
        <x:v>609814</x:v>
      </x:c>
      <x:c r="E475" s="218" t="str">
        <x:v>966149</x:v>
      </x:c>
      <x:c r="F475" s="218" t="str">
        <x:v>OUTROS</x:v>
      </x:c>
      <x:c r="G475" s="184" t="str">
        <x:v>TR AL 1100X50X9 RTO RL80 REC PET BCO (UL</x:v>
      </x:c>
      <x:c r="H475" s="184" t="str"/>
      <x:c r="I475" s="184" t="str"/>
      <x:c r="J475" s="184" t="str"/>
      <x:c r="K475" s="184" t="str">
        <x:v>ESMALTE</x:v>
      </x:c>
      <x:c r="L475" s="184" t="str">
        <x:v>BRANCO CARRARA</x:v>
      </x:c>
      <x:c r="M475" s="205" t="n">
        <x:v>12</x:v>
      </x:c>
      <x:c r="N475" s="205" t="n">
        <x:v>1100</x:v>
      </x:c>
      <x:c r="O475" s="205" t="n">
        <x:v>50</x:v>
      </x:c>
      <x:c r="P475" s="205" t="n">
        <x:v>9</x:v>
      </x:c>
      <x:c r="Q475" s="206" t="n">
        <x:v>0</x:v>
      </x:c>
      <x:c r="R475" s="207" t="str"/>
      <x:c r="S475" s="207" t="str"/>
      <x:c r="T475" s="207" t="str"/>
      <x:c r="U475" s="207" t="n">
        <x:v>0</x:v>
      </x:c>
      <x:c r="V475" s="208" t="n">
        <x:f>MAX(0,M475-U475)</x:f>
        <x:v>12</x:v>
      </x:c>
      <x:c r="W475" s="209" t="n">
        <x:f>IFERROR(U475/M475,0)</x:f>
        <x:v>0</x:v>
      </x:c>
      <x:c r="X475" s="201" t="str">
        <x:f>IF(U475=0,"Não iniciado",IF(U475&gt;=M475,"Concluído","Parcial"))</x:f>
        <x:v>Não iniciado</x:v>
      </x:c>
      <x:c r="Y475" s="199" t="str"/>
      <x:c r="Z475" s="188" t="str">
        <x:v>Normal</x:v>
      </x:c>
    </x:row>
    <x:row r="476" ht="22" customHeight="1">
      <x:c r="A476" s="219" t="n">
        <x:v>472</x:v>
      </x:c>
      <x:c r="B476" s="220" t="str">
        <x:v>26750</x:v>
      </x:c>
      <x:c r="C476" s="220" t="str">
        <x:v>12</x:v>
      </x:c>
      <x:c r="D476" s="220" t="str">
        <x:v>609821</x:v>
      </x:c>
      <x:c r="E476" s="220" t="str">
        <x:v>919640</x:v>
      </x:c>
      <x:c r="F476" s="220" t="str">
        <x:v>OUTROS</x:v>
      </x:c>
      <x:c r="G476" s="190" t="str">
        <x:v>TR AL 1100X50X9 RTO LME REC PET BCO (ULT</x:v>
      </x:c>
      <x:c r="H476" s="190" t="str"/>
      <x:c r="I476" s="190" t="str"/>
      <x:c r="J476" s="190" t="str"/>
      <x:c r="K476" s="190" t="str">
        <x:v>ESMALTE</x:v>
      </x:c>
      <x:c r="L476" s="190" t="str">
        <x:v>BRANCO CARRARA</x:v>
      </x:c>
      <x:c r="M476" s="210" t="n">
        <x:v>4</x:v>
      </x:c>
      <x:c r="N476" s="210" t="n">
        <x:v>1100</x:v>
      </x:c>
      <x:c r="O476" s="210" t="n">
        <x:v>50</x:v>
      </x:c>
      <x:c r="P476" s="210" t="n">
        <x:v>9</x:v>
      </x:c>
      <x:c r="Q476" s="211" t="n">
        <x:v>0</x:v>
      </x:c>
      <x:c r="R476" s="207" t="str"/>
      <x:c r="S476" s="207" t="str"/>
      <x:c r="T476" s="207" t="str"/>
      <x:c r="U476" s="207" t="n">
        <x:v>0</x:v>
      </x:c>
      <x:c r="V476" s="208" t="n">
        <x:f>MAX(0,M476-U476)</x:f>
        <x:v>4</x:v>
      </x:c>
      <x:c r="W476" s="209" t="n">
        <x:f>IFERROR(U476/M476,0)</x:f>
        <x:v>0</x:v>
      </x:c>
      <x:c r="X476" s="201" t="str">
        <x:f>IF(U476=0,"Não iniciado",IF(U476&gt;=M476,"Concluído","Parcial"))</x:f>
        <x:v>Não iniciado</x:v>
      </x:c>
      <x:c r="Y476" s="199" t="str"/>
      <x:c r="Z476" s="188" t="str">
        <x:v>Normal</x:v>
      </x:c>
    </x:row>
    <x:row r="477" ht="22" customHeight="1">
      <x:c r="A477" s="217" t="n">
        <x:v>473</x:v>
      </x:c>
      <x:c r="B477" s="218" t="str">
        <x:v>26750</x:v>
      </x:c>
      <x:c r="C477" s="218" t="str">
        <x:v>12</x:v>
      </x:c>
      <x:c r="D477" s="218" t="str">
        <x:v>609823</x:v>
      </x:c>
      <x:c r="E477" s="218" t="str">
        <x:v>966149</x:v>
      </x:c>
      <x:c r="F477" s="218" t="str">
        <x:v>OUTROS</x:v>
      </x:c>
      <x:c r="G477" s="184" t="str">
        <x:v>TR AL 1100X50X9 RTO RL80 REC PET BCO (UL</x:v>
      </x:c>
      <x:c r="H477" s="184" t="str"/>
      <x:c r="I477" s="184" t="str"/>
      <x:c r="J477" s="184" t="str"/>
      <x:c r="K477" s="184" t="str">
        <x:v>ESMALTE</x:v>
      </x:c>
      <x:c r="L477" s="184" t="str">
        <x:v>BRANCO CARRARA</x:v>
      </x:c>
      <x:c r="M477" s="205" t="n">
        <x:v>4</x:v>
      </x:c>
      <x:c r="N477" s="205" t="n">
        <x:v>1100</x:v>
      </x:c>
      <x:c r="O477" s="205" t="n">
        <x:v>50</x:v>
      </x:c>
      <x:c r="P477" s="205" t="n">
        <x:v>9</x:v>
      </x:c>
      <x:c r="Q477" s="206" t="n">
        <x:v>0</x:v>
      </x:c>
      <x:c r="R477" s="207" t="str"/>
      <x:c r="S477" s="207" t="str"/>
      <x:c r="T477" s="207" t="str"/>
      <x:c r="U477" s="207" t="n">
        <x:v>0</x:v>
      </x:c>
      <x:c r="V477" s="208" t="n">
        <x:f>MAX(0,M477-U477)</x:f>
        <x:v>4</x:v>
      </x:c>
      <x:c r="W477" s="209" t="n">
        <x:f>IFERROR(U477/M477,0)</x:f>
        <x:v>0</x:v>
      </x:c>
      <x:c r="X477" s="201" t="str">
        <x:f>IF(U477=0,"Não iniciado",IF(U477&gt;=M477,"Concluído","Parcial"))</x:f>
        <x:v>Não iniciado</x:v>
      </x:c>
      <x:c r="Y477" s="199" t="str"/>
      <x:c r="Z477" s="188" t="str">
        <x:v>Normal</x:v>
      </x:c>
    </x:row>
    <x:row r="478" ht="22" customHeight="1">
      <x:c r="A478" s="219" t="n">
        <x:v>474</x:v>
      </x:c>
      <x:c r="B478" s="220" t="str">
        <x:v>26750</x:v>
      </x:c>
      <x:c r="C478" s="220" t="str">
        <x:v>13</x:v>
      </x:c>
      <x:c r="D478" s="220" t="str">
        <x:v>609828</x:v>
      </x:c>
      <x:c r="E478" s="220" t="str">
        <x:v>919640</x:v>
      </x:c>
      <x:c r="F478" s="220" t="str">
        <x:v>OUTROS</x:v>
      </x:c>
      <x:c r="G478" s="190" t="str">
        <x:v>TR AL 1100X50X9 RTO LME REC PET BCO (ULT</x:v>
      </x:c>
      <x:c r="H478" s="190" t="str"/>
      <x:c r="I478" s="190" t="str"/>
      <x:c r="J478" s="190" t="str"/>
      <x:c r="K478" s="190" t="str">
        <x:v>ESMALTE</x:v>
      </x:c>
      <x:c r="L478" s="190" t="str">
        <x:v>BRANCO CARRARA</x:v>
      </x:c>
      <x:c r="M478" s="210" t="n">
        <x:v>28</x:v>
      </x:c>
      <x:c r="N478" s="210" t="n">
        <x:v>1100</x:v>
      </x:c>
      <x:c r="O478" s="210" t="n">
        <x:v>50</x:v>
      </x:c>
      <x:c r="P478" s="210" t="n">
        <x:v>9</x:v>
      </x:c>
      <x:c r="Q478" s="211" t="n">
        <x:v>0</x:v>
      </x:c>
      <x:c r="R478" s="207" t="str"/>
      <x:c r="S478" s="207" t="str"/>
      <x:c r="T478" s="207" t="str"/>
      <x:c r="U478" s="207" t="n">
        <x:v>0</x:v>
      </x:c>
      <x:c r="V478" s="208" t="n">
        <x:f>MAX(0,M478-U478)</x:f>
        <x:v>28</x:v>
      </x:c>
      <x:c r="W478" s="209" t="n">
        <x:f>IFERROR(U478/M478,0)</x:f>
        <x:v>0</x:v>
      </x:c>
      <x:c r="X478" s="201" t="str">
        <x:f>IF(U478=0,"Não iniciado",IF(U478&gt;=M478,"Concluído","Parcial"))</x:f>
        <x:v>Não iniciado</x:v>
      </x:c>
      <x:c r="Y478" s="199" t="str"/>
      <x:c r="Z478" s="188" t="str">
        <x:v>Normal</x:v>
      </x:c>
    </x:row>
    <x:row r="479" ht="22" customHeight="1">
      <x:c r="A479" s="217" t="n">
        <x:v>475</x:v>
      </x:c>
      <x:c r="B479" s="218" t="str">
        <x:v>26750</x:v>
      </x:c>
      <x:c r="C479" s="218" t="str">
        <x:v>13</x:v>
      </x:c>
      <x:c r="D479" s="218" t="str">
        <x:v>609830</x:v>
      </x:c>
      <x:c r="E479" s="218" t="str">
        <x:v>966149</x:v>
      </x:c>
      <x:c r="F479" s="218" t="str">
        <x:v>OUTROS</x:v>
      </x:c>
      <x:c r="G479" s="184" t="str">
        <x:v>TR AL 1100X50X9 RTO RL80 REC PET BCO (UL</x:v>
      </x:c>
      <x:c r="H479" s="184" t="str"/>
      <x:c r="I479" s="184" t="str"/>
      <x:c r="J479" s="184" t="str"/>
      <x:c r="K479" s="184" t="str">
        <x:v>ESMALTE</x:v>
      </x:c>
      <x:c r="L479" s="184" t="str">
        <x:v>BRANCO CARRARA</x:v>
      </x:c>
      <x:c r="M479" s="205" t="n">
        <x:v>28</x:v>
      </x:c>
      <x:c r="N479" s="205" t="n">
        <x:v>1100</x:v>
      </x:c>
      <x:c r="O479" s="205" t="n">
        <x:v>50</x:v>
      </x:c>
      <x:c r="P479" s="205" t="n">
        <x:v>9</x:v>
      </x:c>
      <x:c r="Q479" s="206" t="n">
        <x:v>0</x:v>
      </x:c>
      <x:c r="R479" s="207" t="str"/>
      <x:c r="S479" s="207" t="str"/>
      <x:c r="T479" s="207" t="str"/>
      <x:c r="U479" s="207" t="n">
        <x:v>0</x:v>
      </x:c>
      <x:c r="V479" s="208" t="n">
        <x:f>MAX(0,M479-U479)</x:f>
        <x:v>28</x:v>
      </x:c>
      <x:c r="W479" s="209" t="n">
        <x:f>IFERROR(U479/M479,0)</x:f>
        <x:v>0</x:v>
      </x:c>
      <x:c r="X479" s="201" t="str">
        <x:f>IF(U479=0,"Não iniciado",IF(U479&gt;=M479,"Concluído","Parcial"))</x:f>
        <x:v>Não iniciado</x:v>
      </x:c>
      <x:c r="Y479" s="199" t="str"/>
      <x:c r="Z479" s="188" t="str">
        <x:v>Normal</x:v>
      </x:c>
    </x:row>
    <x:row r="480" ht="22" customHeight="1">
      <x:c r="A480" s="219" t="n">
        <x:v>476</x:v>
      </x:c>
      <x:c r="B480" s="220" t="str">
        <x:v>26750</x:v>
      </x:c>
      <x:c r="C480" s="220" t="str">
        <x:v>14</x:v>
      </x:c>
      <x:c r="D480" s="220" t="str">
        <x:v>609836</x:v>
      </x:c>
      <x:c r="E480" s="220" t="str">
        <x:v>919640</x:v>
      </x:c>
      <x:c r="F480" s="220" t="str">
        <x:v>OUTROS</x:v>
      </x:c>
      <x:c r="G480" s="190" t="str">
        <x:v>TR AL 1100X50X9 RTO LME REC PET BCO (ULT</x:v>
      </x:c>
      <x:c r="H480" s="190" t="str"/>
      <x:c r="I480" s="190" t="str"/>
      <x:c r="J480" s="190" t="str"/>
      <x:c r="K480" s="190" t="str">
        <x:v>ESMALTE</x:v>
      </x:c>
      <x:c r="L480" s="190" t="str">
        <x:v>BRANCO CARRARA</x:v>
      </x:c>
      <x:c r="M480" s="210" t="n">
        <x:v>19</x:v>
      </x:c>
      <x:c r="N480" s="210" t="n">
        <x:v>1100</x:v>
      </x:c>
      <x:c r="O480" s="210" t="n">
        <x:v>50</x:v>
      </x:c>
      <x:c r="P480" s="210" t="n">
        <x:v>9</x:v>
      </x:c>
      <x:c r="Q480" s="211" t="n">
        <x:v>0</x:v>
      </x:c>
      <x:c r="R480" s="207" t="str"/>
      <x:c r="S480" s="207" t="str"/>
      <x:c r="T480" s="207" t="str"/>
      <x:c r="U480" s="207" t="n">
        <x:v>0</x:v>
      </x:c>
      <x:c r="V480" s="208" t="n">
        <x:f>MAX(0,M480-U480)</x:f>
        <x:v>19</x:v>
      </x:c>
      <x:c r="W480" s="209" t="n">
        <x:f>IFERROR(U480/M480,0)</x:f>
        <x:v>0</x:v>
      </x:c>
      <x:c r="X480" s="201" t="str">
        <x:f>IF(U480=0,"Não iniciado",IF(U480&gt;=M480,"Concluído","Parcial"))</x:f>
        <x:v>Não iniciado</x:v>
      </x:c>
      <x:c r="Y480" s="199" t="str"/>
      <x:c r="Z480" s="188" t="str">
        <x:v>Normal</x:v>
      </x:c>
    </x:row>
    <x:row r="481" ht="22" customHeight="1">
      <x:c r="A481" s="217" t="n">
        <x:v>477</x:v>
      </x:c>
      <x:c r="B481" s="218" t="str">
        <x:v>26750</x:v>
      </x:c>
      <x:c r="C481" s="218" t="str">
        <x:v>14</x:v>
      </x:c>
      <x:c r="D481" s="218" t="str">
        <x:v>609840</x:v>
      </x:c>
      <x:c r="E481" s="218" t="str">
        <x:v>966149</x:v>
      </x:c>
      <x:c r="F481" s="218" t="str">
        <x:v>OUTROS</x:v>
      </x:c>
      <x:c r="G481" s="184" t="str">
        <x:v>TR AL 1100X50X9 RTO RL80 REC PET BCO (UL</x:v>
      </x:c>
      <x:c r="H481" s="184" t="str"/>
      <x:c r="I481" s="184" t="str"/>
      <x:c r="J481" s="184" t="str"/>
      <x:c r="K481" s="184" t="str">
        <x:v>ESMALTE</x:v>
      </x:c>
      <x:c r="L481" s="184" t="str">
        <x:v>BRANCO CARRARA</x:v>
      </x:c>
      <x:c r="M481" s="205" t="n">
        <x:v>19</x:v>
      </x:c>
      <x:c r="N481" s="205" t="n">
        <x:v>1100</x:v>
      </x:c>
      <x:c r="O481" s="205" t="n">
        <x:v>50</x:v>
      </x:c>
      <x:c r="P481" s="205" t="n">
        <x:v>9</x:v>
      </x:c>
      <x:c r="Q481" s="206" t="n">
        <x:v>0</x:v>
      </x:c>
      <x:c r="R481" s="207" t="str"/>
      <x:c r="S481" s="207" t="str"/>
      <x:c r="T481" s="207" t="str"/>
      <x:c r="U481" s="207" t="n">
        <x:v>0</x:v>
      </x:c>
      <x:c r="V481" s="208" t="n">
        <x:f>MAX(0,M481-U481)</x:f>
        <x:v>19</x:v>
      </x:c>
      <x:c r="W481" s="209" t="n">
        <x:f>IFERROR(U481/M481,0)</x:f>
        <x:v>0</x:v>
      </x:c>
      <x:c r="X481" s="201" t="str">
        <x:f>IF(U481=0,"Não iniciado",IF(U481&gt;=M481,"Concluído","Parcial"))</x:f>
        <x:v>Não iniciado</x:v>
      </x:c>
      <x:c r="Y481" s="199" t="str"/>
      <x:c r="Z481" s="188" t="str">
        <x:v>Normal</x:v>
      </x:c>
    </x:row>
    <x:row r="482" ht="22" customHeight="1">
      <x:c r="A482" s="219" t="n">
        <x:v>478</x:v>
      </x:c>
      <x:c r="B482" s="220" t="str">
        <x:v>26750</x:v>
      </x:c>
      <x:c r="C482" s="220" t="str">
        <x:v>15</x:v>
      </x:c>
      <x:c r="D482" s="220" t="str">
        <x:v>609845</x:v>
      </x:c>
      <x:c r="E482" s="220" t="str">
        <x:v>919640</x:v>
      </x:c>
      <x:c r="F482" s="220" t="str">
        <x:v>OUTROS</x:v>
      </x:c>
      <x:c r="G482" s="190" t="str">
        <x:v>TR AL 1100X50X9 RTO LME REC PET BCO (ULT</x:v>
      </x:c>
      <x:c r="H482" s="190" t="str"/>
      <x:c r="I482" s="190" t="str"/>
      <x:c r="J482" s="190" t="str"/>
      <x:c r="K482" s="190" t="str">
        <x:v>ESMALTE</x:v>
      </x:c>
      <x:c r="L482" s="190" t="str">
        <x:v>BRANCO CARRARA</x:v>
      </x:c>
      <x:c r="M482" s="210" t="n">
        <x:v>4</x:v>
      </x:c>
      <x:c r="N482" s="210" t="n">
        <x:v>1100</x:v>
      </x:c>
      <x:c r="O482" s="210" t="n">
        <x:v>50</x:v>
      </x:c>
      <x:c r="P482" s="210" t="n">
        <x:v>9</x:v>
      </x:c>
      <x:c r="Q482" s="211" t="n">
        <x:v>0</x:v>
      </x:c>
      <x:c r="R482" s="207" t="str"/>
      <x:c r="S482" s="207" t="str"/>
      <x:c r="T482" s="207" t="str"/>
      <x:c r="U482" s="207" t="n">
        <x:v>0</x:v>
      </x:c>
      <x:c r="V482" s="208" t="n">
        <x:f>MAX(0,M482-U482)</x:f>
        <x:v>4</x:v>
      </x:c>
      <x:c r="W482" s="209" t="n">
        <x:f>IFERROR(U482/M482,0)</x:f>
        <x:v>0</x:v>
      </x:c>
      <x:c r="X482" s="201" t="str">
        <x:f>IF(U482=0,"Não iniciado",IF(U482&gt;=M482,"Concluído","Parcial"))</x:f>
        <x:v>Não iniciado</x:v>
      </x:c>
      <x:c r="Y482" s="199" t="str"/>
      <x:c r="Z482" s="188" t="str">
        <x:v>Normal</x:v>
      </x:c>
    </x:row>
    <x:row r="483" ht="22" customHeight="1">
      <x:c r="A483" s="217" t="n">
        <x:v>479</x:v>
      </x:c>
      <x:c r="B483" s="218" t="str">
        <x:v>26750</x:v>
      </x:c>
      <x:c r="C483" s="218" t="str">
        <x:v>15</x:v>
      </x:c>
      <x:c r="D483" s="218" t="str">
        <x:v>609847</x:v>
      </x:c>
      <x:c r="E483" s="218" t="str">
        <x:v>966149</x:v>
      </x:c>
      <x:c r="F483" s="218" t="str">
        <x:v>OUTROS</x:v>
      </x:c>
      <x:c r="G483" s="184" t="str">
        <x:v>TR AL 1100X50X9 RTO RL80 REC PET BCO (UL</x:v>
      </x:c>
      <x:c r="H483" s="184" t="str"/>
      <x:c r="I483" s="184" t="str"/>
      <x:c r="J483" s="184" t="str"/>
      <x:c r="K483" s="184" t="str">
        <x:v>ESMALTE</x:v>
      </x:c>
      <x:c r="L483" s="184" t="str">
        <x:v>BRANCO CARRARA</x:v>
      </x:c>
      <x:c r="M483" s="205" t="n">
        <x:v>4</x:v>
      </x:c>
      <x:c r="N483" s="205" t="n">
        <x:v>1100</x:v>
      </x:c>
      <x:c r="O483" s="205" t="n">
        <x:v>50</x:v>
      </x:c>
      <x:c r="P483" s="205" t="n">
        <x:v>9</x:v>
      </x:c>
      <x:c r="Q483" s="206" t="n">
        <x:v>0</x:v>
      </x:c>
      <x:c r="R483" s="207" t="str"/>
      <x:c r="S483" s="207" t="str"/>
      <x:c r="T483" s="207" t="str"/>
      <x:c r="U483" s="207" t="n">
        <x:v>0</x:v>
      </x:c>
      <x:c r="V483" s="208" t="n">
        <x:f>MAX(0,M483-U483)</x:f>
        <x:v>4</x:v>
      </x:c>
      <x:c r="W483" s="209" t="n">
        <x:f>IFERROR(U483/M483,0)</x:f>
        <x:v>0</x:v>
      </x:c>
      <x:c r="X483" s="201" t="str">
        <x:f>IF(U483=0,"Não iniciado",IF(U483&gt;=M483,"Concluído","Parcial"))</x:f>
        <x:v>Não iniciado</x:v>
      </x:c>
      <x:c r="Y483" s="199" t="str"/>
      <x:c r="Z483" s="188" t="str">
        <x:v>Normal</x:v>
      </x:c>
    </x:row>
    <x:row r="484" ht="22" customHeight="1">
      <x:c r="A484" s="219" t="n">
        <x:v>480</x:v>
      </x:c>
      <x:c r="B484" s="220" t="str">
        <x:v>26750</x:v>
      </x:c>
      <x:c r="C484" s="220" t="str">
        <x:v>18</x:v>
      </x:c>
      <x:c r="D484" s="220" t="str">
        <x:v>609856</x:v>
      </x:c>
      <x:c r="E484" s="220" t="str">
        <x:v>919640</x:v>
      </x:c>
      <x:c r="F484" s="220" t="str">
        <x:v>OUTROS</x:v>
      </x:c>
      <x:c r="G484" s="190" t="str">
        <x:v>TR AL 1100X50X9 RTO LME REC PET BCO (ULT</x:v>
      </x:c>
      <x:c r="H484" s="190" t="str">
        <x:v>REG 2L(MAIOR 80MM)</x:v>
      </x:c>
      <x:c r="I484" s="190" t="str"/>
      <x:c r="J484" s="190" t="str"/>
      <x:c r="K484" s="190" t="str">
        <x:v>RECOBERTO PET</x:v>
      </x:c>
      <x:c r="L484" s="190" t="str">
        <x:v>BRANCO CARRARA</x:v>
      </x:c>
      <x:c r="M484" s="210" t="n">
        <x:v>7</x:v>
      </x:c>
      <x:c r="N484" s="210" t="n">
        <x:v>1100</x:v>
      </x:c>
      <x:c r="O484" s="210" t="n">
        <x:v>50</x:v>
      </x:c>
      <x:c r="P484" s="210" t="n">
        <x:v>9</x:v>
      </x:c>
      <x:c r="Q484" s="211" t="n">
        <x:v>0</x:v>
      </x:c>
      <x:c r="R484" s="207" t="str"/>
      <x:c r="S484" s="207" t="str"/>
      <x:c r="T484" s="207" t="str"/>
      <x:c r="U484" s="207" t="n">
        <x:v>0</x:v>
      </x:c>
      <x:c r="V484" s="208" t="n">
        <x:f>MAX(0,M484-U484)</x:f>
        <x:v>7</x:v>
      </x:c>
      <x:c r="W484" s="209" t="n">
        <x:f>IFERROR(U484/M484,0)</x:f>
        <x:v>0</x:v>
      </x:c>
      <x:c r="X484" s="201" t="str">
        <x:f>IF(U484=0,"Não iniciado",IF(U484&gt;=M484,"Concluído","Parcial"))</x:f>
        <x:v>Não iniciado</x:v>
      </x:c>
      <x:c r="Y484" s="199" t="str"/>
      <x:c r="Z484" s="188" t="str">
        <x:v>Normal</x:v>
      </x:c>
    </x:row>
    <x:row r="485" ht="22" customHeight="1">
      <x:c r="A485" s="217" t="n">
        <x:v>481</x:v>
      </x:c>
      <x:c r="B485" s="218" t="str">
        <x:v>26750</x:v>
      </x:c>
      <x:c r="C485" s="218" t="str">
        <x:v>18</x:v>
      </x:c>
      <x:c r="D485" s="218" t="str">
        <x:v>609858</x:v>
      </x:c>
      <x:c r="E485" s="218" t="str">
        <x:v>966149</x:v>
      </x:c>
      <x:c r="F485" s="218" t="str">
        <x:v>OUTROS</x:v>
      </x:c>
      <x:c r="G485" s="184" t="str">
        <x:v>TR AL 1100X50X9 RTO RL80 REC PET BCO (UL</x:v>
      </x:c>
      <x:c r="H485" s="184" t="str">
        <x:v>REG 2L(MAIOR 80MM)</x:v>
      </x:c>
      <x:c r="I485" s="184" t="str"/>
      <x:c r="J485" s="184" t="str"/>
      <x:c r="K485" s="184" t="str">
        <x:v>RECOBERTO PET</x:v>
      </x:c>
      <x:c r="L485" s="184" t="str">
        <x:v>BRANCO CARRARA</x:v>
      </x:c>
      <x:c r="M485" s="205" t="n">
        <x:v>7</x:v>
      </x:c>
      <x:c r="N485" s="205" t="n">
        <x:v>1100</x:v>
      </x:c>
      <x:c r="O485" s="205" t="n">
        <x:v>50</x:v>
      </x:c>
      <x:c r="P485" s="205" t="n">
        <x:v>9</x:v>
      </x:c>
      <x:c r="Q485" s="206" t="n">
        <x:v>0</x:v>
      </x:c>
      <x:c r="R485" s="207" t="str"/>
      <x:c r="S485" s="207" t="str"/>
      <x:c r="T485" s="207" t="str"/>
      <x:c r="U485" s="207" t="n">
        <x:v>0</x:v>
      </x:c>
      <x:c r="V485" s="208" t="n">
        <x:f>MAX(0,M485-U485)</x:f>
        <x:v>7</x:v>
      </x:c>
      <x:c r="W485" s="209" t="n">
        <x:f>IFERROR(U485/M485,0)</x:f>
        <x:v>0</x:v>
      </x:c>
      <x:c r="X485" s="201" t="str">
        <x:f>IF(U485=0,"Não iniciado",IF(U485&gt;=M485,"Concluído","Parcial"))</x:f>
        <x:v>Não iniciado</x:v>
      </x:c>
      <x:c r="Y485" s="199" t="str"/>
      <x:c r="Z485" s="188" t="str">
        <x:v>Normal</x:v>
      </x:c>
    </x:row>
    <x:row r="486" ht="22" customHeight="1">
      <x:c r="A486" s="219" t="n">
        <x:v>482</x:v>
      </x:c>
      <x:c r="B486" s="220" t="str">
        <x:v>26750</x:v>
      </x:c>
      <x:c r="C486" s="220" t="str">
        <x:v>20</x:v>
      </x:c>
      <x:c r="D486" s="220" t="str">
        <x:v>609867</x:v>
      </x:c>
      <x:c r="E486" s="220" t="str">
        <x:v>919640</x:v>
      </x:c>
      <x:c r="F486" s="220" t="str">
        <x:v>OUTROS</x:v>
      </x:c>
      <x:c r="G486" s="190" t="str">
        <x:v>TR AL 1100X50X9 RTO LME REC PET BCO (ULT</x:v>
      </x:c>
      <x:c r="H486" s="190" t="str"/>
      <x:c r="I486" s="190" t="str"/>
      <x:c r="J486" s="190" t="str"/>
      <x:c r="K486" s="190" t="str">
        <x:v>ESMALTE</x:v>
      </x:c>
      <x:c r="L486" s="190" t="str">
        <x:v>BRANCO CARRARA</x:v>
      </x:c>
      <x:c r="M486" s="210" t="n">
        <x:v>9</x:v>
      </x:c>
      <x:c r="N486" s="210" t="n">
        <x:v>1100</x:v>
      </x:c>
      <x:c r="O486" s="210" t="n">
        <x:v>50</x:v>
      </x:c>
      <x:c r="P486" s="210" t="n">
        <x:v>9</x:v>
      </x:c>
      <x:c r="Q486" s="211" t="n">
        <x:v>0</x:v>
      </x:c>
      <x:c r="R486" s="207" t="str"/>
      <x:c r="S486" s="207" t="str"/>
      <x:c r="T486" s="207" t="str"/>
      <x:c r="U486" s="207" t="n">
        <x:v>0</x:v>
      </x:c>
      <x:c r="V486" s="208" t="n">
        <x:f>MAX(0,M486-U486)</x:f>
        <x:v>9</x:v>
      </x:c>
      <x:c r="W486" s="209" t="n">
        <x:f>IFERROR(U486/M486,0)</x:f>
        <x:v>0</x:v>
      </x:c>
      <x:c r="X486" s="201" t="str">
        <x:f>IF(U486=0,"Não iniciado",IF(U486&gt;=M486,"Concluído","Parcial"))</x:f>
        <x:v>Não iniciado</x:v>
      </x:c>
      <x:c r="Y486" s="199" t="str"/>
      <x:c r="Z486" s="188" t="str">
        <x:v>Normal</x:v>
      </x:c>
    </x:row>
    <x:row r="487" ht="22" customHeight="1">
      <x:c r="A487" s="217" t="n">
        <x:v>483</x:v>
      </x:c>
      <x:c r="B487" s="218" t="str">
        <x:v>26750</x:v>
      </x:c>
      <x:c r="C487" s="218" t="str">
        <x:v>20</x:v>
      </x:c>
      <x:c r="D487" s="218" t="str">
        <x:v>609869</x:v>
      </x:c>
      <x:c r="E487" s="218" t="str">
        <x:v>966149</x:v>
      </x:c>
      <x:c r="F487" s="218" t="str">
        <x:v>OUTROS</x:v>
      </x:c>
      <x:c r="G487" s="184" t="str">
        <x:v>TR AL 1100X50X9 RTO RL80 REC PET BCO (UL</x:v>
      </x:c>
      <x:c r="H487" s="184" t="str"/>
      <x:c r="I487" s="184" t="str"/>
      <x:c r="J487" s="184" t="str"/>
      <x:c r="K487" s="184" t="str">
        <x:v>ESMALTE</x:v>
      </x:c>
      <x:c r="L487" s="184" t="str">
        <x:v>BRANCO CARRARA</x:v>
      </x:c>
      <x:c r="M487" s="205" t="n">
        <x:v>9</x:v>
      </x:c>
      <x:c r="N487" s="205" t="n">
        <x:v>1100</x:v>
      </x:c>
      <x:c r="O487" s="205" t="n">
        <x:v>50</x:v>
      </x:c>
      <x:c r="P487" s="205" t="n">
        <x:v>9</x:v>
      </x:c>
      <x:c r="Q487" s="206" t="n">
        <x:v>0</x:v>
      </x:c>
      <x:c r="R487" s="207" t="str"/>
      <x:c r="S487" s="207" t="str"/>
      <x:c r="T487" s="207" t="str"/>
      <x:c r="U487" s="207" t="n">
        <x:v>0</x:v>
      </x:c>
      <x:c r="V487" s="208" t="n">
        <x:f>MAX(0,M487-U487)</x:f>
        <x:v>9</x:v>
      </x:c>
      <x:c r="W487" s="209" t="n">
        <x:f>IFERROR(U487/M487,0)</x:f>
        <x:v>0</x:v>
      </x:c>
      <x:c r="X487" s="201" t="str">
        <x:f>IF(U487=0,"Não iniciado",IF(U487&gt;=M487,"Concluído","Parcial"))</x:f>
        <x:v>Não iniciado</x:v>
      </x:c>
      <x:c r="Y487" s="199" t="str"/>
      <x:c r="Z487" s="188" t="str">
        <x:v>Normal</x:v>
      </x:c>
    </x:row>
    <x:row r="488" ht="22" customHeight="1">
      <x:c r="A488" s="219" t="n">
        <x:v>484</x:v>
      </x:c>
      <x:c r="B488" s="220" t="str">
        <x:v>26750</x:v>
      </x:c>
      <x:c r="C488" s="220" t="str">
        <x:v>21</x:v>
      </x:c>
      <x:c r="D488" s="220" t="str">
        <x:v>609875</x:v>
      </x:c>
      <x:c r="E488" s="220" t="str">
        <x:v>919640</x:v>
      </x:c>
      <x:c r="F488" s="220" t="str">
        <x:v>OUTROS</x:v>
      </x:c>
      <x:c r="G488" s="190" t="str">
        <x:v>TR AL 1100X50X9 RTO LME REC PET BCO (ULT</x:v>
      </x:c>
      <x:c r="H488" s="190" t="str"/>
      <x:c r="I488" s="190" t="str"/>
      <x:c r="J488" s="190" t="str"/>
      <x:c r="K488" s="190" t="str">
        <x:v>ESMALTE</x:v>
      </x:c>
      <x:c r="L488" s="190" t="str">
        <x:v>BRANCO CARRARA</x:v>
      </x:c>
      <x:c r="M488" s="210" t="n">
        <x:v>5</x:v>
      </x:c>
      <x:c r="N488" s="210" t="n">
        <x:v>1100</x:v>
      </x:c>
      <x:c r="O488" s="210" t="n">
        <x:v>50</x:v>
      </x:c>
      <x:c r="P488" s="210" t="n">
        <x:v>9</x:v>
      </x:c>
      <x:c r="Q488" s="211" t="n">
        <x:v>0</x:v>
      </x:c>
      <x:c r="R488" s="207" t="str"/>
      <x:c r="S488" s="207" t="str"/>
      <x:c r="T488" s="207" t="str"/>
      <x:c r="U488" s="207" t="n">
        <x:v>0</x:v>
      </x:c>
      <x:c r="V488" s="208" t="n">
        <x:f>MAX(0,M488-U488)</x:f>
        <x:v>5</x:v>
      </x:c>
      <x:c r="W488" s="209" t="n">
        <x:f>IFERROR(U488/M488,0)</x:f>
        <x:v>0</x:v>
      </x:c>
      <x:c r="X488" s="201" t="str">
        <x:f>IF(U488=0,"Não iniciado",IF(U488&gt;=M488,"Concluído","Parcial"))</x:f>
        <x:v>Não iniciado</x:v>
      </x:c>
      <x:c r="Y488" s="199" t="str"/>
      <x:c r="Z488" s="188" t="str">
        <x:v>Normal</x:v>
      </x:c>
    </x:row>
    <x:row r="489" ht="22" customHeight="1">
      <x:c r="A489" s="217" t="n">
        <x:v>485</x:v>
      </x:c>
      <x:c r="B489" s="218" t="str">
        <x:v>26750</x:v>
      </x:c>
      <x:c r="C489" s="218" t="str">
        <x:v>21</x:v>
      </x:c>
      <x:c r="D489" s="218" t="str">
        <x:v>609877</x:v>
      </x:c>
      <x:c r="E489" s="218" t="str">
        <x:v>966149</x:v>
      </x:c>
      <x:c r="F489" s="218" t="str">
        <x:v>OUTROS</x:v>
      </x:c>
      <x:c r="G489" s="184" t="str">
        <x:v>TR AL 1100X50X9 RTO RL80 REC PET BCO (UL</x:v>
      </x:c>
      <x:c r="H489" s="184" t="str"/>
      <x:c r="I489" s="184" t="str"/>
      <x:c r="J489" s="184" t="str"/>
      <x:c r="K489" s="184" t="str">
        <x:v>ESMALTE</x:v>
      </x:c>
      <x:c r="L489" s="184" t="str">
        <x:v>BRANCO CARRARA</x:v>
      </x:c>
      <x:c r="M489" s="205" t="n">
        <x:v>5</x:v>
      </x:c>
      <x:c r="N489" s="205" t="n">
        <x:v>1100</x:v>
      </x:c>
      <x:c r="O489" s="205" t="n">
        <x:v>50</x:v>
      </x:c>
      <x:c r="P489" s="205" t="n">
        <x:v>9</x:v>
      </x:c>
      <x:c r="Q489" s="206" t="n">
        <x:v>0</x:v>
      </x:c>
      <x:c r="R489" s="207" t="str"/>
      <x:c r="S489" s="207" t="str"/>
      <x:c r="T489" s="207" t="str"/>
      <x:c r="U489" s="207" t="n">
        <x:v>0</x:v>
      </x:c>
      <x:c r="V489" s="208" t="n">
        <x:f>MAX(0,M489-U489)</x:f>
        <x:v>5</x:v>
      </x:c>
      <x:c r="W489" s="209" t="n">
        <x:f>IFERROR(U489/M489,0)</x:f>
        <x:v>0</x:v>
      </x:c>
      <x:c r="X489" s="201" t="str">
        <x:f>IF(U489=0,"Não iniciado",IF(U489&gt;=M489,"Concluído","Parcial"))</x:f>
        <x:v>Não iniciado</x:v>
      </x:c>
      <x:c r="Y489" s="199" t="str"/>
      <x:c r="Z489" s="188" t="str">
        <x:v>Normal</x:v>
      </x:c>
    </x:row>
    <x:row r="490" ht="22" customHeight="1">
      <x:c r="A490" s="219" t="n">
        <x:v>486</x:v>
      </x:c>
      <x:c r="B490" s="220" t="str">
        <x:v>26750</x:v>
      </x:c>
      <x:c r="C490" s="220" t="str">
        <x:v>22</x:v>
      </x:c>
      <x:c r="D490" s="220" t="str">
        <x:v>609883</x:v>
      </x:c>
      <x:c r="E490" s="220" t="str">
        <x:v>919640</x:v>
      </x:c>
      <x:c r="F490" s="220" t="str">
        <x:v>OUTROS</x:v>
      </x:c>
      <x:c r="G490" s="190" t="str">
        <x:v>TR AL 1100X50X9 RTO LME REC PET BCO (ULT</x:v>
      </x:c>
      <x:c r="H490" s="190" t="str"/>
      <x:c r="I490" s="190" t="str"/>
      <x:c r="J490" s="190" t="str"/>
      <x:c r="K490" s="190" t="str">
        <x:v>ESMALTE</x:v>
      </x:c>
      <x:c r="L490" s="190" t="str">
        <x:v>BRANCO CARRARA</x:v>
      </x:c>
      <x:c r="M490" s="210" t="n">
        <x:v>19</x:v>
      </x:c>
      <x:c r="N490" s="210" t="n">
        <x:v>1100</x:v>
      </x:c>
      <x:c r="O490" s="210" t="n">
        <x:v>50</x:v>
      </x:c>
      <x:c r="P490" s="210" t="n">
        <x:v>9</x:v>
      </x:c>
      <x:c r="Q490" s="211" t="n">
        <x:v>0</x:v>
      </x:c>
      <x:c r="R490" s="207" t="str"/>
      <x:c r="S490" s="207" t="str"/>
      <x:c r="T490" s="207" t="str"/>
      <x:c r="U490" s="207" t="n">
        <x:v>0</x:v>
      </x:c>
      <x:c r="V490" s="208" t="n">
        <x:f>MAX(0,M490-U490)</x:f>
        <x:v>19</x:v>
      </x:c>
      <x:c r="W490" s="209" t="n">
        <x:f>IFERROR(U490/M490,0)</x:f>
        <x:v>0</x:v>
      </x:c>
      <x:c r="X490" s="201" t="str">
        <x:f>IF(U490=0,"Não iniciado",IF(U490&gt;=M490,"Concluído","Parcial"))</x:f>
        <x:v>Não iniciado</x:v>
      </x:c>
      <x:c r="Y490" s="199" t="str"/>
      <x:c r="Z490" s="188" t="str">
        <x:v>Normal</x:v>
      </x:c>
    </x:row>
    <x:row r="491" ht="22" customHeight="1">
      <x:c r="A491" s="217" t="n">
        <x:v>487</x:v>
      </x:c>
      <x:c r="B491" s="218" t="str">
        <x:v>26750</x:v>
      </x:c>
      <x:c r="C491" s="218" t="str">
        <x:v>22</x:v>
      </x:c>
      <x:c r="D491" s="218" t="str">
        <x:v>609886</x:v>
      </x:c>
      <x:c r="E491" s="218" t="str">
        <x:v>966149</x:v>
      </x:c>
      <x:c r="F491" s="218" t="str">
        <x:v>OUTROS</x:v>
      </x:c>
      <x:c r="G491" s="184" t="str">
        <x:v>TR AL 1100X50X9 RTO RL80 REC PET BCO (UL</x:v>
      </x:c>
      <x:c r="H491" s="184" t="str"/>
      <x:c r="I491" s="184" t="str"/>
      <x:c r="J491" s="184" t="str"/>
      <x:c r="K491" s="184" t="str">
        <x:v>ESMALTE</x:v>
      </x:c>
      <x:c r="L491" s="184" t="str">
        <x:v>BRANCO CARRARA</x:v>
      </x:c>
      <x:c r="M491" s="205" t="n">
        <x:v>19</x:v>
      </x:c>
      <x:c r="N491" s="205" t="n">
        <x:v>1100</x:v>
      </x:c>
      <x:c r="O491" s="205" t="n">
        <x:v>50</x:v>
      </x:c>
      <x:c r="P491" s="205" t="n">
        <x:v>9</x:v>
      </x:c>
      <x:c r="Q491" s="206" t="n">
        <x:v>0</x:v>
      </x:c>
      <x:c r="R491" s="207" t="str"/>
      <x:c r="S491" s="207" t="str"/>
      <x:c r="T491" s="207" t="str"/>
      <x:c r="U491" s="207" t="n">
        <x:v>0</x:v>
      </x:c>
      <x:c r="V491" s="208" t="n">
        <x:f>MAX(0,M491-U491)</x:f>
        <x:v>19</x:v>
      </x:c>
      <x:c r="W491" s="209" t="n">
        <x:f>IFERROR(U491/M491,0)</x:f>
        <x:v>0</x:v>
      </x:c>
      <x:c r="X491" s="201" t="str">
        <x:f>IF(U491=0,"Não iniciado",IF(U491&gt;=M491,"Concluído","Parcial"))</x:f>
        <x:v>Não iniciado</x:v>
      </x:c>
      <x:c r="Y491" s="199" t="str"/>
      <x:c r="Z491" s="188" t="str">
        <x:v>Normal</x:v>
      </x:c>
    </x:row>
    <x:row r="492" ht="22" customHeight="1">
      <x:c r="A492" s="219" t="n">
        <x:v>488</x:v>
      </x:c>
      <x:c r="B492" s="220" t="str">
        <x:v>26750</x:v>
      </x:c>
      <x:c r="C492" s="220" t="str">
        <x:v>23</x:v>
      </x:c>
      <x:c r="D492" s="220" t="str">
        <x:v>609891</x:v>
      </x:c>
      <x:c r="E492" s="220" t="str">
        <x:v>919640</x:v>
      </x:c>
      <x:c r="F492" s="220" t="str">
        <x:v>OUTROS</x:v>
      </x:c>
      <x:c r="G492" s="190" t="str">
        <x:v>TR AL 1100X50X9 RTO LME REC PET BCO (ULT</x:v>
      </x:c>
      <x:c r="H492" s="190" t="str"/>
      <x:c r="I492" s="190" t="str"/>
      <x:c r="J492" s="190" t="str"/>
      <x:c r="K492" s="190" t="str">
        <x:v>ESMALTE</x:v>
      </x:c>
      <x:c r="L492" s="190" t="str">
        <x:v>BRANCO CARRARA</x:v>
      </x:c>
      <x:c r="M492" s="210" t="n">
        <x:v>4</x:v>
      </x:c>
      <x:c r="N492" s="210" t="n">
        <x:v>1100</x:v>
      </x:c>
      <x:c r="O492" s="210" t="n">
        <x:v>50</x:v>
      </x:c>
      <x:c r="P492" s="210" t="n">
        <x:v>9</x:v>
      </x:c>
      <x:c r="Q492" s="211" t="n">
        <x:v>0</x:v>
      </x:c>
      <x:c r="R492" s="207" t="str"/>
      <x:c r="S492" s="207" t="str"/>
      <x:c r="T492" s="207" t="str"/>
      <x:c r="U492" s="207" t="n">
        <x:v>0</x:v>
      </x:c>
      <x:c r="V492" s="208" t="n">
        <x:f>MAX(0,M492-U492)</x:f>
        <x:v>4</x:v>
      </x:c>
      <x:c r="W492" s="209" t="n">
        <x:f>IFERROR(U492/M492,0)</x:f>
        <x:v>0</x:v>
      </x:c>
      <x:c r="X492" s="201" t="str">
        <x:f>IF(U492=0,"Não iniciado",IF(U492&gt;=M492,"Concluído","Parcial"))</x:f>
        <x:v>Não iniciado</x:v>
      </x:c>
      <x:c r="Y492" s="199" t="str"/>
      <x:c r="Z492" s="188" t="str">
        <x:v>Normal</x:v>
      </x:c>
    </x:row>
    <x:row r="493" ht="22" customHeight="1">
      <x:c r="A493" s="217" t="n">
        <x:v>489</x:v>
      </x:c>
      <x:c r="B493" s="218" t="str">
        <x:v>26750</x:v>
      </x:c>
      <x:c r="C493" s="218" t="str">
        <x:v>23</x:v>
      </x:c>
      <x:c r="D493" s="218" t="str">
        <x:v>609894</x:v>
      </x:c>
      <x:c r="E493" s="218" t="str">
        <x:v>966149</x:v>
      </x:c>
      <x:c r="F493" s="218" t="str">
        <x:v>OUTROS</x:v>
      </x:c>
      <x:c r="G493" s="184" t="str">
        <x:v>TR AL 1100X50X9 RTO RL80 REC PET BCO (UL</x:v>
      </x:c>
      <x:c r="H493" s="184" t="str"/>
      <x:c r="I493" s="184" t="str"/>
      <x:c r="J493" s="184" t="str"/>
      <x:c r="K493" s="184" t="str">
        <x:v>ESMALTE</x:v>
      </x:c>
      <x:c r="L493" s="184" t="str">
        <x:v>BRANCO CARRARA</x:v>
      </x:c>
      <x:c r="M493" s="205" t="n">
        <x:v>4</x:v>
      </x:c>
      <x:c r="N493" s="205" t="n">
        <x:v>1100</x:v>
      </x:c>
      <x:c r="O493" s="205" t="n">
        <x:v>50</x:v>
      </x:c>
      <x:c r="P493" s="205" t="n">
        <x:v>9</x:v>
      </x:c>
      <x:c r="Q493" s="206" t="n">
        <x:v>0</x:v>
      </x:c>
      <x:c r="R493" s="207" t="str"/>
      <x:c r="S493" s="207" t="str"/>
      <x:c r="T493" s="207" t="str"/>
      <x:c r="U493" s="207" t="n">
        <x:v>0</x:v>
      </x:c>
      <x:c r="V493" s="208" t="n">
        <x:f>MAX(0,M493-U493)</x:f>
        <x:v>4</x:v>
      </x:c>
      <x:c r="W493" s="209" t="n">
        <x:f>IFERROR(U493/M493,0)</x:f>
        <x:v>0</x:v>
      </x:c>
      <x:c r="X493" s="201" t="str">
        <x:f>IF(U493=0,"Não iniciado",IF(U493&gt;=M493,"Concluído","Parcial"))</x:f>
        <x:v>Não iniciado</x:v>
      </x:c>
      <x:c r="Y493" s="199" t="str"/>
      <x:c r="Z493" s="188" t="str">
        <x:v>Normal</x:v>
      </x:c>
    </x:row>
    <x:row r="494" ht="22" customHeight="1">
      <x:c r="A494" s="219" t="n">
        <x:v>490</x:v>
      </x:c>
      <x:c r="B494" s="220" t="str">
        <x:v>26750</x:v>
      </x:c>
      <x:c r="C494" s="220" t="str">
        <x:v>24</x:v>
      </x:c>
      <x:c r="D494" s="220" t="str">
        <x:v>609900</x:v>
      </x:c>
      <x:c r="E494" s="220" t="str">
        <x:v>919640</x:v>
      </x:c>
      <x:c r="F494" s="220" t="str">
        <x:v>OUTROS</x:v>
      </x:c>
      <x:c r="G494" s="190" t="str">
        <x:v>TR AL 1100X50X9 RTO LME REC PET BCO (ULT</x:v>
      </x:c>
      <x:c r="H494" s="190" t="str"/>
      <x:c r="I494" s="190" t="str"/>
      <x:c r="J494" s="190" t="str"/>
      <x:c r="K494" s="190" t="str">
        <x:v>ESMALTE</x:v>
      </x:c>
      <x:c r="L494" s="190" t="str">
        <x:v>BRANCO CARRARA</x:v>
      </x:c>
      <x:c r="M494" s="210" t="n">
        <x:v>10</x:v>
      </x:c>
      <x:c r="N494" s="210" t="n">
        <x:v>1100</x:v>
      </x:c>
      <x:c r="O494" s="210" t="n">
        <x:v>50</x:v>
      </x:c>
      <x:c r="P494" s="210" t="n">
        <x:v>9</x:v>
      </x:c>
      <x:c r="Q494" s="211" t="n">
        <x:v>0</x:v>
      </x:c>
      <x:c r="R494" s="207" t="str"/>
      <x:c r="S494" s="207" t="str"/>
      <x:c r="T494" s="207" t="str"/>
      <x:c r="U494" s="207" t="n">
        <x:v>0</x:v>
      </x:c>
      <x:c r="V494" s="208" t="n">
        <x:f>MAX(0,M494-U494)</x:f>
        <x:v>10</x:v>
      </x:c>
      <x:c r="W494" s="209" t="n">
        <x:f>IFERROR(U494/M494,0)</x:f>
        <x:v>0</x:v>
      </x:c>
      <x:c r="X494" s="201" t="str">
        <x:f>IF(U494=0,"Não iniciado",IF(U494&gt;=M494,"Concluído","Parcial"))</x:f>
        <x:v>Não iniciado</x:v>
      </x:c>
      <x:c r="Y494" s="199" t="str"/>
      <x:c r="Z494" s="188" t="str">
        <x:v>Normal</x:v>
      </x:c>
    </x:row>
    <x:row r="495" ht="22" customHeight="1">
      <x:c r="A495" s="217" t="n">
        <x:v>491</x:v>
      </x:c>
      <x:c r="B495" s="218" t="str">
        <x:v>26750</x:v>
      </x:c>
      <x:c r="C495" s="218" t="str">
        <x:v>24</x:v>
      </x:c>
      <x:c r="D495" s="218" t="str">
        <x:v>609903</x:v>
      </x:c>
      <x:c r="E495" s="218" t="str">
        <x:v>966149</x:v>
      </x:c>
      <x:c r="F495" s="218" t="str">
        <x:v>OUTROS</x:v>
      </x:c>
      <x:c r="G495" s="184" t="str">
        <x:v>TR AL 1100X50X9 RTO RL80 REC PET BCO (UL</x:v>
      </x:c>
      <x:c r="H495" s="184" t="str"/>
      <x:c r="I495" s="184" t="str"/>
      <x:c r="J495" s="184" t="str"/>
      <x:c r="K495" s="184" t="str">
        <x:v>ESMALTE</x:v>
      </x:c>
      <x:c r="L495" s="184" t="str">
        <x:v>BRANCO CARRARA</x:v>
      </x:c>
      <x:c r="M495" s="205" t="n">
        <x:v>10</x:v>
      </x:c>
      <x:c r="N495" s="205" t="n">
        <x:v>1100</x:v>
      </x:c>
      <x:c r="O495" s="205" t="n">
        <x:v>50</x:v>
      </x:c>
      <x:c r="P495" s="205" t="n">
        <x:v>9</x:v>
      </x:c>
      <x:c r="Q495" s="206" t="n">
        <x:v>0</x:v>
      </x:c>
      <x:c r="R495" s="207" t="str"/>
      <x:c r="S495" s="207" t="str"/>
      <x:c r="T495" s="207" t="str"/>
      <x:c r="U495" s="207" t="n">
        <x:v>0</x:v>
      </x:c>
      <x:c r="V495" s="208" t="n">
        <x:f>MAX(0,M495-U495)</x:f>
        <x:v>10</x:v>
      </x:c>
      <x:c r="W495" s="209" t="n">
        <x:f>IFERROR(U495/M495,0)</x:f>
        <x:v>0</x:v>
      </x:c>
      <x:c r="X495" s="201" t="str">
        <x:f>IF(U495=0,"Não iniciado",IF(U495&gt;=M495,"Concluído","Parcial"))</x:f>
        <x:v>Não iniciado</x:v>
      </x:c>
      <x:c r="Y495" s="199" t="str"/>
      <x:c r="Z495" s="188" t="str">
        <x:v>Normal</x:v>
      </x:c>
    </x:row>
    <x:row r="496" ht="22" customHeight="1">
      <x:c r="A496" s="219" t="n">
        <x:v>492</x:v>
      </x:c>
      <x:c r="B496" s="220" t="str">
        <x:v>26750</x:v>
      </x:c>
      <x:c r="C496" s="220" t="str">
        <x:v>25</x:v>
      </x:c>
      <x:c r="D496" s="220" t="str">
        <x:v>609907</x:v>
      </x:c>
      <x:c r="E496" s="220" t="str">
        <x:v>919640</x:v>
      </x:c>
      <x:c r="F496" s="220" t="str">
        <x:v>OUTROS</x:v>
      </x:c>
      <x:c r="G496" s="190" t="str">
        <x:v>TR AL 1100X50X9 RTO LME REC PET BCO (ULT</x:v>
      </x:c>
      <x:c r="H496" s="190" t="str"/>
      <x:c r="I496" s="190" t="str"/>
      <x:c r="J496" s="190" t="str"/>
      <x:c r="K496" s="190" t="str">
        <x:v>ESMALTE</x:v>
      </x:c>
      <x:c r="L496" s="190" t="str">
        <x:v>BRANCO CARRARA</x:v>
      </x:c>
      <x:c r="M496" s="210" t="n">
        <x:v>3</x:v>
      </x:c>
      <x:c r="N496" s="210" t="n">
        <x:v>1100</x:v>
      </x:c>
      <x:c r="O496" s="210" t="n">
        <x:v>50</x:v>
      </x:c>
      <x:c r="P496" s="210" t="n">
        <x:v>9</x:v>
      </x:c>
      <x:c r="Q496" s="211" t="n">
        <x:v>0</x:v>
      </x:c>
      <x:c r="R496" s="207" t="str"/>
      <x:c r="S496" s="207" t="str"/>
      <x:c r="T496" s="207" t="str"/>
      <x:c r="U496" s="207" t="n">
        <x:v>0</x:v>
      </x:c>
      <x:c r="V496" s="208" t="n">
        <x:f>MAX(0,M496-U496)</x:f>
        <x:v>3</x:v>
      </x:c>
      <x:c r="W496" s="209" t="n">
        <x:f>IFERROR(U496/M496,0)</x:f>
        <x:v>0</x:v>
      </x:c>
      <x:c r="X496" s="201" t="str">
        <x:f>IF(U496=0,"Não iniciado",IF(U496&gt;=M496,"Concluído","Parcial"))</x:f>
        <x:v>Não iniciado</x:v>
      </x:c>
      <x:c r="Y496" s="199" t="str"/>
      <x:c r="Z496" s="188" t="str">
        <x:v>Normal</x:v>
      </x:c>
    </x:row>
    <x:row r="497" ht="22" customHeight="1">
      <x:c r="A497" s="217" t="n">
        <x:v>493</x:v>
      </x:c>
      <x:c r="B497" s="218" t="str">
        <x:v>26750</x:v>
      </x:c>
      <x:c r="C497" s="218" t="str">
        <x:v>25</x:v>
      </x:c>
      <x:c r="D497" s="218" t="str">
        <x:v>609909</x:v>
      </x:c>
      <x:c r="E497" s="218" t="str">
        <x:v>966149</x:v>
      </x:c>
      <x:c r="F497" s="218" t="str">
        <x:v>OUTROS</x:v>
      </x:c>
      <x:c r="G497" s="184" t="str">
        <x:v>TR AL 1100X50X9 RTO RL80 REC PET BCO (UL</x:v>
      </x:c>
      <x:c r="H497" s="184" t="str"/>
      <x:c r="I497" s="184" t="str"/>
      <x:c r="J497" s="184" t="str"/>
      <x:c r="K497" s="184" t="str">
        <x:v>ESMALTE</x:v>
      </x:c>
      <x:c r="L497" s="184" t="str">
        <x:v>BRANCO CARRARA</x:v>
      </x:c>
      <x:c r="M497" s="205" t="n">
        <x:v>3</x:v>
      </x:c>
      <x:c r="N497" s="205" t="n">
        <x:v>1100</x:v>
      </x:c>
      <x:c r="O497" s="205" t="n">
        <x:v>50</x:v>
      </x:c>
      <x:c r="P497" s="205" t="n">
        <x:v>9</x:v>
      </x:c>
      <x:c r="Q497" s="206" t="n">
        <x:v>0</x:v>
      </x:c>
      <x:c r="R497" s="207" t="str"/>
      <x:c r="S497" s="207" t="str"/>
      <x:c r="T497" s="207" t="str"/>
      <x:c r="U497" s="207" t="n">
        <x:v>0</x:v>
      </x:c>
      <x:c r="V497" s="208" t="n">
        <x:f>MAX(0,M497-U497)</x:f>
        <x:v>3</x:v>
      </x:c>
      <x:c r="W497" s="209" t="n">
        <x:f>IFERROR(U497/M497,0)</x:f>
        <x:v>0</x:v>
      </x:c>
      <x:c r="X497" s="201" t="str">
        <x:f>IF(U497=0,"Não iniciado",IF(U497&gt;=M497,"Concluído","Parcial"))</x:f>
        <x:v>Não iniciado</x:v>
      </x:c>
      <x:c r="Y497" s="199" t="str"/>
      <x:c r="Z497" s="188" t="str">
        <x:v>Normal</x:v>
      </x:c>
    </x:row>
    <x:row r="498" ht="22" customHeight="1">
      <x:c r="A498" s="219" t="n">
        <x:v>494</x:v>
      </x:c>
      <x:c r="B498" s="220" t="str">
        <x:v>26750</x:v>
      </x:c>
      <x:c r="C498" s="220" t="str">
        <x:v>26</x:v>
      </x:c>
      <x:c r="D498" s="220" t="str">
        <x:v>609916</x:v>
      </x:c>
      <x:c r="E498" s="220" t="str">
        <x:v>919640</x:v>
      </x:c>
      <x:c r="F498" s="220" t="str">
        <x:v>OUTROS</x:v>
      </x:c>
      <x:c r="G498" s="190" t="str">
        <x:v>TR AL 1100X50X9 RTO LME REC PET BCO (ULT</x:v>
      </x:c>
      <x:c r="H498" s="190" t="str"/>
      <x:c r="I498" s="190" t="str"/>
      <x:c r="J498" s="190" t="str"/>
      <x:c r="K498" s="190" t="str">
        <x:v>ESMALTE</x:v>
      </x:c>
      <x:c r="L498" s="190" t="str">
        <x:v>BRANCO CARRARA</x:v>
      </x:c>
      <x:c r="M498" s="210" t="n">
        <x:v>2</x:v>
      </x:c>
      <x:c r="N498" s="210" t="n">
        <x:v>1100</x:v>
      </x:c>
      <x:c r="O498" s="210" t="n">
        <x:v>50</x:v>
      </x:c>
      <x:c r="P498" s="210" t="n">
        <x:v>9</x:v>
      </x:c>
      <x:c r="Q498" s="211" t="n">
        <x:v>0</x:v>
      </x:c>
      <x:c r="R498" s="207" t="str"/>
      <x:c r="S498" s="207" t="str"/>
      <x:c r="T498" s="207" t="str"/>
      <x:c r="U498" s="207" t="n">
        <x:v>0</x:v>
      </x:c>
      <x:c r="V498" s="208" t="n">
        <x:f>MAX(0,M498-U498)</x:f>
        <x:v>2</x:v>
      </x:c>
      <x:c r="W498" s="209" t="n">
        <x:f>IFERROR(U498/M498,0)</x:f>
        <x:v>0</x:v>
      </x:c>
      <x:c r="X498" s="201" t="str">
        <x:f>IF(U498=0,"Não iniciado",IF(U498&gt;=M498,"Concluído","Parcial"))</x:f>
        <x:v>Não iniciado</x:v>
      </x:c>
      <x:c r="Y498" s="199" t="str"/>
      <x:c r="Z498" s="188" t="str">
        <x:v>Normal</x:v>
      </x:c>
    </x:row>
    <x:row r="499" ht="22" customHeight="1">
      <x:c r="A499" s="217" t="n">
        <x:v>495</x:v>
      </x:c>
      <x:c r="B499" s="218" t="str">
        <x:v>26750</x:v>
      </x:c>
      <x:c r="C499" s="218" t="str">
        <x:v>26</x:v>
      </x:c>
      <x:c r="D499" s="218" t="str">
        <x:v>609922</x:v>
      </x:c>
      <x:c r="E499" s="218" t="str">
        <x:v>966149</x:v>
      </x:c>
      <x:c r="F499" s="218" t="str">
        <x:v>OUTROS</x:v>
      </x:c>
      <x:c r="G499" s="184" t="str">
        <x:v>TR AL 1100X50X9 RTO RL80 REC PET BCO (UL</x:v>
      </x:c>
      <x:c r="H499" s="184" t="str"/>
      <x:c r="I499" s="184" t="str"/>
      <x:c r="J499" s="184" t="str"/>
      <x:c r="K499" s="184" t="str">
        <x:v>ESMALTE</x:v>
      </x:c>
      <x:c r="L499" s="184" t="str">
        <x:v>BRANCO CARRARA</x:v>
      </x:c>
      <x:c r="M499" s="205" t="n">
        <x:v>2</x:v>
      </x:c>
      <x:c r="N499" s="205" t="n">
        <x:v>1100</x:v>
      </x:c>
      <x:c r="O499" s="205" t="n">
        <x:v>50</x:v>
      </x:c>
      <x:c r="P499" s="205" t="n">
        <x:v>9</x:v>
      </x:c>
      <x:c r="Q499" s="206" t="n">
        <x:v>0</x:v>
      </x:c>
      <x:c r="R499" s="207" t="str"/>
      <x:c r="S499" s="207" t="str"/>
      <x:c r="T499" s="207" t="str"/>
      <x:c r="U499" s="207" t="n">
        <x:v>0</x:v>
      </x:c>
      <x:c r="V499" s="208" t="n">
        <x:f>MAX(0,M499-U499)</x:f>
        <x:v>2</x:v>
      </x:c>
      <x:c r="W499" s="209" t="n">
        <x:f>IFERROR(U499/M499,0)</x:f>
        <x:v>0</x:v>
      </x:c>
      <x:c r="X499" s="201" t="str">
        <x:f>IF(U499=0,"Não iniciado",IF(U499&gt;=M499,"Concluído","Parcial"))</x:f>
        <x:v>Não iniciado</x:v>
      </x:c>
      <x:c r="Y499" s="199" t="str"/>
      <x:c r="Z499" s="188" t="str">
        <x:v>Normal</x:v>
      </x:c>
    </x:row>
    <x:row r="500" ht="22" customHeight="1">
      <x:c r="A500" s="219" t="n">
        <x:v>496</x:v>
      </x:c>
      <x:c r="B500" s="220" t="str">
        <x:v>26796</x:v>
      </x:c>
      <x:c r="C500" s="220" t="str">
        <x:v>3</x:v>
      </x:c>
      <x:c r="D500" s="220" t="str">
        <x:v>609303</x:v>
      </x:c>
      <x:c r="E500" s="220" t="str">
        <x:v>988577</x:v>
      </x:c>
      <x:c r="F500" s="220" t="str">
        <x:v>OUTROS</x:v>
      </x:c>
      <x:c r="G500" s="190" t="str">
        <x:v>T.A 1100X50X9 RT RL45 PET TXT BCO STD</x:v>
      </x:c>
      <x:c r="H500" s="190" t="str"/>
      <x:c r="I500" s="190" t="str"/>
      <x:c r="J500" s="190" t="str"/>
      <x:c r="K500" s="190" t="str">
        <x:v>ESMALTE</x:v>
      </x:c>
      <x:c r="L500" s="190" t="str">
        <x:v>BRANCO CARRARA</x:v>
      </x:c>
      <x:c r="M500" s="210" t="n">
        <x:v>192</x:v>
      </x:c>
      <x:c r="N500" s="210" t="n">
        <x:v>1100</x:v>
      </x:c>
      <x:c r="O500" s="210" t="n">
        <x:v>50</x:v>
      </x:c>
      <x:c r="P500" s="210" t="n">
        <x:v>9</x:v>
      </x:c>
      <x:c r="Q500" s="211" t="n">
        <x:v>0.095</x:v>
      </x:c>
      <x:c r="R500" s="207" t="str"/>
      <x:c r="S500" s="207" t="str"/>
      <x:c r="T500" s="207" t="str"/>
      <x:c r="U500" s="207" t="n">
        <x:v>0</x:v>
      </x:c>
      <x:c r="V500" s="208" t="n">
        <x:f>MAX(0,M500-U500)</x:f>
        <x:v>192</x:v>
      </x:c>
      <x:c r="W500" s="209" t="n">
        <x:f>IFERROR(U500/M500,0)</x:f>
        <x:v>0</x:v>
      </x:c>
      <x:c r="X500" s="201" t="str">
        <x:f>IF(U500=0,"Não iniciado",IF(U500&gt;=M500,"Concluído","Parcial"))</x:f>
        <x:v>Não iniciado</x:v>
      </x:c>
      <x:c r="Y500" s="199" t="str"/>
      <x:c r="Z500" s="188" t="str">
        <x:v>Normal</x:v>
      </x:c>
    </x:row>
    <x:row r="501" ht="22" customHeight="1">
      <x:c r="A501" s="217" t="n">
        <x:v>497</x:v>
      </x:c>
      <x:c r="B501" s="218" t="str">
        <x:v>26799</x:v>
      </x:c>
      <x:c r="C501" s="218" t="str">
        <x:v>3</x:v>
      </x:c>
      <x:c r="D501" s="218" t="str">
        <x:v>609408</x:v>
      </x:c>
      <x:c r="E501" s="218" t="str">
        <x:v>988577</x:v>
      </x:c>
      <x:c r="F501" s="218" t="str">
        <x:v>OUTROS</x:v>
      </x:c>
      <x:c r="G501" s="184" t="str">
        <x:v>T.A 1100X50X9 RT RL45 PET TXT BCO STD</x:v>
      </x:c>
      <x:c r="H501" s="184" t="str"/>
      <x:c r="I501" s="184" t="str"/>
      <x:c r="J501" s="184" t="str"/>
      <x:c r="K501" s="184" t="str">
        <x:v>ESMALTE</x:v>
      </x:c>
      <x:c r="L501" s="184" t="str">
        <x:v>BRANCO CARRARA</x:v>
      </x:c>
      <x:c r="M501" s="205" t="n">
        <x:v>64</x:v>
      </x:c>
      <x:c r="N501" s="205" t="n">
        <x:v>1100</x:v>
      </x:c>
      <x:c r="O501" s="205" t="n">
        <x:v>50</x:v>
      </x:c>
      <x:c r="P501" s="205" t="n">
        <x:v>9</x:v>
      </x:c>
      <x:c r="Q501" s="206" t="n">
        <x:v>0.032</x:v>
      </x:c>
      <x:c r="R501" s="207" t="str"/>
      <x:c r="S501" s="207" t="str"/>
      <x:c r="T501" s="207" t="str"/>
      <x:c r="U501" s="207" t="n">
        <x:v>0</x:v>
      </x:c>
      <x:c r="V501" s="208" t="n">
        <x:f>MAX(0,M501-U501)</x:f>
        <x:v>64</x:v>
      </x:c>
      <x:c r="W501" s="209" t="n">
        <x:f>IFERROR(U501/M501,0)</x:f>
        <x:v>0</x:v>
      </x:c>
      <x:c r="X501" s="201" t="str">
        <x:f>IF(U501=0,"Não iniciado",IF(U501&gt;=M501,"Concluído","Parcial"))</x:f>
        <x:v>Não iniciado</x:v>
      </x:c>
      <x:c r="Y501" s="199" t="str"/>
      <x:c r="Z501" s="188" t="str">
        <x:v>Normal</x:v>
      </x:c>
    </x:row>
    <x:row r="502" ht="22" customHeight="1">
      <x:c r="A502" s="219" t="n">
        <x:v>498</x:v>
      </x:c>
      <x:c r="B502" s="220" t="str">
        <x:v>26807</x:v>
      </x:c>
      <x:c r="C502" s="220" t="str">
        <x:v>2</x:v>
      </x:c>
      <x:c r="D502" s="220" t="str">
        <x:v>610048</x:v>
      </x:c>
      <x:c r="E502" s="220" t="str">
        <x:v>2020700633</x:v>
      </x:c>
      <x:c r="F502" s="220" t="str">
        <x:v>OUTROS</x:v>
      </x:c>
      <x:c r="G502" s="190" t="str">
        <x:v>A ULTRA PET CA PE 1100X50X9 RG(55) RTO</x:v>
      </x:c>
      <x:c r="H502" s="190" t="str">
        <x:v>REG 2L(MAIOR 55MM)</x:v>
      </x:c>
      <x:c r="I502" s="190" t="str"/>
      <x:c r="J502" s="190" t="str"/>
      <x:c r="K502" s="190" t="str">
        <x:v>RECOBERTO PET</x:v>
      </x:c>
      <x:c r="L502" s="190" t="str">
        <x:v>CARVALHO PESCARA</x:v>
      </x:c>
      <x:c r="M502" s="210" t="n">
        <x:v>20</x:v>
      </x:c>
      <x:c r="N502" s="210" t="n">
        <x:v>1100</x:v>
      </x:c>
      <x:c r="O502" s="210" t="n">
        <x:v>50</x:v>
      </x:c>
      <x:c r="P502" s="210" t="n">
        <x:v>9</x:v>
      </x:c>
      <x:c r="Q502" s="211" t="n">
        <x:v>0</x:v>
      </x:c>
      <x:c r="R502" s="207" t="str"/>
      <x:c r="S502" s="207" t="str"/>
      <x:c r="T502" s="207" t="str"/>
      <x:c r="U502" s="207" t="n">
        <x:v>0</x:v>
      </x:c>
      <x:c r="V502" s="208" t="n">
        <x:f>MAX(0,M502-U502)</x:f>
        <x:v>20</x:v>
      </x:c>
      <x:c r="W502" s="209" t="n">
        <x:f>IFERROR(U502/M502,0)</x:f>
        <x:v>0</x:v>
      </x:c>
      <x:c r="X502" s="201" t="str">
        <x:f>IF(U502=0,"Não iniciado",IF(U502&gt;=M502,"Concluído","Parcial"))</x:f>
        <x:v>Não iniciado</x:v>
      </x:c>
      <x:c r="Y502" s="199" t="str"/>
      <x:c r="Z502" s="188" t="str">
        <x:v>Normal</x:v>
      </x:c>
    </x:row>
    <x:row r="503" ht="22" customHeight="1">
      <x:c r="A503" s="217" t="n">
        <x:v>499</x:v>
      </x:c>
      <x:c r="B503" s="218" t="str">
        <x:v>26807</x:v>
      </x:c>
      <x:c r="C503" s="218" t="str">
        <x:v>2</x:v>
      </x:c>
      <x:c r="D503" s="218" t="str">
        <x:v>610049</x:v>
      </x:c>
      <x:c r="E503" s="218" t="str">
        <x:v>2020700634</x:v>
      </x:c>
      <x:c r="F503" s="218" t="str">
        <x:v>OUTROS</x:v>
      </x:c>
      <x:c r="G503" s="184" t="str">
        <x:v>A ULTRA PET CA PE 1100X50X9 RG(ME) RTO</x:v>
      </x:c>
      <x:c r="H503" s="184" t="str">
        <x:v>REG 2L(MAIOR 55MM)</x:v>
      </x:c>
      <x:c r="I503" s="184" t="str"/>
      <x:c r="J503" s="184" t="str"/>
      <x:c r="K503" s="184" t="str">
        <x:v>RECOBERTO PET</x:v>
      </x:c>
      <x:c r="L503" s="184" t="str">
        <x:v>CARVALHO PESCARA</x:v>
      </x:c>
      <x:c r="M503" s="205" t="n">
        <x:v>20</x:v>
      </x:c>
      <x:c r="N503" s="205" t="n">
        <x:v>1100</x:v>
      </x:c>
      <x:c r="O503" s="205" t="n">
        <x:v>50</x:v>
      </x:c>
      <x:c r="P503" s="205" t="n">
        <x:v>9</x:v>
      </x:c>
      <x:c r="Q503" s="206" t="n">
        <x:v>0</x:v>
      </x:c>
      <x:c r="R503" s="207" t="str"/>
      <x:c r="S503" s="207" t="str"/>
      <x:c r="T503" s="207" t="str"/>
      <x:c r="U503" s="207" t="n">
        <x:v>0</x:v>
      </x:c>
      <x:c r="V503" s="208" t="n">
        <x:f>MAX(0,M503-U503)</x:f>
        <x:v>20</x:v>
      </x:c>
      <x:c r="W503" s="209" t="n">
        <x:f>IFERROR(U503/M503,0)</x:f>
        <x:v>0</x:v>
      </x:c>
      <x:c r="X503" s="201" t="str">
        <x:f>IF(U503=0,"Não iniciado",IF(U503&gt;=M503,"Concluído","Parcial"))</x:f>
        <x:v>Não iniciado</x:v>
      </x:c>
      <x:c r="Y503" s="199" t="str"/>
      <x:c r="Z503" s="188" t="str">
        <x:v>Normal</x:v>
      </x:c>
    </x:row>
    <x:row r="504" ht="22" customHeight="1">
      <x:c r="A504" s="219" t="n">
        <x:v>500</x:v>
      </x:c>
      <x:c r="B504" s="220" t="str">
        <x:v>26520</x:v>
      </x:c>
      <x:c r="C504" s="220" t="str">
        <x:v>3</x:v>
      </x:c>
      <x:c r="D504" s="220" t="str">
        <x:v>610080</x:v>
      </x:c>
      <x:c r="E504" s="220" t="str">
        <x:v>969663</x:v>
      </x:c>
      <x:c r="F504" s="220" t="str">
        <x:v>ALIZAR</x:v>
      </x:c>
      <x:c r="G504" s="190" t="str">
        <x:v>T A 1000X50X9 RTO RL55 PET CIN VER ULT)</x:v>
      </x:c>
      <x:c r="H504" s="190" t="str"/>
      <x:c r="I504" s="190" t="str"/>
      <x:c r="J504" s="190" t="str"/>
      <x:c r="K504" s="190" t="str">
        <x:v>RECOBERTO PET</x:v>
      </x:c>
      <x:c r="L504" s="190" t="str">
        <x:v>CINZA VERONA</x:v>
      </x:c>
      <x:c r="M504" s="210" t="n">
        <x:v>4</x:v>
      </x:c>
      <x:c r="N504" s="210" t="n">
        <x:v>1000</x:v>
      </x:c>
      <x:c r="O504" s="210" t="n">
        <x:v>50</x:v>
      </x:c>
      <x:c r="P504" s="210" t="n">
        <x:v>9</x:v>
      </x:c>
      <x:c r="Q504" s="211" t="n">
        <x:v>0</x:v>
      </x:c>
      <x:c r="R504" s="207" t="str"/>
      <x:c r="S504" s="207" t="str"/>
      <x:c r="T504" s="207" t="str"/>
      <x:c r="U504" s="207" t="n">
        <x:v>0</x:v>
      </x:c>
      <x:c r="V504" s="208" t="n">
        <x:f>MAX(0,M504-U504)</x:f>
        <x:v>4</x:v>
      </x:c>
      <x:c r="W504" s="209" t="n">
        <x:f>IFERROR(U504/M504,0)</x:f>
        <x:v>0</x:v>
      </x:c>
      <x:c r="X504" s="201" t="str">
        <x:f>IF(U504=0,"Não iniciado",IF(U504&gt;=M504,"Concluído","Parcial"))</x:f>
        <x:v>Não iniciado</x:v>
      </x:c>
      <x:c r="Y504" s="199" t="str"/>
      <x:c r="Z504" s="188" t="str">
        <x:v>Normal</x:v>
      </x:c>
    </x:row>
    <x:row r="505" ht="22" customHeight="1">
      <x:c r="A505" s="217" t="n">
        <x:v>501</x:v>
      </x:c>
      <x:c r="B505" s="218" t="str">
        <x:v>26520</x:v>
      </x:c>
      <x:c r="C505" s="218" t="str">
        <x:v>3</x:v>
      </x:c>
      <x:c r="D505" s="218" t="str">
        <x:v>610082</x:v>
      </x:c>
      <x:c r="E505" s="218" t="str">
        <x:v>969665</x:v>
      </x:c>
      <x:c r="F505" s="218" t="str">
        <x:v>ALIZAR</x:v>
      </x:c>
      <x:c r="G505" s="184" t="str">
        <x:v>T A 1000X50X9 RTO LME PET CIN VER ULTRA</x:v>
      </x:c>
      <x:c r="H505" s="184" t="str"/>
      <x:c r="I505" s="184" t="str"/>
      <x:c r="J505" s="184" t="str"/>
      <x:c r="K505" s="184" t="str">
        <x:v>RECOBERTO PET</x:v>
      </x:c>
      <x:c r="L505" s="184" t="str">
        <x:v>CINZA VERONA</x:v>
      </x:c>
      <x:c r="M505" s="205" t="n">
        <x:v>4</x:v>
      </x:c>
      <x:c r="N505" s="205" t="n">
        <x:v>1000</x:v>
      </x:c>
      <x:c r="O505" s="205" t="n">
        <x:v>50</x:v>
      </x:c>
      <x:c r="P505" s="205" t="n">
        <x:v>9</x:v>
      </x:c>
      <x:c r="Q505" s="206" t="n">
        <x:v>0</x:v>
      </x:c>
      <x:c r="R505" s="207" t="str"/>
      <x:c r="S505" s="207" t="str"/>
      <x:c r="T505" s="207" t="str"/>
      <x:c r="U505" s="207" t="n">
        <x:v>0</x:v>
      </x:c>
      <x:c r="V505" s="208" t="n">
        <x:f>MAX(0,M505-U505)</x:f>
        <x:v>4</x:v>
      </x:c>
      <x:c r="W505" s="209" t="n">
        <x:f>IFERROR(U505/M505,0)</x:f>
        <x:v>0</x:v>
      </x:c>
      <x:c r="X505" s="201" t="str">
        <x:f>IF(U505=0,"Não iniciado",IF(U505&gt;=M505,"Concluído","Parcial"))</x:f>
        <x:v>Não iniciado</x:v>
      </x:c>
      <x:c r="Y505" s="199" t="str"/>
      <x:c r="Z505" s="188" t="str">
        <x:v>Normal</x:v>
      </x:c>
    </x:row>
    <x:row r="506" ht="22" customHeight="1">
      <x:c r="A506" s="219" t="n">
        <x:v>502</x:v>
      </x:c>
      <x:c r="B506" s="220" t="str">
        <x:v>26520</x:v>
      </x:c>
      <x:c r="C506" s="220" t="str">
        <x:v>4</x:v>
      </x:c>
      <x:c r="D506" s="220" t="str">
        <x:v>610088</x:v>
      </x:c>
      <x:c r="E506" s="220" t="str">
        <x:v>969663</x:v>
      </x:c>
      <x:c r="F506" s="220" t="str">
        <x:v>ALIZAR</x:v>
      </x:c>
      <x:c r="G506" s="190" t="str">
        <x:v>T A 1000X50X9 RTO RL55 PET CIN VER ULT)</x:v>
      </x:c>
      <x:c r="H506" s="190" t="str"/>
      <x:c r="I506" s="190" t="str"/>
      <x:c r="J506" s="190" t="str"/>
      <x:c r="K506" s="190" t="str">
        <x:v>RECOBERTO PET</x:v>
      </x:c>
      <x:c r="L506" s="190" t="str">
        <x:v>CINZA VERONA</x:v>
      </x:c>
      <x:c r="M506" s="210" t="n">
        <x:v>4</x:v>
      </x:c>
      <x:c r="N506" s="210" t="n">
        <x:v>1000</x:v>
      </x:c>
      <x:c r="O506" s="210" t="n">
        <x:v>50</x:v>
      </x:c>
      <x:c r="P506" s="210" t="n">
        <x:v>9</x:v>
      </x:c>
      <x:c r="Q506" s="211" t="n">
        <x:v>0</x:v>
      </x:c>
      <x:c r="R506" s="207" t="str"/>
      <x:c r="S506" s="207" t="str"/>
      <x:c r="T506" s="207" t="str"/>
      <x:c r="U506" s="207" t="n">
        <x:v>0</x:v>
      </x:c>
      <x:c r="V506" s="208" t="n">
        <x:f>MAX(0,M506-U506)</x:f>
        <x:v>4</x:v>
      </x:c>
      <x:c r="W506" s="209" t="n">
        <x:f>IFERROR(U506/M506,0)</x:f>
        <x:v>0</x:v>
      </x:c>
      <x:c r="X506" s="201" t="str">
        <x:f>IF(U506=0,"Não iniciado",IF(U506&gt;=M506,"Concluído","Parcial"))</x:f>
        <x:v>Não iniciado</x:v>
      </x:c>
      <x:c r="Y506" s="199" t="str"/>
      <x:c r="Z506" s="188" t="str">
        <x:v>Normal</x:v>
      </x:c>
    </x:row>
    <x:row r="507" ht="22" customHeight="1">
      <x:c r="A507" s="217" t="n">
        <x:v>503</x:v>
      </x:c>
      <x:c r="B507" s="218" t="str">
        <x:v>26520</x:v>
      </x:c>
      <x:c r="C507" s="218" t="str">
        <x:v>4</x:v>
      </x:c>
      <x:c r="D507" s="218" t="str">
        <x:v>610090</x:v>
      </x:c>
      <x:c r="E507" s="218" t="str">
        <x:v>969665</x:v>
      </x:c>
      <x:c r="F507" s="218" t="str">
        <x:v>ALIZAR</x:v>
      </x:c>
      <x:c r="G507" s="184" t="str">
        <x:v>T A 1000X50X9 RTO LME PET CIN VER ULTRA</x:v>
      </x:c>
      <x:c r="H507" s="184" t="str"/>
      <x:c r="I507" s="184" t="str"/>
      <x:c r="J507" s="184" t="str"/>
      <x:c r="K507" s="184" t="str">
        <x:v>RECOBERTO PET</x:v>
      </x:c>
      <x:c r="L507" s="184" t="str">
        <x:v>CINZA VERONA</x:v>
      </x:c>
      <x:c r="M507" s="205" t="n">
        <x:v>4</x:v>
      </x:c>
      <x:c r="N507" s="205" t="n">
        <x:v>1000</x:v>
      </x:c>
      <x:c r="O507" s="205" t="n">
        <x:v>50</x:v>
      </x:c>
      <x:c r="P507" s="205" t="n">
        <x:v>9</x:v>
      </x:c>
      <x:c r="Q507" s="206" t="n">
        <x:v>0</x:v>
      </x:c>
      <x:c r="R507" s="207" t="str"/>
      <x:c r="S507" s="207" t="str"/>
      <x:c r="T507" s="207" t="str"/>
      <x:c r="U507" s="207" t="n">
        <x:v>0</x:v>
      </x:c>
      <x:c r="V507" s="208" t="n">
        <x:f>MAX(0,M507-U507)</x:f>
        <x:v>4</x:v>
      </x:c>
      <x:c r="W507" s="209" t="n">
        <x:f>IFERROR(U507/M507,0)</x:f>
        <x:v>0</x:v>
      </x:c>
      <x:c r="X507" s="201" t="str">
        <x:f>IF(U507=0,"Não iniciado",IF(U507&gt;=M507,"Concluído","Parcial"))</x:f>
        <x:v>Não iniciado</x:v>
      </x:c>
      <x:c r="Y507" s="199" t="str"/>
      <x:c r="Z507" s="188" t="str">
        <x:v>Normal</x:v>
      </x:c>
    </x:row>
    <x:row r="508" ht="22" customHeight="1">
      <x:c r="A508" s="219" t="n">
        <x:v>504</x:v>
      </x:c>
      <x:c r="B508" s="220" t="str">
        <x:v>26520</x:v>
      </x:c>
      <x:c r="C508" s="220" t="str">
        <x:v>5</x:v>
      </x:c>
      <x:c r="D508" s="220" t="str">
        <x:v>610096</x:v>
      </x:c>
      <x:c r="E508" s="220" t="str">
        <x:v>969663</x:v>
      </x:c>
      <x:c r="F508" s="220" t="str">
        <x:v>ALIZAR</x:v>
      </x:c>
      <x:c r="G508" s="190" t="str">
        <x:v>T A 1000X50X9 RTO RL55 PET CIN VER ULT)</x:v>
      </x:c>
      <x:c r="H508" s="190" t="str"/>
      <x:c r="I508" s="190" t="str"/>
      <x:c r="J508" s="190" t="str"/>
      <x:c r="K508" s="190" t="str">
        <x:v>RECOBERTO PET</x:v>
      </x:c>
      <x:c r="L508" s="190" t="str">
        <x:v>CINZA VERONA</x:v>
      </x:c>
      <x:c r="M508" s="210" t="n">
        <x:v>1</x:v>
      </x:c>
      <x:c r="N508" s="210" t="n">
        <x:v>1000</x:v>
      </x:c>
      <x:c r="O508" s="210" t="n">
        <x:v>50</x:v>
      </x:c>
      <x:c r="P508" s="210" t="n">
        <x:v>9</x:v>
      </x:c>
      <x:c r="Q508" s="211" t="n">
        <x:v>0</x:v>
      </x:c>
      <x:c r="R508" s="207" t="str"/>
      <x:c r="S508" s="207" t="str"/>
      <x:c r="T508" s="207" t="str"/>
      <x:c r="U508" s="207" t="n">
        <x:v>0</x:v>
      </x:c>
      <x:c r="V508" s="208" t="n">
        <x:f>MAX(0,M508-U508)</x:f>
        <x:v>1</x:v>
      </x:c>
      <x:c r="W508" s="209" t="n">
        <x:f>IFERROR(U508/M508,0)</x:f>
        <x:v>0</x:v>
      </x:c>
      <x:c r="X508" s="201" t="str">
        <x:f>IF(U508=0,"Não iniciado",IF(U508&gt;=M508,"Concluído","Parcial"))</x:f>
        <x:v>Não iniciado</x:v>
      </x:c>
      <x:c r="Y508" s="199" t="str"/>
      <x:c r="Z508" s="188" t="str">
        <x:v>Normal</x:v>
      </x:c>
    </x:row>
    <x:row r="509" ht="22" customHeight="1">
      <x:c r="A509" s="217" t="n">
        <x:v>505</x:v>
      </x:c>
      <x:c r="B509" s="218" t="str">
        <x:v>26520</x:v>
      </x:c>
      <x:c r="C509" s="218" t="str">
        <x:v>5</x:v>
      </x:c>
      <x:c r="D509" s="218" t="str">
        <x:v>610098</x:v>
      </x:c>
      <x:c r="E509" s="218" t="str">
        <x:v>969665</x:v>
      </x:c>
      <x:c r="F509" s="218" t="str">
        <x:v>ALIZAR</x:v>
      </x:c>
      <x:c r="G509" s="184" t="str">
        <x:v>T A 1000X50X9 RTO LME PET CIN VER ULTRA</x:v>
      </x:c>
      <x:c r="H509" s="184" t="str"/>
      <x:c r="I509" s="184" t="str"/>
      <x:c r="J509" s="184" t="str"/>
      <x:c r="K509" s="184" t="str">
        <x:v>RECOBERTO PET</x:v>
      </x:c>
      <x:c r="L509" s="184" t="str">
        <x:v>CINZA VERONA</x:v>
      </x:c>
      <x:c r="M509" s="205" t="n">
        <x:v>1</x:v>
      </x:c>
      <x:c r="N509" s="205" t="n">
        <x:v>1000</x:v>
      </x:c>
      <x:c r="O509" s="205" t="n">
        <x:v>50</x:v>
      </x:c>
      <x:c r="P509" s="205" t="n">
        <x:v>9</x:v>
      </x:c>
      <x:c r="Q509" s="206" t="n">
        <x:v>0</x:v>
      </x:c>
      <x:c r="R509" s="207" t="str"/>
      <x:c r="S509" s="207" t="str"/>
      <x:c r="T509" s="207" t="str"/>
      <x:c r="U509" s="207" t="n">
        <x:v>0</x:v>
      </x:c>
      <x:c r="V509" s="208" t="n">
        <x:f>MAX(0,M509-U509)</x:f>
        <x:v>1</x:v>
      </x:c>
      <x:c r="W509" s="209" t="n">
        <x:f>IFERROR(U509/M509,0)</x:f>
        <x:v>0</x:v>
      </x:c>
      <x:c r="X509" s="201" t="str">
        <x:f>IF(U509=0,"Não iniciado",IF(U509&gt;=M509,"Concluído","Parcial"))</x:f>
        <x:v>Não iniciado</x:v>
      </x:c>
      <x:c r="Y509" s="199" t="str"/>
      <x:c r="Z509" s="188" t="str">
        <x:v>Normal</x:v>
      </x:c>
    </x:row>
    <x:row r="510" ht="22" customHeight="1">
      <x:c r="A510" s="219" t="n">
        <x:v>506</x:v>
      </x:c>
      <x:c r="B510" s="220" t="str">
        <x:v>26520</x:v>
      </x:c>
      <x:c r="C510" s="220" t="str">
        <x:v>6</x:v>
      </x:c>
      <x:c r="D510" s="220" t="str">
        <x:v>610104</x:v>
      </x:c>
      <x:c r="E510" s="220" t="str">
        <x:v>969663</x:v>
      </x:c>
      <x:c r="F510" s="220" t="str">
        <x:v>ALIZAR</x:v>
      </x:c>
      <x:c r="G510" s="190" t="str">
        <x:v>T A 1000X50X9 RTO RL55 PET CIN VER ULT)</x:v>
      </x:c>
      <x:c r="H510" s="190" t="str"/>
      <x:c r="I510" s="190" t="str"/>
      <x:c r="J510" s="190" t="str"/>
      <x:c r="K510" s="190" t="str">
        <x:v>RECOBERTO PET</x:v>
      </x:c>
      <x:c r="L510" s="190" t="str">
        <x:v>CINZA VERONA</x:v>
      </x:c>
      <x:c r="M510" s="210" t="n">
        <x:v>1</x:v>
      </x:c>
      <x:c r="N510" s="210" t="n">
        <x:v>1000</x:v>
      </x:c>
      <x:c r="O510" s="210" t="n">
        <x:v>50</x:v>
      </x:c>
      <x:c r="P510" s="210" t="n">
        <x:v>9</x:v>
      </x:c>
      <x:c r="Q510" s="211" t="n">
        <x:v>0</x:v>
      </x:c>
      <x:c r="R510" s="207" t="str"/>
      <x:c r="S510" s="207" t="str"/>
      <x:c r="T510" s="207" t="str"/>
      <x:c r="U510" s="207" t="n">
        <x:v>0</x:v>
      </x:c>
      <x:c r="V510" s="208" t="n">
        <x:f>MAX(0,M510-U510)</x:f>
        <x:v>1</x:v>
      </x:c>
      <x:c r="W510" s="209" t="n">
        <x:f>IFERROR(U510/M510,0)</x:f>
        <x:v>0</x:v>
      </x:c>
      <x:c r="X510" s="201" t="str">
        <x:f>IF(U510=0,"Não iniciado",IF(U510&gt;=M510,"Concluído","Parcial"))</x:f>
        <x:v>Não iniciado</x:v>
      </x:c>
      <x:c r="Y510" s="199" t="str"/>
      <x:c r="Z510" s="188" t="str">
        <x:v>Normal</x:v>
      </x:c>
    </x:row>
    <x:row r="511" ht="22" customHeight="1">
      <x:c r="A511" s="217" t="n">
        <x:v>507</x:v>
      </x:c>
      <x:c r="B511" s="218" t="str">
        <x:v>26520</x:v>
      </x:c>
      <x:c r="C511" s="218" t="str">
        <x:v>6</x:v>
      </x:c>
      <x:c r="D511" s="218" t="str">
        <x:v>610106</x:v>
      </x:c>
      <x:c r="E511" s="218" t="str">
        <x:v>969665</x:v>
      </x:c>
      <x:c r="F511" s="218" t="str">
        <x:v>ALIZAR</x:v>
      </x:c>
      <x:c r="G511" s="184" t="str">
        <x:v>T A 1000X50X9 RTO LME PET CIN VER ULTRA</x:v>
      </x:c>
      <x:c r="H511" s="184" t="str"/>
      <x:c r="I511" s="184" t="str"/>
      <x:c r="J511" s="184" t="str"/>
      <x:c r="K511" s="184" t="str">
        <x:v>RECOBERTO PET</x:v>
      </x:c>
      <x:c r="L511" s="184" t="str">
        <x:v>CINZA VERONA</x:v>
      </x:c>
      <x:c r="M511" s="205" t="n">
        <x:v>1</x:v>
      </x:c>
      <x:c r="N511" s="205" t="n">
        <x:v>1000</x:v>
      </x:c>
      <x:c r="O511" s="205" t="n">
        <x:v>50</x:v>
      </x:c>
      <x:c r="P511" s="205" t="n">
        <x:v>9</x:v>
      </x:c>
      <x:c r="Q511" s="206" t="n">
        <x:v>0</x:v>
      </x:c>
      <x:c r="R511" s="207" t="str"/>
      <x:c r="S511" s="207" t="str"/>
      <x:c r="T511" s="207" t="str"/>
      <x:c r="U511" s="207" t="n">
        <x:v>0</x:v>
      </x:c>
      <x:c r="V511" s="208" t="n">
        <x:f>MAX(0,M511-U511)</x:f>
        <x:v>1</x:v>
      </x:c>
      <x:c r="W511" s="209" t="n">
        <x:f>IFERROR(U511/M511,0)</x:f>
        <x:v>0</x:v>
      </x:c>
      <x:c r="X511" s="201" t="str">
        <x:f>IF(U511=0,"Não iniciado",IF(U511&gt;=M511,"Concluído","Parcial"))</x:f>
        <x:v>Não iniciado</x:v>
      </x:c>
      <x:c r="Y511" s="199" t="str"/>
      <x:c r="Z511" s="188" t="str">
        <x:v>Normal</x:v>
      </x:c>
    </x:row>
    <x:row r="512" ht="22" customHeight="1">
      <x:c r="A512" s="219" t="n">
        <x:v>508</x:v>
      </x:c>
      <x:c r="B512" s="220" t="str">
        <x:v>26796</x:v>
      </x:c>
      <x:c r="C512" s="220" t="str">
        <x:v>2</x:v>
      </x:c>
      <x:c r="D512" s="220" t="str">
        <x:v>609295</x:v>
      </x:c>
      <x:c r="E512" s="220" t="str">
        <x:v>986856</x:v>
      </x:c>
      <x:c r="F512" s="220" t="str">
        <x:v>OUTROS</x:v>
      </x:c>
      <x:c r="G512" s="190" t="str">
        <x:v>T.A 1000X50X9 RT RL35 PET TXT BCO STD</x:v>
      </x:c>
      <x:c r="H512" s="190" t="str"/>
      <x:c r="I512" s="190" t="str"/>
      <x:c r="J512" s="190" t="str"/>
      <x:c r="K512" s="190" t="str">
        <x:v>ESMALTE</x:v>
      </x:c>
      <x:c r="L512" s="190" t="str">
        <x:v>BRANCO</x:v>
      </x:c>
      <x:c r="M512" s="210" t="n">
        <x:v>48</x:v>
      </x:c>
      <x:c r="N512" s="210" t="n">
        <x:v>1000</x:v>
      </x:c>
      <x:c r="O512" s="210" t="n">
        <x:v>50</x:v>
      </x:c>
      <x:c r="P512" s="210" t="n">
        <x:v>9</x:v>
      </x:c>
      <x:c r="Q512" s="211" t="n">
        <x:v>0.022</x:v>
      </x:c>
      <x:c r="R512" s="207" t="str"/>
      <x:c r="S512" s="207" t="str"/>
      <x:c r="T512" s="207" t="str"/>
      <x:c r="U512" s="207" t="n">
        <x:v>0</x:v>
      </x:c>
      <x:c r="V512" s="208" t="n">
        <x:f>MAX(0,M512-U512)</x:f>
        <x:v>48</x:v>
      </x:c>
      <x:c r="W512" s="209" t="n">
        <x:f>IFERROR(U512/M512,0)</x:f>
        <x:v>0</x:v>
      </x:c>
      <x:c r="X512" s="201" t="str">
        <x:f>IF(U512=0,"Não iniciado",IF(U512&gt;=M512,"Concluído","Parcial"))</x:f>
        <x:v>Não iniciado</x:v>
      </x:c>
      <x:c r="Y512" s="199" t="str"/>
      <x:c r="Z512" s="188" t="str">
        <x:v>Normal</x:v>
      </x:c>
    </x:row>
    <x:row r="513" ht="22" customHeight="1">
      <x:c r="A513" s="217" t="n">
        <x:v>509</x:v>
      </x:c>
      <x:c r="B513" s="218" t="str">
        <x:v>26799</x:v>
      </x:c>
      <x:c r="C513" s="218" t="str">
        <x:v>2</x:v>
      </x:c>
      <x:c r="D513" s="218" t="str">
        <x:v>609400</x:v>
      </x:c>
      <x:c r="E513" s="218" t="str">
        <x:v>986856</x:v>
      </x:c>
      <x:c r="F513" s="218" t="str">
        <x:v>OUTROS</x:v>
      </x:c>
      <x:c r="G513" s="184" t="str">
        <x:v>T.A 1000X50X9 RT RL35 PET TXT BCO STD</x:v>
      </x:c>
      <x:c r="H513" s="184" t="str"/>
      <x:c r="I513" s="184" t="str"/>
      <x:c r="J513" s="184" t="str"/>
      <x:c r="K513" s="184" t="str">
        <x:v>ESMALTE</x:v>
      </x:c>
      <x:c r="L513" s="184" t="str">
        <x:v>BRANCO</x:v>
      </x:c>
      <x:c r="M513" s="205" t="n">
        <x:v>16</x:v>
      </x:c>
      <x:c r="N513" s="205" t="n">
        <x:v>1000</x:v>
      </x:c>
      <x:c r="O513" s="205" t="n">
        <x:v>50</x:v>
      </x:c>
      <x:c r="P513" s="205" t="n">
        <x:v>9</x:v>
      </x:c>
      <x:c r="Q513" s="206" t="n">
        <x:v>0.007</x:v>
      </x:c>
      <x:c r="R513" s="207" t="str"/>
      <x:c r="S513" s="207" t="str"/>
      <x:c r="T513" s="207" t="str"/>
      <x:c r="U513" s="207" t="n">
        <x:v>0</x:v>
      </x:c>
      <x:c r="V513" s="208" t="n">
        <x:f>MAX(0,M513-U513)</x:f>
        <x:v>16</x:v>
      </x:c>
      <x:c r="W513" s="209" t="n">
        <x:f>IFERROR(U513/M513,0)</x:f>
        <x:v>0</x:v>
      </x:c>
      <x:c r="X513" s="201" t="str">
        <x:f>IF(U513=0,"Não iniciado",IF(U513&gt;=M513,"Concluído","Parcial"))</x:f>
        <x:v>Não iniciado</x:v>
      </x:c>
      <x:c r="Y513" s="199" t="str"/>
      <x:c r="Z513" s="188" t="str">
        <x:v>Normal</x:v>
      </x:c>
    </x:row>
    <x:row r="514" ht="22" customHeight="1">
      <x:c r="A514" s="219" t="n">
        <x:v>510</x:v>
      </x:c>
      <x:c r="B514" s="220" t="str">
        <x:v>26744</x:v>
      </x:c>
      <x:c r="C514" s="220" t="str">
        <x:v>1</x:v>
      </x:c>
      <x:c r="D514" s="220" t="str">
        <x:v>609991</x:v>
      </x:c>
      <x:c r="E514" s="220" t="str">
        <x:v>962730</x:v>
      </x:c>
      <x:c r="F514" s="220" t="str">
        <x:v>OUTROS</x:v>
      </x:c>
      <x:c r="G514" s="190" t="str">
        <x:v>TR AL 1000X50X9 RTO RL35 REC PET BCO (UL</x:v>
      </x:c>
      <x:c r="H514" s="190" t="str"/>
      <x:c r="I514" s="190" t="str"/>
      <x:c r="J514" s="190" t="str"/>
      <x:c r="K514" s="190" t="str">
        <x:v>RECOBERTO PET</x:v>
      </x:c>
      <x:c r="L514" s="190" t="str">
        <x:v>BRANCO CARRARA</x:v>
      </x:c>
      <x:c r="M514" s="210" t="n">
        <x:v>4</x:v>
      </x:c>
      <x:c r="N514" s="210" t="n">
        <x:v>1000</x:v>
      </x:c>
      <x:c r="O514" s="210" t="n">
        <x:v>50</x:v>
      </x:c>
      <x:c r="P514" s="210" t="n">
        <x:v>9</x:v>
      </x:c>
      <x:c r="Q514" s="211" t="n">
        <x:v>0</x:v>
      </x:c>
      <x:c r="R514" s="207" t="str"/>
      <x:c r="S514" s="207" t="str"/>
      <x:c r="T514" s="207" t="str"/>
      <x:c r="U514" s="207" t="n">
        <x:v>0</x:v>
      </x:c>
      <x:c r="V514" s="208" t="n">
        <x:f>MAX(0,M514-U514)</x:f>
        <x:v>4</x:v>
      </x:c>
      <x:c r="W514" s="209" t="n">
        <x:f>IFERROR(U514/M514,0)</x:f>
        <x:v>0</x:v>
      </x:c>
      <x:c r="X514" s="201" t="str">
        <x:f>IF(U514=0,"Não iniciado",IF(U514&gt;=M514,"Concluído","Parcial"))</x:f>
        <x:v>Não iniciado</x:v>
      </x:c>
      <x:c r="Y514" s="199" t="str"/>
      <x:c r="Z514" s="188" t="str">
        <x:v>Normal</x:v>
      </x:c>
    </x:row>
    <x:row r="515" ht="22" customHeight="1">
      <x:c r="A515" s="217" t="n">
        <x:v>511</x:v>
      </x:c>
      <x:c r="B515" s="218" t="str">
        <x:v>26744</x:v>
      </x:c>
      <x:c r="C515" s="218" t="str">
        <x:v>2</x:v>
      </x:c>
      <x:c r="D515" s="218" t="str">
        <x:v>610000</x:v>
      </x:c>
      <x:c r="E515" s="218" t="str">
        <x:v>962730</x:v>
      </x:c>
      <x:c r="F515" s="218" t="str">
        <x:v>OUTROS</x:v>
      </x:c>
      <x:c r="G515" s="184" t="str">
        <x:v>TR AL 1000X50X9 RTO RL35 REC PET BCO (UL</x:v>
      </x:c>
      <x:c r="H515" s="184" t="str"/>
      <x:c r="I515" s="184" t="str"/>
      <x:c r="J515" s="184" t="str"/>
      <x:c r="K515" s="184" t="str">
        <x:v>RECOBERTO PET</x:v>
      </x:c>
      <x:c r="L515" s="184" t="str">
        <x:v>BRANCO CARRARA</x:v>
      </x:c>
      <x:c r="M515" s="205" t="n">
        <x:v>5</x:v>
      </x:c>
      <x:c r="N515" s="205" t="n">
        <x:v>1000</x:v>
      </x:c>
      <x:c r="O515" s="205" t="n">
        <x:v>50</x:v>
      </x:c>
      <x:c r="P515" s="205" t="n">
        <x:v>9</x:v>
      </x:c>
      <x:c r="Q515" s="206" t="n">
        <x:v>0</x:v>
      </x:c>
      <x:c r="R515" s="207" t="str"/>
      <x:c r="S515" s="207" t="str"/>
      <x:c r="T515" s="207" t="str"/>
      <x:c r="U515" s="207" t="n">
        <x:v>0</x:v>
      </x:c>
      <x:c r="V515" s="208" t="n">
        <x:f>MAX(0,M515-U515)</x:f>
        <x:v>5</x:v>
      </x:c>
      <x:c r="W515" s="209" t="n">
        <x:f>IFERROR(U515/M515,0)</x:f>
        <x:v>0</x:v>
      </x:c>
      <x:c r="X515" s="201" t="str">
        <x:f>IF(U515=0,"Não iniciado",IF(U515&gt;=M515,"Concluído","Parcial"))</x:f>
        <x:v>Não iniciado</x:v>
      </x:c>
      <x:c r="Y515" s="199" t="str"/>
      <x:c r="Z515" s="188" t="str">
        <x:v>Normal</x:v>
      </x:c>
    </x:row>
    <x:row r="516" ht="22" customHeight="1">
      <x:c r="A516" s="219" t="n">
        <x:v>512</x:v>
      </x:c>
      <x:c r="B516" s="220" t="str">
        <x:v>26744</x:v>
      </x:c>
      <x:c r="C516" s="220" t="str">
        <x:v>7</x:v>
      </x:c>
      <x:c r="D516" s="220" t="str">
        <x:v>610026</x:v>
      </x:c>
      <x:c r="E516" s="220" t="str">
        <x:v>962730</x:v>
      </x:c>
      <x:c r="F516" s="220" t="str">
        <x:v>OUTROS</x:v>
      </x:c>
      <x:c r="G516" s="190" t="str">
        <x:v>TR AL 1000X50X9 RTO RL35 REC PET BCO (UL</x:v>
      </x:c>
      <x:c r="H516" s="190" t="str">
        <x:v>REG 2L(MAIOR 35mm)</x:v>
      </x:c>
      <x:c r="I516" s="190" t="str"/>
      <x:c r="J516" s="190" t="str"/>
      <x:c r="K516" s="190" t="str">
        <x:v>RECOBERTO PET</x:v>
      </x:c>
      <x:c r="L516" s="190" t="str">
        <x:v>BRANCO CARRARA</x:v>
      </x:c>
      <x:c r="M516" s="210" t="n">
        <x:v>2</x:v>
      </x:c>
      <x:c r="N516" s="210" t="n">
        <x:v>1000</x:v>
      </x:c>
      <x:c r="O516" s="210" t="n">
        <x:v>50</x:v>
      </x:c>
      <x:c r="P516" s="210" t="n">
        <x:v>9</x:v>
      </x:c>
      <x:c r="Q516" s="211" t="n">
        <x:v>0</x:v>
      </x:c>
      <x:c r="R516" s="207" t="str"/>
      <x:c r="S516" s="207" t="str"/>
      <x:c r="T516" s="207" t="str"/>
      <x:c r="U516" s="207" t="n">
        <x:v>0</x:v>
      </x:c>
      <x:c r="V516" s="208" t="n">
        <x:f>MAX(0,M516-U516)</x:f>
        <x:v>2</x:v>
      </x:c>
      <x:c r="W516" s="209" t="n">
        <x:f>IFERROR(U516/M516,0)</x:f>
        <x:v>0</x:v>
      </x:c>
      <x:c r="X516" s="201" t="str">
        <x:f>IF(U516=0,"Não iniciado",IF(U516&gt;=M516,"Concluído","Parcial"))</x:f>
        <x:v>Não iniciado</x:v>
      </x:c>
      <x:c r="Y516" s="199" t="str"/>
      <x:c r="Z516" s="188" t="str">
        <x:v>Normal</x:v>
      </x:c>
    </x:row>
    <x:row r="517" ht="22" customHeight="1">
      <x:c r="A517" s="217" t="n">
        <x:v>513</x:v>
      </x:c>
      <x:c r="B517" s="218" t="str">
        <x:v>26796</x:v>
      </x:c>
      <x:c r="C517" s="218" t="str">
        <x:v>1</x:v>
      </x:c>
      <x:c r="D517" s="218" t="str">
        <x:v>609287</x:v>
      </x:c>
      <x:c r="E517" s="218" t="str">
        <x:v>986856</x:v>
      </x:c>
      <x:c r="F517" s="218" t="str">
        <x:v>OUTROS</x:v>
      </x:c>
      <x:c r="G517" s="184" t="str">
        <x:v>T.A 1000X50X9 RT RL35 PET TXT BCO STD</x:v>
      </x:c>
      <x:c r="H517" s="184" t="str"/>
      <x:c r="I517" s="184" t="str"/>
      <x:c r="J517" s="184" t="str"/>
      <x:c r="K517" s="184" t="str">
        <x:v>ESMALTE</x:v>
      </x:c>
      <x:c r="L517" s="184" t="str">
        <x:v>BRANCO CARRARA</x:v>
      </x:c>
      <x:c r="M517" s="205" t="n">
        <x:v>216</x:v>
      </x:c>
      <x:c r="N517" s="205" t="n">
        <x:v>1000</x:v>
      </x:c>
      <x:c r="O517" s="205" t="n">
        <x:v>50</x:v>
      </x:c>
      <x:c r="P517" s="205" t="n">
        <x:v>9</x:v>
      </x:c>
      <x:c r="Q517" s="206" t="n">
        <x:v>0.097</x:v>
      </x:c>
      <x:c r="R517" s="207" t="str"/>
      <x:c r="S517" s="207" t="str"/>
      <x:c r="T517" s="207" t="str"/>
      <x:c r="U517" s="207" t="n">
        <x:v>0</x:v>
      </x:c>
      <x:c r="V517" s="208" t="n">
        <x:f>MAX(0,M517-U517)</x:f>
        <x:v>216</x:v>
      </x:c>
      <x:c r="W517" s="209" t="n">
        <x:f>IFERROR(U517/M517,0)</x:f>
        <x:v>0</x:v>
      </x:c>
      <x:c r="X517" s="201" t="str">
        <x:f>IF(U517=0,"Não iniciado",IF(U517&gt;=M517,"Concluído","Parcial"))</x:f>
        <x:v>Não iniciado</x:v>
      </x:c>
      <x:c r="Y517" s="199" t="str"/>
      <x:c r="Z517" s="188" t="str">
        <x:v>Normal</x:v>
      </x:c>
    </x:row>
    <x:row r="518" ht="22" customHeight="1">
      <x:c r="A518" s="219" t="n">
        <x:v>514</x:v>
      </x:c>
      <x:c r="B518" s="220" t="str">
        <x:v>26799</x:v>
      </x:c>
      <x:c r="C518" s="220" t="str">
        <x:v>1</x:v>
      </x:c>
      <x:c r="D518" s="220" t="str">
        <x:v>609392</x:v>
      </x:c>
      <x:c r="E518" s="220" t="str">
        <x:v>986856</x:v>
      </x:c>
      <x:c r="F518" s="220" t="str">
        <x:v>OUTROS</x:v>
      </x:c>
      <x:c r="G518" s="190" t="str">
        <x:v>T.A 1000X50X9 RT RL35 PET TXT BCO STD</x:v>
      </x:c>
      <x:c r="H518" s="190" t="str"/>
      <x:c r="I518" s="190" t="str"/>
      <x:c r="J518" s="190" t="str"/>
      <x:c r="K518" s="190" t="str">
        <x:v>ESMALTE</x:v>
      </x:c>
      <x:c r="L518" s="190" t="str">
        <x:v>BRANCO CARRARA</x:v>
      </x:c>
      <x:c r="M518" s="210" t="n">
        <x:v>72</x:v>
      </x:c>
      <x:c r="N518" s="210" t="n">
        <x:v>1000</x:v>
      </x:c>
      <x:c r="O518" s="210" t="n">
        <x:v>50</x:v>
      </x:c>
      <x:c r="P518" s="210" t="n">
        <x:v>9</x:v>
      </x:c>
      <x:c r="Q518" s="211" t="n">
        <x:v>0.032</x:v>
      </x:c>
      <x:c r="R518" s="207" t="str"/>
      <x:c r="S518" s="207" t="str"/>
      <x:c r="T518" s="207" t="str"/>
      <x:c r="U518" s="207" t="n">
        <x:v>0</x:v>
      </x:c>
      <x:c r="V518" s="208" t="n">
        <x:f>MAX(0,M518-U518)</x:f>
        <x:v>72</x:v>
      </x:c>
      <x:c r="W518" s="209" t="n">
        <x:f>IFERROR(U518/M518,0)</x:f>
        <x:v>0</x:v>
      </x:c>
      <x:c r="X518" s="201" t="str">
        <x:f>IF(U518=0,"Não iniciado",IF(U518&gt;=M518,"Concluído","Parcial"))</x:f>
        <x:v>Não iniciado</x:v>
      </x:c>
      <x:c r="Y518" s="199" t="str"/>
      <x:c r="Z518" s="188" t="str">
        <x:v>Normal</x:v>
      </x:c>
    </x:row>
    <x:row r="519" ht="22" customHeight="1">
      <x:c r="A519" s="217" t="n">
        <x:v>515</x:v>
      </x:c>
      <x:c r="B519" s="218" t="str">
        <x:v>26520</x:v>
      </x:c>
      <x:c r="C519" s="218" t="str">
        <x:v>9</x:v>
      </x:c>
      <x:c r="D519" s="218" t="str">
        <x:v>610116</x:v>
      </x:c>
      <x:c r="E519" s="218" t="str">
        <x:v>975916</x:v>
      </x:c>
      <x:c r="F519" s="218" t="str">
        <x:v>OUTROS</x:v>
      </x:c>
      <x:c r="G519" s="184" t="str">
        <x:v>TR AL 1000X50X9 RTO RL55 REC PET CURUP(U</x:v>
      </x:c>
      <x:c r="H519" s="184" t="str">
        <x:v>REG 1L(MAIOR 55MM)</x:v>
      </x:c>
      <x:c r="I519" s="184" t="str"/>
      <x:c r="J519" s="184" t="str"/>
      <x:c r="K519" s="184" t="str">
        <x:v>RECOBERTO PET</x:v>
      </x:c>
      <x:c r="L519" s="184" t="str">
        <x:v>CURUPIXA RAVENNA</x:v>
      </x:c>
      <x:c r="M519" s="205" t="n">
        <x:v>1</x:v>
      </x:c>
      <x:c r="N519" s="205" t="n">
        <x:v>1000</x:v>
      </x:c>
      <x:c r="O519" s="205" t="n">
        <x:v>50</x:v>
      </x:c>
      <x:c r="P519" s="205" t="n">
        <x:v>9</x:v>
      </x:c>
      <x:c r="Q519" s="206" t="n">
        <x:v>0</x:v>
      </x:c>
      <x:c r="R519" s="207" t="str"/>
      <x:c r="S519" s="207" t="str"/>
      <x:c r="T519" s="207" t="str"/>
      <x:c r="U519" s="207" t="n">
        <x:v>0</x:v>
      </x:c>
      <x:c r="V519" s="208" t="n">
        <x:f>MAX(0,M519-U519)</x:f>
        <x:v>1</x:v>
      </x:c>
      <x:c r="W519" s="209" t="n">
        <x:f>IFERROR(U519/M519,0)</x:f>
        <x:v>0</x:v>
      </x:c>
      <x:c r="X519" s="201" t="str">
        <x:f>IF(U519=0,"Não iniciado",IF(U519&gt;=M519,"Concluído","Parcial"))</x:f>
        <x:v>Não iniciado</x:v>
      </x:c>
      <x:c r="Y519" s="199" t="str"/>
      <x:c r="Z519" s="188" t="str">
        <x:v>Normal</x:v>
      </x:c>
    </x:row>
    <x:row r="520" ht="22" customHeight="1">
      <x:c r="A520" s="219" t="n">
        <x:v>516</x:v>
      </x:c>
      <x:c r="B520" s="220" t="str">
        <x:v>26520</x:v>
      </x:c>
      <x:c r="C520" s="220" t="str">
        <x:v>11</x:v>
      </x:c>
      <x:c r="D520" s="220" t="str">
        <x:v>610125</x:v>
      </x:c>
      <x:c r="E520" s="220" t="str">
        <x:v>975916</x:v>
      </x:c>
      <x:c r="F520" s="220" t="str">
        <x:v>OUTROS</x:v>
      </x:c>
      <x:c r="G520" s="190" t="str">
        <x:v>TR AL 1000X50X9 RTO RL55 REC PET CURUP(U</x:v>
      </x:c>
      <x:c r="H520" s="190" t="str"/>
      <x:c r="I520" s="190" t="str"/>
      <x:c r="J520" s="190" t="str"/>
      <x:c r="K520" s="190" t="str">
        <x:v>RECOBERTO PET</x:v>
      </x:c>
      <x:c r="L520" s="190" t="str">
        <x:v>CURUPIXA RAVENNA</x:v>
      </x:c>
      <x:c r="M520" s="210" t="n">
        <x:v>3</x:v>
      </x:c>
      <x:c r="N520" s="210" t="n">
        <x:v>1000</x:v>
      </x:c>
      <x:c r="O520" s="210" t="n">
        <x:v>50</x:v>
      </x:c>
      <x:c r="P520" s="210" t="n">
        <x:v>9</x:v>
      </x:c>
      <x:c r="Q520" s="211" t="n">
        <x:v>0</x:v>
      </x:c>
      <x:c r="R520" s="207" t="str"/>
      <x:c r="S520" s="207" t="str"/>
      <x:c r="T520" s="207" t="str"/>
      <x:c r="U520" s="207" t="n">
        <x:v>0</x:v>
      </x:c>
      <x:c r="V520" s="208" t="n">
        <x:f>MAX(0,M520-U520)</x:f>
        <x:v>3</x:v>
      </x:c>
      <x:c r="W520" s="209" t="n">
        <x:f>IFERROR(U520/M520,0)</x:f>
        <x:v>0</x:v>
      </x:c>
      <x:c r="X520" s="201" t="str">
        <x:f>IF(U520=0,"Não iniciado",IF(U520&gt;=M520,"Concluído","Parcial"))</x:f>
        <x:v>Não iniciado</x:v>
      </x:c>
      <x:c r="Y520" s="199" t="str"/>
      <x:c r="Z520" s="188" t="str">
        <x:v>Normal</x:v>
      </x:c>
    </x:row>
    <x:row r="521" ht="22" customHeight="1">
      <x:c r="A521" s="217" t="n">
        <x:v>517</x:v>
      </x:c>
      <x:c r="B521" s="218" t="str">
        <x:v>26520</x:v>
      </x:c>
      <x:c r="C521" s="218" t="str">
        <x:v>11</x:v>
      </x:c>
      <x:c r="D521" s="218" t="str">
        <x:v>610127</x:v>
      </x:c>
      <x:c r="E521" s="218" t="str">
        <x:v>975919</x:v>
      </x:c>
      <x:c r="F521" s="218" t="str">
        <x:v>OUTROS</x:v>
      </x:c>
      <x:c r="G521" s="184" t="str">
        <x:v>TR AL 1000X50X9 RTO LME REC PET CURUP(UL</x:v>
      </x:c>
      <x:c r="H521" s="184" t="str"/>
      <x:c r="I521" s="184" t="str"/>
      <x:c r="J521" s="184" t="str"/>
      <x:c r="K521" s="184" t="str">
        <x:v>RECOBERTO PET</x:v>
      </x:c>
      <x:c r="L521" s="184" t="str">
        <x:v>CURUPIXA RAVENNA</x:v>
      </x:c>
      <x:c r="M521" s="205" t="n">
        <x:v>3</x:v>
      </x:c>
      <x:c r="N521" s="205" t="n">
        <x:v>1000</x:v>
      </x:c>
      <x:c r="O521" s="205" t="n">
        <x:v>50</x:v>
      </x:c>
      <x:c r="P521" s="205" t="n">
        <x:v>9</x:v>
      </x:c>
      <x:c r="Q521" s="206" t="n">
        <x:v>0</x:v>
      </x:c>
      <x:c r="R521" s="207" t="str"/>
      <x:c r="S521" s="207" t="str"/>
      <x:c r="T521" s="207" t="str"/>
      <x:c r="U521" s="207" t="n">
        <x:v>0</x:v>
      </x:c>
      <x:c r="V521" s="208" t="n">
        <x:f>MAX(0,M521-U521)</x:f>
        <x:v>3</x:v>
      </x:c>
      <x:c r="W521" s="209" t="n">
        <x:f>IFERROR(U521/M521,0)</x:f>
        <x:v>0</x:v>
      </x:c>
      <x:c r="X521" s="201" t="str">
        <x:f>IF(U521=0,"Não iniciado",IF(U521&gt;=M521,"Concluído","Parcial"))</x:f>
        <x:v>Não iniciado</x:v>
      </x:c>
      <x:c r="Y521" s="199" t="str"/>
      <x:c r="Z521" s="188" t="str">
        <x:v>Normal</x:v>
      </x:c>
    </x:row>
    <x:row r="522" ht="22" customHeight="1">
      <x:c r="A522" s="219" t="n">
        <x:v>518</x:v>
      </x:c>
      <x:c r="B522" s="220" t="str">
        <x:v>26520</x:v>
      </x:c>
      <x:c r="C522" s="220" t="str">
        <x:v>12</x:v>
      </x:c>
      <x:c r="D522" s="220" t="str">
        <x:v>610133</x:v>
      </x:c>
      <x:c r="E522" s="220" t="str">
        <x:v>975916</x:v>
      </x:c>
      <x:c r="F522" s="220" t="str">
        <x:v>OUTROS</x:v>
      </x:c>
      <x:c r="G522" s="190" t="str">
        <x:v>TR AL 1000X50X9 RTO RL55 REC PET CURUP(U</x:v>
      </x:c>
      <x:c r="H522" s="190" t="str"/>
      <x:c r="I522" s="190" t="str"/>
      <x:c r="J522" s="190" t="str"/>
      <x:c r="K522" s="190" t="str">
        <x:v>RECOBERTO PET</x:v>
      </x:c>
      <x:c r="L522" s="190" t="str">
        <x:v>CURUPIXA RAVENNA</x:v>
      </x:c>
      <x:c r="M522" s="210" t="n">
        <x:v>1</x:v>
      </x:c>
      <x:c r="N522" s="210" t="n">
        <x:v>1000</x:v>
      </x:c>
      <x:c r="O522" s="210" t="n">
        <x:v>50</x:v>
      </x:c>
      <x:c r="P522" s="210" t="n">
        <x:v>9</x:v>
      </x:c>
      <x:c r="Q522" s="211" t="n">
        <x:v>0</x:v>
      </x:c>
      <x:c r="R522" s="207" t="str"/>
      <x:c r="S522" s="207" t="str"/>
      <x:c r="T522" s="207" t="str"/>
      <x:c r="U522" s="207" t="n">
        <x:v>0</x:v>
      </x:c>
      <x:c r="V522" s="208" t="n">
        <x:f>MAX(0,M522-U522)</x:f>
        <x:v>1</x:v>
      </x:c>
      <x:c r="W522" s="209" t="n">
        <x:f>IFERROR(U522/M522,0)</x:f>
        <x:v>0</x:v>
      </x:c>
      <x:c r="X522" s="201" t="str">
        <x:f>IF(U522=0,"Não iniciado",IF(U522&gt;=M522,"Concluído","Parcial"))</x:f>
        <x:v>Não iniciado</x:v>
      </x:c>
      <x:c r="Y522" s="199" t="str"/>
      <x:c r="Z522" s="188" t="str">
        <x:v>Normal</x:v>
      </x:c>
    </x:row>
    <x:row r="523" ht="22" customHeight="1">
      <x:c r="A523" s="217" t="n">
        <x:v>519</x:v>
      </x:c>
      <x:c r="B523" s="218" t="str">
        <x:v>26520</x:v>
      </x:c>
      <x:c r="C523" s="218" t="str">
        <x:v>12</x:v>
      </x:c>
      <x:c r="D523" s="218" t="str">
        <x:v>610135</x:v>
      </x:c>
      <x:c r="E523" s="218" t="str">
        <x:v>975919</x:v>
      </x:c>
      <x:c r="F523" s="218" t="str">
        <x:v>OUTROS</x:v>
      </x:c>
      <x:c r="G523" s="184" t="str">
        <x:v>TR AL 1000X50X9 RTO LME REC PET CURUP(UL</x:v>
      </x:c>
      <x:c r="H523" s="184" t="str"/>
      <x:c r="I523" s="184" t="str"/>
      <x:c r="J523" s="184" t="str"/>
      <x:c r="K523" s="184" t="str">
        <x:v>RECOBERTO PET</x:v>
      </x:c>
      <x:c r="L523" s="184" t="str">
        <x:v>CURUPIXA RAVENNA</x:v>
      </x:c>
      <x:c r="M523" s="205" t="n">
        <x:v>1</x:v>
      </x:c>
      <x:c r="N523" s="205" t="n">
        <x:v>1000</x:v>
      </x:c>
      <x:c r="O523" s="205" t="n">
        <x:v>50</x:v>
      </x:c>
      <x:c r="P523" s="205" t="n">
        <x:v>9</x:v>
      </x:c>
      <x:c r="Q523" s="206" t="n">
        <x:v>0</x:v>
      </x:c>
      <x:c r="R523" s="207" t="str"/>
      <x:c r="S523" s="207" t="str"/>
      <x:c r="T523" s="207" t="str"/>
      <x:c r="U523" s="207" t="n">
        <x:v>0</x:v>
      </x:c>
      <x:c r="V523" s="208" t="n">
        <x:f>MAX(0,M523-U523)</x:f>
        <x:v>1</x:v>
      </x:c>
      <x:c r="W523" s="209" t="n">
        <x:f>IFERROR(U523/M523,0)</x:f>
        <x:v>0</x:v>
      </x:c>
      <x:c r="X523" s="201" t="str">
        <x:f>IF(U523=0,"Não iniciado",IF(U523&gt;=M523,"Concluído","Parcial"))</x:f>
        <x:v>Não iniciado</x:v>
      </x:c>
      <x:c r="Y523" s="199" t="str"/>
      <x:c r="Z523" s="188" t="str">
        <x:v>Normal</x:v>
      </x:c>
    </x:row>
    <x:row r="524" ht="22" customHeight="1">
      <x:c r="A524" s="219" t="n">
        <x:v>520</x:v>
      </x:c>
      <x:c r="B524" s="220" t="str">
        <x:v>26820</x:v>
      </x:c>
      <x:c r="C524" s="220" t="str">
        <x:v>1</x:v>
      </x:c>
      <x:c r="D524" s="220" t="str">
        <x:v>610051</x:v>
      </x:c>
      <x:c r="E524" s="220" t="str">
        <x:v>2020700637</x:v>
      </x:c>
      <x:c r="F524" s="220" t="str">
        <x:v>OUTROS</x:v>
      </x:c>
      <x:c r="G524" s="190" t="str">
        <x:v>A ULTRA PET BCO CAR 2250X40X9 RG(ME) RTO</x:v>
      </x:c>
      <x:c r="H524" s="190" t="str">
        <x:v>REG 2L(MAIOR 80MM)</x:v>
      </x:c>
      <x:c r="I524" s="190" t="str"/>
      <x:c r="J524" s="190" t="str"/>
      <x:c r="K524" s="190" t="str">
        <x:v>RECOBERTO PET</x:v>
      </x:c>
      <x:c r="L524" s="190" t="str">
        <x:v>BRANCO CARRARA</x:v>
      </x:c>
      <x:c r="M524" s="210" t="n">
        <x:v>60</x:v>
      </x:c>
      <x:c r="N524" s="210" t="n">
        <x:v>2250</x:v>
      </x:c>
      <x:c r="O524" s="210" t="n">
        <x:v>40</x:v>
      </x:c>
      <x:c r="P524" s="210" t="n">
        <x:v>9</x:v>
      </x:c>
      <x:c r="Q524" s="211" t="n">
        <x:v>0</x:v>
      </x:c>
      <x:c r="R524" s="207" t="str"/>
      <x:c r="S524" s="207" t="str"/>
      <x:c r="T524" s="207" t="str"/>
      <x:c r="U524" s="207" t="n">
        <x:v>0</x:v>
      </x:c>
      <x:c r="V524" s="208" t="n">
        <x:f>MAX(0,M524-U524)</x:f>
        <x:v>60</x:v>
      </x:c>
      <x:c r="W524" s="209" t="n">
        <x:f>IFERROR(U524/M524,0)</x:f>
        <x:v>0</x:v>
      </x:c>
      <x:c r="X524" s="201" t="str">
        <x:f>IF(U524=0,"Não iniciado",IF(U524&gt;=M524,"Concluído","Parcial"))</x:f>
        <x:v>Não iniciado</x:v>
      </x:c>
      <x:c r="Y524" s="199" t="str"/>
      <x:c r="Z524" s="188" t="str">
        <x:v>Normal</x:v>
      </x:c>
    </x:row>
    <x:row r="525" ht="22" customHeight="1">
      <x:c r="A525" s="217" t="n">
        <x:v>521</x:v>
      </x:c>
      <x:c r="B525" s="218" t="str">
        <x:v>26820</x:v>
      </x:c>
      <x:c r="C525" s="218" t="str">
        <x:v>1</x:v>
      </x:c>
      <x:c r="D525" s="218" t="str">
        <x:v>610052</x:v>
      </x:c>
      <x:c r="E525" s="218" t="str">
        <x:v>2020700638</x:v>
      </x:c>
      <x:c r="F525" s="218" t="str">
        <x:v>OUTROS</x:v>
      </x:c>
      <x:c r="G525" s="184" t="str">
        <x:v>A ULTRA PET BCO CAR 2250X40X9 RG(80) RTO</x:v>
      </x:c>
      <x:c r="H525" s="184" t="str">
        <x:v>REG 2L(MAIOR 80MM)</x:v>
      </x:c>
      <x:c r="I525" s="184" t="str"/>
      <x:c r="J525" s="184" t="str"/>
      <x:c r="K525" s="184" t="str">
        <x:v>RECOBERTO PET</x:v>
      </x:c>
      <x:c r="L525" s="184" t="str">
        <x:v>BRANCO CARRARA</x:v>
      </x:c>
      <x:c r="M525" s="205" t="n">
        <x:v>60</x:v>
      </x:c>
      <x:c r="N525" s="205" t="n">
        <x:v>2250</x:v>
      </x:c>
      <x:c r="O525" s="205" t="n">
        <x:v>40</x:v>
      </x:c>
      <x:c r="P525" s="205" t="n">
        <x:v>9</x:v>
      </x:c>
      <x:c r="Q525" s="206" t="n">
        <x:v>0</x:v>
      </x:c>
      <x:c r="R525" s="207" t="str"/>
      <x:c r="S525" s="207" t="str"/>
      <x:c r="T525" s="207" t="str"/>
      <x:c r="U525" s="207" t="n">
        <x:v>0</x:v>
      </x:c>
      <x:c r="V525" s="208" t="n">
        <x:f>MAX(0,M525-U525)</x:f>
        <x:v>60</x:v>
      </x:c>
      <x:c r="W525" s="209" t="n">
        <x:f>IFERROR(U525/M525,0)</x:f>
        <x:v>0</x:v>
      </x:c>
      <x:c r="X525" s="201" t="str">
        <x:f>IF(U525=0,"Não iniciado",IF(U525&gt;=M525,"Concluído","Parcial"))</x:f>
        <x:v>Não iniciado</x:v>
      </x:c>
      <x:c r="Y525" s="199" t="str"/>
      <x:c r="Z525" s="188" t="str">
        <x:v>Normal</x:v>
      </x:c>
    </x:row>
    <x:row r="526" ht="22" customHeight="1">
      <x:c r="A526" s="219" t="n">
        <x:v>522</x:v>
      </x:c>
      <x:c r="B526" s="220" t="str">
        <x:v>26820</x:v>
      </x:c>
      <x:c r="C526" s="220" t="str">
        <x:v>1</x:v>
      </x:c>
      <x:c r="D526" s="220" t="str">
        <x:v>610053</x:v>
      </x:c>
      <x:c r="E526" s="220" t="str">
        <x:v>2020700639</x:v>
      </x:c>
      <x:c r="F526" s="220" t="str">
        <x:v>OUTROS</x:v>
      </x:c>
      <x:c r="G526" s="190" t="str">
        <x:v>A ULTRA PET BCO CAR 1200X40X9 RG(ME) RTO</x:v>
      </x:c>
      <x:c r="H526" s="190" t="str">
        <x:v>REG 2L(MAIOR 80MM)</x:v>
      </x:c>
      <x:c r="I526" s="190" t="str"/>
      <x:c r="J526" s="190" t="str"/>
      <x:c r="K526" s="190" t="str">
        <x:v>RECOBERTO PET</x:v>
      </x:c>
      <x:c r="L526" s="190" t="str">
        <x:v>BRANCO CARRARA</x:v>
      </x:c>
      <x:c r="M526" s="210" t="n">
        <x:v>30</x:v>
      </x:c>
      <x:c r="N526" s="210" t="n">
        <x:v>1200</x:v>
      </x:c>
      <x:c r="O526" s="210" t="n">
        <x:v>40</x:v>
      </x:c>
      <x:c r="P526" s="210" t="n">
        <x:v>9</x:v>
      </x:c>
      <x:c r="Q526" s="211" t="n">
        <x:v>0</x:v>
      </x:c>
      <x:c r="R526" s="207" t="str"/>
      <x:c r="S526" s="207" t="str"/>
      <x:c r="T526" s="207" t="str"/>
      <x:c r="U526" s="207" t="n">
        <x:v>0</x:v>
      </x:c>
      <x:c r="V526" s="208" t="n">
        <x:f>MAX(0,M526-U526)</x:f>
        <x:v>30</x:v>
      </x:c>
      <x:c r="W526" s="209" t="n">
        <x:f>IFERROR(U526/M526,0)</x:f>
        <x:v>0</x:v>
      </x:c>
      <x:c r="X526" s="201" t="str">
        <x:f>IF(U526=0,"Não iniciado",IF(U526&gt;=M526,"Concluído","Parcial"))</x:f>
        <x:v>Não iniciado</x:v>
      </x:c>
      <x:c r="Y526" s="199" t="str"/>
      <x:c r="Z526" s="188" t="str">
        <x:v>Normal</x:v>
      </x:c>
    </x:row>
    <x:row r="527" ht="22" customHeight="1">
      <x:c r="A527" s="217" t="n">
        <x:v>523</x:v>
      </x:c>
      <x:c r="B527" s="218" t="str">
        <x:v>26820</x:v>
      </x:c>
      <x:c r="C527" s="218" t="str">
        <x:v>1</x:v>
      </x:c>
      <x:c r="D527" s="218" t="str">
        <x:v>610054</x:v>
      </x:c>
      <x:c r="E527" s="218" t="str">
        <x:v>2020700640</x:v>
      </x:c>
      <x:c r="F527" s="218" t="str">
        <x:v>OUTROS</x:v>
      </x:c>
      <x:c r="G527" s="184" t="str">
        <x:v>A ULTRA PET BCO CAR 1200X40X9 RG(80) RTO</x:v>
      </x:c>
      <x:c r="H527" s="184" t="str">
        <x:v>REG 2L(MAIOR 80MM)</x:v>
      </x:c>
      <x:c r="I527" s="184" t="str"/>
      <x:c r="J527" s="184" t="str"/>
      <x:c r="K527" s="184" t="str">
        <x:v>RECOBERTO PET</x:v>
      </x:c>
      <x:c r="L527" s="184" t="str">
        <x:v>BRANCO CARRARA</x:v>
      </x:c>
      <x:c r="M527" s="205" t="n">
        <x:v>30</x:v>
      </x:c>
      <x:c r="N527" s="205" t="n">
        <x:v>1200</x:v>
      </x:c>
      <x:c r="O527" s="205" t="n">
        <x:v>40</x:v>
      </x:c>
      <x:c r="P527" s="205" t="n">
        <x:v>9</x:v>
      </x:c>
      <x:c r="Q527" s="206" t="n">
        <x:v>0</x:v>
      </x:c>
      <x:c r="R527" s="207" t="str"/>
      <x:c r="S527" s="207" t="str"/>
      <x:c r="T527" s="207" t="str"/>
      <x:c r="U527" s="207" t="n">
        <x:v>0</x:v>
      </x:c>
      <x:c r="V527" s="208" t="n">
        <x:f>MAX(0,M527-U527)</x:f>
        <x:v>30</x:v>
      </x:c>
      <x:c r="W527" s="209" t="n">
        <x:f>IFERROR(U527/M527,0)</x:f>
        <x:v>0</x:v>
      </x:c>
      <x:c r="X527" s="201" t="str">
        <x:f>IF(U527=0,"Não iniciado",IF(U527&gt;=M527,"Concluído","Parcial"))</x:f>
        <x:v>Não iniciado</x:v>
      </x:c>
      <x:c r="Y527" s="199" t="str"/>
      <x:c r="Z527" s="188" t="str">
        <x:v>Normal</x:v>
      </x:c>
    </x:row>
    <x:row r="528" ht="22" customHeight="1">
      <x:c r="A528" s="219" t="n">
        <x:v>524</x:v>
      </x:c>
      <x:c r="B528" s="220" t="str">
        <x:v>26820</x:v>
      </x:c>
      <x:c r="C528" s="220" t="str">
        <x:v>2</x:v>
      </x:c>
      <x:c r="D528" s="220" t="str">
        <x:v>610056</x:v>
      </x:c>
      <x:c r="E528" s="220" t="str">
        <x:v>2020700641</x:v>
      </x:c>
      <x:c r="F528" s="220" t="str">
        <x:v>OUTROS</x:v>
      </x:c>
      <x:c r="G528" s="190" t="str">
        <x:v>A ULTRA PET BCO CAR 2300X30X9 RG(ME) RTO</x:v>
      </x:c>
      <x:c r="H528" s="190" t="str">
        <x:v>REG 2L(MAIOR 80MM)</x:v>
      </x:c>
      <x:c r="I528" s="190" t="str"/>
      <x:c r="J528" s="190" t="str"/>
      <x:c r="K528" s="190" t="str">
        <x:v>RECOBERTO PET</x:v>
      </x:c>
      <x:c r="L528" s="190" t="str">
        <x:v>BRANCO CARRARA</x:v>
      </x:c>
      <x:c r="M528" s="210" t="n">
        <x:v>20</x:v>
      </x:c>
      <x:c r="N528" s="210" t="n">
        <x:v>2300</x:v>
      </x:c>
      <x:c r="O528" s="210" t="n">
        <x:v>30</x:v>
      </x:c>
      <x:c r="P528" s="210" t="n">
        <x:v>9</x:v>
      </x:c>
      <x:c r="Q528" s="211" t="n">
        <x:v>0</x:v>
      </x:c>
      <x:c r="R528" s="207" t="str"/>
      <x:c r="S528" s="207" t="str"/>
      <x:c r="T528" s="207" t="str"/>
      <x:c r="U528" s="207" t="n">
        <x:v>0</x:v>
      </x:c>
      <x:c r="V528" s="208" t="n">
        <x:f>MAX(0,M528-U528)</x:f>
        <x:v>20</x:v>
      </x:c>
      <x:c r="W528" s="209" t="n">
        <x:f>IFERROR(U528/M528,0)</x:f>
        <x:v>0</x:v>
      </x:c>
      <x:c r="X528" s="201" t="str">
        <x:f>IF(U528=0,"Não iniciado",IF(U528&gt;=M528,"Concluído","Parcial"))</x:f>
        <x:v>Não iniciado</x:v>
      </x:c>
      <x:c r="Y528" s="199" t="str"/>
      <x:c r="Z528" s="188" t="str">
        <x:v>Normal</x:v>
      </x:c>
    </x:row>
    <x:row r="529" ht="22" customHeight="1">
      <x:c r="A529" s="217" t="n">
        <x:v>525</x:v>
      </x:c>
      <x:c r="B529" s="218" t="str">
        <x:v>26820</x:v>
      </x:c>
      <x:c r="C529" s="218" t="str">
        <x:v>2</x:v>
      </x:c>
      <x:c r="D529" s="218" t="str">
        <x:v>610057</x:v>
      </x:c>
      <x:c r="E529" s="218" t="str">
        <x:v>2020700642</x:v>
      </x:c>
      <x:c r="F529" s="218" t="str">
        <x:v>OUTROS</x:v>
      </x:c>
      <x:c r="G529" s="184" t="str">
        <x:v>A ULTRA PET BCO CAR 2300X30X9 RG(80) RTO</x:v>
      </x:c>
      <x:c r="H529" s="184" t="str">
        <x:v>REG 2L(MAIOR 80MM)</x:v>
      </x:c>
      <x:c r="I529" s="184" t="str"/>
      <x:c r="J529" s="184" t="str"/>
      <x:c r="K529" s="184" t="str">
        <x:v>RECOBERTO PET</x:v>
      </x:c>
      <x:c r="L529" s="184" t="str">
        <x:v>BRANCO CARRARA</x:v>
      </x:c>
      <x:c r="M529" s="205" t="n">
        <x:v>20</x:v>
      </x:c>
      <x:c r="N529" s="205" t="n">
        <x:v>2300</x:v>
      </x:c>
      <x:c r="O529" s="205" t="n">
        <x:v>30</x:v>
      </x:c>
      <x:c r="P529" s="205" t="n">
        <x:v>9</x:v>
      </x:c>
      <x:c r="Q529" s="206" t="n">
        <x:v>0</x:v>
      </x:c>
      <x:c r="R529" s="207" t="str"/>
      <x:c r="S529" s="207" t="str"/>
      <x:c r="T529" s="207" t="str"/>
      <x:c r="U529" s="207" t="n">
        <x:v>0</x:v>
      </x:c>
      <x:c r="V529" s="208" t="n">
        <x:f>MAX(0,M529-U529)</x:f>
        <x:v>20</x:v>
      </x:c>
      <x:c r="W529" s="209" t="n">
        <x:f>IFERROR(U529/M529,0)</x:f>
        <x:v>0</x:v>
      </x:c>
      <x:c r="X529" s="201" t="str">
        <x:f>IF(U529=0,"Não iniciado",IF(U529&gt;=M529,"Concluído","Parcial"))</x:f>
        <x:v>Não iniciado</x:v>
      </x:c>
      <x:c r="Y529" s="199" t="str"/>
      <x:c r="Z529" s="188" t="str">
        <x:v>Normal</x:v>
      </x:c>
    </x:row>
    <x:row r="530" ht="22" customHeight="1">
      <x:c r="A530" s="219" t="n">
        <x:v>526</x:v>
      </x:c>
      <x:c r="B530" s="220" t="str">
        <x:v>26820</x:v>
      </x:c>
      <x:c r="C530" s="220" t="str">
        <x:v>2</x:v>
      </x:c>
      <x:c r="D530" s="220" t="str">
        <x:v>610058</x:v>
      </x:c>
      <x:c r="E530" s="220" t="str">
        <x:v>2020700643</x:v>
      </x:c>
      <x:c r="F530" s="220" t="str">
        <x:v>OUTROS</x:v>
      </x:c>
      <x:c r="G530" s="190" t="str">
        <x:v>A ULTRA PET BCO CAR 1200X30X9 RG(ME) RTO</x:v>
      </x:c>
      <x:c r="H530" s="190" t="str">
        <x:v>REG 2L(MAIOR 80MM)</x:v>
      </x:c>
      <x:c r="I530" s="190" t="str"/>
      <x:c r="J530" s="190" t="str"/>
      <x:c r="K530" s="190" t="str">
        <x:v>RECOBERTO PET</x:v>
      </x:c>
      <x:c r="L530" s="190" t="str">
        <x:v>BRANCO CARRARA</x:v>
      </x:c>
      <x:c r="M530" s="210" t="n">
        <x:v>10</x:v>
      </x:c>
      <x:c r="N530" s="210" t="n">
        <x:v>1200</x:v>
      </x:c>
      <x:c r="O530" s="210" t="n">
        <x:v>30</x:v>
      </x:c>
      <x:c r="P530" s="210" t="n">
        <x:v>9</x:v>
      </x:c>
      <x:c r="Q530" s="211" t="n">
        <x:v>0</x:v>
      </x:c>
      <x:c r="R530" s="207" t="str"/>
      <x:c r="S530" s="207" t="str"/>
      <x:c r="T530" s="207" t="str"/>
      <x:c r="U530" s="207" t="n">
        <x:v>0</x:v>
      </x:c>
      <x:c r="V530" s="208" t="n">
        <x:f>MAX(0,M530-U530)</x:f>
        <x:v>10</x:v>
      </x:c>
      <x:c r="W530" s="209" t="n">
        <x:f>IFERROR(U530/M530,0)</x:f>
        <x:v>0</x:v>
      </x:c>
      <x:c r="X530" s="201" t="str">
        <x:f>IF(U530=0,"Não iniciado",IF(U530&gt;=M530,"Concluído","Parcial"))</x:f>
        <x:v>Não iniciado</x:v>
      </x:c>
      <x:c r="Y530" s="199" t="str"/>
      <x:c r="Z530" s="188" t="str">
        <x:v>Normal</x:v>
      </x:c>
    </x:row>
    <x:row r="531" ht="22" customHeight="1">
      <x:c r="A531" s="217" t="n">
        <x:v>527</x:v>
      </x:c>
      <x:c r="B531" s="218" t="str">
        <x:v>26820</x:v>
      </x:c>
      <x:c r="C531" s="218" t="str">
        <x:v>2</x:v>
      </x:c>
      <x:c r="D531" s="218" t="str">
        <x:v>610059</x:v>
      </x:c>
      <x:c r="E531" s="218" t="str">
        <x:v>2020700644</x:v>
      </x:c>
      <x:c r="F531" s="218" t="str">
        <x:v>OUTROS</x:v>
      </x:c>
      <x:c r="G531" s="184" t="str">
        <x:v>A ULTRA PET BCO CAR 1200X30X9 RG(80) RTO</x:v>
      </x:c>
      <x:c r="H531" s="184" t="str">
        <x:v>REG 2L(MAIOR 80MM)</x:v>
      </x:c>
      <x:c r="I531" s="184" t="str"/>
      <x:c r="J531" s="184" t="str"/>
      <x:c r="K531" s="184" t="str">
        <x:v>RECOBERTO PET</x:v>
      </x:c>
      <x:c r="L531" s="184" t="str">
        <x:v>BRANCO CARRARA</x:v>
      </x:c>
      <x:c r="M531" s="205" t="n">
        <x:v>10</x:v>
      </x:c>
      <x:c r="N531" s="205" t="n">
        <x:v>1200</x:v>
      </x:c>
      <x:c r="O531" s="205" t="n">
        <x:v>30</x:v>
      </x:c>
      <x:c r="P531" s="205" t="n">
        <x:v>9</x:v>
      </x:c>
      <x:c r="Q531" s="206" t="n">
        <x:v>0</x:v>
      </x:c>
      <x:c r="R531" s="207" t="str"/>
      <x:c r="S531" s="207" t="str"/>
      <x:c r="T531" s="207" t="str"/>
      <x:c r="U531" s="207" t="n">
        <x:v>0</x:v>
      </x:c>
      <x:c r="V531" s="208" t="n">
        <x:f>MAX(0,M531-U531)</x:f>
        <x:v>10</x:v>
      </x:c>
      <x:c r="W531" s="209" t="n">
        <x:f>IFERROR(U531/M531,0)</x:f>
        <x:v>0</x:v>
      </x:c>
      <x:c r="X531" s="201" t="str">
        <x:f>IF(U531=0,"Não iniciado",IF(U531&gt;=M531,"Concluído","Parcial"))</x:f>
        <x:v>Não iniciado</x:v>
      </x:c>
      <x:c r="Y531" s="199" t="str"/>
      <x:c r="Z531" s="188" t="str">
        <x:v>Normal</x:v>
      </x:c>
    </x:row>
    <x:row r="532" ht="22" customHeight="1">
      <x:c r="A532" s="219" t="n">
        <x:v>528</x:v>
      </x:c>
      <x:c r="B532" s="220" t="str">
        <x:v>26826</x:v>
      </x:c>
      <x:c r="C532" s="220" t="str">
        <x:v>5</x:v>
      </x:c>
      <x:c r="D532" s="220" t="str">
        <x:v>609066</x:v>
      </x:c>
      <x:c r="E532" s="220" t="str">
        <x:v>985572</x:v>
      </x:c>
      <x:c r="F532" s="220" t="str">
        <x:v>KIT DE CORRER</x:v>
      </x:c>
      <x:c r="G532" s="190" t="str">
        <x:v>PERNA KIT STD  KIT DE CORRER EM MDF</x:v>
      </x:c>
      <x:c r="H532" s="190" t="str"/>
      <x:c r="I532" s="190" t="str"/>
      <x:c r="J532" s="190" t="str"/>
      <x:c r="K532" s="190" t="str">
        <x:v>RECOBERTO PET TXT</x:v>
      </x:c>
      <x:c r="L532" s="190" t="str">
        <x:v>BRANCO</x:v>
      </x:c>
      <x:c r="M532" s="210" t="n">
        <x:v>230</x:v>
      </x:c>
      <x:c r="N532" s="210" t="str"/>
      <x:c r="O532" s="210" t="str"/>
      <x:c r="P532" s="210" t="str"/>
      <x:c r="Q532" s="211" t="n">
        <x:v>1.252</x:v>
      </x:c>
      <x:c r="R532" s="207" t="str"/>
      <x:c r="S532" s="207" t="str"/>
      <x:c r="T532" s="207" t="str"/>
      <x:c r="U532" s="207" t="n">
        <x:v>0</x:v>
      </x:c>
      <x:c r="V532" s="208" t="n">
        <x:f>MAX(0,M532-U532)</x:f>
        <x:v>230</x:v>
      </x:c>
      <x:c r="W532" s="209" t="n">
        <x:f>IFERROR(U532/M532,0)</x:f>
        <x:v>0</x:v>
      </x:c>
      <x:c r="X532" s="201" t="str">
        <x:f>IF(U532=0,"Não iniciado",IF(U532&gt;=M532,"Concluído","Parcial"))</x:f>
        <x:v>Não iniciado</x:v>
      </x:c>
      <x:c r="Y532" s="199" t="str"/>
      <x:c r="Z532" s="188" t="str">
        <x:v>Normal</x:v>
      </x:c>
    </x:row>
    <x:row r="533" ht="22" customHeight="1">
      <x:c r="A533" s="217" t="n">
        <x:v>529</x:v>
      </x:c>
      <x:c r="B533" s="218" t="str">
        <x:v>26826</x:v>
      </x:c>
      <x:c r="C533" s="218" t="str">
        <x:v>5</x:v>
      </x:c>
      <x:c r="D533" s="218" t="str">
        <x:v>609067</x:v>
      </x:c>
      <x:c r="E533" s="218" t="str">
        <x:v>985573</x:v>
      </x:c>
      <x:c r="F533" s="218" t="str">
        <x:v>KIT DE CORRER</x:v>
      </x:c>
      <x:c r="G533" s="184" t="str">
        <x:v> KIT DE CORRER EM MDF</x:v>
      </x:c>
      <x:c r="H533" s="184" t="str"/>
      <x:c r="I533" s="184" t="str"/>
      <x:c r="J533" s="184" t="str"/>
      <x:c r="K533" s="184" t="str">
        <x:v>RECOBERTO PET TXT</x:v>
      </x:c>
      <x:c r="L533" s="184" t="str">
        <x:v>BRANCO</x:v>
      </x:c>
      <x:c r="M533" s="205" t="n">
        <x:v>115</x:v>
      </x:c>
      <x:c r="N533" s="205" t="str"/>
      <x:c r="O533" s="205" t="str"/>
      <x:c r="P533" s="205" t="str"/>
      <x:c r="Q533" s="206" t="n">
        <x:v>0</x:v>
      </x:c>
      <x:c r="R533" s="207" t="str"/>
      <x:c r="S533" s="207" t="str"/>
      <x:c r="T533" s="207" t="str"/>
      <x:c r="U533" s="207" t="n">
        <x:v>0</x:v>
      </x:c>
      <x:c r="V533" s="208" t="n">
        <x:f>MAX(0,M533-U533)</x:f>
        <x:v>115</x:v>
      </x:c>
      <x:c r="W533" s="209" t="n">
        <x:f>IFERROR(U533/M533,0)</x:f>
        <x:v>0</x:v>
      </x:c>
      <x:c r="X533" s="201" t="str">
        <x:f>IF(U533=0,"Não iniciado",IF(U533&gt;=M533,"Concluído","Parcial"))</x:f>
        <x:v>Não iniciado</x:v>
      </x:c>
      <x:c r="Y533" s="199" t="str"/>
      <x:c r="Z533" s="188" t="str">
        <x:v>Normal</x:v>
      </x:c>
    </x:row>
    <x:row r="534" ht="22" customHeight="1">
      <x:c r="A534" s="219" t="n">
        <x:v>530</x:v>
      </x:c>
      <x:c r="B534" s="220" t="str">
        <x:v>26826</x:v>
      </x:c>
      <x:c r="C534" s="220" t="str">
        <x:v>5</x:v>
      </x:c>
      <x:c r="D534" s="220" t="str">
        <x:v>609068</x:v>
      </x:c>
      <x:c r="E534" s="220" t="str">
        <x:v>985574</x:v>
      </x:c>
      <x:c r="F534" s="220" t="str">
        <x:v>KIT DE CORRER</x:v>
      </x:c>
      <x:c r="G534" s="190" t="str">
        <x:v>AL KIT L MEN STD  KIT DE CORRER EM MDF</x:v>
      </x:c>
      <x:c r="H534" s="190" t="str"/>
      <x:c r="I534" s="190" t="str"/>
      <x:c r="J534" s="190" t="str"/>
      <x:c r="K534" s="190" t="str">
        <x:v>RECOBERTO PET TXT</x:v>
      </x:c>
      <x:c r="L534" s="190" t="str">
        <x:v>BRANCO</x:v>
      </x:c>
      <x:c r="M534" s="210" t="n">
        <x:v>345</x:v>
      </x:c>
      <x:c r="N534" s="210" t="str"/>
      <x:c r="O534" s="210" t="str"/>
      <x:c r="P534" s="210" t="str"/>
      <x:c r="Q534" s="211" t="n">
        <x:v>0.342</x:v>
      </x:c>
      <x:c r="R534" s="207" t="str"/>
      <x:c r="S534" s="207" t="str"/>
      <x:c r="T534" s="207" t="str"/>
      <x:c r="U534" s="207" t="n">
        <x:v>0</x:v>
      </x:c>
      <x:c r="V534" s="208" t="n">
        <x:f>MAX(0,M534-U534)</x:f>
        <x:v>345</x:v>
      </x:c>
      <x:c r="W534" s="209" t="n">
        <x:f>IFERROR(U534/M534,0)</x:f>
        <x:v>0</x:v>
      </x:c>
      <x:c r="X534" s="201" t="str">
        <x:f>IF(U534=0,"Não iniciado",IF(U534&gt;=M534,"Concluído","Parcial"))</x:f>
        <x:v>Não iniciado</x:v>
      </x:c>
      <x:c r="Y534" s="199" t="str"/>
      <x:c r="Z534" s="188" t="str">
        <x:v>Normal</x:v>
      </x:c>
    </x:row>
    <x:row r="535" ht="22" customHeight="1">
      <x:c r="A535" s="217" t="n">
        <x:v>531</x:v>
      </x:c>
      <x:c r="B535" s="218" t="str">
        <x:v>26826</x:v>
      </x:c>
      <x:c r="C535" s="218" t="str">
        <x:v>5</x:v>
      </x:c>
      <x:c r="D535" s="218" t="str">
        <x:v>609069</x:v>
      </x:c>
      <x:c r="E535" s="218" t="str">
        <x:v>988095</x:v>
      </x:c>
      <x:c r="F535" s="218" t="str">
        <x:v>KIT DE CORRER</x:v>
      </x:c>
      <x:c r="G535" s="184" t="str">
        <x:v>SUP KIT STD  KIT DE CORRER EM MDF</x:v>
      </x:c>
      <x:c r="H535" s="184" t="str"/>
      <x:c r="I535" s="184" t="str"/>
      <x:c r="J535" s="184" t="str"/>
      <x:c r="K535" s="184" t="str">
        <x:v>RECOBERTO PET TXT</x:v>
      </x:c>
      <x:c r="L535" s="184" t="str">
        <x:v>BRANCO</x:v>
      </x:c>
      <x:c r="M535" s="205" t="n">
        <x:v>115</x:v>
      </x:c>
      <x:c r="N535" s="205" t="str"/>
      <x:c r="O535" s="205" t="str"/>
      <x:c r="P535" s="205" t="str"/>
      <x:c r="Q535" s="206" t="n">
        <x:v>0.626</x:v>
      </x:c>
      <x:c r="R535" s="207" t="str"/>
      <x:c r="S535" s="207" t="str"/>
      <x:c r="T535" s="207" t="str"/>
      <x:c r="U535" s="207" t="n">
        <x:v>0</x:v>
      </x:c>
      <x:c r="V535" s="208" t="n">
        <x:f>MAX(0,M535-U535)</x:f>
        <x:v>115</x:v>
      </x:c>
      <x:c r="W535" s="209" t="n">
        <x:f>IFERROR(U535/M535,0)</x:f>
        <x:v>0</x:v>
      </x:c>
      <x:c r="X535" s="201" t="str">
        <x:f>IF(U535=0,"Não iniciado",IF(U535&gt;=M535,"Concluído","Parcial"))</x:f>
        <x:v>Não iniciado</x:v>
      </x:c>
      <x:c r="Y535" s="199" t="str"/>
      <x:c r="Z535" s="188" t="str">
        <x:v>Normal</x:v>
      </x:c>
    </x:row>
    <x:row r="536" ht="22" customHeight="1">
      <x:c r="A536" s="219" t="n">
        <x:v>532</x:v>
      </x:c>
      <x:c r="B536" s="220" t="str">
        <x:v>26739</x:v>
      </x:c>
      <x:c r="C536" s="220" t="str">
        <x:v>16</x:v>
      </x:c>
      <x:c r="D536" s="220" t="str">
        <x:v>609689</x:v>
      </x:c>
      <x:c r="E536" s="220" t="str">
        <x:v>2010700829</x:v>
      </x:c>
      <x:c r="F536" s="220" t="str">
        <x:v>KIT DE CORRER</x:v>
      </x:c>
      <x:c r="G536" s="190" t="str">
        <x:v>P K COR ULTRA PET BCO CAR  KIT DE CORRER EM MDF ULTRA</x:v>
      </x:c>
      <x:c r="H536" s="190" t="str"/>
      <x:c r="I536" s="190" t="str"/>
      <x:c r="J536" s="190" t="str"/>
      <x:c r="K536" s="190" t="str">
        <x:v>RECOBERTO PET</x:v>
      </x:c>
      <x:c r="L536" s="190" t="str">
        <x:v>BRANCO CARRARA</x:v>
      </x:c>
      <x:c r="M536" s="210" t="n">
        <x:v>14</x:v>
      </x:c>
      <x:c r="N536" s="210" t="str"/>
      <x:c r="O536" s="210" t="str"/>
      <x:c r="P536" s="210" t="str"/>
      <x:c r="Q536" s="211" t="n">
        <x:v>0.076</x:v>
      </x:c>
      <x:c r="R536" s="207" t="str"/>
      <x:c r="S536" s="207" t="str"/>
      <x:c r="T536" s="207" t="str"/>
      <x:c r="U536" s="207" t="n">
        <x:v>0</x:v>
      </x:c>
      <x:c r="V536" s="208" t="n">
        <x:f>MAX(0,M536-U536)</x:f>
        <x:v>14</x:v>
      </x:c>
      <x:c r="W536" s="209" t="n">
        <x:f>IFERROR(U536/M536,0)</x:f>
        <x:v>0</x:v>
      </x:c>
      <x:c r="X536" s="201" t="str">
        <x:f>IF(U536=0,"Não iniciado",IF(U536&gt;=M536,"Concluído","Parcial"))</x:f>
        <x:v>Não iniciado</x:v>
      </x:c>
      <x:c r="Y536" s="199" t="str"/>
      <x:c r="Z536" s="188" t="str">
        <x:v>Normal</x:v>
      </x:c>
    </x:row>
    <x:row r="537" ht="22" customHeight="1">
      <x:c r="A537" s="217" t="n">
        <x:v>533</x:v>
      </x:c>
      <x:c r="B537" s="218" t="str">
        <x:v>26739</x:v>
      </x:c>
      <x:c r="C537" s="218" t="str">
        <x:v>16</x:v>
      </x:c>
      <x:c r="D537" s="218" t="str">
        <x:v>609690</x:v>
      </x:c>
      <x:c r="E537" s="218" t="str">
        <x:v>2010700830</x:v>
      </x:c>
      <x:c r="F537" s="218" t="str">
        <x:v>KIT DE CORRER</x:v>
      </x:c>
      <x:c r="G537" s="184" t="str">
        <x:v>S K COR ULTRA PET BCO CAR  KIT DE CORRER EM MDF ULTRA</x:v>
      </x:c>
      <x:c r="H537" s="184" t="str"/>
      <x:c r="I537" s="184" t="str"/>
      <x:c r="J537" s="184" t="str"/>
      <x:c r="K537" s="184" t="str">
        <x:v>RECOBERTO PET</x:v>
      </x:c>
      <x:c r="L537" s="184" t="str">
        <x:v>BRANCO CARRARA</x:v>
      </x:c>
      <x:c r="M537" s="205" t="n">
        <x:v>7</x:v>
      </x:c>
      <x:c r="N537" s="205" t="str"/>
      <x:c r="O537" s="205" t="str"/>
      <x:c r="P537" s="205" t="str"/>
      <x:c r="Q537" s="206" t="n">
        <x:v>0.038</x:v>
      </x:c>
      <x:c r="R537" s="207" t="str"/>
      <x:c r="S537" s="207" t="str"/>
      <x:c r="T537" s="207" t="str"/>
      <x:c r="U537" s="207" t="n">
        <x:v>0</x:v>
      </x:c>
      <x:c r="V537" s="208" t="n">
        <x:f>MAX(0,M537-U537)</x:f>
        <x:v>7</x:v>
      </x:c>
      <x:c r="W537" s="209" t="n">
        <x:f>IFERROR(U537/M537,0)</x:f>
        <x:v>0</x:v>
      </x:c>
      <x:c r="X537" s="201" t="str">
        <x:f>IF(U537=0,"Não iniciado",IF(U537&gt;=M537,"Concluído","Parcial"))</x:f>
        <x:v>Não iniciado</x:v>
      </x:c>
      <x:c r="Y537" s="199" t="str"/>
      <x:c r="Z537" s="188" t="str">
        <x:v>Normal</x:v>
      </x:c>
    </x:row>
    <x:row r="538" ht="22" customHeight="1">
      <x:c r="A538" s="219" t="n">
        <x:v>534</x:v>
      </x:c>
      <x:c r="B538" s="220" t="str">
        <x:v>26739</x:v>
      </x:c>
      <x:c r="C538" s="220" t="str">
        <x:v>16</x:v>
      </x:c>
      <x:c r="D538" s="220" t="str">
        <x:v>609691</x:v>
      </x:c>
      <x:c r="E538" s="220" t="str">
        <x:v>2020700312</x:v>
      </x:c>
      <x:c r="F538" s="220" t="str">
        <x:v>KIT DE CORRER</x:v>
      </x:c>
      <x:c r="G538" s="190" t="str">
        <x:v>CAB K COR ULTRA PET BCO CAR 2200X100X KIT DE CORRER EM MDF ULTRA</x:v>
      </x:c>
      <x:c r="H538" s="190" t="str"/>
      <x:c r="I538" s="190" t="str"/>
      <x:c r="J538" s="190" t="str"/>
      <x:c r="K538" s="190" t="str">
        <x:v>RECOBERTO PET</x:v>
      </x:c>
      <x:c r="L538" s="190" t="str">
        <x:v>BRANCO CARRARA</x:v>
      </x:c>
      <x:c r="M538" s="210" t="n">
        <x:v>7</x:v>
      </x:c>
      <x:c r="N538" s="210" t="str"/>
      <x:c r="O538" s="210" t="str"/>
      <x:c r="P538" s="210" t="str"/>
      <x:c r="Q538" s="211" t="n">
        <x:v>0.018</x:v>
      </x:c>
      <x:c r="R538" s="207" t="str"/>
      <x:c r="S538" s="207" t="str"/>
      <x:c r="T538" s="207" t="str"/>
      <x:c r="U538" s="207" t="n">
        <x:v>0</x:v>
      </x:c>
      <x:c r="V538" s="208" t="n">
        <x:f>MAX(0,M538-U538)</x:f>
        <x:v>7</x:v>
      </x:c>
      <x:c r="W538" s="209" t="n">
        <x:f>IFERROR(U538/M538,0)</x:f>
        <x:v>0</x:v>
      </x:c>
      <x:c r="X538" s="201" t="str">
        <x:f>IF(U538=0,"Não iniciado",IF(U538&gt;=M538,"Concluído","Parcial"))</x:f>
        <x:v>Não iniciado</x:v>
      </x:c>
      <x:c r="Y538" s="199" t="str"/>
      <x:c r="Z538" s="188" t="str">
        <x:v>Normal</x:v>
      </x:c>
    </x:row>
    <x:row r="539" ht="22" customHeight="1">
      <x:c r="A539" s="217" t="n">
        <x:v>535</x:v>
      </x:c>
      <x:c r="B539" s="218" t="str">
        <x:v>26739</x:v>
      </x:c>
      <x:c r="C539" s="218" t="str">
        <x:v>16</x:v>
      </x:c>
      <x:c r="D539" s="218" t="str">
        <x:v>609692</x:v>
      </x:c>
      <x:c r="E539" s="218" t="str">
        <x:v>2020700313</x:v>
      </x:c>
      <x:c r="F539" s="218" t="str">
        <x:v>KIT DE CORRER</x:v>
      </x:c>
      <x:c r="G539" s="184" t="str">
        <x:v>A K LME COR ULTRA PET BCO CAR  KIT DE CORRER EM MDF ULTRA</x:v>
      </x:c>
      <x:c r="H539" s="184" t="str"/>
      <x:c r="I539" s="184" t="str"/>
      <x:c r="J539" s="184" t="str"/>
      <x:c r="K539" s="184" t="str">
        <x:v>RECOBERTO PET</x:v>
      </x:c>
      <x:c r="L539" s="184" t="str">
        <x:v>BRANCO CARRARA</x:v>
      </x:c>
      <x:c r="M539" s="205" t="n">
        <x:v>21</x:v>
      </x:c>
      <x:c r="N539" s="205" t="str"/>
      <x:c r="O539" s="205" t="str"/>
      <x:c r="P539" s="205" t="str"/>
      <x:c r="Q539" s="206" t="n">
        <x:v>0.028</x:v>
      </x:c>
      <x:c r="R539" s="207" t="str"/>
      <x:c r="S539" s="207" t="str"/>
      <x:c r="T539" s="207" t="str"/>
      <x:c r="U539" s="207" t="n">
        <x:v>0</x:v>
      </x:c>
      <x:c r="V539" s="208" t="n">
        <x:f>MAX(0,M539-U539)</x:f>
        <x:v>21</x:v>
      </x:c>
      <x:c r="W539" s="209" t="n">
        <x:f>IFERROR(U539/M539,0)</x:f>
        <x:v>0</x:v>
      </x:c>
      <x:c r="X539" s="201" t="str">
        <x:f>IF(U539=0,"Não iniciado",IF(U539&gt;=M539,"Concluído","Parcial"))</x:f>
        <x:v>Não iniciado</x:v>
      </x:c>
      <x:c r="Y539" s="199" t="str"/>
      <x:c r="Z539" s="188" t="str">
        <x:v>Normal</x:v>
      </x:c>
    </x:row>
    <x:row r="540" ht="22" customHeight="1">
      <x:c r="A540" s="219" t="n">
        <x:v>536</x:v>
      </x:c>
      <x:c r="B540" s="220" t="str">
        <x:v>26744</x:v>
      </x:c>
      <x:c r="C540" s="220" t="str">
        <x:v>6</x:v>
      </x:c>
      <x:c r="D540" s="220" t="str">
        <x:v>610019</x:v>
      </x:c>
      <x:c r="E540" s="220" t="str">
        <x:v>962738</x:v>
      </x:c>
      <x:c r="F540" s="220" t="str">
        <x:v>KIT DE CORRER</x:v>
      </x:c>
      <x:c r="G540" s="190" t="str">
        <x:v> KIT DE CORRER EM MADEIRA DE PINUS</x:v>
      </x:c>
      <x:c r="H540" s="190" t="str"/>
      <x:c r="I540" s="190" t="str"/>
      <x:c r="J540" s="190" t="str"/>
      <x:c r="K540" s="190" t="str">
        <x:v>RECOBERTO PET</x:v>
      </x:c>
      <x:c r="L540" s="190" t="str">
        <x:v>BRANCO CARRARA</x:v>
      </x:c>
      <x:c r="M540" s="210" t="n">
        <x:v>2</x:v>
      </x:c>
      <x:c r="N540" s="210" t="str"/>
      <x:c r="O540" s="210" t="str"/>
      <x:c r="P540" s="210" t="str"/>
      <x:c r="Q540" s="211" t="n">
        <x:v>0</x:v>
      </x:c>
      <x:c r="R540" s="207" t="str"/>
      <x:c r="S540" s="207" t="str"/>
      <x:c r="T540" s="207" t="str"/>
      <x:c r="U540" s="207" t="n">
        <x:v>0</x:v>
      </x:c>
      <x:c r="V540" s="208" t="n">
        <x:f>MAX(0,M540-U540)</x:f>
        <x:v>2</x:v>
      </x:c>
      <x:c r="W540" s="209" t="n">
        <x:f>IFERROR(U540/M540,0)</x:f>
        <x:v>0</x:v>
      </x:c>
      <x:c r="X540" s="201" t="str">
        <x:f>IF(U540=0,"Não iniciado",IF(U540&gt;=M540,"Concluído","Parcial"))</x:f>
        <x:v>Não iniciado</x:v>
      </x:c>
      <x:c r="Y540" s="199" t="str"/>
      <x:c r="Z540" s="188" t="str">
        <x:v>Normal</x:v>
      </x:c>
    </x:row>
    <x:row r="541" ht="22" customHeight="1">
      <x:c r="A541" s="217" t="n">
        <x:v>537</x:v>
      </x:c>
      <x:c r="B541" s="218" t="str">
        <x:v>26744</x:v>
      </x:c>
      <x:c r="C541" s="218" t="str">
        <x:v>6</x:v>
      </x:c>
      <x:c r="D541" s="218" t="str">
        <x:v>610020</x:v>
      </x:c>
      <x:c r="E541" s="218" t="str">
        <x:v>962739</x:v>
      </x:c>
      <x:c r="F541" s="218" t="str">
        <x:v>KIT DE CORRER</x:v>
      </x:c>
      <x:c r="G541" s="184" t="str">
        <x:v>AL KIT L MEN ULT  KIT DE CORRER EM MADEIRA DE PINUS</x:v>
      </x:c>
      <x:c r="H541" s="184" t="str"/>
      <x:c r="I541" s="184" t="str"/>
      <x:c r="J541" s="184" t="str"/>
      <x:c r="K541" s="184" t="str">
        <x:v>RECOBERTO PET</x:v>
      </x:c>
      <x:c r="L541" s="184" t="str">
        <x:v>BRANCO CARRARA</x:v>
      </x:c>
      <x:c r="M541" s="205" t="n">
        <x:v>6</x:v>
      </x:c>
      <x:c r="N541" s="205" t="str"/>
      <x:c r="O541" s="205" t="str"/>
      <x:c r="P541" s="205" t="str"/>
      <x:c r="Q541" s="206" t="n">
        <x:v>0.006</x:v>
      </x:c>
      <x:c r="R541" s="207" t="str"/>
      <x:c r="S541" s="207" t="str"/>
      <x:c r="T541" s="207" t="str"/>
      <x:c r="U541" s="207" t="n">
        <x:v>0</x:v>
      </x:c>
      <x:c r="V541" s="208" t="n">
        <x:f>MAX(0,M541-U541)</x:f>
        <x:v>6</x:v>
      </x:c>
      <x:c r="W541" s="209" t="n">
        <x:f>IFERROR(U541/M541,0)</x:f>
        <x:v>0</x:v>
      </x:c>
      <x:c r="X541" s="201" t="str">
        <x:f>IF(U541=0,"Não iniciado",IF(U541&gt;=M541,"Concluído","Parcial"))</x:f>
        <x:v>Não iniciado</x:v>
      </x:c>
      <x:c r="Y541" s="199" t="str"/>
      <x:c r="Z541" s="188" t="str">
        <x:v>Normal</x:v>
      </x:c>
    </x:row>
    <x:row r="542" ht="22" customHeight="1">
      <x:c r="A542" s="219" t="n">
        <x:v>538</x:v>
      </x:c>
      <x:c r="B542" s="220" t="str">
        <x:v>26747</x:v>
      </x:c>
      <x:c r="C542" s="220" t="str">
        <x:v>12</x:v>
      </x:c>
      <x:c r="D542" s="220" t="str">
        <x:v>609023</x:v>
      </x:c>
      <x:c r="E542" s="220" t="str">
        <x:v>675619</x:v>
      </x:c>
      <x:c r="F542" s="220" t="str">
        <x:v>KIT DE CORRER</x:v>
      </x:c>
      <x:c r="G542" s="190" t="str">
        <x:v>PERNA KIT ULTRA  KIT DE CORRER EM MDF ULTRA</x:v>
      </x:c>
      <x:c r="H542" s="190" t="str"/>
      <x:c r="I542" s="190" t="str"/>
      <x:c r="J542" s="190" t="str"/>
      <x:c r="K542" s="190" t="str">
        <x:v>RECOBERTO PET</x:v>
      </x:c>
      <x:c r="L542" s="190" t="str">
        <x:v>BRANCO CARRARA</x:v>
      </x:c>
      <x:c r="M542" s="210" t="n">
        <x:v>4</x:v>
      </x:c>
      <x:c r="N542" s="210" t="str"/>
      <x:c r="O542" s="210" t="str"/>
      <x:c r="P542" s="210" t="str"/>
      <x:c r="Q542" s="211" t="n">
        <x:v>0.022</x:v>
      </x:c>
      <x:c r="R542" s="207" t="str"/>
      <x:c r="S542" s="207" t="str"/>
      <x:c r="T542" s="207" t="str"/>
      <x:c r="U542" s="207" t="n">
        <x:v>0</x:v>
      </x:c>
      <x:c r="V542" s="208" t="n">
        <x:f>MAX(0,M542-U542)</x:f>
        <x:v>4</x:v>
      </x:c>
      <x:c r="W542" s="209" t="n">
        <x:f>IFERROR(U542/M542,0)</x:f>
        <x:v>0</x:v>
      </x:c>
      <x:c r="X542" s="201" t="str">
        <x:f>IF(U542=0,"Não iniciado",IF(U542&gt;=M542,"Concluído","Parcial"))</x:f>
        <x:v>Não iniciado</x:v>
      </x:c>
      <x:c r="Y542" s="199" t="str"/>
      <x:c r="Z542" s="188" t="str">
        <x:v>Normal</x:v>
      </x:c>
    </x:row>
    <x:row r="543" ht="22" customHeight="1">
      <x:c r="A543" s="217" t="n">
        <x:v>539</x:v>
      </x:c>
      <x:c r="B543" s="218" t="str">
        <x:v>26747</x:v>
      </x:c>
      <x:c r="C543" s="218" t="str">
        <x:v>12</x:v>
      </x:c>
      <x:c r="D543" s="218" t="str">
        <x:v>609024</x:v>
      </x:c>
      <x:c r="E543" s="218" t="str">
        <x:v>962738</x:v>
      </x:c>
      <x:c r="F543" s="218" t="str">
        <x:v>KIT DE CORRER</x:v>
      </x:c>
      <x:c r="G543" s="184" t="str">
        <x:v> KIT DE CORRER EM MDF ULTRA</x:v>
      </x:c>
      <x:c r="H543" s="184" t="str"/>
      <x:c r="I543" s="184" t="str"/>
      <x:c r="J543" s="184" t="str"/>
      <x:c r="K543" s="184" t="str">
        <x:v>RECOBERTO PET</x:v>
      </x:c>
      <x:c r="L543" s="184" t="str">
        <x:v>BRANCO CARRARA</x:v>
      </x:c>
      <x:c r="M543" s="205" t="n">
        <x:v>2</x:v>
      </x:c>
      <x:c r="N543" s="205" t="str"/>
      <x:c r="O543" s="205" t="str"/>
      <x:c r="P543" s="205" t="str"/>
      <x:c r="Q543" s="206" t="n">
        <x:v>0</x:v>
      </x:c>
      <x:c r="R543" s="207" t="str"/>
      <x:c r="S543" s="207" t="str"/>
      <x:c r="T543" s="207" t="str"/>
      <x:c r="U543" s="207" t="n">
        <x:v>2</x:v>
      </x:c>
      <x:c r="V543" s="208" t="n">
        <x:f>MAX(0,M543-U543)</x:f>
        <x:v>0</x:v>
      </x:c>
      <x:c r="W543" s="209" t="n">
        <x:f>IFERROR(U543/M543,0)</x:f>
        <x:v>1</x:v>
      </x:c>
      <x:c r="X543" s="201" t="str">
        <x:f>IF(U543=0,"Não iniciado",IF(U543&gt;=M543,"Concluído","Parcial"))</x:f>
        <x:v>Concluído</x:v>
      </x:c>
      <x:c r="Y543" s="199" t="str"/>
      <x:c r="Z543" s="188" t="str">
        <x:v>Normal</x:v>
      </x:c>
    </x:row>
    <x:row r="544" ht="22" customHeight="1">
      <x:c r="A544" s="219" t="n">
        <x:v>540</x:v>
      </x:c>
      <x:c r="B544" s="220" t="str">
        <x:v>26747</x:v>
      </x:c>
      <x:c r="C544" s="220" t="str">
        <x:v>12</x:v>
      </x:c>
      <x:c r="D544" s="220" t="str">
        <x:v>609025</x:v>
      </x:c>
      <x:c r="E544" s="220" t="str">
        <x:v>962739</x:v>
      </x:c>
      <x:c r="F544" s="220" t="str">
        <x:v>KIT DE CORRER</x:v>
      </x:c>
      <x:c r="G544" s="190" t="str">
        <x:v>AL KIT L MEN ULT  KIT DE CORRER EM MDF ULTRA</x:v>
      </x:c>
      <x:c r="H544" s="190" t="str"/>
      <x:c r="I544" s="190" t="str"/>
      <x:c r="J544" s="190" t="str"/>
      <x:c r="K544" s="190" t="str">
        <x:v>RECOBERTO PET</x:v>
      </x:c>
      <x:c r="L544" s="190" t="str">
        <x:v>BRANCO CARRARA</x:v>
      </x:c>
      <x:c r="M544" s="210" t="n">
        <x:v>6</x:v>
      </x:c>
      <x:c r="N544" s="210" t="str"/>
      <x:c r="O544" s="210" t="str"/>
      <x:c r="P544" s="210" t="str"/>
      <x:c r="Q544" s="211" t="n">
        <x:v>0.006</x:v>
      </x:c>
      <x:c r="R544" s="207" t="str"/>
      <x:c r="S544" s="207" t="str"/>
      <x:c r="T544" s="207" t="str"/>
      <x:c r="U544" s="207" t="n">
        <x:v>0</x:v>
      </x:c>
      <x:c r="V544" s="208" t="n">
        <x:f>MAX(0,M544-U544)</x:f>
        <x:v>6</x:v>
      </x:c>
      <x:c r="W544" s="209" t="n">
        <x:f>IFERROR(U544/M544,0)</x:f>
        <x:v>0</x:v>
      </x:c>
      <x:c r="X544" s="201" t="str">
        <x:f>IF(U544=0,"Não iniciado",IF(U544&gt;=M544,"Concluído","Parcial"))</x:f>
        <x:v>Não iniciado</x:v>
      </x:c>
      <x:c r="Y544" s="199" t="str"/>
      <x:c r="Z544" s="188" t="str">
        <x:v>Normal</x:v>
      </x:c>
    </x:row>
    <x:row r="545" ht="22" customHeight="1">
      <x:c r="A545" s="217" t="n">
        <x:v>541</x:v>
      </x:c>
      <x:c r="B545" s="218" t="str">
        <x:v>26747</x:v>
      </x:c>
      <x:c r="C545" s="218" t="str">
        <x:v>12</x:v>
      </x:c>
      <x:c r="D545" s="218" t="str">
        <x:v>609026</x:v>
      </x:c>
      <x:c r="E545" s="218" t="str">
        <x:v>987029</x:v>
      </x:c>
      <x:c r="F545" s="218" t="str">
        <x:v>KIT DE CORRER</x:v>
      </x:c>
      <x:c r="G545" s="184" t="str">
        <x:v>SUP TRILHO ULTRA  KIT DE CORRER EM MDF ULTRA</x:v>
      </x:c>
      <x:c r="H545" s="184" t="str"/>
      <x:c r="I545" s="184" t="str"/>
      <x:c r="J545" s="184" t="str"/>
      <x:c r="K545" s="184" t="str">
        <x:v>RECOBERTO PET</x:v>
      </x:c>
      <x:c r="L545" s="184" t="str">
        <x:v>BRANCO CARRARA</x:v>
      </x:c>
      <x:c r="M545" s="205" t="n">
        <x:v>2</x:v>
      </x:c>
      <x:c r="N545" s="205" t="str"/>
      <x:c r="O545" s="205" t="str"/>
      <x:c r="P545" s="205" t="str"/>
      <x:c r="Q545" s="206" t="n">
        <x:v>0.011</x:v>
      </x:c>
      <x:c r="R545" s="207" t="str"/>
      <x:c r="S545" s="207" t="str"/>
      <x:c r="T545" s="207" t="str"/>
      <x:c r="U545" s="207" t="n">
        <x:v>0</x:v>
      </x:c>
      <x:c r="V545" s="208" t="n">
        <x:f>MAX(0,M545-U545)</x:f>
        <x:v>2</x:v>
      </x:c>
      <x:c r="W545" s="209" t="n">
        <x:f>IFERROR(U545/M545,0)</x:f>
        <x:v>0</x:v>
      </x:c>
      <x:c r="X545" s="201" t="str">
        <x:f>IF(U545=0,"Não iniciado",IF(U545&gt;=M545,"Concluído","Parcial"))</x:f>
        <x:v>Não iniciado</x:v>
      </x:c>
      <x:c r="Y545" s="199" t="str"/>
      <x:c r="Z545" s="188" t="str">
        <x:v>Normal</x:v>
      </x:c>
    </x:row>
    <x:row r="546" ht="22" customHeight="1">
      <x:c r="A546" s="219" t="n">
        <x:v>542</x:v>
      </x:c>
      <x:c r="B546" s="220" t="str">
        <x:v>26750</x:v>
      </x:c>
      <x:c r="C546" s="220" t="str">
        <x:v>19</x:v>
      </x:c>
      <x:c r="D546" s="220" t="str">
        <x:v>609862</x:v>
      </x:c>
      <x:c r="E546" s="220" t="str">
        <x:v>2010700829</x:v>
      </x:c>
      <x:c r="F546" s="220" t="str">
        <x:v>KIT DE CORRER</x:v>
      </x:c>
      <x:c r="G546" s="190" t="str">
        <x:v>P K COR ULTRA PET BCO CAR  KIT DE CORRER EM MDF ULTRA</x:v>
      </x:c>
      <x:c r="H546" s="190" t="str"/>
      <x:c r="I546" s="190" t="str"/>
      <x:c r="J546" s="190" t="str"/>
      <x:c r="K546" s="190" t="str">
        <x:v>RECOBERTO PET</x:v>
      </x:c>
      <x:c r="L546" s="190" t="str">
        <x:v>BRANCO CARRARA</x:v>
      </x:c>
      <x:c r="M546" s="210" t="n">
        <x:v>14</x:v>
      </x:c>
      <x:c r="N546" s="210" t="str"/>
      <x:c r="O546" s="210" t="str"/>
      <x:c r="P546" s="210" t="str"/>
      <x:c r="Q546" s="211" t="n">
        <x:v>0.076</x:v>
      </x:c>
      <x:c r="R546" s="207" t="str"/>
      <x:c r="S546" s="207" t="str"/>
      <x:c r="T546" s="207" t="str"/>
      <x:c r="U546" s="207" t="n">
        <x:v>0</x:v>
      </x:c>
      <x:c r="V546" s="208" t="n">
        <x:f>MAX(0,M546-U546)</x:f>
        <x:v>14</x:v>
      </x:c>
      <x:c r="W546" s="209" t="n">
        <x:f>IFERROR(U546/M546,0)</x:f>
        <x:v>0</x:v>
      </x:c>
      <x:c r="X546" s="201" t="str">
        <x:f>IF(U546=0,"Não iniciado",IF(U546&gt;=M546,"Concluído","Parcial"))</x:f>
        <x:v>Não iniciado</x:v>
      </x:c>
      <x:c r="Y546" s="199" t="str"/>
      <x:c r="Z546" s="188" t="str">
        <x:v>Normal</x:v>
      </x:c>
    </x:row>
    <x:row r="547" ht="22" customHeight="1">
      <x:c r="A547" s="217" t="n">
        <x:v>543</x:v>
      </x:c>
      <x:c r="B547" s="218" t="str">
        <x:v>26750</x:v>
      </x:c>
      <x:c r="C547" s="218" t="str">
        <x:v>19</x:v>
      </x:c>
      <x:c r="D547" s="218" t="str">
        <x:v>609863</x:v>
      </x:c>
      <x:c r="E547" s="218" t="str">
        <x:v>2010700830</x:v>
      </x:c>
      <x:c r="F547" s="218" t="str">
        <x:v>KIT DE CORRER</x:v>
      </x:c>
      <x:c r="G547" s="184" t="str">
        <x:v>S K COR ULTRA PET BCO CAR  KIT DE CORRER EM MDF ULTRA</x:v>
      </x:c>
      <x:c r="H547" s="184" t="str"/>
      <x:c r="I547" s="184" t="str"/>
      <x:c r="J547" s="184" t="str"/>
      <x:c r="K547" s="184" t="str">
        <x:v>RECOBERTO PET</x:v>
      </x:c>
      <x:c r="L547" s="184" t="str">
        <x:v>BRANCO CARRARA</x:v>
      </x:c>
      <x:c r="M547" s="205" t="n">
        <x:v>7</x:v>
      </x:c>
      <x:c r="N547" s="205" t="str"/>
      <x:c r="O547" s="205" t="str"/>
      <x:c r="P547" s="205" t="str"/>
      <x:c r="Q547" s="206" t="n">
        <x:v>0.038</x:v>
      </x:c>
      <x:c r="R547" s="207" t="str"/>
      <x:c r="S547" s="207" t="str"/>
      <x:c r="T547" s="207" t="str"/>
      <x:c r="U547" s="207" t="n">
        <x:v>0</x:v>
      </x:c>
      <x:c r="V547" s="208" t="n">
        <x:f>MAX(0,M547-U547)</x:f>
        <x:v>7</x:v>
      </x:c>
      <x:c r="W547" s="209" t="n">
        <x:f>IFERROR(U547/M547,0)</x:f>
        <x:v>0</x:v>
      </x:c>
      <x:c r="X547" s="201" t="str">
        <x:f>IF(U547=0,"Não iniciado",IF(U547&gt;=M547,"Concluído","Parcial"))</x:f>
        <x:v>Não iniciado</x:v>
      </x:c>
      <x:c r="Y547" s="199" t="str"/>
      <x:c r="Z547" s="188" t="str">
        <x:v>Normal</x:v>
      </x:c>
    </x:row>
    <x:row r="548" ht="22" customHeight="1">
      <x:c r="A548" s="219" t="n">
        <x:v>544</x:v>
      </x:c>
      <x:c r="B548" s="220" t="str">
        <x:v>26750</x:v>
      </x:c>
      <x:c r="C548" s="220" t="str">
        <x:v>19</x:v>
      </x:c>
      <x:c r="D548" s="220" t="str">
        <x:v>609864</x:v>
      </x:c>
      <x:c r="E548" s="220" t="str">
        <x:v>2020700312</x:v>
      </x:c>
      <x:c r="F548" s="220" t="str">
        <x:v>KIT DE CORRER</x:v>
      </x:c>
      <x:c r="G548" s="190" t="str">
        <x:v>CAB K COR ULTRA PET BCO CAR 2200X100X KIT DE CORRER EM MDF ULTRA</x:v>
      </x:c>
      <x:c r="H548" s="190" t="str"/>
      <x:c r="I548" s="190" t="str"/>
      <x:c r="J548" s="190" t="str"/>
      <x:c r="K548" s="190" t="str">
        <x:v>RECOBERTO PET</x:v>
      </x:c>
      <x:c r="L548" s="190" t="str">
        <x:v>BRANCO CARRARA</x:v>
      </x:c>
      <x:c r="M548" s="210" t="n">
        <x:v>7</x:v>
      </x:c>
      <x:c r="N548" s="210" t="str"/>
      <x:c r="O548" s="210" t="str"/>
      <x:c r="P548" s="210" t="str"/>
      <x:c r="Q548" s="211" t="n">
        <x:v>0.018</x:v>
      </x:c>
      <x:c r="R548" s="207" t="str"/>
      <x:c r="S548" s="207" t="str"/>
      <x:c r="T548" s="207" t="str"/>
      <x:c r="U548" s="207" t="n">
        <x:v>0</x:v>
      </x:c>
      <x:c r="V548" s="208" t="n">
        <x:f>MAX(0,M548-U548)</x:f>
        <x:v>7</x:v>
      </x:c>
      <x:c r="W548" s="209" t="n">
        <x:f>IFERROR(U548/M548,0)</x:f>
        <x:v>0</x:v>
      </x:c>
      <x:c r="X548" s="201" t="str">
        <x:f>IF(U548=0,"Não iniciado",IF(U548&gt;=M548,"Concluído","Parcial"))</x:f>
        <x:v>Não iniciado</x:v>
      </x:c>
      <x:c r="Y548" s="199" t="str"/>
      <x:c r="Z548" s="188" t="str">
        <x:v>Normal</x:v>
      </x:c>
    </x:row>
    <x:row r="549" ht="22" customHeight="1">
      <x:c r="A549" s="217" t="n">
        <x:v>545</x:v>
      </x:c>
      <x:c r="B549" s="218" t="str">
        <x:v>26750</x:v>
      </x:c>
      <x:c r="C549" s="218" t="str">
        <x:v>19</x:v>
      </x:c>
      <x:c r="D549" s="218" t="str">
        <x:v>609865</x:v>
      </x:c>
      <x:c r="E549" s="218" t="str">
        <x:v>2020700313</x:v>
      </x:c>
      <x:c r="F549" s="218" t="str">
        <x:v>KIT DE CORRER</x:v>
      </x:c>
      <x:c r="G549" s="184" t="str">
        <x:v>A K LME COR ULTRA PET BCO CAR  KIT DE CORRER EM MDF ULTRA</x:v>
      </x:c>
      <x:c r="H549" s="184" t="str"/>
      <x:c r="I549" s="184" t="str"/>
      <x:c r="J549" s="184" t="str"/>
      <x:c r="K549" s="184" t="str">
        <x:v>RECOBERTO PET</x:v>
      </x:c>
      <x:c r="L549" s="184" t="str">
        <x:v>BRANCO CARRARA</x:v>
      </x:c>
      <x:c r="M549" s="205" t="n">
        <x:v>21</x:v>
      </x:c>
      <x:c r="N549" s="205" t="str"/>
      <x:c r="O549" s="205" t="str"/>
      <x:c r="P549" s="205" t="str"/>
      <x:c r="Q549" s="206" t="n">
        <x:v>0.028</x:v>
      </x:c>
      <x:c r="R549" s="207" t="str"/>
      <x:c r="S549" s="207" t="str"/>
      <x:c r="T549" s="207" t="str"/>
      <x:c r="U549" s="207" t="n">
        <x:v>0</x:v>
      </x:c>
      <x:c r="V549" s="208" t="n">
        <x:f>MAX(0,M549-U549)</x:f>
        <x:v>21</x:v>
      </x:c>
      <x:c r="W549" s="209" t="n">
        <x:f>IFERROR(U549/M549,0)</x:f>
        <x:v>0</x:v>
      </x:c>
      <x:c r="X549" s="201" t="str">
        <x:f>IF(U549=0,"Não iniciado",IF(U549&gt;=M549,"Concluído","Parcial"))</x:f>
        <x:v>Não iniciado</x:v>
      </x:c>
      <x:c r="Y549" s="199" t="str"/>
      <x:c r="Z549" s="188" t="str">
        <x:v>Normal</x:v>
      </x:c>
    </x:row>
    <x:row r="550" ht="22" customHeight="1">
      <x:c r="A550" s="219" t="n">
        <x:v>546</x:v>
      </x:c>
      <x:c r="B550" s="220" t="str">
        <x:v>26808</x:v>
      </x:c>
      <x:c r="C550" s="220" t="str">
        <x:v>13</x:v>
      </x:c>
      <x:c r="D550" s="220" t="str">
        <x:v>610184</x:v>
      </x:c>
      <x:c r="E550" s="220" t="str">
        <x:v>975730</x:v>
      </x:c>
      <x:c r="F550" s="220" t="str">
        <x:v>KIT DE CORRER</x:v>
      </x:c>
      <x:c r="G550" s="190" t="str">
        <x:v> KIT DE CORRER EM MADEIRA DE PINUS</x:v>
      </x:c>
      <x:c r="H550" s="190" t="str"/>
      <x:c r="I550" s="190" t="str"/>
      <x:c r="J550" s="190" t="str"/>
      <x:c r="K550" s="190" t="str">
        <x:v>RECOBERTO PET</x:v>
      </x:c>
      <x:c r="L550" s="190" t="str">
        <x:v>BRANCO CARRARA</x:v>
      </x:c>
      <x:c r="M550" s="210" t="n">
        <x:v>2</x:v>
      </x:c>
      <x:c r="N550" s="210" t="str"/>
      <x:c r="O550" s="210" t="str"/>
      <x:c r="P550" s="210" t="str"/>
      <x:c r="Q550" s="211" t="n">
        <x:v>0.004</x:v>
      </x:c>
      <x:c r="R550" s="207" t="str"/>
      <x:c r="S550" s="207" t="str"/>
      <x:c r="T550" s="207" t="str"/>
      <x:c r="U550" s="207" t="n">
        <x:v>2</x:v>
      </x:c>
      <x:c r="V550" s="208" t="n">
        <x:f>MAX(0,M550-U550)</x:f>
        <x:v>0</x:v>
      </x:c>
      <x:c r="W550" s="209" t="n">
        <x:f>IFERROR(U550/M550,0)</x:f>
        <x:v>1</x:v>
      </x:c>
      <x:c r="X550" s="201" t="str">
        <x:f>IF(U550=0,"Não iniciado",IF(U550&gt;=M550,"Concluído","Parcial"))</x:f>
        <x:v>Concluído</x:v>
      </x:c>
      <x:c r="Y550" s="199" t="str"/>
      <x:c r="Z550" s="188" t="str">
        <x:v>Normal</x:v>
      </x:c>
    </x:row>
    <x:row r="551" ht="22" customHeight="1">
      <x:c r="A551" s="217" t="n">
        <x:v>547</x:v>
      </x:c>
      <x:c r="B551" s="218" t="str">
        <x:v>26808</x:v>
      </x:c>
      <x:c r="C551" s="218" t="str">
        <x:v>14</x:v>
      </x:c>
      <x:c r="D551" s="218" t="str">
        <x:v>608991</x:v>
      </x:c>
      <x:c r="E551" s="218" t="str">
        <x:v>958879</x:v>
      </x:c>
      <x:c r="F551" s="218" t="str">
        <x:v>KIT DE CORRER</x:v>
      </x:c>
      <x:c r="G551" s="184" t="str">
        <x:v>P A  KIT DE CORRER EM MDF ULTRA</x:v>
      </x:c>
      <x:c r="H551" s="184" t="str"/>
      <x:c r="I551" s="184" t="str"/>
      <x:c r="J551" s="184" t="str"/>
      <x:c r="K551" s="184" t="str">
        <x:v>RECOBERTO PET</x:v>
      </x:c>
      <x:c r="L551" s="184" t="str">
        <x:v>BRANCO CARRARA</x:v>
      </x:c>
      <x:c r="M551" s="205" t="n">
        <x:v>4</x:v>
      </x:c>
      <x:c r="N551" s="205" t="str"/>
      <x:c r="O551" s="205" t="str"/>
      <x:c r="P551" s="205" t="str"/>
      <x:c r="Q551" s="206" t="n">
        <x:v>0.004</x:v>
      </x:c>
      <x:c r="R551" s="207" t="str"/>
      <x:c r="S551" s="207" t="str"/>
      <x:c r="T551" s="207" t="str"/>
      <x:c r="U551" s="207" t="n">
        <x:v>0</x:v>
      </x:c>
      <x:c r="V551" s="208" t="n">
        <x:f>MAX(0,M551-U551)</x:f>
        <x:v>4</x:v>
      </x:c>
      <x:c r="W551" s="209" t="n">
        <x:f>IFERROR(U551/M551,0)</x:f>
        <x:v>0</x:v>
      </x:c>
      <x:c r="X551" s="201" t="str">
        <x:f>IF(U551=0,"Não iniciado",IF(U551&gt;=M551,"Concluído","Parcial"))</x:f>
        <x:v>Não iniciado</x:v>
      </x:c>
      <x:c r="Y551" s="199" t="str"/>
      <x:c r="Z551" s="188" t="str">
        <x:v>Normal</x:v>
      </x:c>
    </x:row>
    <x:row r="552" ht="22" customHeight="1">
      <x:c r="A552" s="219" t="n">
        <x:v>548</x:v>
      </x:c>
      <x:c r="B552" s="220" t="str">
        <x:v>26808</x:v>
      </x:c>
      <x:c r="C552" s="220" t="str">
        <x:v>14</x:v>
      </x:c>
      <x:c r="D552" s="220" t="str">
        <x:v>608992</x:v>
      </x:c>
      <x:c r="E552" s="220" t="str">
        <x:v>963311</x:v>
      </x:c>
      <x:c r="F552" s="220" t="str">
        <x:v>KIT DE CORRER</x:v>
      </x:c>
      <x:c r="G552" s="190" t="str">
        <x:v> KIT DE CORRER EM MDF ULTRA</x:v>
      </x:c>
      <x:c r="H552" s="190" t="str"/>
      <x:c r="I552" s="190" t="str"/>
      <x:c r="J552" s="190" t="str"/>
      <x:c r="K552" s="190" t="str">
        <x:v>RECOBERTO PET</x:v>
      </x:c>
      <x:c r="L552" s="190" t="str">
        <x:v>BRANCO CARRARA</x:v>
      </x:c>
      <x:c r="M552" s="210" t="n">
        <x:v>6</x:v>
      </x:c>
      <x:c r="N552" s="210" t="str"/>
      <x:c r="O552" s="210" t="str"/>
      <x:c r="P552" s="210" t="str"/>
      <x:c r="Q552" s="211" t="n">
        <x:v>0</x:v>
      </x:c>
      <x:c r="R552" s="207" t="str"/>
      <x:c r="S552" s="207" t="str"/>
      <x:c r="T552" s="207" t="str"/>
      <x:c r="U552" s="207" t="n">
        <x:v>0</x:v>
      </x:c>
      <x:c r="V552" s="208" t="n">
        <x:f>MAX(0,M552-U552)</x:f>
        <x:v>6</x:v>
      </x:c>
      <x:c r="W552" s="209" t="n">
        <x:f>IFERROR(U552/M552,0)</x:f>
        <x:v>0</x:v>
      </x:c>
      <x:c r="X552" s="201" t="str">
        <x:f>IF(U552=0,"Não iniciado",IF(U552&gt;=M552,"Concluído","Parcial"))</x:f>
        <x:v>Não iniciado</x:v>
      </x:c>
      <x:c r="Y552" s="199" t="str"/>
      <x:c r="Z552" s="188" t="str">
        <x:v>Normal</x:v>
      </x:c>
    </x:row>
    <x:row r="553" ht="22" customHeight="1">
      <x:c r="A553" s="217" t="n">
        <x:v>549</x:v>
      </x:c>
      <x:c r="B553" s="218" t="str">
        <x:v>26808</x:v>
      </x:c>
      <x:c r="C553" s="218" t="str">
        <x:v>14</x:v>
      </x:c>
      <x:c r="D553" s="218" t="str">
        <x:v>608993</x:v>
      </x:c>
      <x:c r="E553" s="218" t="str">
        <x:v>963313</x:v>
      </x:c>
      <x:c r="F553" s="218" t="str">
        <x:v>KIT DE CORRER</x:v>
      </x:c>
      <x:c r="G553" s="184" t="str">
        <x:v>P A  KIT DE CORRER EM MDF ULTRA</x:v>
      </x:c>
      <x:c r="H553" s="184" t="str"/>
      <x:c r="I553" s="184" t="str"/>
      <x:c r="J553" s="184" t="str"/>
      <x:c r="K553" s="184" t="str">
        <x:v>RECOBERTO PET</x:v>
      </x:c>
      <x:c r="L553" s="184" t="str">
        <x:v>BRANCO CARRARA</x:v>
      </x:c>
      <x:c r="M553" s="205" t="n">
        <x:v>2</x:v>
      </x:c>
      <x:c r="N553" s="205" t="str"/>
      <x:c r="O553" s="205" t="str"/>
      <x:c r="P553" s="205" t="str"/>
      <x:c r="Q553" s="206" t="n">
        <x:v>0.002</x:v>
      </x:c>
      <x:c r="R553" s="207" t="str"/>
      <x:c r="S553" s="207" t="str"/>
      <x:c r="T553" s="207" t="str"/>
      <x:c r="U553" s="207" t="n">
        <x:v>0</x:v>
      </x:c>
      <x:c r="V553" s="208" t="n">
        <x:f>MAX(0,M553-U553)</x:f>
        <x:v>2</x:v>
      </x:c>
      <x:c r="W553" s="209" t="n">
        <x:f>IFERROR(U553/M553,0)</x:f>
        <x:v>0</x:v>
      </x:c>
      <x:c r="X553" s="201" t="str">
        <x:f>IF(U553=0,"Não iniciado",IF(U553&gt;=M553,"Concluído","Parcial"))</x:f>
        <x:v>Não iniciado</x:v>
      </x:c>
      <x:c r="Y553" s="199" t="str"/>
      <x:c r="Z553" s="188" t="str">
        <x:v>Normal</x:v>
      </x:c>
    </x:row>
    <x:row r="554" ht="22" customHeight="1">
      <x:c r="A554" s="219" t="n">
        <x:v>550</x:v>
      </x:c>
      <x:c r="B554" s="220" t="str">
        <x:v>26808</x:v>
      </x:c>
      <x:c r="C554" s="220" t="str">
        <x:v>14</x:v>
      </x:c>
      <x:c r="D554" s="220" t="str">
        <x:v>608994</x:v>
      </x:c>
      <x:c r="E554" s="220" t="str">
        <x:v>963315</x:v>
      </x:c>
      <x:c r="F554" s="220" t="str">
        <x:v>KIT DE CORRER</x:v>
      </x:c>
      <x:c r="G554" s="190" t="str">
        <x:v> KIT DE CORRER EM MDF ULTRA</x:v>
      </x:c>
      <x:c r="H554" s="190" t="str"/>
      <x:c r="I554" s="190" t="str"/>
      <x:c r="J554" s="190" t="str"/>
      <x:c r="K554" s="190" t="str">
        <x:v>RECOBERTO PET</x:v>
      </x:c>
      <x:c r="L554" s="190" t="str">
        <x:v>BRANCO CARRARA</x:v>
      </x:c>
      <x:c r="M554" s="210" t="n">
        <x:v>2</x:v>
      </x:c>
      <x:c r="N554" s="210" t="str"/>
      <x:c r="O554" s="210" t="str"/>
      <x:c r="P554" s="210" t="str"/>
      <x:c r="Q554" s="211" t="n">
        <x:v>0</x:v>
      </x:c>
      <x:c r="R554" s="207" t="str"/>
      <x:c r="S554" s="207" t="str"/>
      <x:c r="T554" s="207" t="str"/>
      <x:c r="U554" s="207" t="n">
        <x:v>2</x:v>
      </x:c>
      <x:c r="V554" s="208" t="n">
        <x:f>MAX(0,M554-U554)</x:f>
        <x:v>0</x:v>
      </x:c>
      <x:c r="W554" s="209" t="n">
        <x:f>IFERROR(U554/M554,0)</x:f>
        <x:v>1</x:v>
      </x:c>
      <x:c r="X554" s="201" t="str">
        <x:f>IF(U554=0,"Não iniciado",IF(U554&gt;=M554,"Concluído","Parcial"))</x:f>
        <x:v>Concluído</x:v>
      </x:c>
      <x:c r="Y554" s="199" t="str"/>
      <x:c r="Z554" s="188" t="str">
        <x:v>Normal</x:v>
      </x:c>
    </x:row>
    <x:row r="555" ht="22" customHeight="1">
      <x:c r="A555" s="217" t="n">
        <x:v>551</x:v>
      </x:c>
      <x:c r="B555" s="218" t="str">
        <x:v>26808</x:v>
      </x:c>
      <x:c r="C555" s="218" t="str">
        <x:v>14</x:v>
      </x:c>
      <x:c r="D555" s="218" t="str">
        <x:v>608995</x:v>
      </x:c>
      <x:c r="E555" s="218" t="str">
        <x:v>963490</x:v>
      </x:c>
      <x:c r="F555" s="218" t="str">
        <x:v>KIT DE CORRER</x:v>
      </x:c>
      <x:c r="G555" s="184" t="str">
        <x:v> KIT DE CORRER EM MDF ULTRA</x:v>
      </x:c>
      <x:c r="H555" s="184" t="str"/>
      <x:c r="I555" s="184" t="str"/>
      <x:c r="J555" s="184" t="str"/>
      <x:c r="K555" s="184" t="str">
        <x:v>RECOBERTO PET</x:v>
      </x:c>
      <x:c r="L555" s="184" t="str">
        <x:v>BRANCO CARRARA</x:v>
      </x:c>
      <x:c r="M555" s="205" t="n">
        <x:v>2</x:v>
      </x:c>
      <x:c r="N555" s="205" t="str"/>
      <x:c r="O555" s="205" t="str"/>
      <x:c r="P555" s="205" t="str"/>
      <x:c r="Q555" s="206" t="n">
        <x:v>0</x:v>
      </x:c>
      <x:c r="R555" s="207" t="str"/>
      <x:c r="S555" s="207" t="str"/>
      <x:c r="T555" s="207" t="str"/>
      <x:c r="U555" s="207" t="n">
        <x:v>0</x:v>
      </x:c>
      <x:c r="V555" s="208" t="n">
        <x:f>MAX(0,M555-U555)</x:f>
        <x:v>2</x:v>
      </x:c>
      <x:c r="W555" s="209" t="n">
        <x:f>IFERROR(U555/M555,0)</x:f>
        <x:v>0</x:v>
      </x:c>
      <x:c r="X555" s="201" t="str">
        <x:f>IF(U555=0,"Não iniciado",IF(U555&gt;=M555,"Concluído","Parcial"))</x:f>
        <x:v>Não iniciado</x:v>
      </x:c>
      <x:c r="Y555" s="199" t="str"/>
      <x:c r="Z555" s="188" t="str">
        <x:v>Normal</x:v>
      </x:c>
    </x:row>
    <x:row r="556" ht="22" customHeight="1">
      <x:c r="A556" s="219" t="n">
        <x:v>552</x:v>
      </x:c>
      <x:c r="B556" s="220" t="str">
        <x:v>26825</x:v>
      </x:c>
      <x:c r="C556" s="220" t="str">
        <x:v>3</x:v>
      </x:c>
      <x:c r="D556" s="220" t="str">
        <x:v>609047</x:v>
      </x:c>
      <x:c r="E556" s="220" t="str">
        <x:v>675619</x:v>
      </x:c>
      <x:c r="F556" s="220" t="str">
        <x:v>KIT DE CORRER</x:v>
      </x:c>
      <x:c r="G556" s="190" t="str">
        <x:v>PERNA KIT ULTRA  KIT DE CORRER EM MDF ULTRA</x:v>
      </x:c>
      <x:c r="H556" s="190" t="str"/>
      <x:c r="I556" s="190" t="str"/>
      <x:c r="J556" s="190" t="str"/>
      <x:c r="K556" s="190" t="str">
        <x:v>RECOBERTO PET</x:v>
      </x:c>
      <x:c r="L556" s="190" t="str">
        <x:v>BRANCO CARRARA</x:v>
      </x:c>
      <x:c r="M556" s="210" t="n">
        <x:v>64</x:v>
      </x:c>
      <x:c r="N556" s="210" t="str"/>
      <x:c r="O556" s="210" t="str"/>
      <x:c r="P556" s="210" t="str"/>
      <x:c r="Q556" s="211" t="n">
        <x:v>0.348</x:v>
      </x:c>
      <x:c r="R556" s="207" t="str"/>
      <x:c r="S556" s="207" t="str"/>
      <x:c r="T556" s="207" t="str"/>
      <x:c r="U556" s="207" t="n">
        <x:v>0</x:v>
      </x:c>
      <x:c r="V556" s="208" t="n">
        <x:f>MAX(0,M556-U556)</x:f>
        <x:v>64</x:v>
      </x:c>
      <x:c r="W556" s="209" t="n">
        <x:f>IFERROR(U556/M556,0)</x:f>
        <x:v>0</x:v>
      </x:c>
      <x:c r="X556" s="201" t="str">
        <x:f>IF(U556=0,"Não iniciado",IF(U556&gt;=M556,"Concluído","Parcial"))</x:f>
        <x:v>Não iniciado</x:v>
      </x:c>
      <x:c r="Y556" s="199" t="str"/>
      <x:c r="Z556" s="188" t="str">
        <x:v>Normal</x:v>
      </x:c>
    </x:row>
    <x:row r="557" ht="22" customHeight="1">
      <x:c r="A557" s="217" t="n">
        <x:v>553</x:v>
      </x:c>
      <x:c r="B557" s="218" t="str">
        <x:v>26825</x:v>
      </x:c>
      <x:c r="C557" s="218" t="str">
        <x:v>3</x:v>
      </x:c>
      <x:c r="D557" s="218" t="str">
        <x:v>609048</x:v>
      </x:c>
      <x:c r="E557" s="218" t="str">
        <x:v>962738</x:v>
      </x:c>
      <x:c r="F557" s="218" t="str">
        <x:v>KIT DE CORRER</x:v>
      </x:c>
      <x:c r="G557" s="184" t="str">
        <x:v> KIT DE CORRER EM MDF ULTRA</x:v>
      </x:c>
      <x:c r="H557" s="184" t="str"/>
      <x:c r="I557" s="184" t="str"/>
      <x:c r="J557" s="184" t="str"/>
      <x:c r="K557" s="184" t="str">
        <x:v>RECOBERTO PET</x:v>
      </x:c>
      <x:c r="L557" s="184" t="str">
        <x:v>BRANCO CARRARA</x:v>
      </x:c>
      <x:c r="M557" s="205" t="n">
        <x:v>32</x:v>
      </x:c>
      <x:c r="N557" s="205" t="str"/>
      <x:c r="O557" s="205" t="str"/>
      <x:c r="P557" s="205" t="str"/>
      <x:c r="Q557" s="206" t="n">
        <x:v>0</x:v>
      </x:c>
      <x:c r="R557" s="207" t="str"/>
      <x:c r="S557" s="207" t="str"/>
      <x:c r="T557" s="207" t="str"/>
      <x:c r="U557" s="207" t="n">
        <x:v>32</x:v>
      </x:c>
      <x:c r="V557" s="208" t="n">
        <x:f>MAX(0,M557-U557)</x:f>
        <x:v>0</x:v>
      </x:c>
      <x:c r="W557" s="209" t="n">
        <x:f>IFERROR(U557/M557,0)</x:f>
        <x:v>1</x:v>
      </x:c>
      <x:c r="X557" s="201" t="str">
        <x:f>IF(U557=0,"Não iniciado",IF(U557&gt;=M557,"Concluído","Parcial"))</x:f>
        <x:v>Concluído</x:v>
      </x:c>
      <x:c r="Y557" s="199" t="str"/>
      <x:c r="Z557" s="188" t="str">
        <x:v>Normal</x:v>
      </x:c>
    </x:row>
    <x:row r="558" ht="22" customHeight="1">
      <x:c r="A558" s="219" t="n">
        <x:v>554</x:v>
      </x:c>
      <x:c r="B558" s="220" t="str">
        <x:v>26825</x:v>
      </x:c>
      <x:c r="C558" s="220" t="str">
        <x:v>3</x:v>
      </x:c>
      <x:c r="D558" s="220" t="str">
        <x:v>609049</x:v>
      </x:c>
      <x:c r="E558" s="220" t="str">
        <x:v>962739</x:v>
      </x:c>
      <x:c r="F558" s="220" t="str">
        <x:v>KIT DE CORRER</x:v>
      </x:c>
      <x:c r="G558" s="190" t="str">
        <x:v>AL KIT L MEN ULT  KIT DE CORRER EM MDF ULTRA</x:v>
      </x:c>
      <x:c r="H558" s="190" t="str"/>
      <x:c r="I558" s="190" t="str"/>
      <x:c r="J558" s="190" t="str"/>
      <x:c r="K558" s="190" t="str">
        <x:v>RECOBERTO PET</x:v>
      </x:c>
      <x:c r="L558" s="190" t="str">
        <x:v>BRANCO CARRARA</x:v>
      </x:c>
      <x:c r="M558" s="210" t="n">
        <x:v>96</x:v>
      </x:c>
      <x:c r="N558" s="210" t="str"/>
      <x:c r="O558" s="210" t="str"/>
      <x:c r="P558" s="210" t="str"/>
      <x:c r="Q558" s="211" t="n">
        <x:v>0.095</x:v>
      </x:c>
      <x:c r="R558" s="207" t="str"/>
      <x:c r="S558" s="207" t="str"/>
      <x:c r="T558" s="207" t="str"/>
      <x:c r="U558" s="207" t="n">
        <x:v>0</x:v>
      </x:c>
      <x:c r="V558" s="208" t="n">
        <x:f>MAX(0,M558-U558)</x:f>
        <x:v>96</x:v>
      </x:c>
      <x:c r="W558" s="209" t="n">
        <x:f>IFERROR(U558/M558,0)</x:f>
        <x:v>0</x:v>
      </x:c>
      <x:c r="X558" s="201" t="str">
        <x:f>IF(U558=0,"Não iniciado",IF(U558&gt;=M558,"Concluído","Parcial"))</x:f>
        <x:v>Não iniciado</x:v>
      </x:c>
      <x:c r="Y558" s="199" t="str"/>
      <x:c r="Z558" s="188" t="str">
        <x:v>Normal</x:v>
      </x:c>
    </x:row>
    <x:row r="559" ht="22" customHeight="1">
      <x:c r="A559" s="217" t="n">
        <x:v>555</x:v>
      </x:c>
      <x:c r="B559" s="218" t="str">
        <x:v>26825</x:v>
      </x:c>
      <x:c r="C559" s="218" t="str">
        <x:v>3</x:v>
      </x:c>
      <x:c r="D559" s="218" t="str">
        <x:v>609050</x:v>
      </x:c>
      <x:c r="E559" s="218" t="str">
        <x:v>987029</x:v>
      </x:c>
      <x:c r="F559" s="218" t="str">
        <x:v>KIT DE CORRER</x:v>
      </x:c>
      <x:c r="G559" s="184" t="str">
        <x:v>SUP TRILHO ULTRA  KIT DE CORRER EM MDF ULTRA</x:v>
      </x:c>
      <x:c r="H559" s="184" t="str"/>
      <x:c r="I559" s="184" t="str"/>
      <x:c r="J559" s="184" t="str"/>
      <x:c r="K559" s="184" t="str">
        <x:v>RECOBERTO PET</x:v>
      </x:c>
      <x:c r="L559" s="184" t="str">
        <x:v>BRANCO CARRARA</x:v>
      </x:c>
      <x:c r="M559" s="205" t="n">
        <x:v>32</x:v>
      </x:c>
      <x:c r="N559" s="205" t="str"/>
      <x:c r="O559" s="205" t="str"/>
      <x:c r="P559" s="205" t="str"/>
      <x:c r="Q559" s="206" t="n">
        <x:v>0.174</x:v>
      </x:c>
      <x:c r="R559" s="207" t="str"/>
      <x:c r="S559" s="207" t="str"/>
      <x:c r="T559" s="207" t="str"/>
      <x:c r="U559" s="207" t="n">
        <x:v>0</x:v>
      </x:c>
      <x:c r="V559" s="208" t="n">
        <x:f>MAX(0,M559-U559)</x:f>
        <x:v>32</x:v>
      </x:c>
      <x:c r="W559" s="209" t="n">
        <x:f>IFERROR(U559/M559,0)</x:f>
        <x:v>0</x:v>
      </x:c>
      <x:c r="X559" s="201" t="str">
        <x:f>IF(U559=0,"Não iniciado",IF(U559&gt;=M559,"Concluído","Parcial"))</x:f>
        <x:v>Não iniciado</x:v>
      </x:c>
      <x:c r="Y559" s="199" t="str"/>
      <x:c r="Z559" s="188" t="str">
        <x:v>Normal</x:v>
      </x:c>
    </x:row>
    <x:row r="560" ht="22" customHeight="1">
      <x:c r="A560" s="219" t="n">
        <x:v>556</x:v>
      </x:c>
      <x:c r="B560" s="220" t="str">
        <x:v>26809</x:v>
      </x:c>
      <x:c r="C560" s="220" t="str">
        <x:v>10</x:v>
      </x:c>
      <x:c r="D560" s="220" t="str">
        <x:v>609952</x:v>
      </x:c>
      <x:c r="E560" s="220" t="str">
        <x:v>961635</x:v>
      </x:c>
      <x:c r="F560" s="220" t="str">
        <x:v>KIT DE CORRER</x:v>
      </x:c>
      <x:c r="G560" s="190" t="str">
        <x:v>CA KIT L MAI UL  KIT DE CORRER EM MDF ULTRA</x:v>
      </x:c>
      <x:c r="H560" s="190" t="str"/>
      <x:c r="I560" s="190" t="str"/>
      <x:c r="J560" s="190" t="str"/>
      <x:c r="K560" s="190" t="str">
        <x:v>RECOBERTO PET</x:v>
      </x:c>
      <x:c r="L560" s="190" t="str">
        <x:v>CAPUCCINO MARCHE</x:v>
      </x:c>
      <x:c r="M560" s="210" t="n">
        <x:v>1</x:v>
      </x:c>
      <x:c r="N560" s="210" t="str"/>
      <x:c r="O560" s="210" t="str"/>
      <x:c r="P560" s="210" t="str"/>
      <x:c r="Q560" s="211" t="n">
        <x:v>0.002</x:v>
      </x:c>
      <x:c r="R560" s="207" t="str"/>
      <x:c r="S560" s="207" t="str"/>
      <x:c r="T560" s="207" t="str"/>
      <x:c r="U560" s="207" t="n">
        <x:v>0</x:v>
      </x:c>
      <x:c r="V560" s="208" t="n">
        <x:f>MAX(0,M560-U560)</x:f>
        <x:v>1</x:v>
      </x:c>
      <x:c r="W560" s="209" t="n">
        <x:f>IFERROR(U560/M560,0)</x:f>
        <x:v>0</x:v>
      </x:c>
      <x:c r="X560" s="201" t="str">
        <x:f>IF(U560=0,"Não iniciado",IF(U560&gt;=M560,"Concluído","Parcial"))</x:f>
        <x:v>Não iniciado</x:v>
      </x:c>
      <x:c r="Y560" s="199" t="str"/>
      <x:c r="Z560" s="188" t="str">
        <x:v>Normal</x:v>
      </x:c>
    </x:row>
    <x:row r="561" ht="22" customHeight="1">
      <x:c r="A561" s="217" t="n">
        <x:v>557</x:v>
      </x:c>
      <x:c r="B561" s="218" t="str">
        <x:v>26809</x:v>
      </x:c>
      <x:c r="C561" s="218" t="str">
        <x:v>10</x:v>
      </x:c>
      <x:c r="D561" s="218" t="str">
        <x:v>609954</x:v>
      </x:c>
      <x:c r="E561" s="218" t="str">
        <x:v>978581</x:v>
      </x:c>
      <x:c r="F561" s="218" t="str">
        <x:v>KIT DE CORRER</x:v>
      </x:c>
      <x:c r="G561" s="184" t="str">
        <x:v>A KIT L ME UL  KIT DE CORRER EM MDF ULTRA</x:v>
      </x:c>
      <x:c r="H561" s="184" t="str"/>
      <x:c r="I561" s="184" t="str"/>
      <x:c r="J561" s="184" t="str"/>
      <x:c r="K561" s="184" t="str">
        <x:v>RECOBERTO PET</x:v>
      </x:c>
      <x:c r="L561" s="184" t="str">
        <x:v>CAPUCCINO MARCHE</x:v>
      </x:c>
      <x:c r="M561" s="205" t="n">
        <x:v>3</x:v>
      </x:c>
      <x:c r="N561" s="205" t="str"/>
      <x:c r="O561" s="205" t="str"/>
      <x:c r="P561" s="205" t="str"/>
      <x:c r="Q561" s="206" t="n">
        <x:v>0.003</x:v>
      </x:c>
      <x:c r="R561" s="207" t="str"/>
      <x:c r="S561" s="207" t="str"/>
      <x:c r="T561" s="207" t="str"/>
      <x:c r="U561" s="207" t="n">
        <x:v>0</x:v>
      </x:c>
      <x:c r="V561" s="208" t="n">
        <x:f>MAX(0,M561-U561)</x:f>
        <x:v>3</x:v>
      </x:c>
      <x:c r="W561" s="209" t="n">
        <x:f>IFERROR(U561/M561,0)</x:f>
        <x:v>0</x:v>
      </x:c>
      <x:c r="X561" s="201" t="str">
        <x:f>IF(U561=0,"Não iniciado",IF(U561&gt;=M561,"Concluído","Parcial"))</x:f>
        <x:v>Não iniciado</x:v>
      </x:c>
      <x:c r="Y561" s="199" t="str"/>
      <x:c r="Z561" s="188" t="str">
        <x:v>Normal</x:v>
      </x:c>
    </x:row>
    <x:row r="562" ht="22" customHeight="1">
      <x:c r="A562" s="219" t="n">
        <x:v>558</x:v>
      </x:c>
      <x:c r="B562" s="220" t="str">
        <x:v>26520</x:v>
      </x:c>
      <x:c r="C562" s="220" t="str">
        <x:v>10</x:v>
      </x:c>
      <x:c r="D562" s="220" t="str">
        <x:v>610162</x:v>
      </x:c>
      <x:c r="E562" s="220" t="str">
        <x:v>986110</x:v>
      </x:c>
      <x:c r="F562" s="220" t="str">
        <x:v>KIT DE CORRER</x:v>
      </x:c>
      <x:c r="G562" s="190" t="str">
        <x:v>CA KIT L MA UL  KIT DE CORRER EM MDF ULTRA</x:v>
      </x:c>
      <x:c r="H562" s="190" t="str"/>
      <x:c r="I562" s="190" t="str"/>
      <x:c r="J562" s="190" t="str"/>
      <x:c r="K562" s="190" t="str">
        <x:v>RECOBERTO PET</x:v>
      </x:c>
      <x:c r="L562" s="190" t="str">
        <x:v>CURUPIXA RAVENNA</x:v>
      </x:c>
      <x:c r="M562" s="210" t="n">
        <x:v>1</x:v>
      </x:c>
      <x:c r="N562" s="210" t="str"/>
      <x:c r="O562" s="210" t="str"/>
      <x:c r="P562" s="210" t="str"/>
      <x:c r="Q562" s="211" t="n">
        <x:v>0.002</x:v>
      </x:c>
      <x:c r="R562" s="207" t="str"/>
      <x:c r="S562" s="207" t="str"/>
      <x:c r="T562" s="207" t="str"/>
      <x:c r="U562" s="207" t="n">
        <x:v>0</x:v>
      </x:c>
      <x:c r="V562" s="208" t="n">
        <x:f>MAX(0,M562-U562)</x:f>
        <x:v>1</x:v>
      </x:c>
      <x:c r="W562" s="209" t="n">
        <x:f>IFERROR(U562/M562,0)</x:f>
        <x:v>0</x:v>
      </x:c>
      <x:c r="X562" s="201" t="str">
        <x:f>IF(U562=0,"Não iniciado",IF(U562&gt;=M562,"Concluído","Parcial"))</x:f>
        <x:v>Não iniciado</x:v>
      </x:c>
      <x:c r="Y562" s="199" t="str"/>
      <x:c r="Z562" s="188" t="str">
        <x:v>Normal</x:v>
      </x:c>
    </x:row>
    <x:row r="563" ht="22" customHeight="1">
      <x:c r="A563" s="217" t="n">
        <x:v>559</x:v>
      </x:c>
      <x:c r="B563" s="218" t="str">
        <x:v>26520</x:v>
      </x:c>
      <x:c r="C563" s="218" t="str">
        <x:v>10</x:v>
      </x:c>
      <x:c r="D563" s="218" t="str">
        <x:v>610163</x:v>
      </x:c>
      <x:c r="E563" s="218" t="str">
        <x:v>986111</x:v>
      </x:c>
      <x:c r="F563" s="218" t="str">
        <x:v>KIT DE CORRER</x:v>
      </x:c>
      <x:c r="G563" s="184" t="str">
        <x:v>AL KIT LME UL  KIT DE CORRER EM MDF ULTRA</x:v>
      </x:c>
      <x:c r="H563" s="184" t="str"/>
      <x:c r="I563" s="184" t="str"/>
      <x:c r="J563" s="184" t="str"/>
      <x:c r="K563" s="184" t="str">
        <x:v>RECOBERTO PET</x:v>
      </x:c>
      <x:c r="L563" s="184" t="str">
        <x:v>CURUPIXA RAVENNA</x:v>
      </x:c>
      <x:c r="M563" s="205" t="n">
        <x:v>3</x:v>
      </x:c>
      <x:c r="N563" s="205" t="str"/>
      <x:c r="O563" s="205" t="str"/>
      <x:c r="P563" s="205" t="str"/>
      <x:c r="Q563" s="206" t="n">
        <x:v>0.003</x:v>
      </x:c>
      <x:c r="R563" s="207" t="str"/>
      <x:c r="S563" s="207" t="str"/>
      <x:c r="T563" s="207" t="str"/>
      <x:c r="U563" s="207" t="n">
        <x:v>0</x:v>
      </x:c>
      <x:c r="V563" s="208" t="n">
        <x:f>MAX(0,M563-U563)</x:f>
        <x:v>3</x:v>
      </x:c>
      <x:c r="W563" s="209" t="n">
        <x:f>IFERROR(U563/M563,0)</x:f>
        <x:v>0</x:v>
      </x:c>
      <x:c r="X563" s="201" t="str">
        <x:f>IF(U563=0,"Não iniciado",IF(U563&gt;=M563,"Concluído","Parcial"))</x:f>
        <x:v>Não iniciado</x:v>
      </x:c>
      <x:c r="Y563" s="199" t="str"/>
      <x:c r="Z563" s="188" t="str">
        <x:v>Normal</x:v>
      </x:c>
    </x:row>
    <x:row r="564" ht="22" customHeight="1">
      <x:c r="A564" s="219" t="n">
        <x:v>560</x:v>
      </x:c>
      <x:c r="B564" s="220" t="str">
        <x:v>26520</x:v>
      </x:c>
      <x:c r="C564" s="220" t="str">
        <x:v>10</x:v>
      </x:c>
      <x:c r="D564" s="220" t="str">
        <x:v>610165</x:v>
      </x:c>
      <x:c r="E564" s="220" t="str">
        <x:v>2010701224</x:v>
      </x:c>
      <x:c r="F564" s="220" t="str">
        <x:v>KIT DE CORRER</x:v>
      </x:c>
      <x:c r="G564" s="190" t="str">
        <x:v>P K COR ULTRA PET C RA  KIT DE CORRER EM MDF ULTRA</x:v>
      </x:c>
      <x:c r="H564" s="190" t="str"/>
      <x:c r="I564" s="190" t="str"/>
      <x:c r="J564" s="190" t="str"/>
      <x:c r="K564" s="190" t="str">
        <x:v>RECOBERTO PET</x:v>
      </x:c>
      <x:c r="L564" s="190" t="str">
        <x:v>CURUPIXA RAVENNA</x:v>
      </x:c>
      <x:c r="M564" s="210" t="n">
        <x:v>2</x:v>
      </x:c>
      <x:c r="N564" s="210" t="str"/>
      <x:c r="O564" s="210" t="str"/>
      <x:c r="P564" s="210" t="str"/>
      <x:c r="Q564" s="211" t="n">
        <x:v>0.011</x:v>
      </x:c>
      <x:c r="R564" s="207" t="str"/>
      <x:c r="S564" s="207" t="str"/>
      <x:c r="T564" s="207" t="str"/>
      <x:c r="U564" s="207" t="n">
        <x:v>0</x:v>
      </x:c>
      <x:c r="V564" s="208" t="n">
        <x:f>MAX(0,M564-U564)</x:f>
        <x:v>2</x:v>
      </x:c>
      <x:c r="W564" s="209" t="n">
        <x:f>IFERROR(U564/M564,0)</x:f>
        <x:v>0</x:v>
      </x:c>
      <x:c r="X564" s="201" t="str">
        <x:f>IF(U564=0,"Não iniciado",IF(U564&gt;=M564,"Concluído","Parcial"))</x:f>
        <x:v>Não iniciado</x:v>
      </x:c>
      <x:c r="Y564" s="199" t="str"/>
      <x:c r="Z564" s="188" t="str">
        <x:v>Normal</x:v>
      </x:c>
    </x:row>
    <x:row r="565" ht="22" customHeight="1">
      <x:c r="A565" s="217" t="n">
        <x:v>561</x:v>
      </x:c>
      <x:c r="B565" s="218" t="str">
        <x:v>26520</x:v>
      </x:c>
      <x:c r="C565" s="218" t="str">
        <x:v>10</x:v>
      </x:c>
      <x:c r="D565" s="218" t="str">
        <x:v>610166</x:v>
      </x:c>
      <x:c r="E565" s="218" t="str">
        <x:v>2010701225</x:v>
      </x:c>
      <x:c r="F565" s="218" t="str">
        <x:v>KIT DE CORRER</x:v>
      </x:c>
      <x:c r="G565" s="184" t="str">
        <x:v>S K COR ULTRA PET C RA  KIT DE CORRER EM MDF ULTRA</x:v>
      </x:c>
      <x:c r="H565" s="184" t="str"/>
      <x:c r="I565" s="184" t="str"/>
      <x:c r="J565" s="184" t="str"/>
      <x:c r="K565" s="184" t="str">
        <x:v>RECOBERTO PET</x:v>
      </x:c>
      <x:c r="L565" s="184" t="str">
        <x:v>CURUPIXA RAVENNA</x:v>
      </x:c>
      <x:c r="M565" s="205" t="n">
        <x:v>1</x:v>
      </x:c>
      <x:c r="N565" s="205" t="str"/>
      <x:c r="O565" s="205" t="str"/>
      <x:c r="P565" s="205" t="str"/>
      <x:c r="Q565" s="206" t="n">
        <x:v>0.005</x:v>
      </x:c>
      <x:c r="R565" s="207" t="str"/>
      <x:c r="S565" s="207" t="str"/>
      <x:c r="T565" s="207" t="str"/>
      <x:c r="U565" s="207" t="n">
        <x:v>0</x:v>
      </x:c>
      <x:c r="V565" s="208" t="n">
        <x:f>MAX(0,M565-U565)</x:f>
        <x:v>1</x:v>
      </x:c>
      <x:c r="W565" s="209" t="n">
        <x:f>IFERROR(U565/M565,0)</x:f>
        <x:v>0</x:v>
      </x:c>
      <x:c r="X565" s="201" t="str">
        <x:f>IF(U565=0,"Não iniciado",IF(U565&gt;=M565,"Concluído","Parcial"))</x:f>
        <x:v>Não iniciado</x:v>
      </x:c>
      <x:c r="Y565" s="199" t="str"/>
      <x:c r="Z565" s="188" t="str">
        <x:v>Normal</x:v>
      </x:c>
    </x:row>
    <x:row r="566" ht="22" customHeight="1">
      <x:c r="A566" s="219" t="n">
        <x:v>562</x:v>
      </x:c>
      <x:c r="B566" s="220" t="str">
        <x:v>26792</x:v>
      </x:c>
      <x:c r="C566" s="220" t="str">
        <x:v>4</x:v>
      </x:c>
      <x:c r="D566" s="220" t="str">
        <x:v>609447/612151</x:v>
      </x:c>
      <x:c r="E566" s="220" t="str">
        <x:v>3040300041</x:v>
      </x:c>
      <x:c r="F566" s="220" t="str">
        <x:v>PORTA</x:v>
      </x:c>
      <x:c r="G566" s="190" t="str">
        <x:v>FO POR SMT HDF 3 COL ESM BCO RU 2100X700</x:v>
      </x:c>
      <x:c r="H566" s="190" t="str"/>
      <x:c r="I566" s="190" t="str"/>
      <x:c r="J566" s="190" t="str"/>
      <x:c r="K566" s="190" t="str">
        <x:v>ESMALTE</x:v>
      </x:c>
      <x:c r="L566" s="190" t="str">
        <x:v>BRANCO</x:v>
      </x:c>
      <x:c r="M566" s="210" t="n">
        <x:v>144</x:v>
      </x:c>
      <x:c r="N566" s="210" t="str"/>
      <x:c r="O566" s="210" t="str"/>
      <x:c r="P566" s="210" t="str"/>
      <x:c r="Q566" s="211" t="n">
        <x:v>7.409</x:v>
      </x:c>
      <x:c r="R566" s="207" t="str"/>
      <x:c r="S566" s="207" t="str"/>
      <x:c r="T566" s="207" t="str"/>
      <x:c r="U566" s="207" t="n">
        <x:v>144</x:v>
      </x:c>
      <x:c r="V566" s="208" t="n">
        <x:f>MAX(0,M566-U566)</x:f>
        <x:v>0</x:v>
      </x:c>
      <x:c r="W566" s="209" t="n">
        <x:f>IFERROR(U566/M566,0)</x:f>
        <x:v>1</x:v>
      </x:c>
      <x:c r="X566" s="201" t="str">
        <x:f>IF(U566=0,"Não iniciado",IF(U566&gt;=M566,"Concluído","Parcial"))</x:f>
        <x:v>Concluído</x:v>
      </x:c>
      <x:c r="Y566" s="199" t="str"/>
      <x:c r="Z566" s="188" t="str">
        <x:v>Normal</x:v>
      </x:c>
    </x:row>
    <x:row r="567" ht="22" customHeight="1">
      <x:c r="A567" s="217" t="n">
        <x:v>563</x:v>
      </x:c>
      <x:c r="B567" s="218" t="str">
        <x:v>26796</x:v>
      </x:c>
      <x:c r="C567" s="218" t="str">
        <x:v>2</x:v>
      </x:c>
      <x:c r="D567" s="218" t="str">
        <x:v>609298</x:v>
      </x:c>
      <x:c r="E567" s="218" t="str">
        <x:v>3040300041</x:v>
      </x:c>
      <x:c r="F567" s="218" t="str">
        <x:v>PORTA</x:v>
      </x:c>
      <x:c r="G567" s="184" t="str">
        <x:v>FO POR SMT HDF 3 COL ESM BCO RU 2100X700</x:v>
      </x:c>
      <x:c r="H567" s="184" t="str"/>
      <x:c r="I567" s="184" t="str"/>
      <x:c r="J567" s="184" t="str"/>
      <x:c r="K567" s="184" t="str">
        <x:v>ESMALTE</x:v>
      </x:c>
      <x:c r="L567" s="184" t="str">
        <x:v>BRANCO</x:v>
      </x:c>
      <x:c r="M567" s="205" t="n">
        <x:v>48</x:v>
      </x:c>
      <x:c r="N567" s="205" t="str"/>
      <x:c r="O567" s="205" t="str"/>
      <x:c r="P567" s="205" t="str"/>
      <x:c r="Q567" s="206" t="n">
        <x:v>2.47</x:v>
      </x:c>
      <x:c r="R567" s="207" t="str"/>
      <x:c r="S567" s="207" t="str"/>
      <x:c r="T567" s="207" t="str"/>
      <x:c r="U567" s="207" t="n">
        <x:v>48</x:v>
      </x:c>
      <x:c r="V567" s="208" t="n">
        <x:f>MAX(0,M567-U567)</x:f>
        <x:v>0</x:v>
      </x:c>
      <x:c r="W567" s="209" t="n">
        <x:f>IFERROR(U567/M567,0)</x:f>
        <x:v>1</x:v>
      </x:c>
      <x:c r="X567" s="201" t="str">
        <x:f>IF(U567=0,"Não iniciado",IF(U567&gt;=M567,"Concluído","Parcial"))</x:f>
        <x:v>Concluído</x:v>
      </x:c>
      <x:c r="Y567" s="199" t="str"/>
      <x:c r="Z567" s="188" t="str">
        <x:v>Normal</x:v>
      </x:c>
    </x:row>
    <x:row r="568" ht="22" customHeight="1">
      <x:c r="A568" s="219" t="n">
        <x:v>564</x:v>
      </x:c>
      <x:c r="B568" s="220" t="str">
        <x:v>26799</x:v>
      </x:c>
      <x:c r="C568" s="220" t="str">
        <x:v>2</x:v>
      </x:c>
      <x:c r="D568" s="220" t="str">
        <x:v>609403</x:v>
      </x:c>
      <x:c r="E568" s="220" t="str">
        <x:v>3040300041</x:v>
      </x:c>
      <x:c r="F568" s="220" t="str">
        <x:v>PORTA</x:v>
      </x:c>
      <x:c r="G568" s="190" t="str">
        <x:v>FO POR SMT HDF 3 COL ESM BCO RU 2100X700</x:v>
      </x:c>
      <x:c r="H568" s="190" t="str"/>
      <x:c r="I568" s="190" t="str"/>
      <x:c r="J568" s="190" t="str"/>
      <x:c r="K568" s="190" t="str">
        <x:v>ESMALTE</x:v>
      </x:c>
      <x:c r="L568" s="190" t="str">
        <x:v>BRANCO</x:v>
      </x:c>
      <x:c r="M568" s="210" t="n">
        <x:v>16</x:v>
      </x:c>
      <x:c r="N568" s="210" t="str"/>
      <x:c r="O568" s="210" t="str"/>
      <x:c r="P568" s="210" t="str"/>
      <x:c r="Q568" s="211" t="n">
        <x:v>0.823</x:v>
      </x:c>
      <x:c r="R568" s="207" t="str"/>
      <x:c r="S568" s="207" t="str"/>
      <x:c r="T568" s="207" t="str"/>
      <x:c r="U568" s="207" t="n">
        <x:v>16</x:v>
      </x:c>
      <x:c r="V568" s="208" t="n">
        <x:f>MAX(0,M568-U568)</x:f>
        <x:v>0</x:v>
      </x:c>
      <x:c r="W568" s="209" t="n">
        <x:f>IFERROR(U568/M568,0)</x:f>
        <x:v>1</x:v>
      </x:c>
      <x:c r="X568" s="201" t="str">
        <x:f>IF(U568=0,"Não iniciado",IF(U568&gt;=M568,"Concluído","Parcial"))</x:f>
        <x:v>Concluído</x:v>
      </x:c>
      <x:c r="Y568" s="199" t="str"/>
      <x:c r="Z568" s="188" t="str">
        <x:v>Normal</x:v>
      </x:c>
    </x:row>
    <x:row r="569" ht="22" customHeight="1">
      <x:c r="A569" s="217" t="n">
        <x:v>565</x:v>
      </x:c>
      <x:c r="B569" s="218" t="str">
        <x:v>26815</x:v>
      </x:c>
      <x:c r="C569" s="218" t="str">
        <x:v>3</x:v>
      </x:c>
      <x:c r="D569" s="218" t="str">
        <x:v>609508</x:v>
      </x:c>
      <x:c r="E569" s="218" t="str">
        <x:v>3040300041</x:v>
      </x:c>
      <x:c r="F569" s="218" t="str">
        <x:v>PORTA</x:v>
      </x:c>
      <x:c r="G569" s="184" t="str">
        <x:v>FO POR SMT HDF 3 COL ESM BCO RU 2100X700</x:v>
      </x:c>
      <x:c r="H569" s="184" t="str"/>
      <x:c r="I569" s="184" t="str"/>
      <x:c r="J569" s="184" t="str"/>
      <x:c r="K569" s="184" t="str">
        <x:v>ESMALTE</x:v>
      </x:c>
      <x:c r="L569" s="184" t="str">
        <x:v>BRANCO</x:v>
      </x:c>
      <x:c r="M569" s="205" t="n">
        <x:v>92</x:v>
      </x:c>
      <x:c r="N569" s="205" t="str"/>
      <x:c r="O569" s="205" t="str"/>
      <x:c r="P569" s="205" t="str"/>
      <x:c r="Q569" s="206" t="n">
        <x:v>4.733</x:v>
      </x:c>
      <x:c r="R569" s="207" t="str"/>
      <x:c r="S569" s="207" t="str"/>
      <x:c r="T569" s="207" t="str"/>
      <x:c r="U569" s="207" t="n">
        <x:v>92</x:v>
      </x:c>
      <x:c r="V569" s="208" t="n">
        <x:f>MAX(0,M569-U569)</x:f>
        <x:v>0</x:v>
      </x:c>
      <x:c r="W569" s="209" t="n">
        <x:f>IFERROR(U569/M569,0)</x:f>
        <x:v>1</x:v>
      </x:c>
      <x:c r="X569" s="201" t="str">
        <x:f>IF(U569=0,"Não iniciado",IF(U569&gt;=M569,"Concluído","Parcial"))</x:f>
        <x:v>Concluído</x:v>
      </x:c>
      <x:c r="Y569" s="199" t="str"/>
      <x:c r="Z569" s="188" t="str">
        <x:v>Normal</x:v>
      </x:c>
    </x:row>
    <x:row r="570" ht="22" customHeight="1">
      <x:c r="A570" s="219" t="n">
        <x:v>566</x:v>
      </x:c>
      <x:c r="B570" s="220" t="str">
        <x:v>26824</x:v>
      </x:c>
      <x:c r="C570" s="220" t="str">
        <x:v>2</x:v>
      </x:c>
      <x:c r="D570" s="220" t="str">
        <x:v>609593</x:v>
      </x:c>
      <x:c r="E570" s="220" t="str">
        <x:v>3040300041</x:v>
      </x:c>
      <x:c r="F570" s="220" t="str">
        <x:v>PORTA</x:v>
      </x:c>
      <x:c r="G570" s="190" t="str">
        <x:v>FO POR SMT HDF 3 COL ESM BCO RU 2100X700</x:v>
      </x:c>
      <x:c r="H570" s="190" t="str"/>
      <x:c r="I570" s="190" t="str"/>
      <x:c r="J570" s="190" t="str"/>
      <x:c r="K570" s="190" t="str">
        <x:v>ESMALTE</x:v>
      </x:c>
      <x:c r="L570" s="190" t="str">
        <x:v>BRANCO</x:v>
      </x:c>
      <x:c r="M570" s="210" t="n">
        <x:v>181</x:v>
      </x:c>
      <x:c r="N570" s="210" t="str"/>
      <x:c r="O570" s="210" t="str"/>
      <x:c r="P570" s="210" t="str"/>
      <x:c r="Q570" s="211" t="n">
        <x:v>9.312</x:v>
      </x:c>
      <x:c r="R570" s="207" t="str"/>
      <x:c r="S570" s="207" t="str"/>
      <x:c r="T570" s="207" t="str"/>
      <x:c r="U570" s="207" t="n">
        <x:v>181</x:v>
      </x:c>
      <x:c r="V570" s="208" t="n">
        <x:f>MAX(0,M570-U570)</x:f>
        <x:v>0</x:v>
      </x:c>
      <x:c r="W570" s="209" t="n">
        <x:f>IFERROR(U570/M570,0)</x:f>
        <x:v>1</x:v>
      </x:c>
      <x:c r="X570" s="201" t="str">
        <x:f>IF(U570=0,"Não iniciado",IF(U570&gt;=M570,"Concluído","Parcial"))</x:f>
        <x:v>Concluído</x:v>
      </x:c>
      <x:c r="Y570" s="199" t="str"/>
      <x:c r="Z570" s="188" t="str">
        <x:v>Normal</x:v>
      </x:c>
    </x:row>
    <x:row r="571" ht="22" customHeight="1">
      <x:c r="A571" s="217" t="n">
        <x:v>567</x:v>
      </x:c>
      <x:c r="B571" s="218" t="str">
        <x:v>26824</x:v>
      </x:c>
      <x:c r="C571" s="218" t="str">
        <x:v>4</x:v>
      </x:c>
      <x:c r="D571" s="218" t="str">
        <x:v>609609</x:v>
      </x:c>
      <x:c r="E571" s="218" t="str">
        <x:v>3041400095</x:v>
      </x:c>
      <x:c r="F571" s="218" t="str">
        <x:v>PORTA</x:v>
      </x:c>
      <x:c r="G571" s="184" t="str">
        <x:v>FO POR SMT HDF 3 S GD ESM BCO RU 2100X80</x:v>
      </x:c>
      <x:c r="H571" s="184" t="str"/>
      <x:c r="I571" s="184" t="str"/>
      <x:c r="J571" s="184" t="str"/>
      <x:c r="K571" s="184" t="str">
        <x:v>ESMALTE</x:v>
      </x:c>
      <x:c r="L571" s="184" t="str">
        <x:v>BRANCO</x:v>
      </x:c>
      <x:c r="M571" s="205" t="n">
        <x:v>42</x:v>
      </x:c>
      <x:c r="N571" s="205" t="str"/>
      <x:c r="O571" s="205" t="str"/>
      <x:c r="P571" s="205" t="str"/>
      <x:c r="Q571" s="206" t="n">
        <x:v>2.47</x:v>
      </x:c>
      <x:c r="R571" s="207" t="str"/>
      <x:c r="S571" s="207" t="str"/>
      <x:c r="T571" s="207" t="str"/>
      <x:c r="U571" s="207" t="n">
        <x:v>42</x:v>
      </x:c>
      <x:c r="V571" s="208" t="n">
        <x:f>MAX(0,M571-U571)</x:f>
        <x:v>0</x:v>
      </x:c>
      <x:c r="W571" s="209" t="n">
        <x:f>IFERROR(U571/M571,0)</x:f>
        <x:v>1</x:v>
      </x:c>
      <x:c r="X571" s="201" t="str">
        <x:f>IF(U571=0,"Não iniciado",IF(U571&gt;=M571,"Concluído","Parcial"))</x:f>
        <x:v>Concluído</x:v>
      </x:c>
      <x:c r="Y571" s="199" t="str"/>
      <x:c r="Z571" s="188" t="str">
        <x:v>Normal</x:v>
      </x:c>
    </x:row>
    <x:row r="572" ht="22" customHeight="1">
      <x:c r="A572" s="219" t="n">
        <x:v>568</x:v>
      </x:c>
      <x:c r="B572" s="220" t="str">
        <x:v>26824</x:v>
      </x:c>
      <x:c r="C572" s="220" t="str">
        <x:v>5</x:v>
      </x:c>
      <x:c r="D572" s="220" t="str">
        <x:v>609617</x:v>
      </x:c>
      <x:c r="E572" s="220" t="str">
        <x:v>3041400095</x:v>
      </x:c>
      <x:c r="F572" s="220" t="str">
        <x:v>PORTA</x:v>
      </x:c>
      <x:c r="G572" s="190" t="str">
        <x:v>FO POR SMT HDF 3 S GD ESM BCO RU 2100X80</x:v>
      </x:c>
      <x:c r="H572" s="190" t="str"/>
      <x:c r="I572" s="190" t="str"/>
      <x:c r="J572" s="190" t="str"/>
      <x:c r="K572" s="190" t="str">
        <x:v>ESMALTE</x:v>
      </x:c>
      <x:c r="L572" s="190" t="str">
        <x:v>BRANCO</x:v>
      </x:c>
      <x:c r="M572" s="210" t="n">
        <x:v>21</x:v>
      </x:c>
      <x:c r="N572" s="210" t="str"/>
      <x:c r="O572" s="210" t="str"/>
      <x:c r="P572" s="210" t="str"/>
      <x:c r="Q572" s="211" t="n">
        <x:v>1.235</x:v>
      </x:c>
      <x:c r="R572" s="207" t="str"/>
      <x:c r="S572" s="207" t="str"/>
      <x:c r="T572" s="207" t="str"/>
      <x:c r="U572" s="207" t="n">
        <x:v>21</x:v>
      </x:c>
      <x:c r="V572" s="208" t="n">
        <x:f>MAX(0,M572-U572)</x:f>
        <x:v>0</x:v>
      </x:c>
      <x:c r="W572" s="209" t="n">
        <x:f>IFERROR(U572/M572,0)</x:f>
        <x:v>1</x:v>
      </x:c>
      <x:c r="X572" s="201" t="str">
        <x:f>IF(U572=0,"Não iniciado",IF(U572&gt;=M572,"Concluído","Parcial"))</x:f>
        <x:v>Concluído</x:v>
      </x:c>
      <x:c r="Y572" s="199" t="str"/>
      <x:c r="Z572" s="188" t="str">
        <x:v>Normal</x:v>
      </x:c>
    </x:row>
    <x:row r="573" ht="22" customHeight="1">
      <x:c r="A573" s="217" t="n">
        <x:v>569</x:v>
      </x:c>
      <x:c r="B573" s="218" t="str">
        <x:v>26824</x:v>
      </x:c>
      <x:c r="C573" s="218" t="str">
        <x:v>6</x:v>
      </x:c>
      <x:c r="D573" s="218" t="str">
        <x:v>609625</x:v>
      </x:c>
      <x:c r="E573" s="218" t="str">
        <x:v>3041400092</x:v>
      </x:c>
      <x:c r="F573" s="218" t="str">
        <x:v>PORTA</x:v>
      </x:c>
      <x:c r="G573" s="184" t="str">
        <x:v>FO POR SMT HDF 3 S GD ESM BCO RU 2100X90</x:v>
      </x:c>
      <x:c r="H573" s="184" t="str"/>
      <x:c r="I573" s="184" t="str"/>
      <x:c r="J573" s="184" t="str"/>
      <x:c r="K573" s="184" t="str">
        <x:v>ESMALTE</x:v>
      </x:c>
      <x:c r="L573" s="184" t="str">
        <x:v>BRANCO</x:v>
      </x:c>
      <x:c r="M573" s="205" t="n">
        <x:v>2</x:v>
      </x:c>
      <x:c r="N573" s="205" t="str"/>
      <x:c r="O573" s="205" t="str"/>
      <x:c r="P573" s="205" t="str"/>
      <x:c r="Q573" s="206" t="n">
        <x:v>0.132</x:v>
      </x:c>
      <x:c r="R573" s="207" t="str"/>
      <x:c r="S573" s="207" t="str"/>
      <x:c r="T573" s="207" t="str"/>
      <x:c r="U573" s="207" t="n">
        <x:v>0</x:v>
      </x:c>
      <x:c r="V573" s="208" t="n">
        <x:f>MAX(0,M573-U573)</x:f>
        <x:v>2</x:v>
      </x:c>
      <x:c r="W573" s="209" t="n">
        <x:f>IFERROR(U573/M573,0)</x:f>
        <x:v>0</x:v>
      </x:c>
      <x:c r="X573" s="201" t="str">
        <x:f>IF(U573=0,"Não iniciado",IF(U573&gt;=M573,"Concluído","Parcial"))</x:f>
        <x:v>Não iniciado</x:v>
      </x:c>
      <x:c r="Y573" s="199" t="str"/>
      <x:c r="Z573" s="188" t="str">
        <x:v>Normal</x:v>
      </x:c>
    </x:row>
    <x:row r="574" ht="22" customHeight="1">
      <x:c r="A574" s="219" t="n">
        <x:v>570</x:v>
      </x:c>
      <x:c r="B574" s="220" t="str">
        <x:v>26739</x:v>
      </x:c>
      <x:c r="C574" s="220" t="str">
        <x:v>13</x:v>
      </x:c>
      <x:c r="D574" s="220" t="str">
        <x:v>609678</x:v>
      </x:c>
      <x:c r="E574" s="220" t="str">
        <x:v>3050300065</x:v>
      </x:c>
      <x:c r="F574" s="220" t="str">
        <x:v>PORTA</x:v>
      </x:c>
      <x:c r="G574" s="190" t="str">
        <x:v>FO P COR COL HDF 3 ESM BCO CAR 2100X700X</x:v>
      </x:c>
      <x:c r="H574" s="190" t="str">
        <x:v>LISA</x:v>
      </x:c>
      <x:c r="I574" s="190" t="str"/>
      <x:c r="J574" s="190" t="str"/>
      <x:c r="K574" s="190" t="str">
        <x:v>ESMALTE</x:v>
      </x:c>
      <x:c r="L574" s="190" t="str">
        <x:v>BRANCO CARRARA</x:v>
      </x:c>
      <x:c r="M574" s="210" t="n">
        <x:v>7</x:v>
      </x:c>
      <x:c r="N574" s="210" t="str"/>
      <x:c r="O574" s="210" t="str"/>
      <x:c r="P574" s="210" t="str"/>
      <x:c r="Q574" s="211" t="n">
        <x:v>0.36</x:v>
      </x:c>
      <x:c r="R574" s="207" t="str"/>
      <x:c r="S574" s="207" t="str"/>
      <x:c r="T574" s="207" t="str"/>
      <x:c r="U574" s="207" t="n">
        <x:v>3.5</x:v>
      </x:c>
      <x:c r="V574" s="208" t="n">
        <x:f>MAX(0,M574-U574)</x:f>
        <x:v>3.5</x:v>
      </x:c>
      <x:c r="W574" s="209" t="n">
        <x:f>IFERROR(U574/M574,0)</x:f>
        <x:v>0.5</x:v>
      </x:c>
      <x:c r="X574" s="201" t="str">
        <x:f>IF(U574=0,"Não iniciado",IF(U574&gt;=M574,"Concluído","Parcial"))</x:f>
        <x:v>Parcial</x:v>
      </x:c>
      <x:c r="Y574" s="199" t="str"/>
      <x:c r="Z574" s="188" t="str">
        <x:v>Normal</x:v>
      </x:c>
    </x:row>
    <x:row r="575" ht="22" customHeight="1">
      <x:c r="A575" s="217" t="n">
        <x:v>571</x:v>
      </x:c>
      <x:c r="B575" s="218" t="str">
        <x:v>26750</x:v>
      </x:c>
      <x:c r="C575" s="218" t="str">
        <x:v>16</x:v>
      </x:c>
      <x:c r="D575" s="218" t="str">
        <x:v>609851</x:v>
      </x:c>
      <x:c r="E575" s="218" t="str">
        <x:v>3050300065</x:v>
      </x:c>
      <x:c r="F575" s="218" t="str">
        <x:v>PORTA</x:v>
      </x:c>
      <x:c r="G575" s="184" t="str">
        <x:v>FO P COR COL HDF 3 ESM BCO CAR 2100X700X</x:v>
      </x:c>
      <x:c r="H575" s="184" t="str">
        <x:v>LISA</x:v>
      </x:c>
      <x:c r="I575" s="184" t="str"/>
      <x:c r="J575" s="184" t="str"/>
      <x:c r="K575" s="184" t="str">
        <x:v>ESMALTE</x:v>
      </x:c>
      <x:c r="L575" s="184" t="str">
        <x:v>BRANCO CARRARA</x:v>
      </x:c>
      <x:c r="M575" s="205" t="n">
        <x:v>7</x:v>
      </x:c>
      <x:c r="N575" s="205" t="str"/>
      <x:c r="O575" s="205" t="str"/>
      <x:c r="P575" s="205" t="str"/>
      <x:c r="Q575" s="206" t="n">
        <x:v>0.36</x:v>
      </x:c>
      <x:c r="R575" s="207" t="str"/>
      <x:c r="S575" s="207" t="str"/>
      <x:c r="T575" s="207" t="str"/>
      <x:c r="U575" s="207" t="n">
        <x:v>3.5</x:v>
      </x:c>
      <x:c r="V575" s="208" t="n">
        <x:f>MAX(0,M575-U575)</x:f>
        <x:v>3.5</x:v>
      </x:c>
      <x:c r="W575" s="209" t="n">
        <x:f>IFERROR(U575/M575,0)</x:f>
        <x:v>0.5</x:v>
      </x:c>
      <x:c r="X575" s="201" t="str">
        <x:f>IF(U575=0,"Não iniciado",IF(U575&gt;=M575,"Concluído","Parcial"))</x:f>
        <x:v>Parcial</x:v>
      </x:c>
      <x:c r="Y575" s="199" t="str"/>
      <x:c r="Z575" s="188" t="str">
        <x:v>Normal</x:v>
      </x:c>
    </x:row>
    <x:row r="576" ht="22" customHeight="1">
      <x:c r="A576" s="219" t="n">
        <x:v>572</x:v>
      </x:c>
      <x:c r="B576" s="220" t="str">
        <x:v>26808</x:v>
      </x:c>
      <x:c r="C576" s="220" t="str">
        <x:v>1</x:v>
      </x:c>
      <x:c r="D576" s="220" t="str">
        <x:v>608902/612149</x:v>
      </x:c>
      <x:c r="E576" s="220" t="str">
        <x:v>3041400176</x:v>
      </x:c>
      <x:c r="F576" s="220" t="str">
        <x:v>PORTA</x:v>
      </x:c>
      <x:c r="G576" s="190" t="str">
        <x:v>FO POR S GD RU HDF 3 ESM BCO CAR 2100X60</x:v>
      </x:c>
      <x:c r="H576" s="190" t="str"/>
      <x:c r="I576" s="190" t="str"/>
      <x:c r="J576" s="190" t="str"/>
      <x:c r="K576" s="190" t="str">
        <x:v>ESMALTE</x:v>
      </x:c>
      <x:c r="L576" s="190" t="str">
        <x:v>BRANCO CARRARA</x:v>
      </x:c>
      <x:c r="M576" s="210" t="n">
        <x:v>144</x:v>
      </x:c>
      <x:c r="N576" s="210" t="str"/>
      <x:c r="O576" s="210" t="str"/>
      <x:c r="P576" s="210" t="str"/>
      <x:c r="Q576" s="211" t="n">
        <x:v>6.35</x:v>
      </x:c>
      <x:c r="R576" s="207" t="str"/>
      <x:c r="S576" s="207" t="str"/>
      <x:c r="T576" s="207" t="str"/>
      <x:c r="U576" s="207" t="n">
        <x:v>144</x:v>
      </x:c>
      <x:c r="V576" s="208" t="n">
        <x:f>MAX(0,M576-U576)</x:f>
        <x:v>0</x:v>
      </x:c>
      <x:c r="W576" s="209" t="n">
        <x:f>IFERROR(U576/M576,0)</x:f>
        <x:v>1</x:v>
      </x:c>
      <x:c r="X576" s="201" t="str">
        <x:f>IF(U576=0,"Não iniciado",IF(U576&gt;=M576,"Concluído","Parcial"))</x:f>
        <x:v>Concluído</x:v>
      </x:c>
      <x:c r="Y576" s="199" t="str"/>
      <x:c r="Z576" s="188" t="str">
        <x:v>Normal</x:v>
      </x:c>
    </x:row>
    <x:row r="577" ht="22" customHeight="1">
      <x:c r="A577" s="217" t="n">
        <x:v>573</x:v>
      </x:c>
      <x:c r="B577" s="218" t="str">
        <x:v>26808</x:v>
      </x:c>
      <x:c r="C577" s="218" t="str">
        <x:v>2</x:v>
      </x:c>
      <x:c r="D577" s="218" t="str">
        <x:v>608910</x:v>
      </x:c>
      <x:c r="E577" s="218" t="str">
        <x:v>3041400176</x:v>
      </x:c>
      <x:c r="F577" s="218" t="str">
        <x:v>PORTA</x:v>
      </x:c>
      <x:c r="G577" s="184" t="str">
        <x:v>FO POR S GD RU HDF 3 ESM BCO CAR 2100X60</x:v>
      </x:c>
      <x:c r="H577" s="184" t="str"/>
      <x:c r="I577" s="184" t="str"/>
      <x:c r="J577" s="184" t="str"/>
      <x:c r="K577" s="184" t="str">
        <x:v>ESMALTE</x:v>
      </x:c>
      <x:c r="L577" s="184" t="str">
        <x:v>BRANCO CARRARA</x:v>
      </x:c>
      <x:c r="M577" s="205" t="n">
        <x:v>16</x:v>
      </x:c>
      <x:c r="N577" s="205" t="str"/>
      <x:c r="O577" s="205" t="str"/>
      <x:c r="P577" s="205" t="str"/>
      <x:c r="Q577" s="206" t="n">
        <x:v>0.706</x:v>
      </x:c>
      <x:c r="R577" s="207" t="str"/>
      <x:c r="S577" s="207" t="str"/>
      <x:c r="T577" s="207" t="str"/>
      <x:c r="U577" s="207" t="n">
        <x:v>16</x:v>
      </x:c>
      <x:c r="V577" s="208" t="n">
        <x:f>MAX(0,M577-U577)</x:f>
        <x:v>0</x:v>
      </x:c>
      <x:c r="W577" s="209" t="n">
        <x:f>IFERROR(U577/M577,0)</x:f>
        <x:v>1</x:v>
      </x:c>
      <x:c r="X577" s="201" t="str">
        <x:f>IF(U577=0,"Não iniciado",IF(U577&gt;=M577,"Concluído","Parcial"))</x:f>
        <x:v>Concluído</x:v>
      </x:c>
      <x:c r="Y577" s="199" t="str"/>
      <x:c r="Z577" s="188" t="str">
        <x:v>Normal</x:v>
      </x:c>
    </x:row>
    <x:row r="578" ht="22" customHeight="1">
      <x:c r="A578" s="219" t="n">
        <x:v>574</x:v>
      </x:c>
      <x:c r="B578" s="220" t="str">
        <x:v>26808</x:v>
      </x:c>
      <x:c r="C578" s="220" t="str">
        <x:v>5</x:v>
      </x:c>
      <x:c r="D578" s="220" t="str">
        <x:v>608934</x:v>
      </x:c>
      <x:c r="E578" s="220" t="str">
        <x:v>3041400201</x:v>
      </x:c>
      <x:c r="F578" s="220" t="str">
        <x:v>PORTA</x:v>
      </x:c>
      <x:c r="G578" s="190" t="str">
        <x:v>FO POR S GD RU HDF 3 ESM BCO CAR 2100X80</x:v>
      </x:c>
      <x:c r="H578" s="190" t="str"/>
      <x:c r="I578" s="190" t="str"/>
      <x:c r="J578" s="190" t="str"/>
      <x:c r="K578" s="190" t="str">
        <x:v>ESMALTE</x:v>
      </x:c>
      <x:c r="L578" s="190" t="str">
        <x:v>BRANCO CARRARA</x:v>
      </x:c>
      <x:c r="M578" s="210" t="n">
        <x:v>1</x:v>
      </x:c>
      <x:c r="N578" s="210" t="str"/>
      <x:c r="O578" s="210" t="str"/>
      <x:c r="P578" s="210" t="str"/>
      <x:c r="Q578" s="211" t="n">
        <x:v>0.059</x:v>
      </x:c>
      <x:c r="R578" s="207" t="str"/>
      <x:c r="S578" s="207" t="str"/>
      <x:c r="T578" s="207" t="str"/>
      <x:c r="U578" s="207" t="n">
        <x:v>1</x:v>
      </x:c>
      <x:c r="V578" s="208" t="n">
        <x:f>MAX(0,M578-U578)</x:f>
        <x:v>0</x:v>
      </x:c>
      <x:c r="W578" s="209" t="n">
        <x:f>IFERROR(U578/M578,0)</x:f>
        <x:v>1</x:v>
      </x:c>
      <x:c r="X578" s="201" t="str">
        <x:f>IF(U578=0,"Não iniciado",IF(U578&gt;=M578,"Concluído","Parcial"))</x:f>
        <x:v>Concluído</x:v>
      </x:c>
      <x:c r="Y578" s="199" t="str"/>
      <x:c r="Z578" s="188" t="str">
        <x:v>Normal</x:v>
      </x:c>
    </x:row>
    <x:row r="579" ht="22" customHeight="1">
      <x:c r="A579" s="217" t="n">
        <x:v>575</x:v>
      </x:c>
      <x:c r="B579" s="218" t="str">
        <x:v>26808</x:v>
      </x:c>
      <x:c r="C579" s="218" t="str">
        <x:v>6</x:v>
      </x:c>
      <x:c r="D579" s="218" t="str">
        <x:v>608942</x:v>
      </x:c>
      <x:c r="E579" s="218" t="str">
        <x:v>3041400201</x:v>
      </x:c>
      <x:c r="F579" s="218" t="str">
        <x:v>PORTA</x:v>
      </x:c>
      <x:c r="G579" s="184" t="str">
        <x:v>FO POR S GD RU HDF 3 ESM BCO CAR 2100X80</x:v>
      </x:c>
      <x:c r="H579" s="184" t="str"/>
      <x:c r="I579" s="184" t="str"/>
      <x:c r="J579" s="184" t="str"/>
      <x:c r="K579" s="184" t="str">
        <x:v>ESMALTE</x:v>
      </x:c>
      <x:c r="L579" s="184" t="str">
        <x:v>BRANCO CARRARA</x:v>
      </x:c>
      <x:c r="M579" s="205" t="n">
        <x:v>6</x:v>
      </x:c>
      <x:c r="N579" s="205" t="str"/>
      <x:c r="O579" s="205" t="str"/>
      <x:c r="P579" s="205" t="str"/>
      <x:c r="Q579" s="206" t="n">
        <x:v>0.353</x:v>
      </x:c>
      <x:c r="R579" s="207" t="str"/>
      <x:c r="S579" s="207" t="str"/>
      <x:c r="T579" s="207" t="str"/>
      <x:c r="U579" s="207" t="n">
        <x:v>6</x:v>
      </x:c>
      <x:c r="V579" s="208" t="n">
        <x:f>MAX(0,M579-U579)</x:f>
        <x:v>0</x:v>
      </x:c>
      <x:c r="W579" s="209" t="n">
        <x:f>IFERROR(U579/M579,0)</x:f>
        <x:v>1</x:v>
      </x:c>
      <x:c r="X579" s="201" t="str">
        <x:f>IF(U579=0,"Não iniciado",IF(U579&gt;=M579,"Concluído","Parcial"))</x:f>
        <x:v>Concluído</x:v>
      </x:c>
      <x:c r="Y579" s="199" t="str"/>
      <x:c r="Z579" s="188" t="str">
        <x:v>Normal</x:v>
      </x:c>
    </x:row>
    <x:row r="580" ht="22" customHeight="1">
      <x:c r="A580" s="219" t="n">
        <x:v>576</x:v>
      </x:c>
      <x:c r="B580" s="220" t="str">
        <x:v>26808</x:v>
      </x:c>
      <x:c r="C580" s="220" t="str">
        <x:v>7</x:v>
      </x:c>
      <x:c r="D580" s="220" t="str">
        <x:v>608950</x:v>
      </x:c>
      <x:c r="E580" s="220" t="str">
        <x:v>3041400201</x:v>
      </x:c>
      <x:c r="F580" s="220" t="str">
        <x:v>PORTA</x:v>
      </x:c>
      <x:c r="G580" s="190" t="str">
        <x:v>FO POR S GD RU HDF 3 ESM BCO CAR 2100X80</x:v>
      </x:c>
      <x:c r="H580" s="190" t="str"/>
      <x:c r="I580" s="190" t="str"/>
      <x:c r="J580" s="190" t="str"/>
      <x:c r="K580" s="190" t="str">
        <x:v>ESMALTE</x:v>
      </x:c>
      <x:c r="L580" s="190" t="str">
        <x:v>BRANCO CARRARA</x:v>
      </x:c>
      <x:c r="M580" s="210" t="n">
        <x:v>4</x:v>
      </x:c>
      <x:c r="N580" s="210" t="str"/>
      <x:c r="O580" s="210" t="str"/>
      <x:c r="P580" s="210" t="str"/>
      <x:c r="Q580" s="211" t="n">
        <x:v>0.235</x:v>
      </x:c>
      <x:c r="R580" s="207" t="str"/>
      <x:c r="S580" s="207" t="str"/>
      <x:c r="T580" s="207" t="str"/>
      <x:c r="U580" s="207" t="n">
        <x:v>4</x:v>
      </x:c>
      <x:c r="V580" s="208" t="n">
        <x:f>MAX(0,M580-U580)</x:f>
        <x:v>0</x:v>
      </x:c>
      <x:c r="W580" s="209" t="n">
        <x:f>IFERROR(U580/M580,0)</x:f>
        <x:v>1</x:v>
      </x:c>
      <x:c r="X580" s="201" t="str">
        <x:f>IF(U580=0,"Não iniciado",IF(U580&gt;=M580,"Concluído","Parcial"))</x:f>
        <x:v>Concluído</x:v>
      </x:c>
      <x:c r="Y580" s="199" t="str"/>
      <x:c r="Z580" s="188" t="str">
        <x:v>Normal</x:v>
      </x:c>
    </x:row>
    <x:row r="581" ht="22" customHeight="1">
      <x:c r="A581" s="217" t="n">
        <x:v>577</x:v>
      </x:c>
      <x:c r="B581" s="218" t="str">
        <x:v>26808</x:v>
      </x:c>
      <x:c r="C581" s="218" t="str">
        <x:v>12</x:v>
      </x:c>
      <x:c r="D581" s="218" t="str">
        <x:v>608983</x:v>
      </x:c>
      <x:c r="E581" s="218" t="str">
        <x:v>3051400085</x:v>
      </x:c>
      <x:c r="F581" s="218" t="str">
        <x:v>PORTA</x:v>
      </x:c>
      <x:c r="G581" s="184" t="str">
        <x:v>FO P COR S GD HDF 3 ESM BCO CAR 2060X720</x:v>
      </x:c>
      <x:c r="H581" s="184" t="str">
        <x:v>LISA</x:v>
      </x:c>
      <x:c r="I581" s="184" t="str"/>
      <x:c r="J581" s="184" t="str"/>
      <x:c r="K581" s="184" t="str">
        <x:v>ESMALTE</x:v>
      </x:c>
      <x:c r="L581" s="184" t="str">
        <x:v>BRANCO CARRARA</x:v>
      </x:c>
      <x:c r="M581" s="205" t="n">
        <x:v>2</x:v>
      </x:c>
      <x:c r="N581" s="205" t="str"/>
      <x:c r="O581" s="205" t="str"/>
      <x:c r="P581" s="205" t="str"/>
      <x:c r="Q581" s="206" t="n">
        <x:v>0.104</x:v>
      </x:c>
      <x:c r="R581" s="207" t="str"/>
      <x:c r="S581" s="207" t="str"/>
      <x:c r="T581" s="207" t="str"/>
      <x:c r="U581" s="207" t="n">
        <x:v>1</x:v>
      </x:c>
      <x:c r="V581" s="208" t="n">
        <x:f>MAX(0,M581-U581)</x:f>
        <x:v>1</x:v>
      </x:c>
      <x:c r="W581" s="209" t="n">
        <x:f>IFERROR(U581/M581,0)</x:f>
        <x:v>0.5</x:v>
      </x:c>
      <x:c r="X581" s="201" t="str">
        <x:f>IF(U581=0,"Não iniciado",IF(U581&gt;=M581,"Concluído","Parcial"))</x:f>
        <x:v>Parcial</x:v>
      </x:c>
      <x:c r="Y581" s="199" t="str"/>
      <x:c r="Z581" s="188" t="str">
        <x:v>Normal</x:v>
      </x:c>
    </x:row>
    <x:row r="582" ht="22" customHeight="1">
      <x:c r="A582" s="219" t="n">
        <x:v>578</x:v>
      </x:c>
      <x:c r="B582" s="220" t="str">
        <x:v>26825</x:v>
      </x:c>
      <x:c r="C582" s="220" t="str">
        <x:v>1</x:v>
      </x:c>
      <x:c r="D582" s="220" t="str">
        <x:v>609042</x:v>
      </x:c>
      <x:c r="E582" s="220" t="str">
        <x:v>3051500142</x:v>
      </x:c>
      <x:c r="F582" s="220" t="str">
        <x:v>PORTA</x:v>
      </x:c>
      <x:c r="G582" s="190" t="str">
        <x:v>FO P COR S BD HDF 3 ESM BCO CAR 2100X105</x:v>
      </x:c>
      <x:c r="H582" s="190" t="str">
        <x:v>LISA</x:v>
      </x:c>
      <x:c r="I582" s="190" t="str"/>
      <x:c r="J582" s="190" t="str"/>
      <x:c r="K582" s="190" t="str">
        <x:v>ESMALTE</x:v>
      </x:c>
      <x:c r="L582" s="190" t="str">
        <x:v>BRANCO CARRARA</x:v>
      </x:c>
      <x:c r="M582" s="210" t="n">
        <x:v>32</x:v>
      </x:c>
      <x:c r="N582" s="210" t="str"/>
      <x:c r="O582" s="210" t="str"/>
      <x:c r="P582" s="210" t="str"/>
      <x:c r="Q582" s="211" t="n">
        <x:v>2.47</x:v>
      </x:c>
      <x:c r="R582" s="207" t="str"/>
      <x:c r="S582" s="207" t="str"/>
      <x:c r="T582" s="207" t="str"/>
      <x:c r="U582" s="207" t="n">
        <x:v>16</x:v>
      </x:c>
      <x:c r="V582" s="208" t="n">
        <x:f>MAX(0,M582-U582)</x:f>
        <x:v>16</x:v>
      </x:c>
      <x:c r="W582" s="209" t="n">
        <x:f>IFERROR(U582/M582,0)</x:f>
        <x:v>0.5</x:v>
      </x:c>
      <x:c r="X582" s="201" t="str">
        <x:f>IF(U582=0,"Não iniciado",IF(U582&gt;=M582,"Concluído","Parcial"))</x:f>
        <x:v>Parcial</x:v>
      </x:c>
      <x:c r="Y582" s="199" t="str"/>
      <x:c r="Z582" s="188" t="str">
        <x:v>Normal</x:v>
      </x:c>
    </x:row>
    <x:row r="583" ht="22" customHeight="1">
      <x:c r="A583" s="221" t="n">
        <x:v>579</x:v>
      </x:c>
      <x:c r="B583" s="222" t="str">
        <x:v>26809</x:v>
      </x:c>
      <x:c r="C583" s="222" t="str">
        <x:v>3</x:v>
      </x:c>
      <x:c r="D583" s="222" t="str">
        <x:v>609933</x:v>
      </x:c>
      <x:c r="E583" s="222" t="str">
        <x:v>3041400350</x:v>
      </x:c>
      <x:c r="F583" s="222" t="str">
        <x:v>PORTA</x:v>
      </x:c>
      <x:c r="G583" s="194" t="str">
        <x:v>FO POR S GD RU HDF 3 IMP CAP M 2100X900X</x:v>
      </x:c>
      <x:c r="H583" s="194" t="str">
        <x:v>LISA</x:v>
      </x:c>
      <x:c r="I583" s="194" t="str"/>
      <x:c r="J583" s="194" t="str"/>
      <x:c r="K583" s="194" t="str">
        <x:v>IMPRESSO</x:v>
      </x:c>
      <x:c r="L583" s="194" t="str">
        <x:v>CAPUCCINO MARCHE</x:v>
      </x:c>
      <x:c r="M583" s="212" t="n">
        <x:v>11</x:v>
      </x:c>
      <x:c r="N583" s="212" t="str"/>
      <x:c r="O583" s="212" t="str"/>
      <x:c r="P583" s="212" t="str"/>
      <x:c r="Q583" s="213" t="n">
        <x:v>0.728</x:v>
      </x:c>
      <x:c r="R583" s="214" t="str"/>
      <x:c r="S583" s="214" t="str"/>
      <x:c r="T583" s="214" t="str"/>
      <x:c r="U583" s="214" t="n">
        <x:v>11</x:v>
      </x:c>
      <x:c r="V583" s="215" t="n">
        <x:f>MAX(0,M583-U583)</x:f>
        <x:v>0</x:v>
      </x:c>
      <x:c r="W583" s="216" t="n">
        <x:f>IFERROR(U583/M583,0)</x:f>
        <x:v>1</x:v>
      </x:c>
      <x:c r="X583" s="203" t="str">
        <x:f>IF(U583=0,"Não iniciado",IF(U583&gt;=M583,"Concluído","Parcial"))</x:f>
        <x:v>Concluído</x:v>
      </x:c>
      <x:c r="Y583" s="200" t="str"/>
      <x:c r="Z583" s="198" t="str">
        <x:v>Normal</x:v>
      </x:c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LIXAR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LIXAR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26744</x:v>
      </x:c>
      <x:c r="C5" s="218" t="str">
        <x:v>3</x:v>
      </x:c>
      <x:c r="D5" s="218" t="str">
        <x:v>610005</x:v>
      </x:c>
      <x:c r="E5" s="218" t="str">
        <x:v>674641</x:v>
      </x:c>
      <x:c r="F5" s="218" t="str">
        <x:v>BATENTE</x:v>
      </x:c>
      <x:c r="G5" s="184" t="str">
        <x:v>2110x150x30 42x10 R2 BIA PET B U PREM</x:v>
      </x:c>
      <x:c r="H5" s="184" t="str"/>
      <x:c r="I5" s="184" t="str"/>
      <x:c r="J5" s="184" t="str"/>
      <x:c r="K5" s="184" t="str">
        <x:v>RECOBERTO PET</x:v>
      </x:c>
      <x:c r="L5" s="184" t="str">
        <x:v>BRANCO CARRARA</x:v>
      </x:c>
      <x:c r="M5" s="205" t="n">
        <x:v>2</x:v>
      </x:c>
      <x:c r="N5" s="205" t="n">
        <x:v>2110</x:v>
      </x:c>
      <x:c r="O5" s="205" t="n">
        <x:v>150</x:v>
      </x:c>
      <x:c r="P5" s="205" t="n">
        <x:v>30</x:v>
      </x:c>
      <x:c r="Q5" s="206" t="n">
        <x:v>0</x:v>
      </x:c>
      <x:c r="R5" s="207" t="str"/>
      <x:c r="S5" s="207" t="str"/>
      <x:c r="T5" s="207" t="str"/>
      <x:c r="U5" s="207" t="n">
        <x:v>0</x:v>
      </x:c>
      <x:c r="V5" s="208" t="n">
        <x:f>MAX(0,M5-U5)</x:f>
        <x:v>2</x:v>
      </x:c>
      <x:c r="W5" s="209" t="n">
        <x:f>IFERROR(U5/M5,0)</x:f>
        <x:v>0</x:v>
      </x:c>
      <x:c r="X5" s="201" t="str">
        <x:f>IF(U5=0,"Não iniciado",IF(U5&gt;=M5,"Concluído","Parcial"))</x:f>
        <x:v>Não iniciado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26744</x:v>
      </x:c>
      <x:c r="C6" s="220" t="str">
        <x:v>3</x:v>
      </x:c>
      <x:c r="D6" s="220" t="str">
        <x:v>610006</x:v>
      </x:c>
      <x:c r="E6" s="220" t="str">
        <x:v>675666</x:v>
      </x:c>
      <x:c r="F6" s="220" t="str">
        <x:v>BATENTE</x:v>
      </x:c>
      <x:c r="G6" s="190" t="str">
        <x:v>747x150x30 42x10 R2 BIA R PET BCO PRM</x:v>
      </x:c>
      <x:c r="H6" s="190" t="str"/>
      <x:c r="I6" s="190" t="str"/>
      <x:c r="J6" s="190" t="str"/>
      <x:c r="K6" s="190" t="str">
        <x:v>RECOBERTO PET</x:v>
      </x:c>
      <x:c r="L6" s="190" t="str">
        <x:v>BRANCO CARRARA</x:v>
      </x:c>
      <x:c r="M6" s="210" t="n">
        <x:v>1</x:v>
      </x:c>
      <x:c r="N6" s="210" t="n">
        <x:v>747</x:v>
      </x:c>
      <x:c r="O6" s="210" t="n">
        <x:v>150</x:v>
      </x:c>
      <x:c r="P6" s="210" t="n">
        <x:v>30</x:v>
      </x:c>
      <x:c r="Q6" s="211" t="n">
        <x:v>0</x:v>
      </x:c>
      <x:c r="R6" s="207" t="str"/>
      <x:c r="S6" s="207" t="str"/>
      <x:c r="T6" s="207" t="str"/>
      <x:c r="U6" s="207" t="n">
        <x:v>0</x:v>
      </x:c>
      <x:c r="V6" s="208" t="n">
        <x:f>MAX(0,M6-U6)</x:f>
        <x:v>1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26744</x:v>
      </x:c>
      <x:c r="C7" s="218" t="str">
        <x:v>5</x:v>
      </x:c>
      <x:c r="D7" s="218" t="str">
        <x:v>610015</x:v>
      </x:c>
      <x:c r="E7" s="218" t="str">
        <x:v>675290</x:v>
      </x:c>
      <x:c r="F7" s="218" t="str">
        <x:v>BATENTE</x:v>
      </x:c>
      <x:c r="G7" s="184" t="str">
        <x:v>2130x130x30 S/REB R2L PET BCO (PREMIUM)</x:v>
      </x:c>
      <x:c r="H7" s="184" t="str">
        <x:v>MAD D/PINUS</x:v>
      </x:c>
      <x:c r="I7" s="184" t="str">
        <x:v>S/CANAL</x:v>
      </x:c>
      <x:c r="J7" s="184" t="str">
        <x:v>S/REB</x:v>
      </x:c>
      <x:c r="K7" s="184" t="str">
        <x:v>RECOBERTO PET</x:v>
      </x:c>
      <x:c r="L7" s="184" t="str">
        <x:v>BRANCO CARRARA</x:v>
      </x:c>
      <x:c r="M7" s="205" t="n">
        <x:v>4</x:v>
      </x:c>
      <x:c r="N7" s="205" t="n">
        <x:v>2130</x:v>
      </x:c>
      <x:c r="O7" s="205" t="n">
        <x:v>130</x:v>
      </x:c>
      <x:c r="P7" s="205" t="n">
        <x:v>30</x:v>
      </x:c>
      <x:c r="Q7" s="206" t="n">
        <x:v>0</x:v>
      </x:c>
      <x:c r="R7" s="207" t="str"/>
      <x:c r="S7" s="207" t="str"/>
      <x:c r="T7" s="207" t="str"/>
      <x:c r="U7" s="207" t="n">
        <x:v>0</x:v>
      </x:c>
      <x:c r="V7" s="208" t="n">
        <x:f>MAX(0,M7-U7)</x:f>
        <x:v>4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26744</x:v>
      </x:c>
      <x:c r="C8" s="220" t="str">
        <x:v>1</x:v>
      </x:c>
      <x:c r="D8" s="220" t="str">
        <x:v>609987</x:v>
      </x:c>
      <x:c r="E8" s="220" t="str">
        <x:v>674790</x:v>
      </x:c>
      <x:c r="F8" s="220" t="str">
        <x:v>BATENTE</x:v>
      </x:c>
      <x:c r="G8" s="190" t="str">
        <x:v>2110x130x30 42x10 R2L BIA R PET U(PREMIU</x:v>
      </x:c>
      <x:c r="H8" s="190" t="str"/>
      <x:c r="I8" s="190" t="str"/>
      <x:c r="J8" s="190" t="str"/>
      <x:c r="K8" s="190" t="str">
        <x:v>RECOBERTO PET</x:v>
      </x:c>
      <x:c r="L8" s="190" t="str">
        <x:v>BRANCO CARRARA</x:v>
      </x:c>
      <x:c r="M8" s="210" t="n">
        <x:v>8</x:v>
      </x:c>
      <x:c r="N8" s="210" t="n">
        <x:v>2110</x:v>
      </x:c>
      <x:c r="O8" s="210" t="n">
        <x:v>130</x:v>
      </x:c>
      <x:c r="P8" s="210" t="n">
        <x:v>30</x:v>
      </x:c>
      <x:c r="Q8" s="211" t="n">
        <x:v>0</x:v>
      </x:c>
      <x:c r="R8" s="207" t="str"/>
      <x:c r="S8" s="207" t="str"/>
      <x:c r="T8" s="207" t="str"/>
      <x:c r="U8" s="207" t="n">
        <x:v>0</x:v>
      </x:c>
      <x:c r="V8" s="208" t="n">
        <x:f>MAX(0,M8-U8)</x:f>
        <x:v>8</x:v>
      </x:c>
      <x:c r="W8" s="209" t="n">
        <x:f>IFERROR(U8/M8,0)</x:f>
        <x:v>0</x:v>
      </x:c>
      <x:c r="X8" s="201" t="str">
        <x:f>IF(U8=0,"Não iniciado",IF(U8&gt;=M8,"Concluído","Parcial"))</x:f>
        <x:v>Não iniciado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26744</x:v>
      </x:c>
      <x:c r="C9" s="218" t="str">
        <x:v>2</x:v>
      </x:c>
      <x:c r="D9" s="218" t="str">
        <x:v>609996</x:v>
      </x:c>
      <x:c r="E9" s="218" t="str">
        <x:v>674790</x:v>
      </x:c>
      <x:c r="F9" s="218" t="str">
        <x:v>BATENTE</x:v>
      </x:c>
      <x:c r="G9" s="184" t="str">
        <x:v>2110x130x30 42x10 R2L BIA R PET U(PREMIU</x:v>
      </x:c>
      <x:c r="H9" s="184" t="str"/>
      <x:c r="I9" s="184" t="str"/>
      <x:c r="J9" s="184" t="str"/>
      <x:c r="K9" s="184" t="str">
        <x:v>RECOBERTO PET</x:v>
      </x:c>
      <x:c r="L9" s="184" t="str">
        <x:v>BRANCO CARRARA</x:v>
      </x:c>
      <x:c r="M9" s="205" t="n">
        <x:v>10</x:v>
      </x:c>
      <x:c r="N9" s="205" t="n">
        <x:v>2110</x:v>
      </x:c>
      <x:c r="O9" s="205" t="n">
        <x:v>130</x:v>
      </x:c>
      <x:c r="P9" s="205" t="n">
        <x:v>30</x:v>
      </x:c>
      <x:c r="Q9" s="206" t="n">
        <x:v>0</x:v>
      </x:c>
      <x:c r="R9" s="207" t="str"/>
      <x:c r="S9" s="207" t="str"/>
      <x:c r="T9" s="207" t="str"/>
      <x:c r="U9" s="207" t="n">
        <x:v>0</x:v>
      </x:c>
      <x:c r="V9" s="208" t="n">
        <x:f>MAX(0,M9-U9)</x:f>
        <x:v>10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26808</x:v>
      </x:c>
      <x:c r="C10" s="220" t="str">
        <x:v>2</x:v>
      </x:c>
      <x:c r="D10" s="220" t="str">
        <x:v>608904</x:v>
      </x:c>
      <x:c r="E10" s="220" t="str">
        <x:v>674790</x:v>
      </x:c>
      <x:c r="F10" s="220" t="str">
        <x:v>BATENTE</x:v>
      </x:c>
      <x:c r="G10" s="190" t="str">
        <x:v>2110x130x30 42x10 R2L BIA R PET U(PREMIU</x:v>
      </x:c>
      <x:c r="H10" s="190" t="str"/>
      <x:c r="I10" s="190" t="str"/>
      <x:c r="J10" s="190" t="str"/>
      <x:c r="K10" s="190" t="str">
        <x:v>ESMALTE</x:v>
      </x:c>
      <x:c r="L10" s="190" t="str">
        <x:v>BRANCO CARRARA</x:v>
      </x:c>
      <x:c r="M10" s="210" t="n">
        <x:v>32</x:v>
      </x:c>
      <x:c r="N10" s="210" t="n">
        <x:v>2110</x:v>
      </x:c>
      <x:c r="O10" s="210" t="n">
        <x:v>130</x:v>
      </x:c>
      <x:c r="P10" s="210" t="n">
        <x:v>30</x:v>
      </x:c>
      <x:c r="Q10" s="211" t="n">
        <x:v>0</x:v>
      </x:c>
      <x:c r="R10" s="207" t="str"/>
      <x:c r="S10" s="207" t="str"/>
      <x:c r="T10" s="207" t="str"/>
      <x:c r="U10" s="207" t="n">
        <x:v>0</x:v>
      </x:c>
      <x:c r="V10" s="208" t="n">
        <x:f>MAX(0,M10-U10)</x:f>
        <x:v>32</x:v>
      </x:c>
      <x:c r="W10" s="209" t="n">
        <x:f>IFERROR(U10/M10,0)</x:f>
        <x:v>0</x:v>
      </x:c>
      <x:c r="X10" s="201" t="str">
        <x:f>IF(U10=0,"Não iniciado",IF(U10&gt;=M10,"Concluído","Parcial"))</x:f>
        <x:v>Não iniciado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26808</x:v>
      </x:c>
      <x:c r="C11" s="218" t="str">
        <x:v>7</x:v>
      </x:c>
      <x:c r="D11" s="218" t="str">
        <x:v>608944</x:v>
      </x:c>
      <x:c r="E11" s="218" t="str">
        <x:v>674790</x:v>
      </x:c>
      <x:c r="F11" s="218" t="str">
        <x:v>BATENTE</x:v>
      </x:c>
      <x:c r="G11" s="184" t="str">
        <x:v>2110x130x30 42x10 R2L BIA R PET U(PREMIU</x:v>
      </x:c>
      <x:c r="H11" s="184" t="str"/>
      <x:c r="I11" s="184" t="str"/>
      <x:c r="J11" s="184" t="str"/>
      <x:c r="K11" s="184" t="str">
        <x:v>ESMALTE</x:v>
      </x:c>
      <x:c r="L11" s="184" t="str">
        <x:v>BRANCO CARRARA</x:v>
      </x:c>
      <x:c r="M11" s="205" t="n">
        <x:v>8</x:v>
      </x:c>
      <x:c r="N11" s="205" t="n">
        <x:v>2110</x:v>
      </x:c>
      <x:c r="O11" s="205" t="n">
        <x:v>130</x:v>
      </x:c>
      <x:c r="P11" s="205" t="n">
        <x:v>30</x:v>
      </x:c>
      <x:c r="Q11" s="206" t="n">
        <x:v>0</x:v>
      </x:c>
      <x:c r="R11" s="207" t="str"/>
      <x:c r="S11" s="207" t="str"/>
      <x:c r="T11" s="207" t="str"/>
      <x:c r="U11" s="207" t="n">
        <x:v>0</x:v>
      </x:c>
      <x:c r="V11" s="208" t="n">
        <x:f>MAX(0,M11-U11)</x:f>
        <x:v>8</x:v>
      </x:c>
      <x:c r="W11" s="209" t="n">
        <x:f>IFERROR(U11/M11,0)</x:f>
        <x:v>0</x:v>
      </x:c>
      <x:c r="X11" s="201" t="str">
        <x:f>IF(U11=0,"Não iniciado",IF(U11&gt;=M11,"Concluído","Parcial"))</x:f>
        <x:v>Não iniciado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26808</x:v>
      </x:c>
      <x:c r="C12" s="220" t="str">
        <x:v>10</x:v>
      </x:c>
      <x:c r="D12" s="220" t="str">
        <x:v>608968</x:v>
      </x:c>
      <x:c r="E12" s="220" t="str">
        <x:v>674790</x:v>
      </x:c>
      <x:c r="F12" s="220" t="str">
        <x:v>BATENTE</x:v>
      </x:c>
      <x:c r="G12" s="190" t="str">
        <x:v>2110x130x30 42x10 R2L BIA R PET U(PREMIU</x:v>
      </x:c>
      <x:c r="H12" s="190" t="str"/>
      <x:c r="I12" s="190" t="str"/>
      <x:c r="J12" s="190" t="str"/>
      <x:c r="K12" s="190" t="str">
        <x:v>ESMALTE</x:v>
      </x:c>
      <x:c r="L12" s="190" t="str">
        <x:v>BRANCO CARRARA</x:v>
      </x:c>
      <x:c r="M12" s="210" t="n">
        <x:v>2</x:v>
      </x:c>
      <x:c r="N12" s="210" t="n">
        <x:v>2110</x:v>
      </x:c>
      <x:c r="O12" s="210" t="n">
        <x:v>130</x:v>
      </x:c>
      <x:c r="P12" s="210" t="n">
        <x:v>30</x:v>
      </x:c>
      <x:c r="Q12" s="211" t="n">
        <x:v>0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2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26744</x:v>
      </x:c>
      <x:c r="C13" s="218" t="str">
        <x:v>5</x:v>
      </x:c>
      <x:c r="D13" s="218" t="str">
        <x:v>610016</x:v>
      </x:c>
      <x:c r="E13" s="218" t="str">
        <x:v>676650</x:v>
      </x:c>
      <x:c r="F13" s="218" t="str">
        <x:v>BATENTE</x:v>
      </x:c>
      <x:c r="G13" s="184" t="str">
        <x:v>1000x130x30 S/REB R1L(MA) PET BCO (REC)</x:v>
      </x:c>
      <x:c r="H13" s="184" t="str">
        <x:v>MAD D/PINUS</x:v>
      </x:c>
      <x:c r="I13" s="184" t="str">
        <x:v>S/CANAL</x:v>
      </x:c>
      <x:c r="J13" s="184" t="str">
        <x:v>S/REB</x:v>
      </x:c>
      <x:c r="K13" s="184" t="str">
        <x:v>RECOBERTO PET</x:v>
      </x:c>
      <x:c r="L13" s="184" t="str">
        <x:v>BRANCO CARRARA</x:v>
      </x:c>
      <x:c r="M13" s="205" t="n">
        <x:v>2</x:v>
      </x:c>
      <x:c r="N13" s="205" t="n">
        <x:v>1000</x:v>
      </x:c>
      <x:c r="O13" s="205" t="n">
        <x:v>130</x:v>
      </x:c>
      <x:c r="P13" s="205" t="n">
        <x:v>30</x:v>
      </x:c>
      <x:c r="Q13" s="206" t="n">
        <x:v>0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2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26808</x:v>
      </x:c>
      <x:c r="C14" s="220" t="str">
        <x:v>7</x:v>
      </x:c>
      <x:c r="D14" s="220" t="str">
        <x:v>608945</x:v>
      </x:c>
      <x:c r="E14" s="220" t="str">
        <x:v>675742</x:v>
      </x:c>
      <x:c r="F14" s="220" t="str">
        <x:v>BATENTE</x:v>
      </x:c>
      <x:c r="G14" s="190" t="str">
        <x:v>847x130x30 42x10 R2L BIA PET BC(PREMIUM)</x:v>
      </x:c>
      <x:c r="H14" s="190" t="str"/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4</x:v>
      </x:c>
      <x:c r="N14" s="210" t="n">
        <x:v>847</x:v>
      </x:c>
      <x:c r="O14" s="210" t="n">
        <x:v>130</x:v>
      </x:c>
      <x:c r="P14" s="210" t="n">
        <x:v>30</x:v>
      </x:c>
      <x:c r="Q14" s="211" t="n">
        <x:v>0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4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26808</x:v>
      </x:c>
      <x:c r="C15" s="218" t="str">
        <x:v>10</x:v>
      </x:c>
      <x:c r="D15" s="218" t="str">
        <x:v>608969</x:v>
      </x:c>
      <x:c r="E15" s="218" t="str">
        <x:v>675742</x:v>
      </x:c>
      <x:c r="F15" s="218" t="str">
        <x:v>BATENTE</x:v>
      </x:c>
      <x:c r="G15" s="184" t="str">
        <x:v>847x130x30 42x10 R2L BIA PET BC(PREMIUM)</x:v>
      </x:c>
      <x:c r="H15" s="184" t="str"/>
      <x:c r="I15" s="184" t="str"/>
      <x:c r="J15" s="184" t="str"/>
      <x:c r="K15" s="184" t="str">
        <x:v>ESMALTE</x:v>
      </x:c>
      <x:c r="L15" s="184" t="str">
        <x:v>BRANCO CARRARA</x:v>
      </x:c>
      <x:c r="M15" s="205" t="n">
        <x:v>1</x:v>
      </x:c>
      <x:c r="N15" s="205" t="n">
        <x:v>847</x:v>
      </x:c>
      <x:c r="O15" s="205" t="n">
        <x:v>130</x:v>
      </x:c>
      <x:c r="P15" s="205" t="n">
        <x:v>30</x:v>
      </x:c>
      <x:c r="Q15" s="206" t="n">
        <x:v>0</x:v>
      </x:c>
      <x:c r="R15" s="207" t="str"/>
      <x:c r="S15" s="207" t="str"/>
      <x:c r="T15" s="207" t="str"/>
      <x:c r="U15" s="207" t="n">
        <x:v>0</x:v>
      </x:c>
      <x:c r="V15" s="208" t="n">
        <x:f>MAX(0,M15-U15)</x:f>
        <x:v>1</x:v>
      </x:c>
      <x:c r="W15" s="209" t="n">
        <x:f>IFERROR(U15/M15,0)</x:f>
        <x:v>0</x:v>
      </x:c>
      <x:c r="X15" s="201" t="str">
        <x:f>IF(U15=0,"Não iniciado",IF(U15&gt;=M15,"Concluído","Parcial"))</x:f>
        <x:v>Não iniciado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26744</x:v>
      </x:c>
      <x:c r="C16" s="220" t="str">
        <x:v>2</x:v>
      </x:c>
      <x:c r="D16" s="220" t="str">
        <x:v>609997</x:v>
      </x:c>
      <x:c r="E16" s="220" t="str">
        <x:v>675978</x:v>
      </x:c>
      <x:c r="F16" s="220" t="str">
        <x:v>BATENTE</x:v>
      </x:c>
      <x:c r="G16" s="190" t="str">
        <x:v>747x130x30 42x10 R2 BIA PET BC(PREMIUM)</x:v>
      </x:c>
      <x:c r="H16" s="190" t="str"/>
      <x:c r="I16" s="190" t="str"/>
      <x:c r="J16" s="190" t="str"/>
      <x:c r="K16" s="190" t="str">
        <x:v>RECOBERTO PET</x:v>
      </x:c>
      <x:c r="L16" s="190" t="str">
        <x:v>BRANCO CARRARA</x:v>
      </x:c>
      <x:c r="M16" s="210" t="n">
        <x:v>5</x:v>
      </x:c>
      <x:c r="N16" s="210" t="n">
        <x:v>747</x:v>
      </x:c>
      <x:c r="O16" s="210" t="n">
        <x:v>130</x:v>
      </x:c>
      <x:c r="P16" s="210" t="n">
        <x:v>30</x:v>
      </x:c>
      <x:c r="Q16" s="211" t="n">
        <x:v>0</x:v>
      </x:c>
      <x:c r="R16" s="207" t="str"/>
      <x:c r="S16" s="207" t="str"/>
      <x:c r="T16" s="207" t="str"/>
      <x:c r="U16" s="207" t="n">
        <x:v>0</x:v>
      </x:c>
      <x:c r="V16" s="208" t="n">
        <x:f>MAX(0,M16-U16)</x:f>
        <x:v>5</x:v>
      </x:c>
      <x:c r="W16" s="209" t="n">
        <x:f>IFERROR(U16/M16,0)</x:f>
        <x:v>0</x:v>
      </x:c>
      <x:c r="X16" s="201" t="str">
        <x:f>IF(U16=0,"Não iniciado",IF(U16&gt;=M16,"Concluído","Parcial"))</x:f>
        <x:v>Não iniciado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26744</x:v>
      </x:c>
      <x:c r="C17" s="218" t="str">
        <x:v>1</x:v>
      </x:c>
      <x:c r="D17" s="218" t="str">
        <x:v>609988</x:v>
      </x:c>
      <x:c r="E17" s="218" t="str">
        <x:v>675803</x:v>
      </x:c>
      <x:c r="F17" s="218" t="str">
        <x:v>BATENTE</x:v>
      </x:c>
      <x:c r="G17" s="184" t="str">
        <x:v>647x130x30 42x10 R2L BIA PET BC(PREMIUM)</x:v>
      </x:c>
      <x:c r="H17" s="184" t="str"/>
      <x:c r="I17" s="184" t="str"/>
      <x:c r="J17" s="184" t="str"/>
      <x:c r="K17" s="184" t="str">
        <x:v>RECOBERTO PET</x:v>
      </x:c>
      <x:c r="L17" s="184" t="str">
        <x:v>BRANCO CARRARA</x:v>
      </x:c>
      <x:c r="M17" s="205" t="n">
        <x:v>4</x:v>
      </x:c>
      <x:c r="N17" s="205" t="n">
        <x:v>647</x:v>
      </x:c>
      <x:c r="O17" s="205" t="n">
        <x:v>130</x:v>
      </x:c>
      <x:c r="P17" s="205" t="n">
        <x:v>30</x:v>
      </x:c>
      <x:c r="Q17" s="206" t="n">
        <x:v>0</x:v>
      </x:c>
      <x:c r="R17" s="207" t="str"/>
      <x:c r="S17" s="207" t="str"/>
      <x:c r="T17" s="207" t="str"/>
      <x:c r="U17" s="207" t="n">
        <x:v>0</x:v>
      </x:c>
      <x:c r="V17" s="208" t="n">
        <x:f>MAX(0,M17-U17)</x:f>
        <x:v>4</x:v>
      </x:c>
      <x:c r="W17" s="209" t="n">
        <x:f>IFERROR(U17/M17,0)</x:f>
        <x:v>0</x:v>
      </x:c>
      <x:c r="X17" s="201" t="str">
        <x:f>IF(U17=0,"Não iniciado",IF(U17&gt;=M17,"Concluído","Parcial"))</x:f>
        <x:v>Não iniciado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26808</x:v>
      </x:c>
      <x:c r="C18" s="220" t="str">
        <x:v>2</x:v>
      </x:c>
      <x:c r="D18" s="220" t="str">
        <x:v>608905</x:v>
      </x:c>
      <x:c r="E18" s="220" t="str">
        <x:v>675803</x:v>
      </x:c>
      <x:c r="F18" s="220" t="str">
        <x:v>BATENTE</x:v>
      </x:c>
      <x:c r="G18" s="190" t="str">
        <x:v>647x130x30 42x10 R2L BIA PET BC(PREMIUM)</x:v>
      </x:c>
      <x:c r="H18" s="190" t="str"/>
      <x:c r="I18" s="190" t="str"/>
      <x:c r="J18" s="190" t="str"/>
      <x:c r="K18" s="190" t="str">
        <x:v>ESMALTE</x:v>
      </x:c>
      <x:c r="L18" s="190" t="str">
        <x:v>BRANCO CARRARA</x:v>
      </x:c>
      <x:c r="M18" s="210" t="n">
        <x:v>16</x:v>
      </x:c>
      <x:c r="N18" s="210" t="n">
        <x:v>647</x:v>
      </x:c>
      <x:c r="O18" s="210" t="n">
        <x:v>130</x:v>
      </x:c>
      <x:c r="P18" s="210" t="n">
        <x:v>30</x:v>
      </x:c>
      <x:c r="Q18" s="211" t="n">
        <x:v>0</x:v>
      </x:c>
      <x:c r="R18" s="207" t="str"/>
      <x:c r="S18" s="207" t="str"/>
      <x:c r="T18" s="207" t="str"/>
      <x:c r="U18" s="207" t="n">
        <x:v>0</x:v>
      </x:c>
      <x:c r="V18" s="208" t="n">
        <x:f>MAX(0,M18-U18)</x:f>
        <x:v>16</x:v>
      </x:c>
      <x:c r="W18" s="209" t="n">
        <x:f>IFERROR(U18/M18,0)</x:f>
        <x:v>0</x:v>
      </x:c>
      <x:c r="X18" s="201" t="str">
        <x:f>IF(U18=0,"Não iniciado",IF(U18&gt;=M18,"Concluído","Parcial"))</x:f>
        <x:v>Não iniciado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26808</x:v>
      </x:c>
      <x:c r="C19" s="218" t="str">
        <x:v>1</x:v>
      </x:c>
      <x:c r="D19" s="218" t="str">
        <x:v>608896</x:v>
      </x:c>
      <x:c r="E19" s="218" t="str">
        <x:v>674786</x:v>
      </x:c>
      <x:c r="F19" s="218" t="str">
        <x:v>BATENTE</x:v>
      </x:c>
      <x:c r="G19" s="184" t="str">
        <x:v>2110x110x30 42x10 R2L BIA R PET U PREMIU</x:v>
      </x:c>
      <x:c r="H19" s="184" t="str"/>
      <x:c r="I19" s="184" t="str"/>
      <x:c r="J19" s="184" t="str"/>
      <x:c r="K19" s="184" t="str">
        <x:v>ESMALTE</x:v>
      </x:c>
      <x:c r="L19" s="184" t="str">
        <x:v>BRANCO CARRARA</x:v>
      </x:c>
      <x:c r="M19" s="205" t="n">
        <x:v>288</x:v>
      </x:c>
      <x:c r="N19" s="205" t="n">
        <x:v>2110</x:v>
      </x:c>
      <x:c r="O19" s="205" t="n">
        <x:v>110</x:v>
      </x:c>
      <x:c r="P19" s="205" t="n">
        <x:v>30</x:v>
      </x:c>
      <x:c r="Q19" s="206" t="n">
        <x:v>2.005</x:v>
      </x:c>
      <x:c r="R19" s="207" t="str"/>
      <x:c r="S19" s="207" t="str"/>
      <x:c r="T19" s="207" t="str"/>
      <x:c r="U19" s="207" t="n">
        <x:v>0</x:v>
      </x:c>
      <x:c r="V19" s="208" t="n">
        <x:f>MAX(0,M19-U19)</x:f>
        <x:v>288</x:v>
      </x:c>
      <x:c r="W19" s="209" t="n">
        <x:f>IFERROR(U19/M19,0)</x:f>
        <x:v>0</x:v>
      </x:c>
      <x:c r="X19" s="201" t="str">
        <x:f>IF(U19=0,"Não iniciado",IF(U19&gt;=M19,"Concluído","Parcial"))</x:f>
        <x:v>Não iniciado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26808</x:v>
      </x:c>
      <x:c r="C20" s="220" t="str">
        <x:v>4</x:v>
      </x:c>
      <x:c r="D20" s="220" t="str">
        <x:v>608920</x:v>
      </x:c>
      <x:c r="E20" s="220" t="str">
        <x:v>674786</x:v>
      </x:c>
      <x:c r="F20" s="220" t="str">
        <x:v>BATENTE</x:v>
      </x:c>
      <x:c r="G20" s="190" t="str">
        <x:v>2110x110x30 42x10 R2L BIA R PET U PREMIU</x:v>
      </x:c>
      <x:c r="H20" s="190" t="str"/>
      <x:c r="I20" s="190" t="str"/>
      <x:c r="J20" s="190" t="str"/>
      <x:c r="K20" s="190" t="str">
        <x:v>ESMALTE</x:v>
      </x:c>
      <x:c r="L20" s="190" t="str">
        <x:v>BRANCO CARRARA</x:v>
      </x:c>
      <x:c r="M20" s="210" t="n">
        <x:v>126</x:v>
      </x:c>
      <x:c r="N20" s="210" t="n">
        <x:v>2110</x:v>
      </x:c>
      <x:c r="O20" s="210" t="n">
        <x:v>110</x:v>
      </x:c>
      <x:c r="P20" s="210" t="n">
        <x:v>30</x:v>
      </x:c>
      <x:c r="Q20" s="211" t="n">
        <x:v>0.877</x:v>
      </x:c>
      <x:c r="R20" s="207" t="str"/>
      <x:c r="S20" s="207" t="str"/>
      <x:c r="T20" s="207" t="str"/>
      <x:c r="U20" s="207" t="n">
        <x:v>0</x:v>
      </x:c>
      <x:c r="V20" s="208" t="n">
        <x:f>MAX(0,M20-U20)</x:f>
        <x:v>126</x:v>
      </x:c>
      <x:c r="W20" s="209" t="n">
        <x:f>IFERROR(U20/M20,0)</x:f>
        <x:v>0</x:v>
      </x:c>
      <x:c r="X20" s="201" t="str">
        <x:f>IF(U20=0,"Não iniciado",IF(U20&gt;=M20,"Concluído","Parcial"))</x:f>
        <x:v>Não iniciado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26808</x:v>
      </x:c>
      <x:c r="C21" s="218" t="str">
        <x:v>6</x:v>
      </x:c>
      <x:c r="D21" s="218" t="str">
        <x:v>608940</x:v>
      </x:c>
      <x:c r="E21" s="218" t="str">
        <x:v>973935</x:v>
      </x:c>
      <x:c r="F21" s="218" t="str">
        <x:v>BATENTE</x:v>
      </x:c>
      <x:c r="G21" s="184" t="str">
        <x:v>2110x110x30 42x10 R2 BIA PET BCO U PREM</x:v>
      </x:c>
      <x:c r="H21" s="184" t="str"/>
      <x:c r="I21" s="184" t="str"/>
      <x:c r="J21" s="184" t="str"/>
      <x:c r="K21" s="184" t="str">
        <x:v>ESMALTE</x:v>
      </x:c>
      <x:c r="L21" s="184" t="str">
        <x:v>BRANCO CARRARA</x:v>
      </x:c>
      <x:c r="M21" s="205" t="n">
        <x:v>12</x:v>
      </x:c>
      <x:c r="N21" s="205" t="n">
        <x:v>2110</x:v>
      </x:c>
      <x:c r="O21" s="205" t="n">
        <x:v>110</x:v>
      </x:c>
      <x:c r="P21" s="205" t="n">
        <x:v>30</x:v>
      </x:c>
      <x:c r="Q21" s="206" t="n">
        <x:v>0</x:v>
      </x:c>
      <x:c r="R21" s="207" t="str"/>
      <x:c r="S21" s="207" t="str"/>
      <x:c r="T21" s="207" t="str"/>
      <x:c r="U21" s="207" t="n">
        <x:v>0</x:v>
      </x:c>
      <x:c r="V21" s="208" t="n">
        <x:f>MAX(0,M21-U21)</x:f>
        <x:v>12</x:v>
      </x:c>
      <x:c r="W21" s="209" t="n">
        <x:f>IFERROR(U21/M21,0)</x:f>
        <x:v>0</x:v>
      </x:c>
      <x:c r="X21" s="201" t="str">
        <x:f>IF(U21=0,"Não iniciado",IF(U21&gt;=M21,"Concluído","Parcial"))</x:f>
        <x:v>Não iniciado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26808</x:v>
      </x:c>
      <x:c r="C22" s="220" t="str">
        <x:v>9</x:v>
      </x:c>
      <x:c r="D22" s="220" t="str">
        <x:v>610975</x:v>
      </x:c>
      <x:c r="E22" s="220" t="str">
        <x:v>674786</x:v>
      </x:c>
      <x:c r="F22" s="220" t="str">
        <x:v>BATENTE</x:v>
      </x:c>
      <x:c r="G22" s="190" t="str">
        <x:v>2110x110x30 42x10 R2L BIA R PET U PREMIU</x:v>
      </x:c>
      <x:c r="H22" s="190" t="str"/>
      <x:c r="I22" s="190" t="str"/>
      <x:c r="J22" s="190" t="str"/>
      <x:c r="K22" s="190" t="str">
        <x:v>ESMALTE</x:v>
      </x:c>
      <x:c r="L22" s="190" t="str">
        <x:v>BRANCO CARRARA</x:v>
      </x:c>
      <x:c r="M22" s="210" t="n">
        <x:v>142</x:v>
      </x:c>
      <x:c r="N22" s="210" t="n">
        <x:v>2110</x:v>
      </x:c>
      <x:c r="O22" s="210" t="n">
        <x:v>110</x:v>
      </x:c>
      <x:c r="P22" s="210" t="n">
        <x:v>30</x:v>
      </x:c>
      <x:c r="Q22" s="211" t="n">
        <x:v>0.989</x:v>
      </x:c>
      <x:c r="R22" s="207" t="str"/>
      <x:c r="S22" s="207" t="str"/>
      <x:c r="T22" s="207" t="str"/>
      <x:c r="U22" s="207" t="n">
        <x:v>0</x:v>
      </x:c>
      <x:c r="V22" s="208" t="n">
        <x:f>MAX(0,M22-U22)</x:f>
        <x:v>142</x:v>
      </x:c>
      <x:c r="W22" s="209" t="n">
        <x:f>IFERROR(U22/M22,0)</x:f>
        <x:v>0</x:v>
      </x:c>
      <x:c r="X22" s="201" t="str">
        <x:f>IF(U22=0,"Não iniciado",IF(U22&gt;=M22,"Concluído","Parcial"))</x:f>
        <x:v>Não iniciado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26808</x:v>
      </x:c>
      <x:c r="C23" s="218" t="str">
        <x:v>6</x:v>
      </x:c>
      <x:c r="D23" s="218" t="str">
        <x:v>608941</x:v>
      </x:c>
      <x:c r="E23" s="218" t="str">
        <x:v>973936</x:v>
      </x:c>
      <x:c r="F23" s="218" t="str">
        <x:v>BATENTE</x:v>
      </x:c>
      <x:c r="G23" s="184" t="str">
        <x:v>847x110x30 42x10 R2L BIA PET BCO PRE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6</x:v>
      </x:c>
      <x:c r="N23" s="205" t="n">
        <x:v>847</x:v>
      </x:c>
      <x:c r="O23" s="205" t="n">
        <x:v>110</x:v>
      </x:c>
      <x:c r="P23" s="205" t="n">
        <x:v>30</x:v>
      </x:c>
      <x:c r="Q23" s="206" t="n">
        <x:v>0</x:v>
      </x:c>
      <x:c r="R23" s="207" t="str"/>
      <x:c r="S23" s="207" t="str"/>
      <x:c r="T23" s="207" t="str"/>
      <x:c r="U23" s="207" t="n">
        <x:v>0</x:v>
      </x:c>
      <x:c r="V23" s="208" t="n">
        <x:f>MAX(0,M23-U23)</x:f>
        <x:v>6</x:v>
      </x:c>
      <x:c r="W23" s="209" t="n">
        <x:f>IFERROR(U23/M23,0)</x:f>
        <x:v>0</x:v>
      </x:c>
      <x:c r="X23" s="201" t="str">
        <x:f>IF(U23=0,"Não iniciado",IF(U23&gt;=M23,"Concluído","Parcial"))</x:f>
        <x:v>Não iniciado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26808</x:v>
      </x:c>
      <x:c r="C24" s="220" t="str">
        <x:v>9</x:v>
      </x:c>
      <x:c r="D24" s="220" t="str">
        <x:v>610976</x:v>
      </x:c>
      <x:c r="E24" s="220" t="str">
        <x:v>675670</x:v>
      </x:c>
      <x:c r="F24" s="220" t="str">
        <x:v>BATENTE</x:v>
      </x:c>
      <x:c r="G24" s="190" t="str">
        <x:v>847x110x30 42x10 R2L BIA PET BCO PREMIUM</x:v>
      </x:c>
      <x:c r="H24" s="190" t="str"/>
      <x:c r="I24" s="190" t="str"/>
      <x:c r="J24" s="190" t="str"/>
      <x:c r="K24" s="190" t="str">
        <x:v>ESMALTE</x:v>
      </x:c>
      <x:c r="L24" s="190" t="str">
        <x:v>BRANCO CARRARA</x:v>
      </x:c>
      <x:c r="M24" s="210" t="n">
        <x:v>71</x:v>
      </x:c>
      <x:c r="N24" s="210" t="n">
        <x:v>847</x:v>
      </x:c>
      <x:c r="O24" s="210" t="n">
        <x:v>110</x:v>
      </x:c>
      <x:c r="P24" s="210" t="n">
        <x:v>30</x:v>
      </x:c>
      <x:c r="Q24" s="211" t="n">
        <x:v>0</x:v>
      </x:c>
      <x:c r="R24" s="207" t="str"/>
      <x:c r="S24" s="207" t="str"/>
      <x:c r="T24" s="207" t="str"/>
      <x:c r="U24" s="207" t="n">
        <x:v>0</x:v>
      </x:c>
      <x:c r="V24" s="208" t="n">
        <x:f>MAX(0,M24-U24)</x:f>
        <x:v>71</x:v>
      </x:c>
      <x:c r="W24" s="209" t="n">
        <x:f>IFERROR(U24/M24,0)</x:f>
        <x:v>0</x:v>
      </x:c>
      <x:c r="X24" s="201" t="str">
        <x:f>IF(U24=0,"Não iniciado",IF(U24&gt;=M24,"Concluído","Parcial"))</x:f>
        <x:v>Não iniciado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26808</x:v>
      </x:c>
      <x:c r="C25" s="218" t="str">
        <x:v>4</x:v>
      </x:c>
      <x:c r="D25" s="218" t="str">
        <x:v>608921</x:v>
      </x:c>
      <x:c r="E25" s="218" t="str">
        <x:v>675804</x:v>
      </x:c>
      <x:c r="F25" s="218" t="str">
        <x:v>BATENTE</x:v>
      </x:c>
      <x:c r="G25" s="184" t="str">
        <x:v>747x110x30 42X10 R2L BIA PET BCO (GOLD)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63</x:v>
      </x:c>
      <x:c r="N25" s="205" t="n">
        <x:v>747</x:v>
      </x:c>
      <x:c r="O25" s="205" t="n">
        <x:v>110</x:v>
      </x:c>
      <x:c r="P25" s="205" t="n">
        <x:v>30</x:v>
      </x:c>
      <x:c r="Q25" s="206" t="n">
        <x:v>0</x:v>
      </x:c>
      <x:c r="R25" s="207" t="str"/>
      <x:c r="S25" s="207" t="str"/>
      <x:c r="T25" s="207" t="str"/>
      <x:c r="U25" s="207" t="n">
        <x:v>0</x:v>
      </x:c>
      <x:c r="V25" s="208" t="n">
        <x:f>MAX(0,M25-U25)</x:f>
        <x:v>63</x:v>
      </x:c>
      <x:c r="W25" s="209" t="n">
        <x:f>IFERROR(U25/M25,0)</x:f>
        <x:v>0</x:v>
      </x:c>
      <x:c r="X25" s="201" t="str">
        <x:f>IF(U25=0,"Não iniciado",IF(U25&gt;=M25,"Concluído","Parcial"))</x:f>
        <x:v>Não iniciado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26808</x:v>
      </x:c>
      <x:c r="C26" s="220" t="str">
        <x:v>1</x:v>
      </x:c>
      <x:c r="D26" s="220" t="str">
        <x:v>608897</x:v>
      </x:c>
      <x:c r="E26" s="220" t="str">
        <x:v>675802</x:v>
      </x:c>
      <x:c r="F26" s="220" t="str">
        <x:v>BATENTE</x:v>
      </x:c>
      <x:c r="G26" s="190" t="str">
        <x:v>647x110x30 42X10 R2L BIA PET BCO (GOLD)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144</x:v>
      </x:c>
      <x:c r="N26" s="210" t="n">
        <x:v>647</x:v>
      </x:c>
      <x:c r="O26" s="210" t="n">
        <x:v>110</x:v>
      </x:c>
      <x:c r="P26" s="210" t="n">
        <x:v>30</x:v>
      </x:c>
      <x:c r="Q26" s="211" t="n">
        <x:v>0.307</x:v>
      </x:c>
      <x:c r="R26" s="207" t="str"/>
      <x:c r="S26" s="207" t="str"/>
      <x:c r="T26" s="207" t="str"/>
      <x:c r="U26" s="207" t="n">
        <x:v>0</x:v>
      </x:c>
      <x:c r="V26" s="208" t="n">
        <x:f>MAX(0,M26-U26)</x:f>
        <x:v>144</x:v>
      </x:c>
      <x:c r="W26" s="209" t="n">
        <x:f>IFERROR(U26/M26,0)</x:f>
        <x:v>0</x:v>
      </x:c>
      <x:c r="X26" s="201" t="str">
        <x:f>IF(U26=0,"Não iniciado",IF(U26&gt;=M26,"Concluído","Parcial"))</x:f>
        <x:v>Não iniciado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26739</x:v>
      </x:c>
      <x:c r="C27" s="218" t="str">
        <x:v>3</x:v>
      </x:c>
      <x:c r="D27" s="218" t="str">
        <x:v>609631</x:v>
      </x:c>
      <x:c r="E27" s="218" t="str">
        <x:v>2020700627</x:v>
      </x:c>
      <x:c r="F27" s="218" t="str">
        <x:v>OUTROS</x:v>
      </x:c>
      <x:c r="G27" s="184" t="str">
        <x:v>A ULTRA PVC R BCO 2250X100X9 RG(80) RTO</x:v>
      </x:c>
      <x:c r="H27" s="184" t="str">
        <x:v>REG 1L(MAIOR 80MM)</x:v>
      </x:c>
      <x:c r="I27" s="184" t="str"/>
      <x:c r="J27" s="184" t="str"/>
      <x:c r="K27" s="184" t="str">
        <x:v>RECOBERTO PVC RENOLIT</x:v>
      </x:c>
      <x:c r="L27" s="184" t="str">
        <x:v>BRANCO</x:v>
      </x:c>
      <x:c r="M27" s="205" t="n">
        <x:v>8</x:v>
      </x:c>
      <x:c r="N27" s="205" t="n">
        <x:v>2250</x:v>
      </x:c>
      <x:c r="O27" s="205" t="n">
        <x:v>100</x:v>
      </x:c>
      <x:c r="P27" s="205" t="n">
        <x:v>9</x:v>
      </x:c>
      <x:c r="Q27" s="206" t="n">
        <x:v>0</x:v>
      </x:c>
      <x:c r="R27" s="207" t="str"/>
      <x:c r="S27" s="207" t="str"/>
      <x:c r="T27" s="207" t="str"/>
      <x:c r="U27" s="207" t="n">
        <x:v>0</x:v>
      </x:c>
      <x:c r="V27" s="208" t="n">
        <x:f>MAX(0,M27-U27)</x:f>
        <x:v>8</x:v>
      </x:c>
      <x:c r="W27" s="209" t="n">
        <x:f>IFERROR(U27/M27,0)</x:f>
        <x:v>0</x:v>
      </x:c>
      <x:c r="X27" s="201" t="str">
        <x:f>IF(U27=0,"Não iniciado",IF(U27&gt;=M27,"Concluído","Parcial"))</x:f>
        <x:v>Não iniciado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26750</x:v>
      </x:c>
      <x:c r="C28" s="220" t="str">
        <x:v>4</x:v>
      </x:c>
      <x:c r="D28" s="220" t="str">
        <x:v>609794</x:v>
      </x:c>
      <x:c r="E28" s="220" t="str">
        <x:v>2020700627</x:v>
      </x:c>
      <x:c r="F28" s="220" t="str">
        <x:v>OUTROS</x:v>
      </x:c>
      <x:c r="G28" s="190" t="str">
        <x:v>A ULTRA PVC R BCO 2250X100X9 RG(80) RTO</x:v>
      </x:c>
      <x:c r="H28" s="190" t="str">
        <x:v>REG 1L(MAIOR 80MM)</x:v>
      </x:c>
      <x:c r="I28" s="190" t="str"/>
      <x:c r="J28" s="190" t="str"/>
      <x:c r="K28" s="190" t="str">
        <x:v>RECOBERTO PVC RENOLIT</x:v>
      </x:c>
      <x:c r="L28" s="190" t="str">
        <x:v>BRANCO</x:v>
      </x:c>
      <x:c r="M28" s="210" t="n">
        <x:v>6</x:v>
      </x:c>
      <x:c r="N28" s="210" t="n">
        <x:v>2250</x:v>
      </x:c>
      <x:c r="O28" s="210" t="n">
        <x:v>100</x:v>
      </x:c>
      <x:c r="P28" s="210" t="n">
        <x:v>9</x:v>
      </x:c>
      <x:c r="Q28" s="211" t="n">
        <x:v>0</x:v>
      </x:c>
      <x:c r="R28" s="207" t="str"/>
      <x:c r="S28" s="207" t="str"/>
      <x:c r="T28" s="207" t="str"/>
      <x:c r="U28" s="207" t="n">
        <x:v>0</x:v>
      </x:c>
      <x:c r="V28" s="208" t="n">
        <x:f>MAX(0,M28-U28)</x:f>
        <x:v>6</x:v>
      </x:c>
      <x:c r="W28" s="209" t="n">
        <x:f>IFERROR(U28/M28,0)</x:f>
        <x:v>0</x:v>
      </x:c>
      <x:c r="X28" s="201" t="str">
        <x:f>IF(U28=0,"Não iniciado",IF(U28&gt;=M28,"Concluído","Parcial"))</x:f>
        <x:v>Não iniciado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26766</x:v>
      </x:c>
      <x:c r="C29" s="218" t="str">
        <x:v>8</x:v>
      </x:c>
      <x:c r="D29" s="218" t="str">
        <x:v>610157</x:v>
      </x:c>
      <x:c r="E29" s="218" t="str">
        <x:v>985771</x:v>
      </x:c>
      <x:c r="F29" s="218" t="str">
        <x:v>OUTROS</x:v>
      </x:c>
      <x:c r="G29" s="184" t="str">
        <x:v>TRA ALI 1100X100X9 RT RL80 PET MOG STD</x:v>
      </x:c>
      <x:c r="H29" s="184" t="str">
        <x:v>REG 2L(MAIOR 80MM)</x:v>
      </x:c>
      <x:c r="I29" s="184" t="str"/>
      <x:c r="J29" s="184" t="str"/>
      <x:c r="K29" s="184" t="str">
        <x:v>RECOBERTO PET TXT</x:v>
      </x:c>
      <x:c r="L29" s="184" t="str">
        <x:v>MOGNO BRASILEIRO</x:v>
      </x:c>
      <x:c r="M29" s="205" t="n">
        <x:v>756</x:v>
      </x:c>
      <x:c r="N29" s="205" t="n">
        <x:v>1100</x:v>
      </x:c>
      <x:c r="O29" s="205" t="n">
        <x:v>100</x:v>
      </x:c>
      <x:c r="P29" s="205" t="n">
        <x:v>9</x:v>
      </x:c>
      <x:c r="Q29" s="206" t="n">
        <x:v>0.748</x:v>
      </x:c>
      <x:c r="R29" s="207" t="str"/>
      <x:c r="S29" s="207" t="str"/>
      <x:c r="T29" s="207" t="str"/>
      <x:c r="U29" s="207" t="n">
        <x:v>0</x:v>
      </x:c>
      <x:c r="V29" s="208" t="n">
        <x:f>MAX(0,M29-U29)</x:f>
        <x:v>756</x:v>
      </x:c>
      <x:c r="W29" s="209" t="n">
        <x:f>IFERROR(U29/M29,0)</x:f>
        <x:v>0</x:v>
      </x:c>
      <x:c r="X29" s="201" t="str">
        <x:f>IF(U29=0,"Não iniciado",IF(U29&gt;=M29,"Concluído","Parcial"))</x:f>
        <x:v>Não iniciado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26766</x:v>
      </x:c>
      <x:c r="C30" s="220" t="str">
        <x:v>8</x:v>
      </x:c>
      <x:c r="D30" s="220" t="str">
        <x:v>610158</x:v>
      </x:c>
      <x:c r="E30" s="220" t="str">
        <x:v>985778</x:v>
      </x:c>
      <x:c r="F30" s="220" t="str">
        <x:v>OUTROS</x:v>
      </x:c>
      <x:c r="G30" s="190" t="str">
        <x:v>TRA ALI 1100X100X9 RT LME PET MOG STD</x:v>
      </x:c>
      <x:c r="H30" s="190" t="str">
        <x:v>REG 2L(MAIOR 80MM)</x:v>
      </x:c>
      <x:c r="I30" s="190" t="str"/>
      <x:c r="J30" s="190" t="str"/>
      <x:c r="K30" s="190" t="str">
        <x:v>RECOBERTO PET TXT</x:v>
      </x:c>
      <x:c r="L30" s="190" t="str">
        <x:v>MOGNO BRASILEIRO</x:v>
      </x:c>
      <x:c r="M30" s="210" t="n">
        <x:v>756</x:v>
      </x:c>
      <x:c r="N30" s="210" t="n">
        <x:v>1100</x:v>
      </x:c>
      <x:c r="O30" s="210" t="n">
        <x:v>100</x:v>
      </x:c>
      <x:c r="P30" s="210" t="n">
        <x:v>9</x:v>
      </x:c>
      <x:c r="Q30" s="211" t="n">
        <x:v>0.748</x:v>
      </x:c>
      <x:c r="R30" s="207" t="str"/>
      <x:c r="S30" s="207" t="str"/>
      <x:c r="T30" s="207" t="str"/>
      <x:c r="U30" s="207" t="n">
        <x:v>0</x:v>
      </x:c>
      <x:c r="V30" s="208" t="n">
        <x:f>MAX(0,M30-U30)</x:f>
        <x:v>756</x:v>
      </x:c>
      <x:c r="W30" s="209" t="n">
        <x:f>IFERROR(U30/M30,0)</x:f>
        <x:v>0</x:v>
      </x:c>
      <x:c r="X30" s="201" t="str">
        <x:f>IF(U30=0,"Não iniciado",IF(U30&gt;=M30,"Concluído","Parcial"))</x:f>
        <x:v>Não iniciado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26808</x:v>
      </x:c>
      <x:c r="C31" s="218" t="str">
        <x:v>3</x:v>
      </x:c>
      <x:c r="D31" s="218" t="str">
        <x:v>608912</x:v>
      </x:c>
      <x:c r="E31" s="218" t="str">
        <x:v>674638</x:v>
      </x:c>
      <x:c r="F31" s="218" t="str">
        <x:v>BATENTE</x:v>
      </x:c>
      <x:c r="G31" s="184" t="str">
        <x:v>2110x90x30 42X10 R2 BIA PET BC U (MCMV)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120</x:v>
      </x:c>
      <x:c r="N31" s="205" t="n">
        <x:v>2110</x:v>
      </x:c>
      <x:c r="O31" s="205" t="n">
        <x:v>90</x:v>
      </x:c>
      <x:c r="P31" s="205" t="n">
        <x:v>30</x:v>
      </x:c>
      <x:c r="Q31" s="206" t="n">
        <x:v>0.684</x:v>
      </x:c>
      <x:c r="R31" s="207" t="str"/>
      <x:c r="S31" s="207" t="str"/>
      <x:c r="T31" s="207" t="str"/>
      <x:c r="U31" s="207" t="n">
        <x:v>0</x:v>
      </x:c>
      <x:c r="V31" s="208" t="n">
        <x:f>MAX(0,M31-U31)</x:f>
        <x:v>120</x:v>
      </x:c>
      <x:c r="W31" s="209" t="n">
        <x:f>IFERROR(U31/M31,0)</x:f>
        <x:v>0</x:v>
      </x:c>
      <x:c r="X31" s="201" t="str">
        <x:f>IF(U31=0,"Não iniciado",IF(U31&gt;=M31,"Concluído","Parcial"))</x:f>
        <x:v>Não iniciado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26808</x:v>
      </x:c>
      <x:c r="C32" s="220" t="str">
        <x:v>5</x:v>
      </x:c>
      <x:c r="D32" s="220" t="str">
        <x:v>608928</x:v>
      </x:c>
      <x:c r="E32" s="220" t="str">
        <x:v>674638</x:v>
      </x:c>
      <x:c r="F32" s="220" t="str">
        <x:v>BATENTE</x:v>
      </x:c>
      <x:c r="G32" s="190" t="str">
        <x:v>2110x90x30 42X10 R2 BIA PET BC U (MCMV)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2</x:v>
      </x:c>
      <x:c r="N32" s="210" t="n">
        <x:v>2110</x:v>
      </x:c>
      <x:c r="O32" s="210" t="n">
        <x:v>90</x:v>
      </x:c>
      <x:c r="P32" s="210" t="n">
        <x:v>30</x:v>
      </x:c>
      <x:c r="Q32" s="211" t="n">
        <x:v>0.011</x:v>
      </x:c>
      <x:c r="R32" s="207" t="str"/>
      <x:c r="S32" s="207" t="str"/>
      <x:c r="T32" s="207" t="str"/>
      <x:c r="U32" s="207" t="n">
        <x:v>0</x:v>
      </x:c>
      <x:c r="V32" s="208" t="n">
        <x:f>MAX(0,M32-U32)</x:f>
        <x:v>2</x:v>
      </x:c>
      <x:c r="W32" s="209" t="n">
        <x:f>IFERROR(U32/M32,0)</x:f>
        <x:v>0</x:v>
      </x:c>
      <x:c r="X32" s="201" t="str">
        <x:f>IF(U32=0,"Não iniciado",IF(U32&gt;=M32,"Concluído","Parcial"))</x:f>
        <x:v>Não iniciado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26808</x:v>
      </x:c>
      <x:c r="C33" s="218" t="str">
        <x:v>8</x:v>
      </x:c>
      <x:c r="D33" s="218" t="str">
        <x:v>608952</x:v>
      </x:c>
      <x:c r="E33" s="218" t="str">
        <x:v>674638</x:v>
      </x:c>
      <x:c r="F33" s="218" t="str">
        <x:v>BATENTE</x:v>
      </x:c>
      <x:c r="G33" s="184" t="str">
        <x:v>2110x90x30 42X10 R2 BIA PET BC U (MCMV)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44</x:v>
      </x:c>
      <x:c r="N33" s="205" t="n">
        <x:v>2110</x:v>
      </x:c>
      <x:c r="O33" s="205" t="n">
        <x:v>90</x:v>
      </x:c>
      <x:c r="P33" s="205" t="n">
        <x:v>30</x:v>
      </x:c>
      <x:c r="Q33" s="206" t="n">
        <x:v>0.251</x:v>
      </x:c>
      <x:c r="R33" s="207" t="str"/>
      <x:c r="S33" s="207" t="str"/>
      <x:c r="T33" s="207" t="str"/>
      <x:c r="U33" s="207" t="n">
        <x:v>0</x:v>
      </x:c>
      <x:c r="V33" s="208" t="n">
        <x:f>MAX(0,M33-U33)</x:f>
        <x:v>44</x:v>
      </x:c>
      <x:c r="W33" s="209" t="n">
        <x:f>IFERROR(U33/M33,0)</x:f>
        <x:v>0</x:v>
      </x:c>
      <x:c r="X33" s="201" t="str">
        <x:f>IF(U33=0,"Não iniciado",IF(U33&gt;=M33,"Concluído","Parcial"))</x:f>
        <x:v>Não iniciado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26808</x:v>
      </x:c>
      <x:c r="C34" s="220" t="str">
        <x:v>11</x:v>
      </x:c>
      <x:c r="D34" s="220" t="str">
        <x:v>608980</x:v>
      </x:c>
      <x:c r="E34" s="220" t="str">
        <x:v>2010500025</x:v>
      </x:c>
      <x:c r="F34" s="220" t="str">
        <x:v>BATENTE</x:v>
      </x:c>
      <x:c r="G34" s="190" t="str">
        <x:v>M P PINUS PET BCO CAR 2110X90X30 42X10 R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2</x:v>
      </x:c>
      <x:c r="N34" s="210" t="n">
        <x:v>2110</x:v>
      </x:c>
      <x:c r="O34" s="210" t="n">
        <x:v>90</x:v>
      </x:c>
      <x:c r="P34" s="210" t="n">
        <x:v>30</x:v>
      </x:c>
      <x:c r="Q34" s="211" t="n">
        <x:v>0.011</x:v>
      </x:c>
      <x:c r="R34" s="207" t="str"/>
      <x:c r="S34" s="207" t="str"/>
      <x:c r="T34" s="207" t="str"/>
      <x:c r="U34" s="207" t="n">
        <x:v>0</x:v>
      </x:c>
      <x:c r="V34" s="208" t="n">
        <x:f>MAX(0,M34-U34)</x:f>
        <x:v>2</x:v>
      </x:c>
      <x:c r="W34" s="209" t="n">
        <x:f>IFERROR(U34/M34,0)</x:f>
        <x:v>0</x:v>
      </x:c>
      <x:c r="X34" s="201" t="str">
        <x:f>IF(U34=0,"Não iniciado",IF(U34&gt;=M34,"Concluído","Parcial"))</x:f>
        <x:v>Não iniciado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26808</x:v>
      </x:c>
      <x:c r="C35" s="218" t="str">
        <x:v>11</x:v>
      </x:c>
      <x:c r="D35" s="218" t="str">
        <x:v>608981</x:v>
      </x:c>
      <x:c r="E35" s="218" t="str">
        <x:v>2010500059</x:v>
      </x:c>
      <x:c r="F35" s="218" t="str">
        <x:v>BATENTE</x:v>
      </x:c>
      <x:c r="G35" s="184" t="str">
        <x:v>M T PINUS PET BCO CAR 1047X90X30 42X10 R</x:v>
      </x:c>
      <x:c r="H35" s="184" t="str"/>
      <x:c r="I35" s="184" t="str"/>
      <x:c r="J35" s="184" t="str"/>
      <x:c r="K35" s="184" t="str">
        <x:v>ESMALTE</x:v>
      </x:c>
      <x:c r="L35" s="184" t="str">
        <x:v>BRANCO CARRARA</x:v>
      </x:c>
      <x:c r="M35" s="205" t="n">
        <x:v>1</x:v>
      </x:c>
      <x:c r="N35" s="205" t="n">
        <x:v>1047</x:v>
      </x:c>
      <x:c r="O35" s="205" t="n">
        <x:v>90</x:v>
      </x:c>
      <x:c r="P35" s="205" t="n">
        <x:v>30</x:v>
      </x:c>
      <x:c r="Q35" s="206" t="n">
        <x:v>0</x:v>
      </x:c>
      <x:c r="R35" s="207" t="str"/>
      <x:c r="S35" s="207" t="str"/>
      <x:c r="T35" s="207" t="str"/>
      <x:c r="U35" s="207" t="n">
        <x:v>0</x:v>
      </x:c>
      <x:c r="V35" s="208" t="n">
        <x:f>MAX(0,M35-U35)</x:f>
        <x:v>1</x:v>
      </x:c>
      <x:c r="W35" s="209" t="n">
        <x:f>IFERROR(U35/M35,0)</x:f>
        <x:v>0</x:v>
      </x:c>
      <x:c r="X35" s="201" t="str">
        <x:f>IF(U35=0,"Não iniciado",IF(U35&gt;=M35,"Concluído","Parcial"))</x:f>
        <x:v>Não iniciado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26808</x:v>
      </x:c>
      <x:c r="C36" s="220" t="str">
        <x:v>5</x:v>
      </x:c>
      <x:c r="D36" s="220" t="str">
        <x:v>608929</x:v>
      </x:c>
      <x:c r="E36" s="220" t="str">
        <x:v>675810</x:v>
      </x:c>
      <x:c r="F36" s="220" t="str">
        <x:v>BATENTE</x:v>
      </x:c>
      <x:c r="G36" s="190" t="str">
        <x:v>847x90x30 42x10 R2L BIA PET BCO(PREMIUM)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1</x:v>
      </x:c>
      <x:c r="N36" s="210" t="n">
        <x:v>847</x:v>
      </x:c>
      <x:c r="O36" s="210" t="n">
        <x:v>90</x:v>
      </x:c>
      <x:c r="P36" s="210" t="n">
        <x:v>30</x:v>
      </x:c>
      <x:c r="Q36" s="211" t="n">
        <x:v>0</x:v>
      </x:c>
      <x:c r="R36" s="207" t="str"/>
      <x:c r="S36" s="207" t="str"/>
      <x:c r="T36" s="207" t="str"/>
      <x:c r="U36" s="207" t="n">
        <x:v>0</x:v>
      </x:c>
      <x:c r="V36" s="208" t="n">
        <x:f>MAX(0,M36-U36)</x:f>
        <x:v>1</x:v>
      </x:c>
      <x:c r="W36" s="209" t="n">
        <x:f>IFERROR(U36/M36,0)</x:f>
        <x:v>0</x:v>
      </x:c>
      <x:c r="X36" s="201" t="str">
        <x:f>IF(U36=0,"Não iniciado",IF(U36&gt;=M36,"Concluído","Parcial"))</x:f>
        <x:v>Não iniciado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26808</x:v>
      </x:c>
      <x:c r="C37" s="218" t="str">
        <x:v>8</x:v>
      </x:c>
      <x:c r="D37" s="218" t="str">
        <x:v>608953</x:v>
      </x:c>
      <x:c r="E37" s="218" t="str">
        <x:v>675810</x:v>
      </x:c>
      <x:c r="F37" s="218" t="str">
        <x:v>BATENTE</x:v>
      </x:c>
      <x:c r="G37" s="184" t="str">
        <x:v>847x90x30 42x10 R2L BIA PET BCO(PREMIUM)</x:v>
      </x:c>
      <x:c r="H37" s="184" t="str"/>
      <x:c r="I37" s="184" t="str"/>
      <x:c r="J37" s="184" t="str"/>
      <x:c r="K37" s="184" t="str">
        <x:v>ESMALTE</x:v>
      </x:c>
      <x:c r="L37" s="184" t="str">
        <x:v>BRANCO CARRARA</x:v>
      </x:c>
      <x:c r="M37" s="205" t="n">
        <x:v>22</x:v>
      </x:c>
      <x:c r="N37" s="205" t="n">
        <x:v>847</x:v>
      </x:c>
      <x:c r="O37" s="205" t="n">
        <x:v>90</x:v>
      </x:c>
      <x:c r="P37" s="205" t="n">
        <x:v>30</x:v>
      </x:c>
      <x:c r="Q37" s="206" t="n">
        <x:v>0</x:v>
      </x:c>
      <x:c r="R37" s="207" t="str"/>
      <x:c r="S37" s="207" t="str"/>
      <x:c r="T37" s="207" t="str"/>
      <x:c r="U37" s="207" t="n">
        <x:v>0</x:v>
      </x:c>
      <x:c r="V37" s="208" t="n">
        <x:f>MAX(0,M37-U37)</x:f>
        <x:v>22</x:v>
      </x:c>
      <x:c r="W37" s="209" t="n">
        <x:f>IFERROR(U37/M37,0)</x:f>
        <x:v>0</x:v>
      </x:c>
      <x:c r="X37" s="201" t="str">
        <x:f>IF(U37=0,"Não iniciado",IF(U37&gt;=M37,"Concluído","Parcial"))</x:f>
        <x:v>Não iniciado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26808</x:v>
      </x:c>
      <x:c r="C38" s="220" t="str">
        <x:v>3</x:v>
      </x:c>
      <x:c r="D38" s="220" t="str">
        <x:v>608913</x:v>
      </x:c>
      <x:c r="E38" s="220" t="str">
        <x:v>674639</x:v>
      </x:c>
      <x:c r="F38" s="220" t="str">
        <x:v>BATENTE</x:v>
      </x:c>
      <x:c r="G38" s="190" t="str">
        <x:v>747x90x30 42x10 R2L BIA RC PET BCO (REC)</x:v>
      </x:c>
      <x:c r="H38" s="190" t="str"/>
      <x:c r="I38" s="190" t="str"/>
      <x:c r="J38" s="190" t="str"/>
      <x:c r="K38" s="190" t="str">
        <x:v>ESMALTE</x:v>
      </x:c>
      <x:c r="L38" s="190" t="str">
        <x:v>BRANCO CARRARA</x:v>
      </x:c>
      <x:c r="M38" s="210" t="n">
        <x:v>60</x:v>
      </x:c>
      <x:c r="N38" s="210" t="n">
        <x:v>747</x:v>
      </x:c>
      <x:c r="O38" s="210" t="n">
        <x:v>90</x:v>
      </x:c>
      <x:c r="P38" s="210" t="n">
        <x:v>30</x:v>
      </x:c>
      <x:c r="Q38" s="211" t="n">
        <x:v>0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60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26747</x:v>
      </x:c>
      <x:c r="C39" s="218" t="str">
        <x:v>3</x:v>
      </x:c>
      <x:c r="D39" s="218" t="str">
        <x:v>609002</x:v>
      </x:c>
      <x:c r="E39" s="218" t="str">
        <x:v>966183</x:v>
      </x:c>
      <x:c r="F39" s="218" t="str">
        <x:v>ALIZAR</x:v>
      </x:c>
      <x:c r="G39" s="184" t="str">
        <x:v>P A 2250X70X15 RTO RL55 RC PET BCO (UL)</x:v>
      </x:c>
      <x:c r="H39" s="184" t="str">
        <x:v>REG 2L(MAIOR 55MM)</x:v>
      </x:c>
      <x:c r="I39" s="184" t="str"/>
      <x:c r="J39" s="184" t="str"/>
      <x:c r="K39" s="184" t="str">
        <x:v>RECOBERTO PET</x:v>
      </x:c>
      <x:c r="L39" s="184" t="str">
        <x:v>BRANCO CARRARA</x:v>
      </x:c>
      <x:c r="M39" s="205" t="n">
        <x:v>18</x:v>
      </x:c>
      <x:c r="N39" s="205" t="n">
        <x:v>2250</x:v>
      </x:c>
      <x:c r="O39" s="205" t="n">
        <x:v>70</x:v>
      </x:c>
      <x:c r="P39" s="205" t="n">
        <x:v>15</x:v>
      </x:c>
      <x:c r="Q39" s="206" t="n">
        <x:v>0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18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26747</x:v>
      </x:c>
      <x:c r="C40" s="220" t="str">
        <x:v>3</x:v>
      </x:c>
      <x:c r="D40" s="220" t="str">
        <x:v>609003</x:v>
      </x:c>
      <x:c r="E40" s="220" t="str">
        <x:v>966186</x:v>
      </x:c>
      <x:c r="F40" s="220" t="str">
        <x:v>ALIZAR</x:v>
      </x:c>
      <x:c r="G40" s="190" t="str">
        <x:v>P A 2250X70X15 RTO LME RC PET BCO (UL)</x:v>
      </x:c>
      <x:c r="H40" s="190" t="str">
        <x:v>REG 2L(MAIOR 55MM)</x:v>
      </x:c>
      <x:c r="I40" s="190" t="str"/>
      <x:c r="J40" s="190" t="str"/>
      <x:c r="K40" s="190" t="str">
        <x:v>RECOBERTO PET</x:v>
      </x:c>
      <x:c r="L40" s="190" t="str">
        <x:v>BRANCO CARRARA</x:v>
      </x:c>
      <x:c r="M40" s="210" t="n">
        <x:v>18</x:v>
      </x:c>
      <x:c r="N40" s="210" t="n">
        <x:v>2250</x:v>
      </x:c>
      <x:c r="O40" s="210" t="n">
        <x:v>70</x:v>
      </x:c>
      <x:c r="P40" s="210" t="n">
        <x:v>15</x:v>
      </x:c>
      <x:c r="Q40" s="211" t="n">
        <x:v>0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18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26809</x:v>
      </x:c>
      <x:c r="C41" s="218" t="str">
        <x:v>11</x:v>
      </x:c>
      <x:c r="D41" s="218" t="str">
        <x:v>609957</x:v>
      </x:c>
      <x:c r="E41" s="218" t="str">
        <x:v>968525</x:v>
      </x:c>
      <x:c r="F41" s="218" t="str">
        <x:v>ALIZAR</x:v>
      </x:c>
      <x:c r="G41" s="184" t="str">
        <x:v>P A 2250X70X09 RTO RL55 RC PET CAPUCC UL</x:v>
      </x:c>
      <x:c r="H41" s="184" t="str">
        <x:v>REG 2L(MAIOR 55MM)</x:v>
      </x:c>
      <x:c r="I41" s="184" t="str"/>
      <x:c r="J41" s="184" t="str"/>
      <x:c r="K41" s="184" t="str">
        <x:v>RECOBERTO PET</x:v>
      </x:c>
      <x:c r="L41" s="184" t="str">
        <x:v>CAPUCCINO MARCHE</x:v>
      </x:c>
      <x:c r="M41" s="205" t="n">
        <x:v>24</x:v>
      </x:c>
      <x:c r="N41" s="205" t="n">
        <x:v>2250</x:v>
      </x:c>
      <x:c r="O41" s="205" t="n">
        <x:v>70</x:v>
      </x:c>
      <x:c r="P41" s="205" t="n">
        <x:v>9</x:v>
      </x:c>
      <x:c r="Q41" s="206" t="n">
        <x:v>0.034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24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26809</x:v>
      </x:c>
      <x:c r="C42" s="220" t="str">
        <x:v>11</x:v>
      </x:c>
      <x:c r="D42" s="220" t="str">
        <x:v>609959</x:v>
      </x:c>
      <x:c r="E42" s="220" t="str">
        <x:v>968527</x:v>
      </x:c>
      <x:c r="F42" s="220" t="str">
        <x:v>ALIZAR</x:v>
      </x:c>
      <x:c r="G42" s="190" t="str">
        <x:v>P A 2250X70X09 RTO LME RC PET CAPUCC (UL</x:v>
      </x:c>
      <x:c r="H42" s="190" t="str">
        <x:v>REG 2L(MAIOR 55MM)</x:v>
      </x:c>
      <x:c r="I42" s="190" t="str"/>
      <x:c r="J42" s="190" t="str"/>
      <x:c r="K42" s="190" t="str">
        <x:v>RECOBERTO PET</x:v>
      </x:c>
      <x:c r="L42" s="190" t="str">
        <x:v>CAPUCCINO MARCHE</x:v>
      </x:c>
      <x:c r="M42" s="210" t="n">
        <x:v>24</x:v>
      </x:c>
      <x:c r="N42" s="210" t="n">
        <x:v>2250</x:v>
      </x:c>
      <x:c r="O42" s="210" t="n">
        <x:v>70</x:v>
      </x:c>
      <x:c r="P42" s="210" t="n">
        <x:v>9</x:v>
      </x:c>
      <x:c r="Q42" s="211" t="n">
        <x:v>0.034</x:v>
      </x:c>
      <x:c r="R42" s="207" t="str"/>
      <x:c r="S42" s="207" t="str"/>
      <x:c r="T42" s="207" t="str"/>
      <x:c r="U42" s="207" t="n">
        <x:v>0</x:v>
      </x:c>
      <x:c r="V42" s="208" t="n">
        <x:f>MAX(0,M42-U42)</x:f>
        <x:v>24</x:v>
      </x:c>
      <x:c r="W42" s="209" t="n">
        <x:f>IFERROR(U42/M42,0)</x:f>
        <x:v>0</x:v>
      </x:c>
      <x:c r="X42" s="201" t="str">
        <x:f>IF(U42=0,"Não iniciado",IF(U42&gt;=M42,"Concluído","Parcial"))</x:f>
        <x:v>Não iniciado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26800</x:v>
      </x:c>
      <x:c r="C43" s="218" t="str">
        <x:v>5</x:v>
      </x:c>
      <x:c r="D43" s="218" t="str">
        <x:v>609979</x:v>
      </x:c>
      <x:c r="E43" s="218" t="str">
        <x:v>979737</x:v>
      </x:c>
      <x:c r="F43" s="218" t="str">
        <x:v>ALIZAR</x:v>
      </x:c>
      <x:c r="G43" s="184" t="str">
        <x:v>P A 2250X70X9 RTO RL55 PET MALVA(ULTRA)</x:v>
      </x:c>
      <x:c r="H43" s="184" t="str">
        <x:v>REG 2L(MAIOR 55MM)</x:v>
      </x:c>
      <x:c r="I43" s="184" t="str"/>
      <x:c r="J43" s="184" t="str"/>
      <x:c r="K43" s="184" t="str">
        <x:v>RECOBERTO PET</x:v>
      </x:c>
      <x:c r="L43" s="184" t="str">
        <x:v>CARVALHO MALVA</x:v>
      </x:c>
      <x:c r="M43" s="205" t="n">
        <x:v>12</x:v>
      </x:c>
      <x:c r="N43" s="205" t="n">
        <x:v>2250</x:v>
      </x:c>
      <x:c r="O43" s="205" t="n">
        <x:v>70</x:v>
      </x:c>
      <x:c r="P43" s="205" t="n">
        <x:v>9</x:v>
      </x:c>
      <x:c r="Q43" s="206" t="n">
        <x:v>0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12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26684</x:v>
      </x:c>
      <x:c r="C44" s="220" t="str">
        <x:v>1</x:v>
      </x:c>
      <x:c r="D44" s="220" t="str">
        <x:v>609110</x:v>
      </x:c>
      <x:c r="E44" s="220" t="str">
        <x:v>956042</x:v>
      </x:c>
      <x:c r="F44" s="220" t="str">
        <x:v>OUTROS</x:v>
      </x:c>
      <x:c r="G44" s="190" t="str">
        <x:v>2250X70X15 RTO LME REC PET BCO IMP(STD)</x:v>
      </x:c>
      <x:c r="H44" s="190" t="str"/>
      <x:c r="I44" s="190" t="str"/>
      <x:c r="J44" s="190" t="str"/>
      <x:c r="K44" s="190" t="str">
        <x:v>ESMALTE</x:v>
      </x:c>
      <x:c r="L44" s="190" t="str">
        <x:v>BRANCO CARRARA</x:v>
      </x:c>
      <x:c r="M44" s="210" t="n">
        <x:v>2</x:v>
      </x:c>
      <x:c r="N44" s="210" t="n">
        <x:v>2250</x:v>
      </x:c>
      <x:c r="O44" s="210" t="n">
        <x:v>70</x:v>
      </x:c>
      <x:c r="P44" s="210" t="n">
        <x:v>15</x:v>
      </x:c>
      <x:c r="Q44" s="211" t="n">
        <x:v>0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2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26684</x:v>
      </x:c>
      <x:c r="C45" s="218" t="str">
        <x:v>1</x:v>
      </x:c>
      <x:c r="D45" s="218" t="str">
        <x:v>609113</x:v>
      </x:c>
      <x:c r="E45" s="218" t="str">
        <x:v>971354</x:v>
      </x:c>
      <x:c r="F45" s="218" t="str">
        <x:v>OUTROS</x:v>
      </x:c>
      <x:c r="G45" s="184" t="str">
        <x:v>PER ALI 2250X70X15 RT RL55RC PET BCO STD</x:v>
      </x:c>
      <x:c r="H45" s="184" t="str"/>
      <x:c r="I45" s="184" t="str"/>
      <x:c r="J45" s="184" t="str"/>
      <x:c r="K45" s="184" t="str">
        <x:v>ESMALTE</x:v>
      </x:c>
      <x:c r="L45" s="184" t="str">
        <x:v>BRANCO CARRARA</x:v>
      </x:c>
      <x:c r="M45" s="205" t="n">
        <x:v>2</x:v>
      </x:c>
      <x:c r="N45" s="205" t="n">
        <x:v>2250</x:v>
      </x:c>
      <x:c r="O45" s="205" t="n">
        <x:v>70</x:v>
      </x:c>
      <x:c r="P45" s="205" t="n">
        <x:v>15</x:v>
      </x:c>
      <x:c r="Q45" s="206" t="n">
        <x:v>0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2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26684</x:v>
      </x:c>
      <x:c r="C46" s="220" t="str">
        <x:v>2</x:v>
      </x:c>
      <x:c r="D46" s="220" t="str">
        <x:v>609118</x:v>
      </x:c>
      <x:c r="E46" s="220" t="str">
        <x:v>956042</x:v>
      </x:c>
      <x:c r="F46" s="220" t="str">
        <x:v>OUTROS</x:v>
      </x:c>
      <x:c r="G46" s="190" t="str">
        <x:v>2250X70X15 RTO LME REC PET BCO IMP(STD)</x:v>
      </x:c>
      <x:c r="H46" s="190" t="str"/>
      <x:c r="I46" s="190" t="str"/>
      <x:c r="J46" s="190" t="str"/>
      <x:c r="K46" s="190" t="str">
        <x:v>ESMALTE</x:v>
      </x:c>
      <x:c r="L46" s="190" t="str">
        <x:v>BRANCO CARRARA</x:v>
      </x:c>
      <x:c r="M46" s="210" t="n">
        <x:v>56</x:v>
      </x:c>
      <x:c r="N46" s="210" t="n">
        <x:v>2250</x:v>
      </x:c>
      <x:c r="O46" s="210" t="n">
        <x:v>70</x:v>
      </x:c>
      <x:c r="P46" s="210" t="n">
        <x:v>15</x:v>
      </x:c>
      <x:c r="Q46" s="211" t="n">
        <x:v>0</x:v>
      </x:c>
      <x:c r="R46" s="207" t="str"/>
      <x:c r="S46" s="207" t="str"/>
      <x:c r="T46" s="207" t="str"/>
      <x:c r="U46" s="207" t="n">
        <x:v>0</x:v>
      </x:c>
      <x:c r="V46" s="208" t="n">
        <x:f>MAX(0,M46-U46)</x:f>
        <x:v>56</x:v>
      </x:c>
      <x:c r="W46" s="209" t="n">
        <x:f>IFERROR(U46/M46,0)</x:f>
        <x:v>0</x:v>
      </x:c>
      <x:c r="X46" s="201" t="str">
        <x:f>IF(U46=0,"Não iniciado",IF(U46&gt;=M46,"Concluído","Parcial"))</x:f>
        <x:v>Não iniciado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26684</x:v>
      </x:c>
      <x:c r="C47" s="218" t="str">
        <x:v>2</x:v>
      </x:c>
      <x:c r="D47" s="218" t="str">
        <x:v>609119</x:v>
      </x:c>
      <x:c r="E47" s="218" t="str">
        <x:v>971354</x:v>
      </x:c>
      <x:c r="F47" s="218" t="str">
        <x:v>OUTROS</x:v>
      </x:c>
      <x:c r="G47" s="184" t="str">
        <x:v>PER ALI 2250X70X15 RT RL55RC PET BCO STD</x:v>
      </x:c>
      <x:c r="H47" s="184" t="str"/>
      <x:c r="I47" s="184" t="str"/>
      <x:c r="J47" s="184" t="str"/>
      <x:c r="K47" s="184" t="str">
        <x:v>ESMALTE</x:v>
      </x:c>
      <x:c r="L47" s="184" t="str">
        <x:v>BRANCO CARRARA</x:v>
      </x:c>
      <x:c r="M47" s="205" t="n">
        <x:v>56</x:v>
      </x:c>
      <x:c r="N47" s="205" t="n">
        <x:v>2250</x:v>
      </x:c>
      <x:c r="O47" s="205" t="n">
        <x:v>70</x:v>
      </x:c>
      <x:c r="P47" s="205" t="n">
        <x:v>15</x:v>
      </x:c>
      <x:c r="Q47" s="206" t="n">
        <x:v>0</x:v>
      </x:c>
      <x:c r="R47" s="207" t="str"/>
      <x:c r="S47" s="207" t="str"/>
      <x:c r="T47" s="207" t="str"/>
      <x:c r="U47" s="207" t="n">
        <x:v>0</x:v>
      </x:c>
      <x:c r="V47" s="208" t="n">
        <x:f>MAX(0,M47-U47)</x:f>
        <x:v>56</x:v>
      </x:c>
      <x:c r="W47" s="209" t="n">
        <x:f>IFERROR(U47/M47,0)</x:f>
        <x:v>0</x:v>
      </x:c>
      <x:c r="X47" s="201" t="str">
        <x:f>IF(U47=0,"Não iniciado",IF(U47&gt;=M47,"Concluído","Parcial"))</x:f>
        <x:v>Não iniciado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26684</x:v>
      </x:c>
      <x:c r="C48" s="220" t="str">
        <x:v>3</x:v>
      </x:c>
      <x:c r="D48" s="220" t="str">
        <x:v>609126</x:v>
      </x:c>
      <x:c r="E48" s="220" t="str">
        <x:v>956042</x:v>
      </x:c>
      <x:c r="F48" s="220" t="str">
        <x:v>OUTROS</x:v>
      </x:c>
      <x:c r="G48" s="190" t="str">
        <x:v>2250X70X15 RTO LME REC PET BCO IMP(STD)</x:v>
      </x:c>
      <x:c r="H48" s="190" t="str"/>
      <x:c r="I48" s="190" t="str"/>
      <x:c r="J48" s="190" t="str"/>
      <x:c r="K48" s="190" t="str">
        <x:v>ESMALTE</x:v>
      </x:c>
      <x:c r="L48" s="190" t="str">
        <x:v>BRANCO CARRARA</x:v>
      </x:c>
      <x:c r="M48" s="210" t="n">
        <x:v>6</x:v>
      </x:c>
      <x:c r="N48" s="210" t="n">
        <x:v>2250</x:v>
      </x:c>
      <x:c r="O48" s="210" t="n">
        <x:v>70</x:v>
      </x:c>
      <x:c r="P48" s="210" t="n">
        <x:v>15</x:v>
      </x:c>
      <x:c r="Q48" s="211" t="n">
        <x:v>0</x:v>
      </x:c>
      <x:c r="R48" s="207" t="str"/>
      <x:c r="S48" s="207" t="str"/>
      <x:c r="T48" s="207" t="str"/>
      <x:c r="U48" s="207" t="n">
        <x:v>0</x:v>
      </x:c>
      <x:c r="V48" s="208" t="n">
        <x:f>MAX(0,M48-U48)</x:f>
        <x:v>6</x:v>
      </x:c>
      <x:c r="W48" s="209" t="n">
        <x:f>IFERROR(U48/M48,0)</x:f>
        <x:v>0</x:v>
      </x:c>
      <x:c r="X48" s="201" t="str">
        <x:f>IF(U48=0,"Não iniciado",IF(U48&gt;=M48,"Concluído","Parcial"))</x:f>
        <x:v>Não iniciado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26684</x:v>
      </x:c>
      <x:c r="C49" s="218" t="str">
        <x:v>3</x:v>
      </x:c>
      <x:c r="D49" s="218" t="str">
        <x:v>609129</x:v>
      </x:c>
      <x:c r="E49" s="218" t="str">
        <x:v>971354</x:v>
      </x:c>
      <x:c r="F49" s="218" t="str">
        <x:v>OUTROS</x:v>
      </x:c>
      <x:c r="G49" s="184" t="str">
        <x:v>PER ALI 2250X70X15 RT RL55RC PET BCO STD</x:v>
      </x:c>
      <x:c r="H49" s="184" t="str"/>
      <x:c r="I49" s="184" t="str"/>
      <x:c r="J49" s="184" t="str"/>
      <x:c r="K49" s="184" t="str">
        <x:v>ESMALTE</x:v>
      </x:c>
      <x:c r="L49" s="184" t="str">
        <x:v>BRANCO CARRARA</x:v>
      </x:c>
      <x:c r="M49" s="205" t="n">
        <x:v>6</x:v>
      </x:c>
      <x:c r="N49" s="205" t="n">
        <x:v>2250</x:v>
      </x:c>
      <x:c r="O49" s="205" t="n">
        <x:v>70</x:v>
      </x:c>
      <x:c r="P49" s="205" t="n">
        <x:v>15</x:v>
      </x:c>
      <x:c r="Q49" s="206" t="n">
        <x:v>0</x:v>
      </x:c>
      <x:c r="R49" s="207" t="str"/>
      <x:c r="S49" s="207" t="str"/>
      <x:c r="T49" s="207" t="str"/>
      <x:c r="U49" s="207" t="n">
        <x:v>0</x:v>
      </x:c>
      <x:c r="V49" s="208" t="n">
        <x:f>MAX(0,M49-U49)</x:f>
        <x:v>6</x:v>
      </x:c>
      <x:c r="W49" s="209" t="n">
        <x:f>IFERROR(U49/M49,0)</x:f>
        <x:v>0</x:v>
      </x:c>
      <x:c r="X49" s="201" t="str">
        <x:f>IF(U49=0,"Não iniciado",IF(U49&gt;=M49,"Concluído","Parcial"))</x:f>
        <x:v>Não iniciado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26684</x:v>
      </x:c>
      <x:c r="C50" s="220" t="str">
        <x:v>4</x:v>
      </x:c>
      <x:c r="D50" s="220" t="str">
        <x:v>609134</x:v>
      </x:c>
      <x:c r="E50" s="220" t="str">
        <x:v>956042</x:v>
      </x:c>
      <x:c r="F50" s="220" t="str">
        <x:v>OUTROS</x:v>
      </x:c>
      <x:c r="G50" s="190" t="str">
        <x:v>2250X70X15 RTO LME REC PET BCO IMP(STD)</x:v>
      </x:c>
      <x:c r="H50" s="190" t="str"/>
      <x:c r="I50" s="190" t="str"/>
      <x:c r="J50" s="190" t="str"/>
      <x:c r="K50" s="190" t="str">
        <x:v>ESMALTE</x:v>
      </x:c>
      <x:c r="L50" s="190" t="str">
        <x:v>BRANCO CARRARA</x:v>
      </x:c>
      <x:c r="M50" s="210" t="n">
        <x:v>110</x:v>
      </x:c>
      <x:c r="N50" s="210" t="n">
        <x:v>2250</x:v>
      </x:c>
      <x:c r="O50" s="210" t="n">
        <x:v>70</x:v>
      </x:c>
      <x:c r="P50" s="210" t="n">
        <x:v>15</x:v>
      </x:c>
      <x:c r="Q50" s="211" t="n">
        <x:v>0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110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26684</x:v>
      </x:c>
      <x:c r="C51" s="218" t="str">
        <x:v>4</x:v>
      </x:c>
      <x:c r="D51" s="218" t="str">
        <x:v>609135</x:v>
      </x:c>
      <x:c r="E51" s="218" t="str">
        <x:v>971354</x:v>
      </x:c>
      <x:c r="F51" s="218" t="str">
        <x:v>OUTROS</x:v>
      </x:c>
      <x:c r="G51" s="184" t="str">
        <x:v>PER ALI 2250X70X15 RT RL55RC PET BCO STD</x:v>
      </x:c>
      <x:c r="H51" s="184" t="str"/>
      <x:c r="I51" s="184" t="str"/>
      <x:c r="J51" s="184" t="str"/>
      <x:c r="K51" s="184" t="str">
        <x:v>ESMALTE</x:v>
      </x:c>
      <x:c r="L51" s="184" t="str">
        <x:v>BRANCO CARRARA</x:v>
      </x:c>
      <x:c r="M51" s="205" t="n">
        <x:v>110</x:v>
      </x:c>
      <x:c r="N51" s="205" t="n">
        <x:v>2250</x:v>
      </x:c>
      <x:c r="O51" s="205" t="n">
        <x:v>70</x:v>
      </x:c>
      <x:c r="P51" s="205" t="n">
        <x:v>15</x:v>
      </x:c>
      <x:c r="Q51" s="206" t="n">
        <x:v>0</x:v>
      </x:c>
      <x:c r="R51" s="207" t="str"/>
      <x:c r="S51" s="207" t="str"/>
      <x:c r="T51" s="207" t="str"/>
      <x:c r="U51" s="207" t="n">
        <x:v>0</x:v>
      </x:c>
      <x:c r="V51" s="208" t="n">
        <x:f>MAX(0,M51-U51)</x:f>
        <x:v>110</x:v>
      </x:c>
      <x:c r="W51" s="209" t="n">
        <x:f>IFERROR(U51/M51,0)</x:f>
        <x:v>0</x:v>
      </x:c>
      <x:c r="X51" s="201" t="str">
        <x:f>IF(U51=0,"Não iniciado",IF(U51&gt;=M51,"Concluído","Parcial"))</x:f>
        <x:v>Não iniciado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26684</x:v>
      </x:c>
      <x:c r="C52" s="220" t="str">
        <x:v>5</x:v>
      </x:c>
      <x:c r="D52" s="220" t="str">
        <x:v>609142</x:v>
      </x:c>
      <x:c r="E52" s="220" t="str">
        <x:v>956042</x:v>
      </x:c>
      <x:c r="F52" s="220" t="str">
        <x:v>OUTROS</x:v>
      </x:c>
      <x:c r="G52" s="190" t="str">
        <x:v>2250X70X15 RTO LME REC PET BCO IMP(STD)</x:v>
      </x:c>
      <x:c r="H52" s="190" t="str"/>
      <x:c r="I52" s="190" t="str"/>
      <x:c r="J52" s="190" t="str"/>
      <x:c r="K52" s="190" t="str">
        <x:v>ESMALTE</x:v>
      </x:c>
      <x:c r="L52" s="190" t="str">
        <x:v>BRANCO CARRARA</x:v>
      </x:c>
      <x:c r="M52" s="210" t="n">
        <x:v>12</x:v>
      </x:c>
      <x:c r="N52" s="210" t="n">
        <x:v>2250</x:v>
      </x:c>
      <x:c r="O52" s="210" t="n">
        <x:v>70</x:v>
      </x:c>
      <x:c r="P52" s="210" t="n">
        <x:v>15</x:v>
      </x:c>
      <x:c r="Q52" s="211" t="n">
        <x:v>0</x:v>
      </x:c>
      <x:c r="R52" s="207" t="str"/>
      <x:c r="S52" s="207" t="str"/>
      <x:c r="T52" s="207" t="str"/>
      <x:c r="U52" s="207" t="n">
        <x:v>0</x:v>
      </x:c>
      <x:c r="V52" s="208" t="n">
        <x:f>MAX(0,M52-U52)</x:f>
        <x:v>12</x:v>
      </x:c>
      <x:c r="W52" s="209" t="n">
        <x:f>IFERROR(U52/M52,0)</x:f>
        <x:v>0</x:v>
      </x:c>
      <x:c r="X52" s="201" t="str">
        <x:f>IF(U52=0,"Não iniciado",IF(U52&gt;=M52,"Concluído","Parcial"))</x:f>
        <x:v>Não iniciado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26684</x:v>
      </x:c>
      <x:c r="C53" s="218" t="str">
        <x:v>5</x:v>
      </x:c>
      <x:c r="D53" s="218" t="str">
        <x:v>609145</x:v>
      </x:c>
      <x:c r="E53" s="218" t="str">
        <x:v>971354</x:v>
      </x:c>
      <x:c r="F53" s="218" t="str">
        <x:v>OUTROS</x:v>
      </x:c>
      <x:c r="G53" s="184" t="str">
        <x:v>PER ALI 2250X70X15 RT RL55RC PET BCO STD</x:v>
      </x:c>
      <x:c r="H53" s="184" t="str"/>
      <x:c r="I53" s="184" t="str"/>
      <x:c r="J53" s="184" t="str"/>
      <x:c r="K53" s="184" t="str">
        <x:v>ESMALTE</x:v>
      </x:c>
      <x:c r="L53" s="184" t="str">
        <x:v>BRANCO CARRARA</x:v>
      </x:c>
      <x:c r="M53" s="205" t="n">
        <x:v>12</x:v>
      </x:c>
      <x:c r="N53" s="205" t="n">
        <x:v>2250</x:v>
      </x:c>
      <x:c r="O53" s="205" t="n">
        <x:v>70</x:v>
      </x:c>
      <x:c r="P53" s="205" t="n">
        <x:v>15</x:v>
      </x:c>
      <x:c r="Q53" s="206" t="n">
        <x:v>0</x:v>
      </x:c>
      <x:c r="R53" s="207" t="str"/>
      <x:c r="S53" s="207" t="str"/>
      <x:c r="T53" s="207" t="str"/>
      <x:c r="U53" s="207" t="n">
        <x:v>0</x:v>
      </x:c>
      <x:c r="V53" s="208" t="n">
        <x:f>MAX(0,M53-U53)</x:f>
        <x:v>12</x:v>
      </x:c>
      <x:c r="W53" s="209" t="n">
        <x:f>IFERROR(U53/M53,0)</x:f>
        <x:v>0</x:v>
      </x:c>
      <x:c r="X53" s="201" t="str">
        <x:f>IF(U53=0,"Não iniciado",IF(U53&gt;=M53,"Concluído","Parcial"))</x:f>
        <x:v>Não iniciado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26684</x:v>
      </x:c>
      <x:c r="C54" s="220" t="str">
        <x:v>7</x:v>
      </x:c>
      <x:c r="D54" s="220" t="str">
        <x:v>609158</x:v>
      </x:c>
      <x:c r="E54" s="220" t="str">
        <x:v>956042</x:v>
      </x:c>
      <x:c r="F54" s="220" t="str">
        <x:v>OUTROS</x:v>
      </x:c>
      <x:c r="G54" s="190" t="str">
        <x:v>2250X70X15 RTO LME REC PET BCO IMP(STD)</x:v>
      </x:c>
      <x:c r="H54" s="190" t="str"/>
      <x:c r="I54" s="190" t="str"/>
      <x:c r="J54" s="190" t="str"/>
      <x:c r="K54" s="190" t="str">
        <x:v>ESMALTE</x:v>
      </x:c>
      <x:c r="L54" s="190" t="str">
        <x:v>BRANCO CARRARA</x:v>
      </x:c>
      <x:c r="M54" s="210" t="n">
        <x:v>2</x:v>
      </x:c>
      <x:c r="N54" s="210" t="n">
        <x:v>2250</x:v>
      </x:c>
      <x:c r="O54" s="210" t="n">
        <x:v>70</x:v>
      </x:c>
      <x:c r="P54" s="210" t="n">
        <x:v>15</x:v>
      </x:c>
      <x:c r="Q54" s="211" t="n">
        <x:v>0</x:v>
      </x:c>
      <x:c r="R54" s="207" t="str"/>
      <x:c r="S54" s="207" t="str"/>
      <x:c r="T54" s="207" t="str"/>
      <x:c r="U54" s="207" t="n">
        <x:v>0</x:v>
      </x:c>
      <x:c r="V54" s="208" t="n">
        <x:f>MAX(0,M54-U54)</x:f>
        <x:v>2</x:v>
      </x:c>
      <x:c r="W54" s="209" t="n">
        <x:f>IFERROR(U54/M54,0)</x:f>
        <x:v>0</x:v>
      </x:c>
      <x:c r="X54" s="201" t="str">
        <x:f>IF(U54=0,"Não iniciado",IF(U54&gt;=M54,"Concluído","Parcial"))</x:f>
        <x:v>Não iniciado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26684</x:v>
      </x:c>
      <x:c r="C55" s="218" t="str">
        <x:v>7</x:v>
      </x:c>
      <x:c r="D55" s="218" t="str">
        <x:v>609161</x:v>
      </x:c>
      <x:c r="E55" s="218" t="str">
        <x:v>971354</x:v>
      </x:c>
      <x:c r="F55" s="218" t="str">
        <x:v>OUTROS</x:v>
      </x:c>
      <x:c r="G55" s="184" t="str">
        <x:v>PER ALI 2250X70X15 RT RL55RC PET BCO STD</x:v>
      </x:c>
      <x:c r="H55" s="184" t="str"/>
      <x:c r="I55" s="184" t="str"/>
      <x:c r="J55" s="184" t="str"/>
      <x:c r="K55" s="184" t="str">
        <x:v>ESMALTE</x:v>
      </x:c>
      <x:c r="L55" s="184" t="str">
        <x:v>BRANCO CARRARA</x:v>
      </x:c>
      <x:c r="M55" s="205" t="n">
        <x:v>2</x:v>
      </x:c>
      <x:c r="N55" s="205" t="n">
        <x:v>2250</x:v>
      </x:c>
      <x:c r="O55" s="205" t="n">
        <x:v>70</x:v>
      </x:c>
      <x:c r="P55" s="205" t="n">
        <x:v>15</x:v>
      </x:c>
      <x:c r="Q55" s="206" t="n">
        <x:v>0</x:v>
      </x:c>
      <x:c r="R55" s="207" t="str"/>
      <x:c r="S55" s="207" t="str"/>
      <x:c r="T55" s="207" t="str"/>
      <x:c r="U55" s="207" t="n">
        <x:v>0</x:v>
      </x:c>
      <x:c r="V55" s="208" t="n">
        <x:f>MAX(0,M55-U55)</x:f>
        <x:v>2</x:v>
      </x:c>
      <x:c r="W55" s="209" t="n">
        <x:f>IFERROR(U55/M55,0)</x:f>
        <x:v>0</x:v>
      </x:c>
      <x:c r="X55" s="201" t="str">
        <x:f>IF(U55=0,"Não iniciado",IF(U55&gt;=M55,"Concluído","Parcial"))</x:f>
        <x:v>Não iniciado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26684</x:v>
      </x:c>
      <x:c r="C56" s="220" t="str">
        <x:v>8</x:v>
      </x:c>
      <x:c r="D56" s="220" t="str">
        <x:v>609166</x:v>
      </x:c>
      <x:c r="E56" s="220" t="str">
        <x:v>956042</x:v>
      </x:c>
      <x:c r="F56" s="220" t="str">
        <x:v>OUTROS</x:v>
      </x:c>
      <x:c r="G56" s="190" t="str">
        <x:v>2250X70X15 RTO LME REC PET BCO IMP(STD)</x:v>
      </x:c>
      <x:c r="H56" s="190" t="str"/>
      <x:c r="I56" s="190" t="str"/>
      <x:c r="J56" s="190" t="str"/>
      <x:c r="K56" s="190" t="str">
        <x:v>ESMALTE</x:v>
      </x:c>
      <x:c r="L56" s="190" t="str">
        <x:v>BRANCO CARRARA</x:v>
      </x:c>
      <x:c r="M56" s="210" t="n">
        <x:v>10</x:v>
      </x:c>
      <x:c r="N56" s="210" t="n">
        <x:v>2250</x:v>
      </x:c>
      <x:c r="O56" s="210" t="n">
        <x:v>70</x:v>
      </x:c>
      <x:c r="P56" s="210" t="n">
        <x:v>15</x:v>
      </x:c>
      <x:c r="Q56" s="211" t="n">
        <x:v>0</x:v>
      </x:c>
      <x:c r="R56" s="207" t="str"/>
      <x:c r="S56" s="207" t="str"/>
      <x:c r="T56" s="207" t="str"/>
      <x:c r="U56" s="207" t="n">
        <x:v>0</x:v>
      </x:c>
      <x:c r="V56" s="208" t="n">
        <x:f>MAX(0,M56-U56)</x:f>
        <x:v>10</x:v>
      </x:c>
      <x:c r="W56" s="209" t="n">
        <x:f>IFERROR(U56/M56,0)</x:f>
        <x:v>0</x:v>
      </x:c>
      <x:c r="X56" s="201" t="str">
        <x:f>IF(U56=0,"Não iniciado",IF(U56&gt;=M56,"Concluído","Parcial"))</x:f>
        <x:v>Não iniciado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26684</x:v>
      </x:c>
      <x:c r="C57" s="218" t="str">
        <x:v>8</x:v>
      </x:c>
      <x:c r="D57" s="218" t="str">
        <x:v>609167</x:v>
      </x:c>
      <x:c r="E57" s="218" t="str">
        <x:v>971354</x:v>
      </x:c>
      <x:c r="F57" s="218" t="str">
        <x:v>OUTROS</x:v>
      </x:c>
      <x:c r="G57" s="184" t="str">
        <x:v>PER ALI 2250X70X15 RT RL55RC PET BCO STD</x:v>
      </x:c>
      <x:c r="H57" s="184" t="str"/>
      <x:c r="I57" s="184" t="str"/>
      <x:c r="J57" s="184" t="str"/>
      <x:c r="K57" s="184" t="str">
        <x:v>ESMALTE</x:v>
      </x:c>
      <x:c r="L57" s="184" t="str">
        <x:v>BRANCO CARRARA</x:v>
      </x:c>
      <x:c r="M57" s="205" t="n">
        <x:v>10</x:v>
      </x:c>
      <x:c r="N57" s="205" t="n">
        <x:v>2250</x:v>
      </x:c>
      <x:c r="O57" s="205" t="n">
        <x:v>70</x:v>
      </x:c>
      <x:c r="P57" s="205" t="n">
        <x:v>15</x:v>
      </x:c>
      <x:c r="Q57" s="206" t="n">
        <x:v>0</x:v>
      </x:c>
      <x:c r="R57" s="207" t="str"/>
      <x:c r="S57" s="207" t="str"/>
      <x:c r="T57" s="207" t="str"/>
      <x:c r="U57" s="207" t="n">
        <x:v>0</x:v>
      </x:c>
      <x:c r="V57" s="208" t="n">
        <x:f>MAX(0,M57-U57)</x:f>
        <x:v>10</x:v>
      </x:c>
      <x:c r="W57" s="209" t="n">
        <x:f>IFERROR(U57/M57,0)</x:f>
        <x:v>0</x:v>
      </x:c>
      <x:c r="X57" s="201" t="str">
        <x:f>IF(U57=0,"Não iniciado",IF(U57&gt;=M57,"Concluído","Parcial"))</x:f>
        <x:v>Não iniciado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26684</x:v>
      </x:c>
      <x:c r="C58" s="220" t="str">
        <x:v>9</x:v>
      </x:c>
      <x:c r="D58" s="220" t="str">
        <x:v>609174</x:v>
      </x:c>
      <x:c r="E58" s="220" t="str">
        <x:v>956042</x:v>
      </x:c>
      <x:c r="F58" s="220" t="str">
        <x:v>OUTROS</x:v>
      </x:c>
      <x:c r="G58" s="190" t="str">
        <x:v>2250X70X15 RTO LME REC PET BCO IMP(STD)</x:v>
      </x:c>
      <x:c r="H58" s="190" t="str"/>
      <x:c r="I58" s="190" t="str"/>
      <x:c r="J58" s="190" t="str"/>
      <x:c r="K58" s="190" t="str">
        <x:v>ESMALTE</x:v>
      </x:c>
      <x:c r="L58" s="190" t="str">
        <x:v>BRANCO CARRARA</x:v>
      </x:c>
      <x:c r="M58" s="210" t="n">
        <x:v>114</x:v>
      </x:c>
      <x:c r="N58" s="210" t="n">
        <x:v>2250</x:v>
      </x:c>
      <x:c r="O58" s="210" t="n">
        <x:v>70</x:v>
      </x:c>
      <x:c r="P58" s="210" t="n">
        <x:v>15</x:v>
      </x:c>
      <x:c r="Q58" s="211" t="n">
        <x:v>0</x:v>
      </x:c>
      <x:c r="R58" s="207" t="str"/>
      <x:c r="S58" s="207" t="str"/>
      <x:c r="T58" s="207" t="str"/>
      <x:c r="U58" s="207" t="n">
        <x:v>0</x:v>
      </x:c>
      <x:c r="V58" s="208" t="n">
        <x:f>MAX(0,M58-U58)</x:f>
        <x:v>114</x:v>
      </x:c>
      <x:c r="W58" s="209" t="n">
        <x:f>IFERROR(U58/M58,0)</x:f>
        <x:v>0</x:v>
      </x:c>
      <x:c r="X58" s="201" t="str">
        <x:f>IF(U58=0,"Não iniciado",IF(U58&gt;=M58,"Concluído","Parcial"))</x:f>
        <x:v>Não iniciado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26684</x:v>
      </x:c>
      <x:c r="C59" s="218" t="str">
        <x:v>9</x:v>
      </x:c>
      <x:c r="D59" s="218" t="str">
        <x:v>609177</x:v>
      </x:c>
      <x:c r="E59" s="218" t="str">
        <x:v>971354</x:v>
      </x:c>
      <x:c r="F59" s="218" t="str">
        <x:v>OUTROS</x:v>
      </x:c>
      <x:c r="G59" s="184" t="str">
        <x:v>PER ALI 2250X70X15 RT RL55RC PET BCO STD</x:v>
      </x:c>
      <x:c r="H59" s="184" t="str"/>
      <x:c r="I59" s="184" t="str"/>
      <x:c r="J59" s="184" t="str"/>
      <x:c r="K59" s="184" t="str">
        <x:v>ESMALTE</x:v>
      </x:c>
      <x:c r="L59" s="184" t="str">
        <x:v>BRANCO CARRARA</x:v>
      </x:c>
      <x:c r="M59" s="205" t="n">
        <x:v>114</x:v>
      </x:c>
      <x:c r="N59" s="205" t="n">
        <x:v>2250</x:v>
      </x:c>
      <x:c r="O59" s="205" t="n">
        <x:v>70</x:v>
      </x:c>
      <x:c r="P59" s="205" t="n">
        <x:v>15</x:v>
      </x:c>
      <x:c r="Q59" s="206" t="n">
        <x:v>0</x:v>
      </x:c>
      <x:c r="R59" s="207" t="str"/>
      <x:c r="S59" s="207" t="str"/>
      <x:c r="T59" s="207" t="str"/>
      <x:c r="U59" s="207" t="n">
        <x:v>0</x:v>
      </x:c>
      <x:c r="V59" s="208" t="n">
        <x:f>MAX(0,M59-U59)</x:f>
        <x:v>114</x:v>
      </x:c>
      <x:c r="W59" s="209" t="n">
        <x:f>IFERROR(U59/M59,0)</x:f>
        <x:v>0</x:v>
      </x:c>
      <x:c r="X59" s="201" t="str">
        <x:f>IF(U59=0,"Não iniciado",IF(U59&gt;=M59,"Concluído","Parcial"))</x:f>
        <x:v>Não iniciado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26689</x:v>
      </x:c>
      <x:c r="C60" s="220" t="str">
        <x:v>1</x:v>
      </x:c>
      <x:c r="D60" s="220" t="str">
        <x:v>609077</x:v>
      </x:c>
      <x:c r="E60" s="220" t="str">
        <x:v>956042</x:v>
      </x:c>
      <x:c r="F60" s="220" t="str">
        <x:v>OUTROS</x:v>
      </x:c>
      <x:c r="G60" s="190" t="str">
        <x:v>2250X70X15 RTO LME REC PET BCO IMP(STD)</x:v>
      </x:c>
      <x:c r="H60" s="190" t="str"/>
      <x:c r="I60" s="190" t="str"/>
      <x:c r="J60" s="190" t="str"/>
      <x:c r="K60" s="190" t="str">
        <x:v>ESMALTE</x:v>
      </x:c>
      <x:c r="L60" s="190" t="str">
        <x:v>BRANCO CARRARA</x:v>
      </x:c>
      <x:c r="M60" s="210" t="n">
        <x:v>64</x:v>
      </x:c>
      <x:c r="N60" s="210" t="n">
        <x:v>2250</x:v>
      </x:c>
      <x:c r="O60" s="210" t="n">
        <x:v>70</x:v>
      </x:c>
      <x:c r="P60" s="210" t="n">
        <x:v>15</x:v>
      </x:c>
      <x:c r="Q60" s="211" t="n">
        <x:v>0</x:v>
      </x:c>
      <x:c r="R60" s="207" t="str"/>
      <x:c r="S60" s="207" t="str"/>
      <x:c r="T60" s="207" t="str"/>
      <x:c r="U60" s="207" t="n">
        <x:v>0</x:v>
      </x:c>
      <x:c r="V60" s="208" t="n">
        <x:f>MAX(0,M60-U60)</x:f>
        <x:v>64</x:v>
      </x:c>
      <x:c r="W60" s="209" t="n">
        <x:f>IFERROR(U60/M60,0)</x:f>
        <x:v>0</x:v>
      </x:c>
      <x:c r="X60" s="201" t="str">
        <x:f>IF(U60=0,"Não iniciado",IF(U60&gt;=M60,"Concluído","Parcial"))</x:f>
        <x:v>Não iniciado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26689</x:v>
      </x:c>
      <x:c r="C61" s="218" t="str">
        <x:v>1</x:v>
      </x:c>
      <x:c r="D61" s="218" t="str">
        <x:v>609078</x:v>
      </x:c>
      <x:c r="E61" s="218" t="str">
        <x:v>971354</x:v>
      </x:c>
      <x:c r="F61" s="218" t="str">
        <x:v>OUTROS</x:v>
      </x:c>
      <x:c r="G61" s="184" t="str">
        <x:v>PER ALI 2250X70X15 RT RL55RC PET BCO STD</x:v>
      </x:c>
      <x:c r="H61" s="184" t="str"/>
      <x:c r="I61" s="184" t="str"/>
      <x:c r="J61" s="184" t="str"/>
      <x:c r="K61" s="184" t="str">
        <x:v>ESMALTE</x:v>
      </x:c>
      <x:c r="L61" s="184" t="str">
        <x:v>BRANCO CARRARA</x:v>
      </x:c>
      <x:c r="M61" s="205" t="n">
        <x:v>64</x:v>
      </x:c>
      <x:c r="N61" s="205" t="n">
        <x:v>2250</x:v>
      </x:c>
      <x:c r="O61" s="205" t="n">
        <x:v>70</x:v>
      </x:c>
      <x:c r="P61" s="205" t="n">
        <x:v>15</x:v>
      </x:c>
      <x:c r="Q61" s="206" t="n">
        <x:v>0</x:v>
      </x:c>
      <x:c r="R61" s="207" t="str"/>
      <x:c r="S61" s="207" t="str"/>
      <x:c r="T61" s="207" t="str"/>
      <x:c r="U61" s="207" t="n">
        <x:v>0</x:v>
      </x:c>
      <x:c r="V61" s="208" t="n">
        <x:f>MAX(0,M61-U61)</x:f>
        <x:v>64</x:v>
      </x:c>
      <x:c r="W61" s="209" t="n">
        <x:f>IFERROR(U61/M61,0)</x:f>
        <x:v>0</x:v>
      </x:c>
      <x:c r="X61" s="201" t="str">
        <x:f>IF(U61=0,"Não iniciado",IF(U61&gt;=M61,"Concluído","Parcial"))</x:f>
        <x:v>Não iniciado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26689</x:v>
      </x:c>
      <x:c r="C62" s="220" t="str">
        <x:v>2</x:v>
      </x:c>
      <x:c r="D62" s="220" t="str">
        <x:v>609085</x:v>
      </x:c>
      <x:c r="E62" s="220" t="str">
        <x:v>956042</x:v>
      </x:c>
      <x:c r="F62" s="220" t="str">
        <x:v>OUTROS</x:v>
      </x:c>
      <x:c r="G62" s="190" t="str">
        <x:v>2250X70X15 RTO LME REC PET BCO IMP(STD)</x:v>
      </x:c>
      <x:c r="H62" s="190" t="str"/>
      <x:c r="I62" s="190" t="str"/>
      <x:c r="J62" s="190" t="str"/>
      <x:c r="K62" s="190" t="str">
        <x:v>ESMALTE</x:v>
      </x:c>
      <x:c r="L62" s="190" t="str">
        <x:v>BRANCO CARRARA</x:v>
      </x:c>
      <x:c r="M62" s="210" t="n">
        <x:v>128</x:v>
      </x:c>
      <x:c r="N62" s="210" t="n">
        <x:v>2250</x:v>
      </x:c>
      <x:c r="O62" s="210" t="n">
        <x:v>70</x:v>
      </x:c>
      <x:c r="P62" s="210" t="n">
        <x:v>15</x:v>
      </x:c>
      <x:c r="Q62" s="211" t="n">
        <x:v>0</x:v>
      </x:c>
      <x:c r="R62" s="207" t="str"/>
      <x:c r="S62" s="207" t="str"/>
      <x:c r="T62" s="207" t="str"/>
      <x:c r="U62" s="207" t="n">
        <x:v>0</x:v>
      </x:c>
      <x:c r="V62" s="208" t="n">
        <x:f>MAX(0,M62-U62)</x:f>
        <x:v>128</x:v>
      </x:c>
      <x:c r="W62" s="209" t="n">
        <x:f>IFERROR(U62/M62,0)</x:f>
        <x:v>0</x:v>
      </x:c>
      <x:c r="X62" s="201" t="str">
        <x:f>IF(U62=0,"Não iniciado",IF(U62&gt;=M62,"Concluído","Parcial"))</x:f>
        <x:v>Não iniciado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26689</x:v>
      </x:c>
      <x:c r="C63" s="218" t="str">
        <x:v>2</x:v>
      </x:c>
      <x:c r="D63" s="218" t="str">
        <x:v>609086</x:v>
      </x:c>
      <x:c r="E63" s="218" t="str">
        <x:v>971354</x:v>
      </x:c>
      <x:c r="F63" s="218" t="str">
        <x:v>OUTROS</x:v>
      </x:c>
      <x:c r="G63" s="184" t="str">
        <x:v>PER ALI 2250X70X15 RT RL55RC PET BCO STD</x:v>
      </x:c>
      <x:c r="H63" s="184" t="str"/>
      <x:c r="I63" s="184" t="str"/>
      <x:c r="J63" s="184" t="str"/>
      <x:c r="K63" s="184" t="str">
        <x:v>ESMALTE</x:v>
      </x:c>
      <x:c r="L63" s="184" t="str">
        <x:v>BRANCO CARRARA</x:v>
      </x:c>
      <x:c r="M63" s="205" t="n">
        <x:v>128</x:v>
      </x:c>
      <x:c r="N63" s="205" t="n">
        <x:v>2250</x:v>
      </x:c>
      <x:c r="O63" s="205" t="n">
        <x:v>70</x:v>
      </x:c>
      <x:c r="P63" s="205" t="n">
        <x:v>15</x:v>
      </x:c>
      <x:c r="Q63" s="206" t="n">
        <x:v>0</x:v>
      </x:c>
      <x:c r="R63" s="207" t="str"/>
      <x:c r="S63" s="207" t="str"/>
      <x:c r="T63" s="207" t="str"/>
      <x:c r="U63" s="207" t="n">
        <x:v>0</x:v>
      </x:c>
      <x:c r="V63" s="208" t="n">
        <x:f>MAX(0,M63-U63)</x:f>
        <x:v>128</x:v>
      </x:c>
      <x:c r="W63" s="209" t="n">
        <x:f>IFERROR(U63/M63,0)</x:f>
        <x:v>0</x:v>
      </x:c>
      <x:c r="X63" s="201" t="str">
        <x:f>IF(U63=0,"Não iniciado",IF(U63&gt;=M63,"Concluído","Parcial"))</x:f>
        <x:v>Não iniciado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26689</x:v>
      </x:c>
      <x:c r="C64" s="220" t="str">
        <x:v>3</x:v>
      </x:c>
      <x:c r="D64" s="220" t="str">
        <x:v>609093</x:v>
      </x:c>
      <x:c r="E64" s="220" t="str">
        <x:v>956042</x:v>
      </x:c>
      <x:c r="F64" s="220" t="str">
        <x:v>OUTROS</x:v>
      </x:c>
      <x:c r="G64" s="190" t="str">
        <x:v>2250X70X15 RTO LME REC PET BCO IMP(STD)</x:v>
      </x:c>
      <x:c r="H64" s="190" t="str"/>
      <x:c r="I64" s="190" t="str"/>
      <x:c r="J64" s="190" t="str"/>
      <x:c r="K64" s="190" t="str">
        <x:v>ESMALTE</x:v>
      </x:c>
      <x:c r="L64" s="190" t="str">
        <x:v>BRANCO CARRARA</x:v>
      </x:c>
      <x:c r="M64" s="210" t="n">
        <x:v>122</x:v>
      </x:c>
      <x:c r="N64" s="210" t="n">
        <x:v>2250</x:v>
      </x:c>
      <x:c r="O64" s="210" t="n">
        <x:v>70</x:v>
      </x:c>
      <x:c r="P64" s="210" t="n">
        <x:v>15</x:v>
      </x:c>
      <x:c r="Q64" s="211" t="n">
        <x:v>0</x:v>
      </x:c>
      <x:c r="R64" s="207" t="str"/>
      <x:c r="S64" s="207" t="str"/>
      <x:c r="T64" s="207" t="str"/>
      <x:c r="U64" s="207" t="n">
        <x:v>0</x:v>
      </x:c>
      <x:c r="V64" s="208" t="n">
        <x:f>MAX(0,M64-U64)</x:f>
        <x:v>122</x:v>
      </x:c>
      <x:c r="W64" s="209" t="n">
        <x:f>IFERROR(U64/M64,0)</x:f>
        <x:v>0</x:v>
      </x:c>
      <x:c r="X64" s="201" t="str">
        <x:f>IF(U64=0,"Não iniciado",IF(U64&gt;=M64,"Concluído","Parcial"))</x:f>
        <x:v>Não iniciado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26689</x:v>
      </x:c>
      <x:c r="C65" s="218" t="str">
        <x:v>3</x:v>
      </x:c>
      <x:c r="D65" s="218" t="str">
        <x:v>609096</x:v>
      </x:c>
      <x:c r="E65" s="218" t="str">
        <x:v>971354</x:v>
      </x:c>
      <x:c r="F65" s="218" t="str">
        <x:v>OUTROS</x:v>
      </x:c>
      <x:c r="G65" s="184" t="str">
        <x:v>PER ALI 2250X70X15 RT RL55RC PET BCO STD</x:v>
      </x:c>
      <x:c r="H65" s="184" t="str"/>
      <x:c r="I65" s="184" t="str"/>
      <x:c r="J65" s="184" t="str"/>
      <x:c r="K65" s="184" t="str">
        <x:v>ESMALTE</x:v>
      </x:c>
      <x:c r="L65" s="184" t="str">
        <x:v>BRANCO CARRARA</x:v>
      </x:c>
      <x:c r="M65" s="205" t="n">
        <x:v>122</x:v>
      </x:c>
      <x:c r="N65" s="205" t="n">
        <x:v>2250</x:v>
      </x:c>
      <x:c r="O65" s="205" t="n">
        <x:v>70</x:v>
      </x:c>
      <x:c r="P65" s="205" t="n">
        <x:v>15</x:v>
      </x:c>
      <x:c r="Q65" s="206" t="n">
        <x:v>0</x:v>
      </x:c>
      <x:c r="R65" s="207" t="str"/>
      <x:c r="S65" s="207" t="str"/>
      <x:c r="T65" s="207" t="str"/>
      <x:c r="U65" s="207" t="n">
        <x:v>0</x:v>
      </x:c>
      <x:c r="V65" s="208" t="n">
        <x:f>MAX(0,M65-U65)</x:f>
        <x:v>122</x:v>
      </x:c>
      <x:c r="W65" s="209" t="n">
        <x:f>IFERROR(U65/M65,0)</x:f>
        <x:v>0</x:v>
      </x:c>
      <x:c r="X65" s="201" t="str">
        <x:f>IF(U65=0,"Não iniciado",IF(U65&gt;=M65,"Concluído","Parcial"))</x:f>
        <x:v>Não iniciado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26808</x:v>
      </x:c>
      <x:c r="C66" s="220" t="str">
        <x:v>1</x:v>
      </x:c>
      <x:c r="D66" s="220" t="str">
        <x:v>608901</x:v>
      </x:c>
      <x:c r="E66" s="220" t="str">
        <x:v>962986</x:v>
      </x:c>
      <x:c r="F66" s="220" t="str">
        <x:v>OUTROS</x:v>
      </x:c>
      <x:c r="G66" s="190" t="str">
        <x:v>PE AL 2250X70X9 RTO LME REC PET BCO(ULTR</x:v>
      </x:c>
      <x:c r="H66" s="190" t="str"/>
      <x:c r="I66" s="190" t="str"/>
      <x:c r="J66" s="190" t="str"/>
      <x:c r="K66" s="190" t="str">
        <x:v>ESMALTE</x:v>
      </x:c>
      <x:c r="L66" s="190" t="str">
        <x:v>BRANCO CARRARA</x:v>
      </x:c>
      <x:c r="M66" s="210" t="n">
        <x:v>288</x:v>
      </x:c>
      <x:c r="N66" s="210" t="n">
        <x:v>2250</x:v>
      </x:c>
      <x:c r="O66" s="210" t="n">
        <x:v>70</x:v>
      </x:c>
      <x:c r="P66" s="210" t="n">
        <x:v>9</x:v>
      </x:c>
      <x:c r="Q66" s="211" t="n">
        <x:v>0</x:v>
      </x:c>
      <x:c r="R66" s="207" t="str"/>
      <x:c r="S66" s="207" t="str"/>
      <x:c r="T66" s="207" t="str"/>
      <x:c r="U66" s="207" t="n">
        <x:v>0</x:v>
      </x:c>
      <x:c r="V66" s="208" t="n">
        <x:f>MAX(0,M66-U66)</x:f>
        <x:v>288</x:v>
      </x:c>
      <x:c r="W66" s="209" t="n">
        <x:f>IFERROR(U66/M66,0)</x:f>
        <x:v>0</x:v>
      </x:c>
      <x:c r="X66" s="201" t="str">
        <x:f>IF(U66=0,"Não iniciado",IF(U66&gt;=M66,"Concluído","Parcial"))</x:f>
        <x:v>Não iniciado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26808</x:v>
      </x:c>
      <x:c r="C67" s="218" t="str">
        <x:v>2</x:v>
      </x:c>
      <x:c r="D67" s="218" t="str">
        <x:v>608909</x:v>
      </x:c>
      <x:c r="E67" s="218" t="str">
        <x:v>962986</x:v>
      </x:c>
      <x:c r="F67" s="218" t="str">
        <x:v>OUTROS</x:v>
      </x:c>
      <x:c r="G67" s="184" t="str">
        <x:v>PE AL 2250X70X9 RTO LME REC PET BCO(ULTR</x:v>
      </x:c>
      <x:c r="H67" s="184" t="str"/>
      <x:c r="I67" s="184" t="str"/>
      <x:c r="J67" s="184" t="str"/>
      <x:c r="K67" s="184" t="str">
        <x:v>ESMALTE</x:v>
      </x:c>
      <x:c r="L67" s="184" t="str">
        <x:v>BRANCO CARRARA</x:v>
      </x:c>
      <x:c r="M67" s="205" t="n">
        <x:v>32</x:v>
      </x:c>
      <x:c r="N67" s="205" t="n">
        <x:v>2250</x:v>
      </x:c>
      <x:c r="O67" s="205" t="n">
        <x:v>70</x:v>
      </x:c>
      <x:c r="P67" s="205" t="n">
        <x:v>9</x:v>
      </x:c>
      <x:c r="Q67" s="206" t="n">
        <x:v>0</x:v>
      </x:c>
      <x:c r="R67" s="207" t="str"/>
      <x:c r="S67" s="207" t="str"/>
      <x:c r="T67" s="207" t="str"/>
      <x:c r="U67" s="207" t="n">
        <x:v>0</x:v>
      </x:c>
      <x:c r="V67" s="208" t="n">
        <x:f>MAX(0,M67-U67)</x:f>
        <x:v>32</x:v>
      </x:c>
      <x:c r="W67" s="209" t="n">
        <x:f>IFERROR(U67/M67,0)</x:f>
        <x:v>0</x:v>
      </x:c>
      <x:c r="X67" s="201" t="str">
        <x:f>IF(U67=0,"Não iniciado",IF(U67&gt;=M67,"Concluído","Parcial"))</x:f>
        <x:v>Não iniciado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26808</x:v>
      </x:c>
      <x:c r="C68" s="220" t="str">
        <x:v>3</x:v>
      </x:c>
      <x:c r="D68" s="220" t="str">
        <x:v>608917</x:v>
      </x:c>
      <x:c r="E68" s="220" t="str">
        <x:v>962986</x:v>
      </x:c>
      <x:c r="F68" s="220" t="str">
        <x:v>OUTROS</x:v>
      </x:c>
      <x:c r="G68" s="190" t="str">
        <x:v>PE AL 2250X70X9 RTO LME REC PET BCO(ULTR</x:v>
      </x:c>
      <x:c r="H68" s="190" t="str"/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120</x:v>
      </x:c>
      <x:c r="N68" s="210" t="n">
        <x:v>2250</x:v>
      </x:c>
      <x:c r="O68" s="210" t="n">
        <x:v>70</x:v>
      </x:c>
      <x:c r="P68" s="210" t="n">
        <x:v>9</x:v>
      </x:c>
      <x:c r="Q68" s="211" t="n">
        <x:v>0</x:v>
      </x:c>
      <x:c r="R68" s="207" t="str"/>
      <x:c r="S68" s="207" t="str"/>
      <x:c r="T68" s="207" t="str"/>
      <x:c r="U68" s="207" t="n">
        <x:v>0</x:v>
      </x:c>
      <x:c r="V68" s="208" t="n">
        <x:f>MAX(0,M68-U68)</x:f>
        <x:v>120</x:v>
      </x:c>
      <x:c r="W68" s="209" t="n">
        <x:f>IFERROR(U68/M68,0)</x:f>
        <x:v>0</x:v>
      </x:c>
      <x:c r="X68" s="201" t="str">
        <x:f>IF(U68=0,"Não iniciado",IF(U68&gt;=M68,"Concluído","Parcial"))</x:f>
        <x:v>Não iniciado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26808</x:v>
      </x:c>
      <x:c r="C69" s="218" t="str">
        <x:v>4</x:v>
      </x:c>
      <x:c r="D69" s="218" t="str">
        <x:v>608925</x:v>
      </x:c>
      <x:c r="E69" s="218" t="str">
        <x:v>962986</x:v>
      </x:c>
      <x:c r="F69" s="218" t="str">
        <x:v>OUTROS</x:v>
      </x:c>
      <x:c r="G69" s="184" t="str">
        <x:v>PE AL 2250X70X9 RTO LME REC PET BCO(ULTR</x:v>
      </x:c>
      <x:c r="H69" s="184" t="str"/>
      <x:c r="I69" s="184" t="str"/>
      <x:c r="J69" s="184" t="str"/>
      <x:c r="K69" s="184" t="str">
        <x:v>ESMALTE</x:v>
      </x:c>
      <x:c r="L69" s="184" t="str">
        <x:v>BRANCO CARRARA</x:v>
      </x:c>
      <x:c r="M69" s="205" t="n">
        <x:v>126</x:v>
      </x:c>
      <x:c r="N69" s="205" t="n">
        <x:v>2250</x:v>
      </x:c>
      <x:c r="O69" s="205" t="n">
        <x:v>70</x:v>
      </x:c>
      <x:c r="P69" s="205" t="n">
        <x:v>9</x:v>
      </x:c>
      <x:c r="Q69" s="206" t="n">
        <x:v>0</x:v>
      </x:c>
      <x:c r="R69" s="207" t="str"/>
      <x:c r="S69" s="207" t="str"/>
      <x:c r="T69" s="207" t="str"/>
      <x:c r="U69" s="207" t="n">
        <x:v>0</x:v>
      </x:c>
      <x:c r="V69" s="208" t="n">
        <x:f>MAX(0,M69-U69)</x:f>
        <x:v>126</x:v>
      </x:c>
      <x:c r="W69" s="209" t="n">
        <x:f>IFERROR(U69/M69,0)</x:f>
        <x:v>0</x:v>
      </x:c>
      <x:c r="X69" s="201" t="str">
        <x:f>IF(U69=0,"Não iniciado",IF(U69&gt;=M69,"Concluído","Parcial"))</x:f>
        <x:v>Não iniciado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26808</x:v>
      </x:c>
      <x:c r="C70" s="220" t="str">
        <x:v>5</x:v>
      </x:c>
      <x:c r="D70" s="220" t="str">
        <x:v>608933</x:v>
      </x:c>
      <x:c r="E70" s="220" t="str">
        <x:v>962986</x:v>
      </x:c>
      <x:c r="F70" s="220" t="str">
        <x:v>OUTROS</x:v>
      </x:c>
      <x:c r="G70" s="190" t="str">
        <x:v>PE AL 2250X70X9 RTO LME REC PET BCO(ULTR</x:v>
      </x:c>
      <x:c r="H70" s="190" t="str"/>
      <x:c r="I70" s="190" t="str"/>
      <x:c r="J70" s="190" t="str"/>
      <x:c r="K70" s="190" t="str">
        <x:v>ESMALTE</x:v>
      </x:c>
      <x:c r="L70" s="190" t="str">
        <x:v>BRANCO CARRARA</x:v>
      </x:c>
      <x:c r="M70" s="210" t="n">
        <x:v>2</x:v>
      </x:c>
      <x:c r="N70" s="210" t="n">
        <x:v>2250</x:v>
      </x:c>
      <x:c r="O70" s="210" t="n">
        <x:v>70</x:v>
      </x:c>
      <x:c r="P70" s="210" t="n">
        <x:v>9</x:v>
      </x:c>
      <x:c r="Q70" s="211" t="n">
        <x:v>0</x:v>
      </x:c>
      <x:c r="R70" s="207" t="str"/>
      <x:c r="S70" s="207" t="str"/>
      <x:c r="T70" s="207" t="str"/>
      <x:c r="U70" s="207" t="n">
        <x:v>0</x:v>
      </x:c>
      <x:c r="V70" s="208" t="n">
        <x:f>MAX(0,M70-U70)</x:f>
        <x:v>2</x:v>
      </x:c>
      <x:c r="W70" s="209" t="n">
        <x:f>IFERROR(U70/M70,0)</x:f>
        <x:v>0</x:v>
      </x:c>
      <x:c r="X70" s="201" t="str">
        <x:f>IF(U70=0,"Não iniciado",IF(U70&gt;=M70,"Concluído","Parcial"))</x:f>
        <x:v>Não iniciado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26808</x:v>
      </x:c>
      <x:c r="C71" s="218" t="str">
        <x:v>6</x:v>
      </x:c>
      <x:c r="D71" s="218" t="str">
        <x:v>608939</x:v>
      </x:c>
      <x:c r="E71" s="218" t="str">
        <x:v>962986</x:v>
      </x:c>
      <x:c r="F71" s="218" t="str">
        <x:v>OUTROS</x:v>
      </x:c>
      <x:c r="G71" s="184" t="str">
        <x:v>PE AL 2250X70X9 RTO LME REC PET BCO(ULTR</x:v>
      </x:c>
      <x:c r="H71" s="184" t="str"/>
      <x:c r="I71" s="184" t="str"/>
      <x:c r="J71" s="184" t="str"/>
      <x:c r="K71" s="184" t="str">
        <x:v>ESMALTE</x:v>
      </x:c>
      <x:c r="L71" s="184" t="str">
        <x:v>BRANCO CARRARA</x:v>
      </x:c>
      <x:c r="M71" s="205" t="n">
        <x:v>12</x:v>
      </x:c>
      <x:c r="N71" s="205" t="n">
        <x:v>2250</x:v>
      </x:c>
      <x:c r="O71" s="205" t="n">
        <x:v>70</x:v>
      </x:c>
      <x:c r="P71" s="205" t="n">
        <x:v>9</x:v>
      </x:c>
      <x:c r="Q71" s="206" t="n">
        <x:v>0</x:v>
      </x:c>
      <x:c r="R71" s="207" t="str"/>
      <x:c r="S71" s="207" t="str"/>
      <x:c r="T71" s="207" t="str"/>
      <x:c r="U71" s="207" t="n">
        <x:v>0</x:v>
      </x:c>
      <x:c r="V71" s="208" t="n">
        <x:f>MAX(0,M71-U71)</x:f>
        <x:v>12</x:v>
      </x:c>
      <x:c r="W71" s="209" t="n">
        <x:f>IFERROR(U71/M71,0)</x:f>
        <x:v>0</x:v>
      </x:c>
      <x:c r="X71" s="201" t="str">
        <x:f>IF(U71=0,"Não iniciado",IF(U71&gt;=M71,"Concluído","Parcial"))</x:f>
        <x:v>Não iniciado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26808</x:v>
      </x:c>
      <x:c r="C72" s="220" t="str">
        <x:v>7</x:v>
      </x:c>
      <x:c r="D72" s="220" t="str">
        <x:v>608949</x:v>
      </x:c>
      <x:c r="E72" s="220" t="str">
        <x:v>962986</x:v>
      </x:c>
      <x:c r="F72" s="220" t="str">
        <x:v>OUTROS</x:v>
      </x:c>
      <x:c r="G72" s="190" t="str">
        <x:v>PE AL 2250X70X9 RTO LME REC PET BCO(ULTR</x:v>
      </x:c>
      <x:c r="H72" s="190" t="str"/>
      <x:c r="I72" s="190" t="str"/>
      <x:c r="J72" s="190" t="str"/>
      <x:c r="K72" s="190" t="str">
        <x:v>ESMALTE</x:v>
      </x:c>
      <x:c r="L72" s="190" t="str">
        <x:v>BRANCO CARRARA</x:v>
      </x:c>
      <x:c r="M72" s="210" t="n">
        <x:v>8</x:v>
      </x:c>
      <x:c r="N72" s="210" t="n">
        <x:v>2250</x:v>
      </x:c>
      <x:c r="O72" s="210" t="n">
        <x:v>70</x:v>
      </x:c>
      <x:c r="P72" s="210" t="n">
        <x:v>9</x:v>
      </x:c>
      <x:c r="Q72" s="211" t="n">
        <x:v>0</x:v>
      </x:c>
      <x:c r="R72" s="207" t="str"/>
      <x:c r="S72" s="207" t="str"/>
      <x:c r="T72" s="207" t="str"/>
      <x:c r="U72" s="207" t="n">
        <x:v>0</x:v>
      </x:c>
      <x:c r="V72" s="208" t="n">
        <x:f>MAX(0,M72-U72)</x:f>
        <x:v>8</x:v>
      </x:c>
      <x:c r="W72" s="209" t="n">
        <x:f>IFERROR(U72/M72,0)</x:f>
        <x:v>0</x:v>
      </x:c>
      <x:c r="X72" s="201" t="str">
        <x:f>IF(U72=0,"Não iniciado",IF(U72&gt;=M72,"Concluído","Parcial"))</x:f>
        <x:v>Não iniciado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26808</x:v>
      </x:c>
      <x:c r="C73" s="218" t="str">
        <x:v>8</x:v>
      </x:c>
      <x:c r="D73" s="218" t="str">
        <x:v>608957</x:v>
      </x:c>
      <x:c r="E73" s="218" t="str">
        <x:v>962986</x:v>
      </x:c>
      <x:c r="F73" s="218" t="str">
        <x:v>OUTROS</x:v>
      </x:c>
      <x:c r="G73" s="184" t="str">
        <x:v>PE AL 2250X70X9 RTO LME REC PET BCO(ULTR</x:v>
      </x:c>
      <x:c r="H73" s="184" t="str"/>
      <x:c r="I73" s="184" t="str"/>
      <x:c r="J73" s="184" t="str"/>
      <x:c r="K73" s="184" t="str">
        <x:v>ESMALTE</x:v>
      </x:c>
      <x:c r="L73" s="184" t="str">
        <x:v>BRANCO CARRARA</x:v>
      </x:c>
      <x:c r="M73" s="205" t="n">
        <x:v>44</x:v>
      </x:c>
      <x:c r="N73" s="205" t="n">
        <x:v>2250</x:v>
      </x:c>
      <x:c r="O73" s="205" t="n">
        <x:v>70</x:v>
      </x:c>
      <x:c r="P73" s="205" t="n">
        <x:v>9</x:v>
      </x:c>
      <x:c r="Q73" s="206" t="n">
        <x:v>0</x:v>
      </x:c>
      <x:c r="R73" s="207" t="str"/>
      <x:c r="S73" s="207" t="str"/>
      <x:c r="T73" s="207" t="str"/>
      <x:c r="U73" s="207" t="n">
        <x:v>0</x:v>
      </x:c>
      <x:c r="V73" s="208" t="n">
        <x:f>MAX(0,M73-U73)</x:f>
        <x:v>44</x:v>
      </x:c>
      <x:c r="W73" s="209" t="n">
        <x:f>IFERROR(U73/M73,0)</x:f>
        <x:v>0</x:v>
      </x:c>
      <x:c r="X73" s="201" t="str">
        <x:f>IF(U73=0,"Não iniciado",IF(U73&gt;=M73,"Concluído","Parcial"))</x:f>
        <x:v>Não iniciado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26808</x:v>
      </x:c>
      <x:c r="C74" s="220" t="str">
        <x:v>9</x:v>
      </x:c>
      <x:c r="D74" s="220" t="str">
        <x:v>608965</x:v>
      </x:c>
      <x:c r="E74" s="220" t="str">
        <x:v>962986</x:v>
      </x:c>
      <x:c r="F74" s="220" t="str">
        <x:v>OUTROS</x:v>
      </x:c>
      <x:c r="G74" s="190" t="str">
        <x:v>PE AL 2250X70X9 RTO LME REC PET BCO(ULTR</x:v>
      </x:c>
      <x:c r="H74" s="190" t="str"/>
      <x:c r="I74" s="190" t="str"/>
      <x:c r="J74" s="190" t="str"/>
      <x:c r="K74" s="190" t="str">
        <x:v>ESMALTE</x:v>
      </x:c>
      <x:c r="L74" s="190" t="str">
        <x:v>BRANCO CARRARA</x:v>
      </x:c>
      <x:c r="M74" s="210" t="n">
        <x:v>142</x:v>
      </x:c>
      <x:c r="N74" s="210" t="n">
        <x:v>2250</x:v>
      </x:c>
      <x:c r="O74" s="210" t="n">
        <x:v>70</x:v>
      </x:c>
      <x:c r="P74" s="210" t="n">
        <x:v>9</x:v>
      </x:c>
      <x:c r="Q74" s="211" t="n">
        <x:v>0</x:v>
      </x:c>
      <x:c r="R74" s="207" t="str"/>
      <x:c r="S74" s="207" t="str"/>
      <x:c r="T74" s="207" t="str"/>
      <x:c r="U74" s="207" t="n">
        <x:v>0</x:v>
      </x:c>
      <x:c r="V74" s="208" t="n">
        <x:f>MAX(0,M74-U74)</x:f>
        <x:v>142</x:v>
      </x:c>
      <x:c r="W74" s="209" t="n">
        <x:f>IFERROR(U74/M74,0)</x:f>
        <x:v>0</x:v>
      </x:c>
      <x:c r="X74" s="201" t="str">
        <x:f>IF(U74=0,"Não iniciado",IF(U74&gt;=M74,"Concluído","Parcial"))</x:f>
        <x:v>Não iniciado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26808</x:v>
      </x:c>
      <x:c r="C75" s="218" t="str">
        <x:v>10</x:v>
      </x:c>
      <x:c r="D75" s="218" t="str">
        <x:v>608973</x:v>
      </x:c>
      <x:c r="E75" s="218" t="str">
        <x:v>962986</x:v>
      </x:c>
      <x:c r="F75" s="218" t="str">
        <x:v>OUTROS</x:v>
      </x:c>
      <x:c r="G75" s="184" t="str">
        <x:v>PE AL 2250X70X9 RTO LME REC PET BCO(ULTR</x:v>
      </x:c>
      <x:c r="H75" s="184" t="str"/>
      <x:c r="I75" s="184" t="str"/>
      <x:c r="J75" s="184" t="str"/>
      <x:c r="K75" s="184" t="str">
        <x:v>ESMALTE</x:v>
      </x:c>
      <x:c r="L75" s="184" t="str">
        <x:v>BRANCO CARRARA</x:v>
      </x:c>
      <x:c r="M75" s="205" t="n">
        <x:v>2</x:v>
      </x:c>
      <x:c r="N75" s="205" t="n">
        <x:v>2250</x:v>
      </x:c>
      <x:c r="O75" s="205" t="n">
        <x:v>70</x:v>
      </x:c>
      <x:c r="P75" s="205" t="n">
        <x:v>9</x:v>
      </x:c>
      <x:c r="Q75" s="206" t="n">
        <x:v>0</x:v>
      </x:c>
      <x:c r="R75" s="207" t="str"/>
      <x:c r="S75" s="207" t="str"/>
      <x:c r="T75" s="207" t="str"/>
      <x:c r="U75" s="207" t="n">
        <x:v>0</x:v>
      </x:c>
      <x:c r="V75" s="208" t="n">
        <x:f>MAX(0,M75-U75)</x:f>
        <x:v>2</x:v>
      </x:c>
      <x:c r="W75" s="209" t="n">
        <x:f>IFERROR(U75/M75,0)</x:f>
        <x:v>0</x:v>
      </x:c>
      <x:c r="X75" s="201" t="str">
        <x:f>IF(U75=0,"Não iniciado",IF(U75&gt;=M75,"Concluído","Parcial"))</x:f>
        <x:v>Não iniciado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26808</x:v>
      </x:c>
      <x:c r="C76" s="220" t="str">
        <x:v>11</x:v>
      </x:c>
      <x:c r="D76" s="220" t="str">
        <x:v>608979</x:v>
      </x:c>
      <x:c r="E76" s="220" t="str">
        <x:v>962986</x:v>
      </x:c>
      <x:c r="F76" s="220" t="str">
        <x:v>OUTROS</x:v>
      </x:c>
      <x:c r="G76" s="190" t="str">
        <x:v>PE AL 2250X70X9 RTO LME REC PET BCO(ULTR</x:v>
      </x:c>
      <x:c r="H76" s="190" t="str"/>
      <x:c r="I76" s="190" t="str"/>
      <x:c r="J76" s="190" t="str"/>
      <x:c r="K76" s="190" t="str">
        <x:v>ESMALTE</x:v>
      </x:c>
      <x:c r="L76" s="190" t="str">
        <x:v>BRANCO CARRARA</x:v>
      </x:c>
      <x:c r="M76" s="210" t="n">
        <x:v>2</x:v>
      </x:c>
      <x:c r="N76" s="210" t="n">
        <x:v>2250</x:v>
      </x:c>
      <x:c r="O76" s="210" t="n">
        <x:v>70</x:v>
      </x:c>
      <x:c r="P76" s="210" t="n">
        <x:v>9</x:v>
      </x:c>
      <x:c r="Q76" s="211" t="n">
        <x:v>0</x:v>
      </x:c>
      <x:c r="R76" s="207" t="str"/>
      <x:c r="S76" s="207" t="str"/>
      <x:c r="T76" s="207" t="str"/>
      <x:c r="U76" s="207" t="n">
        <x:v>0</x:v>
      </x:c>
      <x:c r="V76" s="208" t="n">
        <x:f>MAX(0,M76-U76)</x:f>
        <x:v>2</x:v>
      </x:c>
      <x:c r="W76" s="209" t="n">
        <x:f>IFERROR(U76/M76,0)</x:f>
        <x:v>0</x:v>
      </x:c>
      <x:c r="X76" s="201" t="str">
        <x:f>IF(U76=0,"Não iniciado",IF(U76&gt;=M76,"Concluído","Parcial"))</x:f>
        <x:v>Não iniciado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26809</x:v>
      </x:c>
      <x:c r="C77" s="218" t="str">
        <x:v>12</x:v>
      </x:c>
      <x:c r="D77" s="218" t="str">
        <x:v>609962</x:v>
      </x:c>
      <x:c r="E77" s="218" t="str">
        <x:v>2020700108</x:v>
      </x:c>
      <x:c r="F77" s="218" t="str">
        <x:v>OUTROS</x:v>
      </x:c>
      <x:c r="G77" s="184" t="str">
        <x:v>A ULTRA PET CAP M 2250X70X9 RG(55) RTO</x:v>
      </x:c>
      <x:c r="H77" s="184" t="str">
        <x:v>REG 2L(MAIOR 55MM)</x:v>
      </x:c>
      <x:c r="I77" s="184" t="str"/>
      <x:c r="J77" s="184" t="str"/>
      <x:c r="K77" s="184" t="str">
        <x:v>RECOBERTO PET</x:v>
      </x:c>
      <x:c r="L77" s="184" t="str">
        <x:v>CAPUCCINO MARCHE</x:v>
      </x:c>
      <x:c r="M77" s="205" t="n">
        <x:v>2</x:v>
      </x:c>
      <x:c r="N77" s="205" t="n">
        <x:v>2250</x:v>
      </x:c>
      <x:c r="O77" s="205" t="n">
        <x:v>70</x:v>
      </x:c>
      <x:c r="P77" s="205" t="n">
        <x:v>9</x:v>
      </x:c>
      <x:c r="Q77" s="206" t="n">
        <x:v>0</x:v>
      </x:c>
      <x:c r="R77" s="207" t="str"/>
      <x:c r="S77" s="207" t="str"/>
      <x:c r="T77" s="207" t="str"/>
      <x:c r="U77" s="207" t="n">
        <x:v>0</x:v>
      </x:c>
      <x:c r="V77" s="208" t="n">
        <x:f>MAX(0,M77-U77)</x:f>
        <x:v>2</x:v>
      </x:c>
      <x:c r="W77" s="209" t="n">
        <x:f>IFERROR(U77/M77,0)</x:f>
        <x:v>0</x:v>
      </x:c>
      <x:c r="X77" s="201" t="str">
        <x:f>IF(U77=0,"Não iniciado",IF(U77&gt;=M77,"Concluído","Parcial"))</x:f>
        <x:v>Não iniciado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26809</x:v>
      </x:c>
      <x:c r="C78" s="220" t="str">
        <x:v>12</x:v>
      </x:c>
      <x:c r="D78" s="220" t="str">
        <x:v>609963</x:v>
      </x:c>
      <x:c r="E78" s="220" t="str">
        <x:v>2020700109</x:v>
      </x:c>
      <x:c r="F78" s="220" t="str">
        <x:v>OUTROS</x:v>
      </x:c>
      <x:c r="G78" s="190" t="str">
        <x:v>A ULTRA PET CAP M 2250X70X9 RG(ME) RTO</x:v>
      </x:c>
      <x:c r="H78" s="190" t="str">
        <x:v>REG 2L(MAIOR 55MM)</x:v>
      </x:c>
      <x:c r="I78" s="190" t="str"/>
      <x:c r="J78" s="190" t="str"/>
      <x:c r="K78" s="190" t="str">
        <x:v>RECOBERTO PET</x:v>
      </x:c>
      <x:c r="L78" s="190" t="str">
        <x:v>CAPUCCINO MARCHE</x:v>
      </x:c>
      <x:c r="M78" s="210" t="n">
        <x:v>2</x:v>
      </x:c>
      <x:c r="N78" s="210" t="n">
        <x:v>2250</x:v>
      </x:c>
      <x:c r="O78" s="210" t="n">
        <x:v>70</x:v>
      </x:c>
      <x:c r="P78" s="210" t="n">
        <x:v>9</x:v>
      </x:c>
      <x:c r="Q78" s="211" t="n">
        <x:v>0</x:v>
      </x:c>
      <x:c r="R78" s="207" t="str"/>
      <x:c r="S78" s="207" t="str"/>
      <x:c r="T78" s="207" t="str"/>
      <x:c r="U78" s="207" t="n">
        <x:v>0</x:v>
      </x:c>
      <x:c r="V78" s="208" t="n">
        <x:f>MAX(0,M78-U78)</x:f>
        <x:v>2</x:v>
      </x:c>
      <x:c r="W78" s="209" t="n">
        <x:f>IFERROR(U78/M78,0)</x:f>
        <x:v>0</x:v>
      </x:c>
      <x:c r="X78" s="201" t="str">
        <x:f>IF(U78=0,"Não iniciado",IF(U78&gt;=M78,"Concluído","Parcial"))</x:f>
        <x:v>Não iniciado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26800</x:v>
      </x:c>
      <x:c r="C79" s="218" t="str">
        <x:v>5</x:v>
      </x:c>
      <x:c r="D79" s="218" t="str">
        <x:v>609981</x:v>
      </x:c>
      <x:c r="E79" s="218" t="str">
        <x:v>979740</x:v>
      </x:c>
      <x:c r="F79" s="218" t="str">
        <x:v>OUTROS</x:v>
      </x:c>
      <x:c r="G79" s="184" t="str">
        <x:v>PER ALI 2250X70X9 RTO LME PET MALVA(ULT</x:v>
      </x:c>
      <x:c r="H79" s="184" t="str">
        <x:v>REG 2L(MAIOR 55MM)</x:v>
      </x:c>
      <x:c r="I79" s="184" t="str"/>
      <x:c r="J79" s="184" t="str"/>
      <x:c r="K79" s="184" t="str">
        <x:v>RECOBERTO PET</x:v>
      </x:c>
      <x:c r="L79" s="184" t="str">
        <x:v>CARVALHO MALVA</x:v>
      </x:c>
      <x:c r="M79" s="205" t="n">
        <x:v>12</x:v>
      </x:c>
      <x:c r="N79" s="205" t="n">
        <x:v>2250</x:v>
      </x:c>
      <x:c r="O79" s="205" t="n">
        <x:v>70</x:v>
      </x:c>
      <x:c r="P79" s="205" t="n">
        <x:v>9</x:v>
      </x:c>
      <x:c r="Q79" s="206" t="n">
        <x:v>0</x:v>
      </x:c>
      <x:c r="R79" s="207" t="str"/>
      <x:c r="S79" s="207" t="str"/>
      <x:c r="T79" s="207" t="str"/>
      <x:c r="U79" s="207" t="n">
        <x:v>0</x:v>
      </x:c>
      <x:c r="V79" s="208" t="n">
        <x:f>MAX(0,M79-U79)</x:f>
        <x:v>12</x:v>
      </x:c>
      <x:c r="W79" s="209" t="n">
        <x:f>IFERROR(U79/M79,0)</x:f>
        <x:v>0</x:v>
      </x:c>
      <x:c r="X79" s="201" t="str">
        <x:f>IF(U79=0,"Não iniciado",IF(U79&gt;=M79,"Concluído","Parcial"))</x:f>
        <x:v>Não iniciado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26766</x:v>
      </x:c>
      <x:c r="C80" s="220" t="str">
        <x:v>8</x:v>
      </x:c>
      <x:c r="D80" s="220" t="str">
        <x:v>610159</x:v>
      </x:c>
      <x:c r="E80" s="220" t="str">
        <x:v>2020600152</x:v>
      </x:c>
      <x:c r="F80" s="220" t="str">
        <x:v>OUTROS</x:v>
      </x:c>
      <x:c r="G80" s="190" t="str">
        <x:v>A STD PET TXT M BR 2250X70X9 RG(80) RTO</x:v>
      </x:c>
      <x:c r="H80" s="190" t="str">
        <x:v>REG 2L(MAIOR 80MM)</x:v>
      </x:c>
      <x:c r="I80" s="190" t="str"/>
      <x:c r="J80" s="190" t="str"/>
      <x:c r="K80" s="190" t="str">
        <x:v>RECOBERTO PET TXT</x:v>
      </x:c>
      <x:c r="L80" s="190" t="str">
        <x:v>MOGNO BRASILEIRO</x:v>
      </x:c>
      <x:c r="M80" s="210" t="n">
        <x:v>1512</x:v>
      </x:c>
      <x:c r="N80" s="210" t="n">
        <x:v>2250</x:v>
      </x:c>
      <x:c r="O80" s="210" t="n">
        <x:v>70</x:v>
      </x:c>
      <x:c r="P80" s="210" t="n">
        <x:v>9</x:v>
      </x:c>
      <x:c r="Q80" s="211" t="n">
        <x:v>0</x:v>
      </x:c>
      <x:c r="R80" s="207" t="str"/>
      <x:c r="S80" s="207" t="str"/>
      <x:c r="T80" s="207" t="str"/>
      <x:c r="U80" s="207" t="n">
        <x:v>0</x:v>
      </x:c>
      <x:c r="V80" s="208" t="n">
        <x:f>MAX(0,M80-U80)</x:f>
        <x:v>1512</x:v>
      </x:c>
      <x:c r="W80" s="209" t="n">
        <x:f>IFERROR(U80/M80,0)</x:f>
        <x:v>0</x:v>
      </x:c>
      <x:c r="X80" s="201" t="str">
        <x:f>IF(U80=0,"Não iniciado",IF(U80&gt;=M80,"Concluído","Parcial"))</x:f>
        <x:v>Não iniciado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26766</x:v>
      </x:c>
      <x:c r="C81" s="218" t="str">
        <x:v>8</x:v>
      </x:c>
      <x:c r="D81" s="218" t="str">
        <x:v>610160</x:v>
      </x:c>
      <x:c r="E81" s="218" t="str">
        <x:v>2020600184</x:v>
      </x:c>
      <x:c r="F81" s="218" t="str">
        <x:v>OUTROS</x:v>
      </x:c>
      <x:c r="G81" s="184" t="str">
        <x:v>A STD PET TXT M BR 2250X70X9 RG(ME) RTO</x:v>
      </x:c>
      <x:c r="H81" s="184" t="str">
        <x:v>REG 2L(MAIOR 80MM)</x:v>
      </x:c>
      <x:c r="I81" s="184" t="str"/>
      <x:c r="J81" s="184" t="str"/>
      <x:c r="K81" s="184" t="str">
        <x:v>RECOBERTO PET TXT</x:v>
      </x:c>
      <x:c r="L81" s="184" t="str">
        <x:v>MOGNO BRASILEIRO</x:v>
      </x:c>
      <x:c r="M81" s="205" t="n">
        <x:v>1512</x:v>
      </x:c>
      <x:c r="N81" s="205" t="n">
        <x:v>2250</x:v>
      </x:c>
      <x:c r="O81" s="205" t="n">
        <x:v>70</x:v>
      </x:c>
      <x:c r="P81" s="205" t="n">
        <x:v>9</x:v>
      </x:c>
      <x:c r="Q81" s="206" t="n">
        <x:v>0</x:v>
      </x:c>
      <x:c r="R81" s="207" t="str"/>
      <x:c r="S81" s="207" t="str"/>
      <x:c r="T81" s="207" t="str"/>
      <x:c r="U81" s="207" t="n">
        <x:v>0</x:v>
      </x:c>
      <x:c r="V81" s="208" t="n">
        <x:f>MAX(0,M81-U81)</x:f>
        <x:v>1512</x:v>
      </x:c>
      <x:c r="W81" s="209" t="n">
        <x:f>IFERROR(U81/M81,0)</x:f>
        <x:v>0</x:v>
      </x:c>
      <x:c r="X81" s="201" t="str">
        <x:f>IF(U81=0,"Não iniciado",IF(U81&gt;=M81,"Concluído","Parcial"))</x:f>
        <x:v>Não iniciado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26520</x:v>
      </x:c>
      <x:c r="C82" s="220" t="str">
        <x:v>1</x:v>
      </x:c>
      <x:c r="D82" s="220" t="str">
        <x:v>610063</x:v>
      </x:c>
      <x:c r="E82" s="220" t="str">
        <x:v>971114</x:v>
      </x:c>
      <x:c r="F82" s="220" t="str">
        <x:v>ALIZAR</x:v>
      </x:c>
      <x:c r="G82" s="190" t="str">
        <x:v>P A 2200X70X9 RTO RL55 PET CIN VER ULTRA</x:v>
      </x:c>
      <x:c r="H82" s="190" t="str"/>
      <x:c r="I82" s="190" t="str"/>
      <x:c r="J82" s="190" t="str"/>
      <x:c r="K82" s="190" t="str">
        <x:v>RECOBERTO PET</x:v>
      </x:c>
      <x:c r="L82" s="190" t="str">
        <x:v>CINZA VERONA</x:v>
      </x:c>
      <x:c r="M82" s="210" t="n">
        <x:v>4</x:v>
      </x:c>
      <x:c r="N82" s="210" t="n">
        <x:v>2200</x:v>
      </x:c>
      <x:c r="O82" s="210" t="n">
        <x:v>70</x:v>
      </x:c>
      <x:c r="P82" s="210" t="n">
        <x:v>9</x:v>
      </x:c>
      <x:c r="Q82" s="211" t="n">
        <x:v>0</x:v>
      </x:c>
      <x:c r="R82" s="207" t="str"/>
      <x:c r="S82" s="207" t="str"/>
      <x:c r="T82" s="207" t="str"/>
      <x:c r="U82" s="207" t="n">
        <x:v>0</x:v>
      </x:c>
      <x:c r="V82" s="208" t="n">
        <x:f>MAX(0,M82-U82)</x:f>
        <x:v>4</x:v>
      </x:c>
      <x:c r="W82" s="209" t="n">
        <x:f>IFERROR(U82/M82,0)</x:f>
        <x:v>0</x:v>
      </x:c>
      <x:c r="X82" s="201" t="str">
        <x:f>IF(U82=0,"Não iniciado",IF(U82&gt;=M82,"Concluído","Parcial"))</x:f>
        <x:v>Não iniciado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26520</x:v>
      </x:c>
      <x:c r="C83" s="218" t="str">
        <x:v>1</x:v>
      </x:c>
      <x:c r="D83" s="218" t="str">
        <x:v>610064</x:v>
      </x:c>
      <x:c r="E83" s="218" t="str">
        <x:v>971116</x:v>
      </x:c>
      <x:c r="F83" s="218" t="str">
        <x:v>ALIZAR</x:v>
      </x:c>
      <x:c r="G83" s="184" t="str">
        <x:v>P A 2200X70X9 RTO LME PET CIN VER ULTRA</x:v>
      </x:c>
      <x:c r="H83" s="184" t="str"/>
      <x:c r="I83" s="184" t="str"/>
      <x:c r="J83" s="184" t="str"/>
      <x:c r="K83" s="184" t="str">
        <x:v>RECOBERTO PET</x:v>
      </x:c>
      <x:c r="L83" s="184" t="str">
        <x:v>CINZA VERONA</x:v>
      </x:c>
      <x:c r="M83" s="205" t="n">
        <x:v>4</x:v>
      </x:c>
      <x:c r="N83" s="205" t="n">
        <x:v>2200</x:v>
      </x:c>
      <x:c r="O83" s="205" t="n">
        <x:v>70</x:v>
      </x:c>
      <x:c r="P83" s="205" t="n">
        <x:v>9</x:v>
      </x:c>
      <x:c r="Q83" s="206" t="n">
        <x:v>0</x:v>
      </x:c>
      <x:c r="R83" s="207" t="str"/>
      <x:c r="S83" s="207" t="str"/>
      <x:c r="T83" s="207" t="str"/>
      <x:c r="U83" s="207" t="n">
        <x:v>0</x:v>
      </x:c>
      <x:c r="V83" s="208" t="n">
        <x:f>MAX(0,M83-U83)</x:f>
        <x:v>4</x:v>
      </x:c>
      <x:c r="W83" s="209" t="n">
        <x:f>IFERROR(U83/M83,0)</x:f>
        <x:v>0</x:v>
      </x:c>
      <x:c r="X83" s="201" t="str">
        <x:f>IF(U83=0,"Não iniciado",IF(U83&gt;=M83,"Concluído","Parcial"))</x:f>
        <x:v>Não iniciado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26520</x:v>
      </x:c>
      <x:c r="C84" s="220" t="str">
        <x:v>2</x:v>
      </x:c>
      <x:c r="D84" s="220" t="str">
        <x:v>610071</x:v>
      </x:c>
      <x:c r="E84" s="220" t="str">
        <x:v>971114</x:v>
      </x:c>
      <x:c r="F84" s="220" t="str">
        <x:v>ALIZAR</x:v>
      </x:c>
      <x:c r="G84" s="190" t="str">
        <x:v>P A 2200X70X9 RTO RL55 PET CIN VER ULTRA</x:v>
      </x:c>
      <x:c r="H84" s="190" t="str"/>
      <x:c r="I84" s="190" t="str"/>
      <x:c r="J84" s="190" t="str"/>
      <x:c r="K84" s="190" t="str">
        <x:v>RECOBERTO PET</x:v>
      </x:c>
      <x:c r="L84" s="190" t="str">
        <x:v>CINZA VERONA</x:v>
      </x:c>
      <x:c r="M84" s="210" t="n">
        <x:v>12</x:v>
      </x:c>
      <x:c r="N84" s="210" t="n">
        <x:v>2200</x:v>
      </x:c>
      <x:c r="O84" s="210" t="n">
        <x:v>70</x:v>
      </x:c>
      <x:c r="P84" s="210" t="n">
        <x:v>9</x:v>
      </x:c>
      <x:c r="Q84" s="211" t="n">
        <x:v>0</x:v>
      </x:c>
      <x:c r="R84" s="207" t="str"/>
      <x:c r="S84" s="207" t="str"/>
      <x:c r="T84" s="207" t="str"/>
      <x:c r="U84" s="207" t="n">
        <x:v>0</x:v>
      </x:c>
      <x:c r="V84" s="208" t="n">
        <x:f>MAX(0,M84-U84)</x:f>
        <x:v>12</x:v>
      </x:c>
      <x:c r="W84" s="209" t="n">
        <x:f>IFERROR(U84/M84,0)</x:f>
        <x:v>0</x:v>
      </x:c>
      <x:c r="X84" s="201" t="str">
        <x:f>IF(U84=0,"Não iniciado",IF(U84&gt;=M84,"Concluído","Parcial"))</x:f>
        <x:v>Não iniciado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26520</x:v>
      </x:c>
      <x:c r="C85" s="218" t="str">
        <x:v>2</x:v>
      </x:c>
      <x:c r="D85" s="218" t="str">
        <x:v>610072</x:v>
      </x:c>
      <x:c r="E85" s="218" t="str">
        <x:v>971116</x:v>
      </x:c>
      <x:c r="F85" s="218" t="str">
        <x:v>ALIZAR</x:v>
      </x:c>
      <x:c r="G85" s="184" t="str">
        <x:v>P A 2200X70X9 RTO LME PET CIN VER ULTRA</x:v>
      </x:c>
      <x:c r="H85" s="184" t="str"/>
      <x:c r="I85" s="184" t="str"/>
      <x:c r="J85" s="184" t="str"/>
      <x:c r="K85" s="184" t="str">
        <x:v>RECOBERTO PET</x:v>
      </x:c>
      <x:c r="L85" s="184" t="str">
        <x:v>CINZA VERONA</x:v>
      </x:c>
      <x:c r="M85" s="205" t="n">
        <x:v>12</x:v>
      </x:c>
      <x:c r="N85" s="205" t="n">
        <x:v>2200</x:v>
      </x:c>
      <x:c r="O85" s="205" t="n">
        <x:v>70</x:v>
      </x:c>
      <x:c r="P85" s="205" t="n">
        <x:v>9</x:v>
      </x:c>
      <x:c r="Q85" s="206" t="n">
        <x:v>0</x:v>
      </x:c>
      <x:c r="R85" s="207" t="str"/>
      <x:c r="S85" s="207" t="str"/>
      <x:c r="T85" s="207" t="str"/>
      <x:c r="U85" s="207" t="n">
        <x:v>0</x:v>
      </x:c>
      <x:c r="V85" s="208" t="n">
        <x:f>MAX(0,M85-U85)</x:f>
        <x:v>12</x:v>
      </x:c>
      <x:c r="W85" s="209" t="n">
        <x:f>IFERROR(U85/M85,0)</x:f>
        <x:v>0</x:v>
      </x:c>
      <x:c r="X85" s="201" t="str">
        <x:f>IF(U85=0,"Não iniciado",IF(U85&gt;=M85,"Concluído","Parcial"))</x:f>
        <x:v>Não iniciado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26739</x:v>
      </x:c>
      <x:c r="C86" s="220" t="str">
        <x:v>5</x:v>
      </x:c>
      <x:c r="D86" s="220" t="str">
        <x:v>609636</x:v>
      </x:c>
      <x:c r="E86" s="220" t="str">
        <x:v>2020700630</x:v>
      </x:c>
      <x:c r="F86" s="220" t="str">
        <x:v>OUTROS</x:v>
      </x:c>
      <x:c r="G86" s="190" t="str">
        <x:v>A ULTRA PVC R BCO 2200X70X9 RG(80) RTO</x:v>
      </x:c>
      <x:c r="H86" s="190" t="str">
        <x:v>REG 1L(MAIOR 80MM)</x:v>
      </x:c>
      <x:c r="I86" s="190" t="str"/>
      <x:c r="J86" s="190" t="str"/>
      <x:c r="K86" s="190" t="str">
        <x:v>RECOBERTO PVC RENOLIT</x:v>
      </x:c>
      <x:c r="L86" s="190" t="str">
        <x:v>BRANCO</x:v>
      </x:c>
      <x:c r="M86" s="210" t="n">
        <x:v>24</x:v>
      </x:c>
      <x:c r="N86" s="210" t="n">
        <x:v>2200</x:v>
      </x:c>
      <x:c r="O86" s="210" t="n">
        <x:v>70</x:v>
      </x:c>
      <x:c r="P86" s="210" t="n">
        <x:v>9</x:v>
      </x:c>
      <x:c r="Q86" s="211" t="n">
        <x:v>0</x:v>
      </x:c>
      <x:c r="R86" s="207" t="str"/>
      <x:c r="S86" s="207" t="str"/>
      <x:c r="T86" s="207" t="str"/>
      <x:c r="U86" s="207" t="n">
        <x:v>0</x:v>
      </x:c>
      <x:c r="V86" s="208" t="n">
        <x:f>MAX(0,M86-U86)</x:f>
        <x:v>24</x:v>
      </x:c>
      <x:c r="W86" s="209" t="n">
        <x:f>IFERROR(U86/M86,0)</x:f>
        <x:v>0</x:v>
      </x:c>
      <x:c r="X86" s="201" t="str">
        <x:f>IF(U86=0,"Não iniciado",IF(U86&gt;=M86,"Concluído","Parcial"))</x:f>
        <x:v>Não iniciado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26750</x:v>
      </x:c>
      <x:c r="C87" s="218" t="str">
        <x:v>6</x:v>
      </x:c>
      <x:c r="D87" s="218" t="str">
        <x:v>609799</x:v>
      </x:c>
      <x:c r="E87" s="218" t="str">
        <x:v>2020700630</x:v>
      </x:c>
      <x:c r="F87" s="218" t="str">
        <x:v>OUTROS</x:v>
      </x:c>
      <x:c r="G87" s="184" t="str">
        <x:v>A ULTRA PVC R BCO 2200X70X9 RG(80) RTO</x:v>
      </x:c>
      <x:c r="H87" s="184" t="str">
        <x:v>REG 1L(MAIOR 80MM)</x:v>
      </x:c>
      <x:c r="I87" s="184" t="str"/>
      <x:c r="J87" s="184" t="str"/>
      <x:c r="K87" s="184" t="str">
        <x:v>RECOBERTO PVC RENOLIT</x:v>
      </x:c>
      <x:c r="L87" s="184" t="str">
        <x:v>BRANCO</x:v>
      </x:c>
      <x:c r="M87" s="205" t="n">
        <x:v>16</x:v>
      </x:c>
      <x:c r="N87" s="205" t="n">
        <x:v>2200</x:v>
      </x:c>
      <x:c r="O87" s="205" t="n">
        <x:v>70</x:v>
      </x:c>
      <x:c r="P87" s="205" t="n">
        <x:v>9</x:v>
      </x:c>
      <x:c r="Q87" s="206" t="n">
        <x:v>0</x:v>
      </x:c>
      <x:c r="R87" s="207" t="str"/>
      <x:c r="S87" s="207" t="str"/>
      <x:c r="T87" s="207" t="str"/>
      <x:c r="U87" s="207" t="n">
        <x:v>0</x:v>
      </x:c>
      <x:c r="V87" s="208" t="n">
        <x:f>MAX(0,M87-U87)</x:f>
        <x:v>16</x:v>
      </x:c>
      <x:c r="W87" s="209" t="n">
        <x:f>IFERROR(U87/M87,0)</x:f>
        <x:v>0</x:v>
      </x:c>
      <x:c r="X87" s="201" t="str">
        <x:f>IF(U87=0,"Não iniciado",IF(U87&gt;=M87,"Concluído","Parcial"))</x:f>
        <x:v>Não iniciado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26684</x:v>
      </x:c>
      <x:c r="C88" s="220" t="str">
        <x:v>6</x:v>
      </x:c>
      <x:c r="D88" s="220" t="str">
        <x:v>609150</x:v>
      </x:c>
      <x:c r="E88" s="220" t="str">
        <x:v>971353</x:v>
      </x:c>
      <x:c r="F88" s="220" t="str">
        <x:v>OUTROS</x:v>
      </x:c>
      <x:c r="G88" s="190" t="str">
        <x:v>2200X70X15 RTO RL55 REC PET BCO IMP(STD)</x:v>
      </x:c>
      <x:c r="H88" s="190" t="str"/>
      <x:c r="I88" s="190" t="str"/>
      <x:c r="J88" s="190" t="str"/>
      <x:c r="K88" s="190" t="str">
        <x:v>ESMALTE</x:v>
      </x:c>
      <x:c r="L88" s="190" t="str">
        <x:v>BRANCO CARRARA</x:v>
      </x:c>
      <x:c r="M88" s="210" t="n">
        <x:v>4</x:v>
      </x:c>
      <x:c r="N88" s="210" t="n">
        <x:v>2200</x:v>
      </x:c>
      <x:c r="O88" s="210" t="n">
        <x:v>70</x:v>
      </x:c>
      <x:c r="P88" s="210" t="n">
        <x:v>15</x:v>
      </x:c>
      <x:c r="Q88" s="211" t="n">
        <x:v>0.009</x:v>
      </x:c>
      <x:c r="R88" s="207" t="str"/>
      <x:c r="S88" s="207" t="str"/>
      <x:c r="T88" s="207" t="str"/>
      <x:c r="U88" s="207" t="n">
        <x:v>0</x:v>
      </x:c>
      <x:c r="V88" s="208" t="n">
        <x:f>MAX(0,M88-U88)</x:f>
        <x:v>4</x:v>
      </x:c>
      <x:c r="W88" s="209" t="n">
        <x:f>IFERROR(U88/M88,0)</x:f>
        <x:v>0</x:v>
      </x:c>
      <x:c r="X88" s="201" t="str">
        <x:f>IF(U88=0,"Não iniciado",IF(U88&gt;=M88,"Concluído","Parcial"))</x:f>
        <x:v>Não iniciado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26684</x:v>
      </x:c>
      <x:c r="C89" s="218" t="str">
        <x:v>6</x:v>
      </x:c>
      <x:c r="D89" s="218" t="str">
        <x:v>609154</x:v>
      </x:c>
      <x:c r="E89" s="218" t="str">
        <x:v>981167</x:v>
      </x:c>
      <x:c r="F89" s="218" t="str">
        <x:v>OUTROS</x:v>
      </x:c>
      <x:c r="G89" s="184" t="str">
        <x:v>2200X70X15 RTO LME REC PET BCO IMP(STD)</x:v>
      </x:c>
      <x:c r="H89" s="184" t="str"/>
      <x:c r="I89" s="184" t="str"/>
      <x:c r="J89" s="184" t="str"/>
      <x:c r="K89" s="184" t="str">
        <x:v>ESMALTE</x:v>
      </x:c>
      <x:c r="L89" s="184" t="str">
        <x:v>BRANCO CARRARA</x:v>
      </x:c>
      <x:c r="M89" s="205" t="n">
        <x:v>4</x:v>
      </x:c>
      <x:c r="N89" s="205" t="n">
        <x:v>2200</x:v>
      </x:c>
      <x:c r="O89" s="205" t="n">
        <x:v>70</x:v>
      </x:c>
      <x:c r="P89" s="205" t="n">
        <x:v>15</x:v>
      </x:c>
      <x:c r="Q89" s="206" t="n">
        <x:v>0</x:v>
      </x:c>
      <x:c r="R89" s="207" t="str"/>
      <x:c r="S89" s="207" t="str"/>
      <x:c r="T89" s="207" t="str"/>
      <x:c r="U89" s="207" t="n">
        <x:v>0</x:v>
      </x:c>
      <x:c r="V89" s="208" t="n">
        <x:f>MAX(0,M89-U89)</x:f>
        <x:v>4</x:v>
      </x:c>
      <x:c r="W89" s="209" t="n">
        <x:f>IFERROR(U89/M89,0)</x:f>
        <x:v>0</x:v>
      </x:c>
      <x:c r="X89" s="201" t="str">
        <x:f>IF(U89=0,"Não iniciado",IF(U89&gt;=M89,"Concluído","Parcial"))</x:f>
        <x:v>Não iniciado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26684</x:v>
      </x:c>
      <x:c r="C90" s="220" t="str">
        <x:v>10</x:v>
      </x:c>
      <x:c r="D90" s="220" t="str">
        <x:v>609182</x:v>
      </x:c>
      <x:c r="E90" s="220" t="str">
        <x:v>971353</x:v>
      </x:c>
      <x:c r="F90" s="220" t="str">
        <x:v>OUTROS</x:v>
      </x:c>
      <x:c r="G90" s="190" t="str">
        <x:v>2200X70X15 RTO RL55 REC PET BCO IMP(STD)</x:v>
      </x:c>
      <x:c r="H90" s="190" t="str"/>
      <x:c r="I90" s="190" t="str"/>
      <x:c r="J90" s="190" t="str"/>
      <x:c r="K90" s="190" t="str">
        <x:v>ESMALTE</x:v>
      </x:c>
      <x:c r="L90" s="190" t="str">
        <x:v>BRANCO CARRARA</x:v>
      </x:c>
      <x:c r="M90" s="210" t="n">
        <x:v>4</x:v>
      </x:c>
      <x:c r="N90" s="210" t="n">
        <x:v>2200</x:v>
      </x:c>
      <x:c r="O90" s="210" t="n">
        <x:v>70</x:v>
      </x:c>
      <x:c r="P90" s="210" t="n">
        <x:v>15</x:v>
      </x:c>
      <x:c r="Q90" s="211" t="n">
        <x:v>0.009</x:v>
      </x:c>
      <x:c r="R90" s="207" t="str"/>
      <x:c r="S90" s="207" t="str"/>
      <x:c r="T90" s="207" t="str"/>
      <x:c r="U90" s="207" t="n">
        <x:v>0</x:v>
      </x:c>
      <x:c r="V90" s="208" t="n">
        <x:f>MAX(0,M90-U90)</x:f>
        <x:v>4</x:v>
      </x:c>
      <x:c r="W90" s="209" t="n">
        <x:f>IFERROR(U90/M90,0)</x:f>
        <x:v>0</x:v>
      </x:c>
      <x:c r="X90" s="201" t="str">
        <x:f>IF(U90=0,"Não iniciado",IF(U90&gt;=M90,"Concluído","Parcial"))</x:f>
        <x:v>Não iniciado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26684</x:v>
      </x:c>
      <x:c r="C91" s="218" t="str">
        <x:v>10</x:v>
      </x:c>
      <x:c r="D91" s="218" t="str">
        <x:v>609186</x:v>
      </x:c>
      <x:c r="E91" s="218" t="str">
        <x:v>981167</x:v>
      </x:c>
      <x:c r="F91" s="218" t="str">
        <x:v>OUTROS</x:v>
      </x:c>
      <x:c r="G91" s="184" t="str">
        <x:v>2200X70X15 RTO LME REC PET BCO IMP(STD)</x:v>
      </x:c>
      <x:c r="H91" s="184" t="str"/>
      <x:c r="I91" s="184" t="str"/>
      <x:c r="J91" s="184" t="str"/>
      <x:c r="K91" s="184" t="str">
        <x:v>ESMALTE</x:v>
      </x:c>
      <x:c r="L91" s="184" t="str">
        <x:v>BRANCO CARRARA</x:v>
      </x:c>
      <x:c r="M91" s="205" t="n">
        <x:v>4</x:v>
      </x:c>
      <x:c r="N91" s="205" t="n">
        <x:v>2200</x:v>
      </x:c>
      <x:c r="O91" s="205" t="n">
        <x:v>70</x:v>
      </x:c>
      <x:c r="P91" s="205" t="n">
        <x:v>15</x:v>
      </x:c>
      <x:c r="Q91" s="206" t="n">
        <x:v>0</x:v>
      </x:c>
      <x:c r="R91" s="207" t="str"/>
      <x:c r="S91" s="207" t="str"/>
      <x:c r="T91" s="207" t="str"/>
      <x:c r="U91" s="207" t="n">
        <x:v>0</x:v>
      </x:c>
      <x:c r="V91" s="208" t="n">
        <x:f>MAX(0,M91-U91)</x:f>
        <x:v>4</x:v>
      </x:c>
      <x:c r="W91" s="209" t="n">
        <x:f>IFERROR(U91/M91,0)</x:f>
        <x:v>0</x:v>
      </x:c>
      <x:c r="X91" s="201" t="str">
        <x:f>IF(U91=0,"Não iniciado",IF(U91&gt;=M91,"Concluído","Parcial"))</x:f>
        <x:v>Não iniciado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26689</x:v>
      </x:c>
      <x:c r="C92" s="220" t="str">
        <x:v>4</x:v>
      </x:c>
      <x:c r="D92" s="220" t="str">
        <x:v>609101</x:v>
      </x:c>
      <x:c r="E92" s="220" t="str">
        <x:v>971353</x:v>
      </x:c>
      <x:c r="F92" s="220" t="str">
        <x:v>OUTROS</x:v>
      </x:c>
      <x:c r="G92" s="190" t="str">
        <x:v>2200X70X15 RTO RL55 REC PET BCO IMP(STD)</x:v>
      </x:c>
      <x:c r="H92" s="190" t="str"/>
      <x:c r="I92" s="190" t="str"/>
      <x:c r="J92" s="190" t="str"/>
      <x:c r="K92" s="190" t="str">
        <x:v>ESMALTE</x:v>
      </x:c>
      <x:c r="L92" s="190" t="str">
        <x:v>BRANCO CARRARA</x:v>
      </x:c>
      <x:c r="M92" s="210" t="n">
        <x:v>6</x:v>
      </x:c>
      <x:c r="N92" s="210" t="n">
        <x:v>2200</x:v>
      </x:c>
      <x:c r="O92" s="210" t="n">
        <x:v>70</x:v>
      </x:c>
      <x:c r="P92" s="210" t="n">
        <x:v>15</x:v>
      </x:c>
      <x:c r="Q92" s="211" t="n">
        <x:v>0.014</x:v>
      </x:c>
      <x:c r="R92" s="207" t="str"/>
      <x:c r="S92" s="207" t="str"/>
      <x:c r="T92" s="207" t="str"/>
      <x:c r="U92" s="207" t="n">
        <x:v>0</x:v>
      </x:c>
      <x:c r="V92" s="208" t="n">
        <x:f>MAX(0,M92-U92)</x:f>
        <x:v>6</x:v>
      </x:c>
      <x:c r="W92" s="209" t="n">
        <x:f>IFERROR(U92/M92,0)</x:f>
        <x:v>0</x:v>
      </x:c>
      <x:c r="X92" s="201" t="str">
        <x:f>IF(U92=0,"Não iniciado",IF(U92&gt;=M92,"Concluído","Parcial"))</x:f>
        <x:v>Não iniciado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26689</x:v>
      </x:c>
      <x:c r="C93" s="218" t="str">
        <x:v>4</x:v>
      </x:c>
      <x:c r="D93" s="218" t="str">
        <x:v>609105</x:v>
      </x:c>
      <x:c r="E93" s="218" t="str">
        <x:v>981167</x:v>
      </x:c>
      <x:c r="F93" s="218" t="str">
        <x:v>OUTROS</x:v>
      </x:c>
      <x:c r="G93" s="184" t="str">
        <x:v>2200X70X15 RTO LME REC PET BCO IMP(STD)</x:v>
      </x:c>
      <x:c r="H93" s="184" t="str"/>
      <x:c r="I93" s="184" t="str"/>
      <x:c r="J93" s="184" t="str"/>
      <x:c r="K93" s="184" t="str">
        <x:v>ESMALTE</x:v>
      </x:c>
      <x:c r="L93" s="184" t="str">
        <x:v>BRANCO CARRARA</x:v>
      </x:c>
      <x:c r="M93" s="205" t="n">
        <x:v>6</x:v>
      </x:c>
      <x:c r="N93" s="205" t="n">
        <x:v>2200</x:v>
      </x:c>
      <x:c r="O93" s="205" t="n">
        <x:v>70</x:v>
      </x:c>
      <x:c r="P93" s="205" t="n">
        <x:v>15</x:v>
      </x:c>
      <x:c r="Q93" s="206" t="n">
        <x:v>0</x:v>
      </x:c>
      <x:c r="R93" s="207" t="str"/>
      <x:c r="S93" s="207" t="str"/>
      <x:c r="T93" s="207" t="str"/>
      <x:c r="U93" s="207" t="n">
        <x:v>0</x:v>
      </x:c>
      <x:c r="V93" s="208" t="n">
        <x:f>MAX(0,M93-U93)</x:f>
        <x:v>6</x:v>
      </x:c>
      <x:c r="W93" s="209" t="n">
        <x:f>IFERROR(U93/M93,0)</x:f>
        <x:v>0</x:v>
      </x:c>
      <x:c r="X93" s="201" t="str">
        <x:f>IF(U93=0,"Não iniciado",IF(U93&gt;=M93,"Concluído","Parcial"))</x:f>
        <x:v>Não iniciado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26808</x:v>
      </x:c>
      <x:c r="C94" s="220" t="str">
        <x:v>1</x:v>
      </x:c>
      <x:c r="D94" s="220" t="str">
        <x:v>608899</x:v>
      </x:c>
      <x:c r="E94" s="220" t="str">
        <x:v>962766</x:v>
      </x:c>
      <x:c r="F94" s="220" t="str">
        <x:v>OUTROS</x:v>
      </x:c>
      <x:c r="G94" s="190" t="str">
        <x:v>PE AL 2200X70X9 RTO RL35 REC PET BCO(ULT</x:v>
      </x:c>
      <x:c r="H94" s="190" t="str"/>
      <x:c r="I94" s="190" t="str"/>
      <x:c r="J94" s="190" t="str"/>
      <x:c r="K94" s="190" t="str">
        <x:v>ESMALTE</x:v>
      </x:c>
      <x:c r="L94" s="190" t="str">
        <x:v>BRANCO CARRARA</x:v>
      </x:c>
      <x:c r="M94" s="210" t="n">
        <x:v>288</x:v>
      </x:c>
      <x:c r="N94" s="210" t="n">
        <x:v>2200</x:v>
      </x:c>
      <x:c r="O94" s="210" t="n">
        <x:v>70</x:v>
      </x:c>
      <x:c r="P94" s="210" t="n">
        <x:v>9</x:v>
      </x:c>
      <x:c r="Q94" s="211" t="n">
        <x:v>0</x:v>
      </x:c>
      <x:c r="R94" s="207" t="str"/>
      <x:c r="S94" s="207" t="str"/>
      <x:c r="T94" s="207" t="str"/>
      <x:c r="U94" s="207" t="n">
        <x:v>0</x:v>
      </x:c>
      <x:c r="V94" s="208" t="n">
        <x:f>MAX(0,M94-U94)</x:f>
        <x:v>288</x:v>
      </x:c>
      <x:c r="W94" s="209" t="n">
        <x:f>IFERROR(U94/M94,0)</x:f>
        <x:v>0</x:v>
      </x:c>
      <x:c r="X94" s="201" t="str">
        <x:f>IF(U94=0,"Não iniciado",IF(U94&gt;=M94,"Concluído","Parcial"))</x:f>
        <x:v>Não iniciado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26808</x:v>
      </x:c>
      <x:c r="C95" s="218" t="str">
        <x:v>2</x:v>
      </x:c>
      <x:c r="D95" s="218" t="str">
        <x:v>608907</x:v>
      </x:c>
      <x:c r="E95" s="218" t="str">
        <x:v>962766</x:v>
      </x:c>
      <x:c r="F95" s="218" t="str">
        <x:v>OUTROS</x:v>
      </x:c>
      <x:c r="G95" s="184" t="str">
        <x:v>PE AL 2200X70X9 RTO RL35 REC PET BCO(ULT</x:v>
      </x:c>
      <x:c r="H95" s="184" t="str"/>
      <x:c r="I95" s="184" t="str"/>
      <x:c r="J95" s="184" t="str"/>
      <x:c r="K95" s="184" t="str">
        <x:v>ESMALTE</x:v>
      </x:c>
      <x:c r="L95" s="184" t="str">
        <x:v>BRANCO CARRARA</x:v>
      </x:c>
      <x:c r="M95" s="205" t="n">
        <x:v>32</x:v>
      </x:c>
      <x:c r="N95" s="205" t="n">
        <x:v>2200</x:v>
      </x:c>
      <x:c r="O95" s="205" t="n">
        <x:v>70</x:v>
      </x:c>
      <x:c r="P95" s="205" t="n">
        <x:v>9</x:v>
      </x:c>
      <x:c r="Q95" s="206" t="n">
        <x:v>0</x:v>
      </x:c>
      <x:c r="R95" s="207" t="str"/>
      <x:c r="S95" s="207" t="str"/>
      <x:c r="T95" s="207" t="str"/>
      <x:c r="U95" s="207" t="n">
        <x:v>0</x:v>
      </x:c>
      <x:c r="V95" s="208" t="n">
        <x:f>MAX(0,M95-U95)</x:f>
        <x:v>32</x:v>
      </x:c>
      <x:c r="W95" s="209" t="n">
        <x:f>IFERROR(U95/M95,0)</x:f>
        <x:v>0</x:v>
      </x:c>
      <x:c r="X95" s="201" t="str">
        <x:f>IF(U95=0,"Não iniciado",IF(U95&gt;=M95,"Concluído","Parcial"))</x:f>
        <x:v>Não iniciado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26808</x:v>
      </x:c>
      <x:c r="C96" s="220" t="str">
        <x:v>3</x:v>
      </x:c>
      <x:c r="D96" s="220" t="str">
        <x:v>608915</x:v>
      </x:c>
      <x:c r="E96" s="220" t="str">
        <x:v>962766</x:v>
      </x:c>
      <x:c r="F96" s="220" t="str">
        <x:v>OUTROS</x:v>
      </x:c>
      <x:c r="G96" s="190" t="str">
        <x:v>PE AL 2200X70X9 RTO RL35 REC PET BCO(ULT</x:v>
      </x:c>
      <x:c r="H96" s="190" t="str"/>
      <x:c r="I96" s="190" t="str"/>
      <x:c r="J96" s="190" t="str"/>
      <x:c r="K96" s="190" t="str">
        <x:v>ESMALTE</x:v>
      </x:c>
      <x:c r="L96" s="190" t="str">
        <x:v>BRANCO CARRARA</x:v>
      </x:c>
      <x:c r="M96" s="210" t="n">
        <x:v>120</x:v>
      </x:c>
      <x:c r="N96" s="210" t="n">
        <x:v>2200</x:v>
      </x:c>
      <x:c r="O96" s="210" t="n">
        <x:v>70</x:v>
      </x:c>
      <x:c r="P96" s="210" t="n">
        <x:v>9</x:v>
      </x:c>
      <x:c r="Q96" s="211" t="n">
        <x:v>0</x:v>
      </x:c>
      <x:c r="R96" s="207" t="str"/>
      <x:c r="S96" s="207" t="str"/>
      <x:c r="T96" s="207" t="str"/>
      <x:c r="U96" s="207" t="n">
        <x:v>0</x:v>
      </x:c>
      <x:c r="V96" s="208" t="n">
        <x:f>MAX(0,M96-U96)</x:f>
        <x:v>120</x:v>
      </x:c>
      <x:c r="W96" s="209" t="n">
        <x:f>IFERROR(U96/M96,0)</x:f>
        <x:v>0</x:v>
      </x:c>
      <x:c r="X96" s="201" t="str">
        <x:f>IF(U96=0,"Não iniciado",IF(U96&gt;=M96,"Concluído","Parcial"))</x:f>
        <x:v>Não iniciado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26808</x:v>
      </x:c>
      <x:c r="C97" s="218" t="str">
        <x:v>4</x:v>
      </x:c>
      <x:c r="D97" s="218" t="str">
        <x:v>608923</x:v>
      </x:c>
      <x:c r="E97" s="218" t="str">
        <x:v>962766</x:v>
      </x:c>
      <x:c r="F97" s="218" t="str">
        <x:v>OUTROS</x:v>
      </x:c>
      <x:c r="G97" s="184" t="str">
        <x:v>PE AL 2200X70X9 RTO RL35 REC PET BCO(ULT</x:v>
      </x:c>
      <x:c r="H97" s="184" t="str"/>
      <x:c r="I97" s="184" t="str"/>
      <x:c r="J97" s="184" t="str"/>
      <x:c r="K97" s="184" t="str">
        <x:v>ESMALTE</x:v>
      </x:c>
      <x:c r="L97" s="184" t="str">
        <x:v>BRANCO CARRARA</x:v>
      </x:c>
      <x:c r="M97" s="205" t="n">
        <x:v>126</x:v>
      </x:c>
      <x:c r="N97" s="205" t="n">
        <x:v>2200</x:v>
      </x:c>
      <x:c r="O97" s="205" t="n">
        <x:v>70</x:v>
      </x:c>
      <x:c r="P97" s="205" t="n">
        <x:v>9</x:v>
      </x:c>
      <x:c r="Q97" s="206" t="n">
        <x:v>0</x:v>
      </x:c>
      <x:c r="R97" s="207" t="str"/>
      <x:c r="S97" s="207" t="str"/>
      <x:c r="T97" s="207" t="str"/>
      <x:c r="U97" s="207" t="n">
        <x:v>0</x:v>
      </x:c>
      <x:c r="V97" s="208" t="n">
        <x:f>MAX(0,M97-U97)</x:f>
        <x:v>126</x:v>
      </x:c>
      <x:c r="W97" s="209" t="n">
        <x:f>IFERROR(U97/M97,0)</x:f>
        <x:v>0</x:v>
      </x:c>
      <x:c r="X97" s="201" t="str">
        <x:f>IF(U97=0,"Não iniciado",IF(U97&gt;=M97,"Concluído","Parcial"))</x:f>
        <x:v>Não iniciado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26808</x:v>
      </x:c>
      <x:c r="C98" s="220" t="str">
        <x:v>5</x:v>
      </x:c>
      <x:c r="D98" s="220" t="str">
        <x:v>608931</x:v>
      </x:c>
      <x:c r="E98" s="220" t="str">
        <x:v>962766</x:v>
      </x:c>
      <x:c r="F98" s="220" t="str">
        <x:v>OUTROS</x:v>
      </x:c>
      <x:c r="G98" s="190" t="str">
        <x:v>PE AL 2200X70X9 RTO RL35 REC PET BCO(ULT</x:v>
      </x:c>
      <x:c r="H98" s="190" t="str"/>
      <x:c r="I98" s="190" t="str"/>
      <x:c r="J98" s="190" t="str"/>
      <x:c r="K98" s="190" t="str">
        <x:v>ESMALTE</x:v>
      </x:c>
      <x:c r="L98" s="190" t="str">
        <x:v>BRANCO CARRARA</x:v>
      </x:c>
      <x:c r="M98" s="210" t="n">
        <x:v>2</x:v>
      </x:c>
      <x:c r="N98" s="210" t="n">
        <x:v>2200</x:v>
      </x:c>
      <x:c r="O98" s="210" t="n">
        <x:v>70</x:v>
      </x:c>
      <x:c r="P98" s="210" t="n">
        <x:v>9</x:v>
      </x:c>
      <x:c r="Q98" s="211" t="n">
        <x:v>0</x:v>
      </x:c>
      <x:c r="R98" s="207" t="str"/>
      <x:c r="S98" s="207" t="str"/>
      <x:c r="T98" s="207" t="str"/>
      <x:c r="U98" s="207" t="n">
        <x:v>0</x:v>
      </x:c>
      <x:c r="V98" s="208" t="n">
        <x:f>MAX(0,M98-U98)</x:f>
        <x:v>2</x:v>
      </x:c>
      <x:c r="W98" s="209" t="n">
        <x:f>IFERROR(U98/M98,0)</x:f>
        <x:v>0</x:v>
      </x:c>
      <x:c r="X98" s="201" t="str">
        <x:f>IF(U98=0,"Não iniciado",IF(U98&gt;=M98,"Concluído","Parcial"))</x:f>
        <x:v>Não iniciado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26808</x:v>
      </x:c>
      <x:c r="C99" s="218" t="str">
        <x:v>6</x:v>
      </x:c>
      <x:c r="D99" s="218" t="str">
        <x:v>608937</x:v>
      </x:c>
      <x:c r="E99" s="218" t="str">
        <x:v>962766</x:v>
      </x:c>
      <x:c r="F99" s="218" t="str">
        <x:v>OUTROS</x:v>
      </x:c>
      <x:c r="G99" s="184" t="str">
        <x:v>PE AL 2200X70X9 RTO RL35 REC PET BCO(ULT</x:v>
      </x:c>
      <x:c r="H99" s="184" t="str"/>
      <x:c r="I99" s="184" t="str"/>
      <x:c r="J99" s="184" t="str"/>
      <x:c r="K99" s="184" t="str">
        <x:v>ESMALTE</x:v>
      </x:c>
      <x:c r="L99" s="184" t="str">
        <x:v>BRANCO CARRARA</x:v>
      </x:c>
      <x:c r="M99" s="205" t="n">
        <x:v>12</x:v>
      </x:c>
      <x:c r="N99" s="205" t="n">
        <x:v>2200</x:v>
      </x:c>
      <x:c r="O99" s="205" t="n">
        <x:v>70</x:v>
      </x:c>
      <x:c r="P99" s="205" t="n">
        <x:v>9</x:v>
      </x:c>
      <x:c r="Q99" s="206" t="n">
        <x:v>0</x:v>
      </x:c>
      <x:c r="R99" s="207" t="str"/>
      <x:c r="S99" s="207" t="str"/>
      <x:c r="T99" s="207" t="str"/>
      <x:c r="U99" s="207" t="n">
        <x:v>0</x:v>
      </x:c>
      <x:c r="V99" s="208" t="n">
        <x:f>MAX(0,M99-U99)</x:f>
        <x:v>12</x:v>
      </x:c>
      <x:c r="W99" s="209" t="n">
        <x:f>IFERROR(U99/M99,0)</x:f>
        <x:v>0</x:v>
      </x:c>
      <x:c r="X99" s="201" t="str">
        <x:f>IF(U99=0,"Não iniciado",IF(U99&gt;=M99,"Concluído","Parcial"))</x:f>
        <x:v>Não iniciado</x:v>
      </x:c>
      <x:c r="Y99" s="199" t="str"/>
      <x:c r="Z99" s="188" t="str">
        <x:v>Normal</x:v>
      </x:c>
    </x:row>
    <x:row r="100" ht="22" customHeight="1">
      <x:c r="A100" s="219" t="n">
        <x:v>96</x:v>
      </x:c>
      <x:c r="B100" s="220" t="str">
        <x:v>26808</x:v>
      </x:c>
      <x:c r="C100" s="220" t="str">
        <x:v>7</x:v>
      </x:c>
      <x:c r="D100" s="220" t="str">
        <x:v>608947</x:v>
      </x:c>
      <x:c r="E100" s="220" t="str">
        <x:v>962766</x:v>
      </x:c>
      <x:c r="F100" s="220" t="str">
        <x:v>OUTROS</x:v>
      </x:c>
      <x:c r="G100" s="190" t="str">
        <x:v>PE AL 2200X70X9 RTO RL35 REC PET BCO(ULT</x:v>
      </x:c>
      <x:c r="H100" s="190" t="str"/>
      <x:c r="I100" s="190" t="str"/>
      <x:c r="J100" s="190" t="str"/>
      <x:c r="K100" s="190" t="str">
        <x:v>ESMALTE</x:v>
      </x:c>
      <x:c r="L100" s="190" t="str">
        <x:v>BRANCO CARRARA</x:v>
      </x:c>
      <x:c r="M100" s="210" t="n">
        <x:v>8</x:v>
      </x:c>
      <x:c r="N100" s="210" t="n">
        <x:v>2200</x:v>
      </x:c>
      <x:c r="O100" s="210" t="n">
        <x:v>70</x:v>
      </x:c>
      <x:c r="P100" s="210" t="n">
        <x:v>9</x:v>
      </x:c>
      <x:c r="Q100" s="211" t="n">
        <x:v>0</x:v>
      </x:c>
      <x:c r="R100" s="207" t="str"/>
      <x:c r="S100" s="207" t="str"/>
      <x:c r="T100" s="207" t="str"/>
      <x:c r="U100" s="207" t="n">
        <x:v>0</x:v>
      </x:c>
      <x:c r="V100" s="208" t="n">
        <x:f>MAX(0,M100-U100)</x:f>
        <x:v>8</x:v>
      </x:c>
      <x:c r="W100" s="209" t="n">
        <x:f>IFERROR(U100/M100,0)</x:f>
        <x:v>0</x:v>
      </x:c>
      <x:c r="X100" s="201" t="str">
        <x:f>IF(U100=0,"Não iniciado",IF(U100&gt;=M100,"Concluído","Parcial"))</x:f>
        <x:v>Não iniciado</x:v>
      </x:c>
      <x:c r="Y100" s="199" t="str"/>
      <x:c r="Z100" s="188" t="str">
        <x:v>Normal</x:v>
      </x:c>
    </x:row>
    <x:row r="101" ht="22" customHeight="1">
      <x:c r="A101" s="217" t="n">
        <x:v>97</x:v>
      </x:c>
      <x:c r="B101" s="218" t="str">
        <x:v>26808</x:v>
      </x:c>
      <x:c r="C101" s="218" t="str">
        <x:v>8</x:v>
      </x:c>
      <x:c r="D101" s="218" t="str">
        <x:v>608955</x:v>
      </x:c>
      <x:c r="E101" s="218" t="str">
        <x:v>962766</x:v>
      </x:c>
      <x:c r="F101" s="218" t="str">
        <x:v>OUTROS</x:v>
      </x:c>
      <x:c r="G101" s="184" t="str">
        <x:v>PE AL 2200X70X9 RTO RL35 REC PET BCO(ULT</x:v>
      </x:c>
      <x:c r="H101" s="184" t="str"/>
      <x:c r="I101" s="184" t="str"/>
      <x:c r="J101" s="184" t="str"/>
      <x:c r="K101" s="184" t="str">
        <x:v>ESMALTE</x:v>
      </x:c>
      <x:c r="L101" s="184" t="str">
        <x:v>BRANCO CARRARA</x:v>
      </x:c>
      <x:c r="M101" s="205" t="n">
        <x:v>44</x:v>
      </x:c>
      <x:c r="N101" s="205" t="n">
        <x:v>2200</x:v>
      </x:c>
      <x:c r="O101" s="205" t="n">
        <x:v>70</x:v>
      </x:c>
      <x:c r="P101" s="205" t="n">
        <x:v>9</x:v>
      </x:c>
      <x:c r="Q101" s="206" t="n">
        <x:v>0</x:v>
      </x:c>
      <x:c r="R101" s="207" t="str"/>
      <x:c r="S101" s="207" t="str"/>
      <x:c r="T101" s="207" t="str"/>
      <x:c r="U101" s="207" t="n">
        <x:v>0</x:v>
      </x:c>
      <x:c r="V101" s="208" t="n">
        <x:f>MAX(0,M101-U101)</x:f>
        <x:v>44</x:v>
      </x:c>
      <x:c r="W101" s="209" t="n">
        <x:f>IFERROR(U101/M101,0)</x:f>
        <x:v>0</x:v>
      </x:c>
      <x:c r="X101" s="201" t="str">
        <x:f>IF(U101=0,"Não iniciado",IF(U101&gt;=M101,"Concluído","Parcial"))</x:f>
        <x:v>Não iniciado</x:v>
      </x:c>
      <x:c r="Y101" s="199" t="str"/>
      <x:c r="Z101" s="188" t="str">
        <x:v>Normal</x:v>
      </x:c>
    </x:row>
    <x:row r="102" ht="22" customHeight="1">
      <x:c r="A102" s="219" t="n">
        <x:v>98</x:v>
      </x:c>
      <x:c r="B102" s="220" t="str">
        <x:v>26808</x:v>
      </x:c>
      <x:c r="C102" s="220" t="str">
        <x:v>9</x:v>
      </x:c>
      <x:c r="D102" s="220" t="str">
        <x:v>608963</x:v>
      </x:c>
      <x:c r="E102" s="220" t="str">
        <x:v>962766</x:v>
      </x:c>
      <x:c r="F102" s="220" t="str">
        <x:v>OUTROS</x:v>
      </x:c>
      <x:c r="G102" s="190" t="str">
        <x:v>PE AL 2200X70X9 RTO RL35 REC PET BCO(ULT</x:v>
      </x:c>
      <x:c r="H102" s="190" t="str"/>
      <x:c r="I102" s="190" t="str"/>
      <x:c r="J102" s="190" t="str"/>
      <x:c r="K102" s="190" t="str">
        <x:v>ESMALTE</x:v>
      </x:c>
      <x:c r="L102" s="190" t="str">
        <x:v>BRANCO CARRARA</x:v>
      </x:c>
      <x:c r="M102" s="210" t="n">
        <x:v>142</x:v>
      </x:c>
      <x:c r="N102" s="210" t="n">
        <x:v>2200</x:v>
      </x:c>
      <x:c r="O102" s="210" t="n">
        <x:v>70</x:v>
      </x:c>
      <x:c r="P102" s="210" t="n">
        <x:v>9</x:v>
      </x:c>
      <x:c r="Q102" s="211" t="n">
        <x:v>0</x:v>
      </x:c>
      <x:c r="R102" s="207" t="str"/>
      <x:c r="S102" s="207" t="str"/>
      <x:c r="T102" s="207" t="str"/>
      <x:c r="U102" s="207" t="n">
        <x:v>0</x:v>
      </x:c>
      <x:c r="V102" s="208" t="n">
        <x:f>MAX(0,M102-U102)</x:f>
        <x:v>142</x:v>
      </x:c>
      <x:c r="W102" s="209" t="n">
        <x:f>IFERROR(U102/M102,0)</x:f>
        <x:v>0</x:v>
      </x:c>
      <x:c r="X102" s="201" t="str">
        <x:f>IF(U102=0,"Não iniciado",IF(U102&gt;=M102,"Concluído","Parcial"))</x:f>
        <x:v>Não iniciado</x:v>
      </x:c>
      <x:c r="Y102" s="199" t="str"/>
      <x:c r="Z102" s="188" t="str">
        <x:v>Normal</x:v>
      </x:c>
    </x:row>
    <x:row r="103" ht="22" customHeight="1">
      <x:c r="A103" s="217" t="n">
        <x:v>99</x:v>
      </x:c>
      <x:c r="B103" s="218" t="str">
        <x:v>26808</x:v>
      </x:c>
      <x:c r="C103" s="218" t="str">
        <x:v>10</x:v>
      </x:c>
      <x:c r="D103" s="218" t="str">
        <x:v>608971</x:v>
      </x:c>
      <x:c r="E103" s="218" t="str">
        <x:v>962766</x:v>
      </x:c>
      <x:c r="F103" s="218" t="str">
        <x:v>OUTROS</x:v>
      </x:c>
      <x:c r="G103" s="184" t="str">
        <x:v>PE AL 2200X70X9 RTO RL35 REC PET BCO(ULT</x:v>
      </x:c>
      <x:c r="H103" s="184" t="str"/>
      <x:c r="I103" s="184" t="str"/>
      <x:c r="J103" s="184" t="str"/>
      <x:c r="K103" s="184" t="str">
        <x:v>ESMALTE</x:v>
      </x:c>
      <x:c r="L103" s="184" t="str">
        <x:v>BRANCO CARRARA</x:v>
      </x:c>
      <x:c r="M103" s="205" t="n">
        <x:v>2</x:v>
      </x:c>
      <x:c r="N103" s="205" t="n">
        <x:v>2200</x:v>
      </x:c>
      <x:c r="O103" s="205" t="n">
        <x:v>70</x:v>
      </x:c>
      <x:c r="P103" s="205" t="n">
        <x:v>9</x:v>
      </x:c>
      <x:c r="Q103" s="206" t="n">
        <x:v>0</x:v>
      </x:c>
      <x:c r="R103" s="207" t="str"/>
      <x:c r="S103" s="207" t="str"/>
      <x:c r="T103" s="207" t="str"/>
      <x:c r="U103" s="207" t="n">
        <x:v>0</x:v>
      </x:c>
      <x:c r="V103" s="208" t="n">
        <x:f>MAX(0,M103-U103)</x:f>
        <x:v>2</x:v>
      </x:c>
      <x:c r="W103" s="209" t="n">
        <x:f>IFERROR(U103/M103,0)</x:f>
        <x:v>0</x:v>
      </x:c>
      <x:c r="X103" s="201" t="str">
        <x:f>IF(U103=0,"Não iniciado",IF(U103&gt;=M103,"Concluído","Parcial"))</x:f>
        <x:v>Não iniciado</x:v>
      </x:c>
      <x:c r="Y103" s="199" t="str"/>
      <x:c r="Z103" s="188" t="str">
        <x:v>Normal</x:v>
      </x:c>
    </x:row>
    <x:row r="104" ht="22" customHeight="1">
      <x:c r="A104" s="219" t="n">
        <x:v>100</x:v>
      </x:c>
      <x:c r="B104" s="220" t="str">
        <x:v>26808</x:v>
      </x:c>
      <x:c r="C104" s="220" t="str">
        <x:v>11</x:v>
      </x:c>
      <x:c r="D104" s="220" t="str">
        <x:v>608976</x:v>
      </x:c>
      <x:c r="E104" s="220" t="str">
        <x:v>962766</x:v>
      </x:c>
      <x:c r="F104" s="220" t="str">
        <x:v>OUTROS</x:v>
      </x:c>
      <x:c r="G104" s="190" t="str">
        <x:v>PE AL 2200X70X9 RTO RL35 REC PET BCO(ULT</x:v>
      </x:c>
      <x:c r="H104" s="190" t="str"/>
      <x:c r="I104" s="190" t="str"/>
      <x:c r="J104" s="190" t="str"/>
      <x:c r="K104" s="190" t="str">
        <x:v>ESMALTE</x:v>
      </x:c>
      <x:c r="L104" s="190" t="str">
        <x:v>BRANCO CARRARA</x:v>
      </x:c>
      <x:c r="M104" s="210" t="n">
        <x:v>2</x:v>
      </x:c>
      <x:c r="N104" s="210" t="n">
        <x:v>2200</x:v>
      </x:c>
      <x:c r="O104" s="210" t="n">
        <x:v>70</x:v>
      </x:c>
      <x:c r="P104" s="210" t="n">
        <x:v>9</x:v>
      </x:c>
      <x:c r="Q104" s="211" t="n">
        <x:v>0</x:v>
      </x:c>
      <x:c r="R104" s="207" t="str"/>
      <x:c r="S104" s="207" t="str"/>
      <x:c r="T104" s="207" t="str"/>
      <x:c r="U104" s="207" t="n">
        <x:v>0</x:v>
      </x:c>
      <x:c r="V104" s="208" t="n">
        <x:f>MAX(0,M104-U104)</x:f>
        <x:v>2</x:v>
      </x:c>
      <x:c r="W104" s="209" t="n">
        <x:f>IFERROR(U104/M104,0)</x:f>
        <x:v>0</x:v>
      </x:c>
      <x:c r="X104" s="201" t="str">
        <x:f>IF(U104=0,"Não iniciado",IF(U104&gt;=M104,"Concluído","Parcial"))</x:f>
        <x:v>Não iniciado</x:v>
      </x:c>
      <x:c r="Y104" s="199" t="str"/>
      <x:c r="Z104" s="188" t="str">
        <x:v>Normal</x:v>
      </x:c>
    </x:row>
    <x:row r="105" ht="22" customHeight="1">
      <x:c r="A105" s="217" t="n">
        <x:v>101</x:v>
      </x:c>
      <x:c r="B105" s="218" t="str">
        <x:v>26808</x:v>
      </x:c>
      <x:c r="C105" s="218" t="str">
        <x:v>11</x:v>
      </x:c>
      <x:c r="D105" s="218" t="str">
        <x:v>608977</x:v>
      </x:c>
      <x:c r="E105" s="218" t="str">
        <x:v>962769</x:v>
      </x:c>
      <x:c r="F105" s="218" t="str">
        <x:v>OUTROS</x:v>
      </x:c>
      <x:c r="G105" s="184" t="str">
        <x:v>TR AL 1200X70X9 RTO RL35 REC PET BCO (UL</x:v>
      </x:c>
      <x:c r="H105" s="184" t="str"/>
      <x:c r="I105" s="184" t="str"/>
      <x:c r="J105" s="184" t="str"/>
      <x:c r="K105" s="184" t="str">
        <x:v>ESMALTE</x:v>
      </x:c>
      <x:c r="L105" s="184" t="str">
        <x:v>BRANCO CARRARA</x:v>
      </x:c>
      <x:c r="M105" s="205" t="n">
        <x:v>1</x:v>
      </x:c>
      <x:c r="N105" s="205" t="n">
        <x:v>1200</x:v>
      </x:c>
      <x:c r="O105" s="205" t="n">
        <x:v>70</x:v>
      </x:c>
      <x:c r="P105" s="205" t="n">
        <x:v>9</x:v>
      </x:c>
      <x:c r="Q105" s="206" t="n">
        <x:v>0</x:v>
      </x:c>
      <x:c r="R105" s="207" t="str"/>
      <x:c r="S105" s="207" t="str"/>
      <x:c r="T105" s="207" t="str"/>
      <x:c r="U105" s="207" t="n">
        <x:v>0</x:v>
      </x:c>
      <x:c r="V105" s="208" t="n">
        <x:f>MAX(0,M105-U105)</x:f>
        <x:v>1</x:v>
      </x:c>
      <x:c r="W105" s="209" t="n">
        <x:f>IFERROR(U105/M105,0)</x:f>
        <x:v>0</x:v>
      </x:c>
      <x:c r="X105" s="201" t="str">
        <x:f>IF(U105=0,"Não iniciado",IF(U105&gt;=M105,"Concluído","Parcial"))</x:f>
        <x:v>Não iniciado</x:v>
      </x:c>
      <x:c r="Y105" s="199" t="str"/>
      <x:c r="Z105" s="188" t="str">
        <x:v>Normal</x:v>
      </x:c>
    </x:row>
    <x:row r="106" ht="22" customHeight="1">
      <x:c r="A106" s="219" t="n">
        <x:v>102</x:v>
      </x:c>
      <x:c r="B106" s="220" t="str">
        <x:v>26808</x:v>
      </x:c>
      <x:c r="C106" s="220" t="str">
        <x:v>11</x:v>
      </x:c>
      <x:c r="D106" s="220" t="str">
        <x:v>608978</x:v>
      </x:c>
      <x:c r="E106" s="220" t="str">
        <x:v>962770</x:v>
      </x:c>
      <x:c r="F106" s="220" t="str">
        <x:v>OUTROS</x:v>
      </x:c>
      <x:c r="G106" s="190" t="str">
        <x:v>TR ALI 1200X70X9 RTO LME REC PET BCO(ULT</x:v>
      </x:c>
      <x:c r="H106" s="190" t="str"/>
      <x:c r="I106" s="190" t="str"/>
      <x:c r="J106" s="190" t="str"/>
      <x:c r="K106" s="190" t="str">
        <x:v>ESMALTE</x:v>
      </x:c>
      <x:c r="L106" s="190" t="str">
        <x:v>BRANCO CARRARA</x:v>
      </x:c>
      <x:c r="M106" s="210" t="n">
        <x:v>1</x:v>
      </x:c>
      <x:c r="N106" s="210" t="n">
        <x:v>1200</x:v>
      </x:c>
      <x:c r="O106" s="210" t="n">
        <x:v>70</x:v>
      </x:c>
      <x:c r="P106" s="210" t="n">
        <x:v>9</x:v>
      </x:c>
      <x:c r="Q106" s="211" t="n">
        <x:v>0</x:v>
      </x:c>
      <x:c r="R106" s="207" t="str"/>
      <x:c r="S106" s="207" t="str"/>
      <x:c r="T106" s="207" t="str"/>
      <x:c r="U106" s="207" t="n">
        <x:v>0</x:v>
      </x:c>
      <x:c r="V106" s="208" t="n">
        <x:f>MAX(0,M106-U106)</x:f>
        <x:v>1</x:v>
      </x:c>
      <x:c r="W106" s="209" t="n">
        <x:f>IFERROR(U106/M106,0)</x:f>
        <x:v>0</x:v>
      </x:c>
      <x:c r="X106" s="201" t="str">
        <x:f>IF(U106=0,"Não iniciado",IF(U106&gt;=M106,"Concluído","Parcial"))</x:f>
        <x:v>Não iniciado</x:v>
      </x:c>
      <x:c r="Y106" s="199" t="str"/>
      <x:c r="Z106" s="188" t="str">
        <x:v>Normal</x:v>
      </x:c>
    </x:row>
    <x:row r="107" ht="22" customHeight="1">
      <x:c r="A107" s="217" t="n">
        <x:v>103</x:v>
      </x:c>
      <x:c r="B107" s="218" t="str">
        <x:v>26684</x:v>
      </x:c>
      <x:c r="C107" s="218" t="str">
        <x:v>1</x:v>
      </x:c>
      <x:c r="D107" s="218" t="str">
        <x:v>609114</x:v>
      </x:c>
      <x:c r="E107" s="218" t="str">
        <x:v>981166</x:v>
      </x:c>
      <x:c r="F107" s="218" t="str">
        <x:v>ALIZAR</x:v>
      </x:c>
      <x:c r="G107" s="184" t="str">
        <x:v>T A 1100X70X15 RTO RL55 REC PET BCO(STD)</x:v>
      </x:c>
      <x:c r="H107" s="184" t="str"/>
      <x:c r="I107" s="184" t="str"/>
      <x:c r="J107" s="184" t="str"/>
      <x:c r="K107" s="184" t="str">
        <x:v>ESMALTE</x:v>
      </x:c>
      <x:c r="L107" s="184" t="str">
        <x:v>BRANCO CARRARA</x:v>
      </x:c>
      <x:c r="M107" s="205" t="n">
        <x:v>1</x:v>
      </x:c>
      <x:c r="N107" s="205" t="n">
        <x:v>1100</x:v>
      </x:c>
      <x:c r="O107" s="205" t="n">
        <x:v>70</x:v>
      </x:c>
      <x:c r="P107" s="205" t="n">
        <x:v>15</x:v>
      </x:c>
      <x:c r="Q107" s="206" t="n">
        <x:v>0</x:v>
      </x:c>
      <x:c r="R107" s="207" t="str"/>
      <x:c r="S107" s="207" t="str"/>
      <x:c r="T107" s="207" t="str"/>
      <x:c r="U107" s="207" t="n">
        <x:v>0</x:v>
      </x:c>
      <x:c r="V107" s="208" t="n">
        <x:f>MAX(0,M107-U107)</x:f>
        <x:v>1</x:v>
      </x:c>
      <x:c r="W107" s="209" t="n">
        <x:f>IFERROR(U107/M107,0)</x:f>
        <x:v>0</x:v>
      </x:c>
      <x:c r="X107" s="201" t="str">
        <x:f>IF(U107=0,"Não iniciado",IF(U107&gt;=M107,"Concluído","Parcial"))</x:f>
        <x:v>Não iniciado</x:v>
      </x:c>
      <x:c r="Y107" s="199" t="str"/>
      <x:c r="Z107" s="188" t="str">
        <x:v>Normal</x:v>
      </x:c>
    </x:row>
    <x:row r="108" ht="22" customHeight="1">
      <x:c r="A108" s="219" t="n">
        <x:v>104</x:v>
      </x:c>
      <x:c r="B108" s="220" t="str">
        <x:v>26684</x:v>
      </x:c>
      <x:c r="C108" s="220" t="str">
        <x:v>1</x:v>
      </x:c>
      <x:c r="D108" s="220" t="str">
        <x:v>609115</x:v>
      </x:c>
      <x:c r="E108" s="220" t="str">
        <x:v>981556</x:v>
      </x:c>
      <x:c r="F108" s="220" t="str">
        <x:v>ALIZAR</x:v>
      </x:c>
      <x:c r="G108" s="190" t="str">
        <x:v>T A 1100X70X15 RTO LMN REC PET BCO(STD)</x:v>
      </x:c>
      <x:c r="H108" s="190" t="str"/>
      <x:c r="I108" s="190" t="str"/>
      <x:c r="J108" s="190" t="str"/>
      <x:c r="K108" s="190" t="str">
        <x:v>ESMALTE</x:v>
      </x:c>
      <x:c r="L108" s="190" t="str">
        <x:v>BRANCO CARRARA</x:v>
      </x:c>
      <x:c r="M108" s="210" t="n">
        <x:v>1</x:v>
      </x:c>
      <x:c r="N108" s="210" t="n">
        <x:v>1100</x:v>
      </x:c>
      <x:c r="O108" s="210" t="n">
        <x:v>70</x:v>
      </x:c>
      <x:c r="P108" s="210" t="n">
        <x:v>15</x:v>
      </x:c>
      <x:c r="Q108" s="211" t="n">
        <x:v>0</x:v>
      </x:c>
      <x:c r="R108" s="207" t="str"/>
      <x:c r="S108" s="207" t="str"/>
      <x:c r="T108" s="207" t="str"/>
      <x:c r="U108" s="207" t="n">
        <x:v>0</x:v>
      </x:c>
      <x:c r="V108" s="208" t="n">
        <x:f>MAX(0,M108-U108)</x:f>
        <x:v>1</x:v>
      </x:c>
      <x:c r="W108" s="209" t="n">
        <x:f>IFERROR(U108/M108,0)</x:f>
        <x:v>0</x:v>
      </x:c>
      <x:c r="X108" s="201" t="str">
        <x:f>IF(U108=0,"Não iniciado",IF(U108&gt;=M108,"Concluído","Parcial"))</x:f>
        <x:v>Não iniciado</x:v>
      </x:c>
      <x:c r="Y108" s="199" t="str"/>
      <x:c r="Z108" s="188" t="str">
        <x:v>Normal</x:v>
      </x:c>
    </x:row>
    <x:row r="109" ht="22" customHeight="1">
      <x:c r="A109" s="217" t="n">
        <x:v>105</x:v>
      </x:c>
      <x:c r="B109" s="218" t="str">
        <x:v>26684</x:v>
      </x:c>
      <x:c r="C109" s="218" t="str">
        <x:v>2</x:v>
      </x:c>
      <x:c r="D109" s="218" t="str">
        <x:v>609120</x:v>
      </x:c>
      <x:c r="E109" s="218" t="str">
        <x:v>981166</x:v>
      </x:c>
      <x:c r="F109" s="218" t="str">
        <x:v>ALIZAR</x:v>
      </x:c>
      <x:c r="G109" s="184" t="str">
        <x:v>T A 1100X70X15 RTO RL55 REC PET BCO(STD)</x:v>
      </x:c>
      <x:c r="H109" s="184" t="str"/>
      <x:c r="I109" s="184" t="str"/>
      <x:c r="J109" s="184" t="str"/>
      <x:c r="K109" s="184" t="str">
        <x:v>ESMALTE</x:v>
      </x:c>
      <x:c r="L109" s="184" t="str">
        <x:v>BRANCO CARRARA</x:v>
      </x:c>
      <x:c r="M109" s="205" t="n">
        <x:v>28</x:v>
      </x:c>
      <x:c r="N109" s="205" t="n">
        <x:v>1100</x:v>
      </x:c>
      <x:c r="O109" s="205" t="n">
        <x:v>70</x:v>
      </x:c>
      <x:c r="P109" s="205" t="n">
        <x:v>15</x:v>
      </x:c>
      <x:c r="Q109" s="206" t="n">
        <x:v>0</x:v>
      </x:c>
      <x:c r="R109" s="207" t="str"/>
      <x:c r="S109" s="207" t="str"/>
      <x:c r="T109" s="207" t="str"/>
      <x:c r="U109" s="207" t="n">
        <x:v>0</x:v>
      </x:c>
      <x:c r="V109" s="208" t="n">
        <x:f>MAX(0,M109-U109)</x:f>
        <x:v>28</x:v>
      </x:c>
      <x:c r="W109" s="209" t="n">
        <x:f>IFERROR(U109/M109,0)</x:f>
        <x:v>0</x:v>
      </x:c>
      <x:c r="X109" s="201" t="str">
        <x:f>IF(U109=0,"Não iniciado",IF(U109&gt;=M109,"Concluído","Parcial"))</x:f>
        <x:v>Não iniciado</x:v>
      </x:c>
      <x:c r="Y109" s="199" t="str"/>
      <x:c r="Z109" s="188" t="str">
        <x:v>Normal</x:v>
      </x:c>
    </x:row>
    <x:row r="110" ht="22" customHeight="1">
      <x:c r="A110" s="219" t="n">
        <x:v>106</x:v>
      </x:c>
      <x:c r="B110" s="220" t="str">
        <x:v>26684</x:v>
      </x:c>
      <x:c r="C110" s="220" t="str">
        <x:v>2</x:v>
      </x:c>
      <x:c r="D110" s="220" t="str">
        <x:v>609121</x:v>
      </x:c>
      <x:c r="E110" s="220" t="str">
        <x:v>981556</x:v>
      </x:c>
      <x:c r="F110" s="220" t="str">
        <x:v>ALIZAR</x:v>
      </x:c>
      <x:c r="G110" s="190" t="str">
        <x:v>T A 1100X70X15 RTO LMN REC PET BCO(STD)</x:v>
      </x:c>
      <x:c r="H110" s="190" t="str"/>
      <x:c r="I110" s="190" t="str"/>
      <x:c r="J110" s="190" t="str"/>
      <x:c r="K110" s="190" t="str">
        <x:v>ESMALTE</x:v>
      </x:c>
      <x:c r="L110" s="190" t="str">
        <x:v>BRANCO CARRARA</x:v>
      </x:c>
      <x:c r="M110" s="210" t="n">
        <x:v>28</x:v>
      </x:c>
      <x:c r="N110" s="210" t="n">
        <x:v>1100</x:v>
      </x:c>
      <x:c r="O110" s="210" t="n">
        <x:v>70</x:v>
      </x:c>
      <x:c r="P110" s="210" t="n">
        <x:v>15</x:v>
      </x:c>
      <x:c r="Q110" s="211" t="n">
        <x:v>0</x:v>
      </x:c>
      <x:c r="R110" s="207" t="str"/>
      <x:c r="S110" s="207" t="str"/>
      <x:c r="T110" s="207" t="str"/>
      <x:c r="U110" s="207" t="n">
        <x:v>0</x:v>
      </x:c>
      <x:c r="V110" s="208" t="n">
        <x:f>MAX(0,M110-U110)</x:f>
        <x:v>28</x:v>
      </x:c>
      <x:c r="W110" s="209" t="n">
        <x:f>IFERROR(U110/M110,0)</x:f>
        <x:v>0</x:v>
      </x:c>
      <x:c r="X110" s="201" t="str">
        <x:f>IF(U110=0,"Não iniciado",IF(U110&gt;=M110,"Concluído","Parcial"))</x:f>
        <x:v>Não iniciado</x:v>
      </x:c>
      <x:c r="Y110" s="199" t="str"/>
      <x:c r="Z110" s="188" t="str">
        <x:v>Normal</x:v>
      </x:c>
    </x:row>
    <x:row r="111" ht="22" customHeight="1">
      <x:c r="A111" s="217" t="n">
        <x:v>107</x:v>
      </x:c>
      <x:c r="B111" s="218" t="str">
        <x:v>26684</x:v>
      </x:c>
      <x:c r="C111" s="218" t="str">
        <x:v>3</x:v>
      </x:c>
      <x:c r="D111" s="218" t="str">
        <x:v>609130</x:v>
      </x:c>
      <x:c r="E111" s="218" t="str">
        <x:v>981166</x:v>
      </x:c>
      <x:c r="F111" s="218" t="str">
        <x:v>ALIZAR</x:v>
      </x:c>
      <x:c r="G111" s="184" t="str">
        <x:v>T A 1100X70X15 RTO RL55 REC PET BCO(STD)</x:v>
      </x:c>
      <x:c r="H111" s="184" t="str"/>
      <x:c r="I111" s="184" t="str"/>
      <x:c r="J111" s="184" t="str"/>
      <x:c r="K111" s="184" t="str">
        <x:v>ESMALTE</x:v>
      </x:c>
      <x:c r="L111" s="184" t="str">
        <x:v>BRANCO CARRARA</x:v>
      </x:c>
      <x:c r="M111" s="205" t="n">
        <x:v>3</x:v>
      </x:c>
      <x:c r="N111" s="205" t="n">
        <x:v>1100</x:v>
      </x:c>
      <x:c r="O111" s="205" t="n">
        <x:v>70</x:v>
      </x:c>
      <x:c r="P111" s="205" t="n">
        <x:v>15</x:v>
      </x:c>
      <x:c r="Q111" s="206" t="n">
        <x:v>0</x:v>
      </x:c>
      <x:c r="R111" s="207" t="str"/>
      <x:c r="S111" s="207" t="str"/>
      <x:c r="T111" s="207" t="str"/>
      <x:c r="U111" s="207" t="n">
        <x:v>0</x:v>
      </x:c>
      <x:c r="V111" s="208" t="n">
        <x:f>MAX(0,M111-U111)</x:f>
        <x:v>3</x:v>
      </x:c>
      <x:c r="W111" s="209" t="n">
        <x:f>IFERROR(U111/M111,0)</x:f>
        <x:v>0</x:v>
      </x:c>
      <x:c r="X111" s="201" t="str">
        <x:f>IF(U111=0,"Não iniciado",IF(U111&gt;=M111,"Concluído","Parcial"))</x:f>
        <x:v>Não iniciado</x:v>
      </x:c>
      <x:c r="Y111" s="199" t="str"/>
      <x:c r="Z111" s="188" t="str">
        <x:v>Normal</x:v>
      </x:c>
    </x:row>
    <x:row r="112" ht="22" customHeight="1">
      <x:c r="A112" s="219" t="n">
        <x:v>108</x:v>
      </x:c>
      <x:c r="B112" s="220" t="str">
        <x:v>26684</x:v>
      </x:c>
      <x:c r="C112" s="220" t="str">
        <x:v>3</x:v>
      </x:c>
      <x:c r="D112" s="220" t="str">
        <x:v>609131</x:v>
      </x:c>
      <x:c r="E112" s="220" t="str">
        <x:v>981556</x:v>
      </x:c>
      <x:c r="F112" s="220" t="str">
        <x:v>ALIZAR</x:v>
      </x:c>
      <x:c r="G112" s="190" t="str">
        <x:v>T A 1100X70X15 RTO LMN REC PET BCO(STD)</x:v>
      </x:c>
      <x:c r="H112" s="190" t="str"/>
      <x:c r="I112" s="190" t="str"/>
      <x:c r="J112" s="190" t="str"/>
      <x:c r="K112" s="190" t="str">
        <x:v>ESMALTE</x:v>
      </x:c>
      <x:c r="L112" s="190" t="str">
        <x:v>BRANCO CARRARA</x:v>
      </x:c>
      <x:c r="M112" s="210" t="n">
        <x:v>3</x:v>
      </x:c>
      <x:c r="N112" s="210" t="n">
        <x:v>1100</x:v>
      </x:c>
      <x:c r="O112" s="210" t="n">
        <x:v>70</x:v>
      </x:c>
      <x:c r="P112" s="210" t="n">
        <x:v>15</x:v>
      </x:c>
      <x:c r="Q112" s="211" t="n">
        <x:v>0</x:v>
      </x:c>
      <x:c r="R112" s="207" t="str"/>
      <x:c r="S112" s="207" t="str"/>
      <x:c r="T112" s="207" t="str"/>
      <x:c r="U112" s="207" t="n">
        <x:v>0</x:v>
      </x:c>
      <x:c r="V112" s="208" t="n">
        <x:f>MAX(0,M112-U112)</x:f>
        <x:v>3</x:v>
      </x:c>
      <x:c r="W112" s="209" t="n">
        <x:f>IFERROR(U112/M112,0)</x:f>
        <x:v>0</x:v>
      </x:c>
      <x:c r="X112" s="201" t="str">
        <x:f>IF(U112=0,"Não iniciado",IF(U112&gt;=M112,"Concluído","Parcial"))</x:f>
        <x:v>Não iniciado</x:v>
      </x:c>
      <x:c r="Y112" s="199" t="str"/>
      <x:c r="Z112" s="188" t="str">
        <x:v>Normal</x:v>
      </x:c>
    </x:row>
    <x:row r="113" ht="22" customHeight="1">
      <x:c r="A113" s="217" t="n">
        <x:v>109</x:v>
      </x:c>
      <x:c r="B113" s="218" t="str">
        <x:v>26684</x:v>
      </x:c>
      <x:c r="C113" s="218" t="str">
        <x:v>4</x:v>
      </x:c>
      <x:c r="D113" s="218" t="str">
        <x:v>609138</x:v>
      </x:c>
      <x:c r="E113" s="218" t="str">
        <x:v>981166</x:v>
      </x:c>
      <x:c r="F113" s="218" t="str">
        <x:v>ALIZAR</x:v>
      </x:c>
      <x:c r="G113" s="184" t="str">
        <x:v>T A 1100X70X15 RTO RL55 REC PET BCO(STD)</x:v>
      </x:c>
      <x:c r="H113" s="184" t="str"/>
      <x:c r="I113" s="184" t="str"/>
      <x:c r="J113" s="184" t="str"/>
      <x:c r="K113" s="184" t="str">
        <x:v>ESMALTE</x:v>
      </x:c>
      <x:c r="L113" s="184" t="str">
        <x:v>BRANCO CARRARA</x:v>
      </x:c>
      <x:c r="M113" s="205" t="n">
        <x:v>55</x:v>
      </x:c>
      <x:c r="N113" s="205" t="n">
        <x:v>1100</x:v>
      </x:c>
      <x:c r="O113" s="205" t="n">
        <x:v>70</x:v>
      </x:c>
      <x:c r="P113" s="205" t="n">
        <x:v>15</x:v>
      </x:c>
      <x:c r="Q113" s="206" t="n">
        <x:v>0</x:v>
      </x:c>
      <x:c r="R113" s="207" t="str"/>
      <x:c r="S113" s="207" t="str"/>
      <x:c r="T113" s="207" t="str"/>
      <x:c r="U113" s="207" t="n">
        <x:v>0</x:v>
      </x:c>
      <x:c r="V113" s="208" t="n">
        <x:f>MAX(0,M113-U113)</x:f>
        <x:v>55</x:v>
      </x:c>
      <x:c r="W113" s="209" t="n">
        <x:f>IFERROR(U113/M113,0)</x:f>
        <x:v>0</x:v>
      </x:c>
      <x:c r="X113" s="201" t="str">
        <x:f>IF(U113=0,"Não iniciado",IF(U113&gt;=M113,"Concluído","Parcial"))</x:f>
        <x:v>Não iniciado</x:v>
      </x:c>
      <x:c r="Y113" s="199" t="str"/>
      <x:c r="Z113" s="188" t="str">
        <x:v>Normal</x:v>
      </x:c>
    </x:row>
    <x:row r="114" ht="22" customHeight="1">
      <x:c r="A114" s="219" t="n">
        <x:v>110</x:v>
      </x:c>
      <x:c r="B114" s="220" t="str">
        <x:v>26684</x:v>
      </x:c>
      <x:c r="C114" s="220" t="str">
        <x:v>4</x:v>
      </x:c>
      <x:c r="D114" s="220" t="str">
        <x:v>609139</x:v>
      </x:c>
      <x:c r="E114" s="220" t="str">
        <x:v>981556</x:v>
      </x:c>
      <x:c r="F114" s="220" t="str">
        <x:v>ALIZAR</x:v>
      </x:c>
      <x:c r="G114" s="190" t="str">
        <x:v>T A 1100X70X15 RTO LMN REC PET BCO(STD)</x:v>
      </x:c>
      <x:c r="H114" s="190" t="str"/>
      <x:c r="I114" s="190" t="str"/>
      <x:c r="J114" s="190" t="str"/>
      <x:c r="K114" s="190" t="str">
        <x:v>ESMALTE</x:v>
      </x:c>
      <x:c r="L114" s="190" t="str">
        <x:v>BRANCO CARRARA</x:v>
      </x:c>
      <x:c r="M114" s="210" t="n">
        <x:v>55</x:v>
      </x:c>
      <x:c r="N114" s="210" t="n">
        <x:v>1100</x:v>
      </x:c>
      <x:c r="O114" s="210" t="n">
        <x:v>70</x:v>
      </x:c>
      <x:c r="P114" s="210" t="n">
        <x:v>15</x:v>
      </x:c>
      <x:c r="Q114" s="211" t="n">
        <x:v>0</x:v>
      </x:c>
      <x:c r="R114" s="207" t="str"/>
      <x:c r="S114" s="207" t="str"/>
      <x:c r="T114" s="207" t="str"/>
      <x:c r="U114" s="207" t="n">
        <x:v>0</x:v>
      </x:c>
      <x:c r="V114" s="208" t="n">
        <x:f>MAX(0,M114-U114)</x:f>
        <x:v>55</x:v>
      </x:c>
      <x:c r="W114" s="209" t="n">
        <x:f>IFERROR(U114/M114,0)</x:f>
        <x:v>0</x:v>
      </x:c>
      <x:c r="X114" s="201" t="str">
        <x:f>IF(U114=0,"Não iniciado",IF(U114&gt;=M114,"Concluído","Parcial"))</x:f>
        <x:v>Não iniciado</x:v>
      </x:c>
      <x:c r="Y114" s="199" t="str"/>
      <x:c r="Z114" s="188" t="str">
        <x:v>Normal</x:v>
      </x:c>
    </x:row>
    <x:row r="115" ht="22" customHeight="1">
      <x:c r="A115" s="217" t="n">
        <x:v>111</x:v>
      </x:c>
      <x:c r="B115" s="218" t="str">
        <x:v>26684</x:v>
      </x:c>
      <x:c r="C115" s="218" t="str">
        <x:v>5</x:v>
      </x:c>
      <x:c r="D115" s="218" t="str">
        <x:v>609146</x:v>
      </x:c>
      <x:c r="E115" s="218" t="str">
        <x:v>981166</x:v>
      </x:c>
      <x:c r="F115" s="218" t="str">
        <x:v>ALIZAR</x:v>
      </x:c>
      <x:c r="G115" s="184" t="str">
        <x:v>T A 1100X70X15 RTO RL55 REC PET BCO(STD)</x:v>
      </x:c>
      <x:c r="H115" s="184" t="str"/>
      <x:c r="I115" s="184" t="str"/>
      <x:c r="J115" s="184" t="str"/>
      <x:c r="K115" s="184" t="str">
        <x:v>ESMALTE</x:v>
      </x:c>
      <x:c r="L115" s="184" t="str">
        <x:v>BRANCO CARRARA</x:v>
      </x:c>
      <x:c r="M115" s="205" t="n">
        <x:v>6</x:v>
      </x:c>
      <x:c r="N115" s="205" t="n">
        <x:v>1100</x:v>
      </x:c>
      <x:c r="O115" s="205" t="n">
        <x:v>70</x:v>
      </x:c>
      <x:c r="P115" s="205" t="n">
        <x:v>15</x:v>
      </x:c>
      <x:c r="Q115" s="206" t="n">
        <x:v>0</x:v>
      </x:c>
      <x:c r="R115" s="207" t="str"/>
      <x:c r="S115" s="207" t="str"/>
      <x:c r="T115" s="207" t="str"/>
      <x:c r="U115" s="207" t="n">
        <x:v>0</x:v>
      </x:c>
      <x:c r="V115" s="208" t="n">
        <x:f>MAX(0,M115-U115)</x:f>
        <x:v>6</x:v>
      </x:c>
      <x:c r="W115" s="209" t="n">
        <x:f>IFERROR(U115/M115,0)</x:f>
        <x:v>0</x:v>
      </x:c>
      <x:c r="X115" s="201" t="str">
        <x:f>IF(U115=0,"Não iniciado",IF(U115&gt;=M115,"Concluído","Parcial"))</x:f>
        <x:v>Não iniciado</x:v>
      </x:c>
      <x:c r="Y115" s="199" t="str"/>
      <x:c r="Z115" s="188" t="str">
        <x:v>Normal</x:v>
      </x:c>
    </x:row>
    <x:row r="116" ht="22" customHeight="1">
      <x:c r="A116" s="219" t="n">
        <x:v>112</x:v>
      </x:c>
      <x:c r="B116" s="220" t="str">
        <x:v>26684</x:v>
      </x:c>
      <x:c r="C116" s="220" t="str">
        <x:v>5</x:v>
      </x:c>
      <x:c r="D116" s="220" t="str">
        <x:v>609147</x:v>
      </x:c>
      <x:c r="E116" s="220" t="str">
        <x:v>981556</x:v>
      </x:c>
      <x:c r="F116" s="220" t="str">
        <x:v>ALIZAR</x:v>
      </x:c>
      <x:c r="G116" s="190" t="str">
        <x:v>T A 1100X70X15 RTO LMN REC PET BCO(STD)</x:v>
      </x:c>
      <x:c r="H116" s="190" t="str"/>
      <x:c r="I116" s="190" t="str"/>
      <x:c r="J116" s="190" t="str"/>
      <x:c r="K116" s="190" t="str">
        <x:v>ESMALTE</x:v>
      </x:c>
      <x:c r="L116" s="190" t="str">
        <x:v>BRANCO CARRARA</x:v>
      </x:c>
      <x:c r="M116" s="210" t="n">
        <x:v>6</x:v>
      </x:c>
      <x:c r="N116" s="210" t="n">
        <x:v>1100</x:v>
      </x:c>
      <x:c r="O116" s="210" t="n">
        <x:v>70</x:v>
      </x:c>
      <x:c r="P116" s="210" t="n">
        <x:v>15</x:v>
      </x:c>
      <x:c r="Q116" s="211" t="n">
        <x:v>0</x:v>
      </x:c>
      <x:c r="R116" s="207" t="str"/>
      <x:c r="S116" s="207" t="str"/>
      <x:c r="T116" s="207" t="str"/>
      <x:c r="U116" s="207" t="n">
        <x:v>0</x:v>
      </x:c>
      <x:c r="V116" s="208" t="n">
        <x:f>MAX(0,M116-U116)</x:f>
        <x:v>6</x:v>
      </x:c>
      <x:c r="W116" s="209" t="n">
        <x:f>IFERROR(U116/M116,0)</x:f>
        <x:v>0</x:v>
      </x:c>
      <x:c r="X116" s="201" t="str">
        <x:f>IF(U116=0,"Não iniciado",IF(U116&gt;=M116,"Concluído","Parcial"))</x:f>
        <x:v>Não iniciado</x:v>
      </x:c>
      <x:c r="Y116" s="199" t="str"/>
      <x:c r="Z116" s="188" t="str">
        <x:v>Normal</x:v>
      </x:c>
    </x:row>
    <x:row r="117" ht="22" customHeight="1">
      <x:c r="A117" s="217" t="n">
        <x:v>113</x:v>
      </x:c>
      <x:c r="B117" s="218" t="str">
        <x:v>26684</x:v>
      </x:c>
      <x:c r="C117" s="218" t="str">
        <x:v>6</x:v>
      </x:c>
      <x:c r="D117" s="218" t="str">
        <x:v>609153</x:v>
      </x:c>
      <x:c r="E117" s="218" t="str">
        <x:v>981166</x:v>
      </x:c>
      <x:c r="F117" s="218" t="str">
        <x:v>ALIZAR</x:v>
      </x:c>
      <x:c r="G117" s="184" t="str">
        <x:v>T A 1100X70X15 RTO RL55 REC PET BCO(STD)</x:v>
      </x:c>
      <x:c r="H117" s="184" t="str"/>
      <x:c r="I117" s="184" t="str"/>
      <x:c r="J117" s="184" t="str"/>
      <x:c r="K117" s="184" t="str">
        <x:v>ESMALTE</x:v>
      </x:c>
      <x:c r="L117" s="184" t="str">
        <x:v>BRANCO CARRARA</x:v>
      </x:c>
      <x:c r="M117" s="205" t="n">
        <x:v>2</x:v>
      </x:c>
      <x:c r="N117" s="205" t="n">
        <x:v>1100</x:v>
      </x:c>
      <x:c r="O117" s="205" t="n">
        <x:v>70</x:v>
      </x:c>
      <x:c r="P117" s="205" t="n">
        <x:v>15</x:v>
      </x:c>
      <x:c r="Q117" s="206" t="n">
        <x:v>0</x:v>
      </x:c>
      <x:c r="R117" s="207" t="str"/>
      <x:c r="S117" s="207" t="str"/>
      <x:c r="T117" s="207" t="str"/>
      <x:c r="U117" s="207" t="n">
        <x:v>0</x:v>
      </x:c>
      <x:c r="V117" s="208" t="n">
        <x:f>MAX(0,M117-U117)</x:f>
        <x:v>2</x:v>
      </x:c>
      <x:c r="W117" s="209" t="n">
        <x:f>IFERROR(U117/M117,0)</x:f>
        <x:v>0</x:v>
      </x:c>
      <x:c r="X117" s="201" t="str">
        <x:f>IF(U117=0,"Não iniciado",IF(U117&gt;=M117,"Concluído","Parcial"))</x:f>
        <x:v>Não iniciado</x:v>
      </x:c>
      <x:c r="Y117" s="199" t="str"/>
      <x:c r="Z117" s="188" t="str">
        <x:v>Normal</x:v>
      </x:c>
    </x:row>
    <x:row r="118" ht="22" customHeight="1">
      <x:c r="A118" s="219" t="n">
        <x:v>114</x:v>
      </x:c>
      <x:c r="B118" s="220" t="str">
        <x:v>26684</x:v>
      </x:c>
      <x:c r="C118" s="220" t="str">
        <x:v>7</x:v>
      </x:c>
      <x:c r="D118" s="220" t="str">
        <x:v>609162</x:v>
      </x:c>
      <x:c r="E118" s="220" t="str">
        <x:v>981166</x:v>
      </x:c>
      <x:c r="F118" s="220" t="str">
        <x:v>ALIZAR</x:v>
      </x:c>
      <x:c r="G118" s="190" t="str">
        <x:v>T A 1100X70X15 RTO RL55 REC PET BCO(STD)</x:v>
      </x:c>
      <x:c r="H118" s="190" t="str"/>
      <x:c r="I118" s="190" t="str"/>
      <x:c r="J118" s="190" t="str"/>
      <x:c r="K118" s="190" t="str">
        <x:v>ESMALTE</x:v>
      </x:c>
      <x:c r="L118" s="190" t="str">
        <x:v>BRANCO CARRARA</x:v>
      </x:c>
      <x:c r="M118" s="210" t="n">
        <x:v>1</x:v>
      </x:c>
      <x:c r="N118" s="210" t="n">
        <x:v>1100</x:v>
      </x:c>
      <x:c r="O118" s="210" t="n">
        <x:v>70</x:v>
      </x:c>
      <x:c r="P118" s="210" t="n">
        <x:v>15</x:v>
      </x:c>
      <x:c r="Q118" s="211" t="n">
        <x:v>0</x:v>
      </x:c>
      <x:c r="R118" s="207" t="str"/>
      <x:c r="S118" s="207" t="str"/>
      <x:c r="T118" s="207" t="str"/>
      <x:c r="U118" s="207" t="n">
        <x:v>0</x:v>
      </x:c>
      <x:c r="V118" s="208" t="n">
        <x:f>MAX(0,M118-U118)</x:f>
        <x:v>1</x:v>
      </x:c>
      <x:c r="W118" s="209" t="n">
        <x:f>IFERROR(U118/M118,0)</x:f>
        <x:v>0</x:v>
      </x:c>
      <x:c r="X118" s="201" t="str">
        <x:f>IF(U118=0,"Não iniciado",IF(U118&gt;=M118,"Concluído","Parcial"))</x:f>
        <x:v>Não iniciado</x:v>
      </x:c>
      <x:c r="Y118" s="199" t="str"/>
      <x:c r="Z118" s="188" t="str">
        <x:v>Normal</x:v>
      </x:c>
    </x:row>
    <x:row r="119" ht="22" customHeight="1">
      <x:c r="A119" s="217" t="n">
        <x:v>115</x:v>
      </x:c>
      <x:c r="B119" s="218" t="str">
        <x:v>26684</x:v>
      </x:c>
      <x:c r="C119" s="218" t="str">
        <x:v>7</x:v>
      </x:c>
      <x:c r="D119" s="218" t="str">
        <x:v>609163</x:v>
      </x:c>
      <x:c r="E119" s="218" t="str">
        <x:v>981556</x:v>
      </x:c>
      <x:c r="F119" s="218" t="str">
        <x:v>ALIZAR</x:v>
      </x:c>
      <x:c r="G119" s="184" t="str">
        <x:v>T A 1100X70X15 RTO LMN REC PET BCO(STD)</x:v>
      </x:c>
      <x:c r="H119" s="184" t="str"/>
      <x:c r="I119" s="184" t="str"/>
      <x:c r="J119" s="184" t="str"/>
      <x:c r="K119" s="184" t="str">
        <x:v>ESMALTE</x:v>
      </x:c>
      <x:c r="L119" s="184" t="str">
        <x:v>BRANCO CARRARA</x:v>
      </x:c>
      <x:c r="M119" s="205" t="n">
        <x:v>1</x:v>
      </x:c>
      <x:c r="N119" s="205" t="n">
        <x:v>1100</x:v>
      </x:c>
      <x:c r="O119" s="205" t="n">
        <x:v>70</x:v>
      </x:c>
      <x:c r="P119" s="205" t="n">
        <x:v>15</x:v>
      </x:c>
      <x:c r="Q119" s="206" t="n">
        <x:v>0</x:v>
      </x:c>
      <x:c r="R119" s="207" t="str"/>
      <x:c r="S119" s="207" t="str"/>
      <x:c r="T119" s="207" t="str"/>
      <x:c r="U119" s="207" t="n">
        <x:v>0</x:v>
      </x:c>
      <x:c r="V119" s="208" t="n">
        <x:f>MAX(0,M119-U119)</x:f>
        <x:v>1</x:v>
      </x:c>
      <x:c r="W119" s="209" t="n">
        <x:f>IFERROR(U119/M119,0)</x:f>
        <x:v>0</x:v>
      </x:c>
      <x:c r="X119" s="201" t="str">
        <x:f>IF(U119=0,"Não iniciado",IF(U119&gt;=M119,"Concluído","Parcial"))</x:f>
        <x:v>Não iniciado</x:v>
      </x:c>
      <x:c r="Y119" s="199" t="str"/>
      <x:c r="Z119" s="188" t="str">
        <x:v>Normal</x:v>
      </x:c>
    </x:row>
    <x:row r="120" ht="22" customHeight="1">
      <x:c r="A120" s="219" t="n">
        <x:v>116</x:v>
      </x:c>
      <x:c r="B120" s="220" t="str">
        <x:v>26684</x:v>
      </x:c>
      <x:c r="C120" s="220" t="str">
        <x:v>8</x:v>
      </x:c>
      <x:c r="D120" s="220" t="str">
        <x:v>609170</x:v>
      </x:c>
      <x:c r="E120" s="220" t="str">
        <x:v>981166</x:v>
      </x:c>
      <x:c r="F120" s="220" t="str">
        <x:v>ALIZAR</x:v>
      </x:c>
      <x:c r="G120" s="190" t="str">
        <x:v>T A 1100X70X15 RTO RL55 REC PET BCO(STD)</x:v>
      </x:c>
      <x:c r="H120" s="190" t="str"/>
      <x:c r="I120" s="190" t="str"/>
      <x:c r="J120" s="190" t="str"/>
      <x:c r="K120" s="190" t="str">
        <x:v>ESMALTE</x:v>
      </x:c>
      <x:c r="L120" s="190" t="str">
        <x:v>BRANCO CARRARA</x:v>
      </x:c>
      <x:c r="M120" s="210" t="n">
        <x:v>5</x:v>
      </x:c>
      <x:c r="N120" s="210" t="n">
        <x:v>1100</x:v>
      </x:c>
      <x:c r="O120" s="210" t="n">
        <x:v>70</x:v>
      </x:c>
      <x:c r="P120" s="210" t="n">
        <x:v>15</x:v>
      </x:c>
      <x:c r="Q120" s="211" t="n">
        <x:v>0</x:v>
      </x:c>
      <x:c r="R120" s="207" t="str"/>
      <x:c r="S120" s="207" t="str"/>
      <x:c r="T120" s="207" t="str"/>
      <x:c r="U120" s="207" t="n">
        <x:v>0</x:v>
      </x:c>
      <x:c r="V120" s="208" t="n">
        <x:f>MAX(0,M120-U120)</x:f>
        <x:v>5</x:v>
      </x:c>
      <x:c r="W120" s="209" t="n">
        <x:f>IFERROR(U120/M120,0)</x:f>
        <x:v>0</x:v>
      </x:c>
      <x:c r="X120" s="201" t="str">
        <x:f>IF(U120=0,"Não iniciado",IF(U120&gt;=M120,"Concluído","Parcial"))</x:f>
        <x:v>Não iniciado</x:v>
      </x:c>
      <x:c r="Y120" s="199" t="str"/>
      <x:c r="Z120" s="188" t="str">
        <x:v>Normal</x:v>
      </x:c>
    </x:row>
    <x:row r="121" ht="22" customHeight="1">
      <x:c r="A121" s="217" t="n">
        <x:v>117</x:v>
      </x:c>
      <x:c r="B121" s="218" t="str">
        <x:v>26684</x:v>
      </x:c>
      <x:c r="C121" s="218" t="str">
        <x:v>8</x:v>
      </x:c>
      <x:c r="D121" s="218" t="str">
        <x:v>609171</x:v>
      </x:c>
      <x:c r="E121" s="218" t="str">
        <x:v>981556</x:v>
      </x:c>
      <x:c r="F121" s="218" t="str">
        <x:v>ALIZAR</x:v>
      </x:c>
      <x:c r="G121" s="184" t="str">
        <x:v>T A 1100X70X15 RTO LMN REC PET BCO(STD)</x:v>
      </x:c>
      <x:c r="H121" s="184" t="str"/>
      <x:c r="I121" s="184" t="str"/>
      <x:c r="J121" s="184" t="str"/>
      <x:c r="K121" s="184" t="str">
        <x:v>ESMALTE</x:v>
      </x:c>
      <x:c r="L121" s="184" t="str">
        <x:v>BRANCO CARRARA</x:v>
      </x:c>
      <x:c r="M121" s="205" t="n">
        <x:v>5</x:v>
      </x:c>
      <x:c r="N121" s="205" t="n">
        <x:v>1100</x:v>
      </x:c>
      <x:c r="O121" s="205" t="n">
        <x:v>70</x:v>
      </x:c>
      <x:c r="P121" s="205" t="n">
        <x:v>15</x:v>
      </x:c>
      <x:c r="Q121" s="206" t="n">
        <x:v>0</x:v>
      </x:c>
      <x:c r="R121" s="207" t="str"/>
      <x:c r="S121" s="207" t="str"/>
      <x:c r="T121" s="207" t="str"/>
      <x:c r="U121" s="207" t="n">
        <x:v>0</x:v>
      </x:c>
      <x:c r="V121" s="208" t="n">
        <x:f>MAX(0,M121-U121)</x:f>
        <x:v>5</x:v>
      </x:c>
      <x:c r="W121" s="209" t="n">
        <x:f>IFERROR(U121/M121,0)</x:f>
        <x:v>0</x:v>
      </x:c>
      <x:c r="X121" s="201" t="str">
        <x:f>IF(U121=0,"Não iniciado",IF(U121&gt;=M121,"Concluído","Parcial"))</x:f>
        <x:v>Não iniciado</x:v>
      </x:c>
      <x:c r="Y121" s="199" t="str"/>
      <x:c r="Z121" s="188" t="str">
        <x:v>Normal</x:v>
      </x:c>
    </x:row>
    <x:row r="122" ht="22" customHeight="1">
      <x:c r="A122" s="219" t="n">
        <x:v>118</x:v>
      </x:c>
      <x:c r="B122" s="220" t="str">
        <x:v>26684</x:v>
      </x:c>
      <x:c r="C122" s="220" t="str">
        <x:v>9</x:v>
      </x:c>
      <x:c r="D122" s="220" t="str">
        <x:v>609178</x:v>
      </x:c>
      <x:c r="E122" s="220" t="str">
        <x:v>981166</x:v>
      </x:c>
      <x:c r="F122" s="220" t="str">
        <x:v>ALIZAR</x:v>
      </x:c>
      <x:c r="G122" s="190" t="str">
        <x:v>T A 1100X70X15 RTO RL55 REC PET BCO(STD)</x:v>
      </x:c>
      <x:c r="H122" s="190" t="str"/>
      <x:c r="I122" s="190" t="str"/>
      <x:c r="J122" s="190" t="str"/>
      <x:c r="K122" s="190" t="str">
        <x:v>ESMALTE</x:v>
      </x:c>
      <x:c r="L122" s="190" t="str">
        <x:v>BRANCO CARRARA</x:v>
      </x:c>
      <x:c r="M122" s="210" t="n">
        <x:v>57</x:v>
      </x:c>
      <x:c r="N122" s="210" t="n">
        <x:v>1100</x:v>
      </x:c>
      <x:c r="O122" s="210" t="n">
        <x:v>70</x:v>
      </x:c>
      <x:c r="P122" s="210" t="n">
        <x:v>15</x:v>
      </x:c>
      <x:c r="Q122" s="211" t="n">
        <x:v>0</x:v>
      </x:c>
      <x:c r="R122" s="207" t="str"/>
      <x:c r="S122" s="207" t="str"/>
      <x:c r="T122" s="207" t="str"/>
      <x:c r="U122" s="207" t="n">
        <x:v>0</x:v>
      </x:c>
      <x:c r="V122" s="208" t="n">
        <x:f>MAX(0,M122-U122)</x:f>
        <x:v>57</x:v>
      </x:c>
      <x:c r="W122" s="209" t="n">
        <x:f>IFERROR(U122/M122,0)</x:f>
        <x:v>0</x:v>
      </x:c>
      <x:c r="X122" s="201" t="str">
        <x:f>IF(U122=0,"Não iniciado",IF(U122&gt;=M122,"Concluído","Parcial"))</x:f>
        <x:v>Não iniciado</x:v>
      </x:c>
      <x:c r="Y122" s="199" t="str"/>
      <x:c r="Z122" s="188" t="str">
        <x:v>Normal</x:v>
      </x:c>
    </x:row>
    <x:row r="123" ht="22" customHeight="1">
      <x:c r="A123" s="217" t="n">
        <x:v>119</x:v>
      </x:c>
      <x:c r="B123" s="218" t="str">
        <x:v>26684</x:v>
      </x:c>
      <x:c r="C123" s="218" t="str">
        <x:v>9</x:v>
      </x:c>
      <x:c r="D123" s="218" t="str">
        <x:v>609179</x:v>
      </x:c>
      <x:c r="E123" s="218" t="str">
        <x:v>981556</x:v>
      </x:c>
      <x:c r="F123" s="218" t="str">
        <x:v>ALIZAR</x:v>
      </x:c>
      <x:c r="G123" s="184" t="str">
        <x:v>T A 1100X70X15 RTO LMN REC PET BCO(STD)</x:v>
      </x:c>
      <x:c r="H123" s="184" t="str"/>
      <x:c r="I123" s="184" t="str"/>
      <x:c r="J123" s="184" t="str"/>
      <x:c r="K123" s="184" t="str">
        <x:v>ESMALTE</x:v>
      </x:c>
      <x:c r="L123" s="184" t="str">
        <x:v>BRANCO CARRARA</x:v>
      </x:c>
      <x:c r="M123" s="205" t="n">
        <x:v>57</x:v>
      </x:c>
      <x:c r="N123" s="205" t="n">
        <x:v>1100</x:v>
      </x:c>
      <x:c r="O123" s="205" t="n">
        <x:v>70</x:v>
      </x:c>
      <x:c r="P123" s="205" t="n">
        <x:v>15</x:v>
      </x:c>
      <x:c r="Q123" s="206" t="n">
        <x:v>0</x:v>
      </x:c>
      <x:c r="R123" s="207" t="str"/>
      <x:c r="S123" s="207" t="str"/>
      <x:c r="T123" s="207" t="str"/>
      <x:c r="U123" s="207" t="n">
        <x:v>0</x:v>
      </x:c>
      <x:c r="V123" s="208" t="n">
        <x:f>MAX(0,M123-U123)</x:f>
        <x:v>57</x:v>
      </x:c>
      <x:c r="W123" s="209" t="n">
        <x:f>IFERROR(U123/M123,0)</x:f>
        <x:v>0</x:v>
      </x:c>
      <x:c r="X123" s="201" t="str">
        <x:f>IF(U123=0,"Não iniciado",IF(U123&gt;=M123,"Concluído","Parcial"))</x:f>
        <x:v>Não iniciado</x:v>
      </x:c>
      <x:c r="Y123" s="199" t="str"/>
      <x:c r="Z123" s="188" t="str">
        <x:v>Normal</x:v>
      </x:c>
    </x:row>
    <x:row r="124" ht="22" customHeight="1">
      <x:c r="A124" s="219" t="n">
        <x:v>120</x:v>
      </x:c>
      <x:c r="B124" s="220" t="str">
        <x:v>26684</x:v>
      </x:c>
      <x:c r="C124" s="220" t="str">
        <x:v>10</x:v>
      </x:c>
      <x:c r="D124" s="220" t="str">
        <x:v>609185</x:v>
      </x:c>
      <x:c r="E124" s="220" t="str">
        <x:v>981166</x:v>
      </x:c>
      <x:c r="F124" s="220" t="str">
        <x:v>ALIZAR</x:v>
      </x:c>
      <x:c r="G124" s="190" t="str">
        <x:v>T A 1100X70X15 RTO RL55 REC PET BCO(STD)</x:v>
      </x:c>
      <x:c r="H124" s="190" t="str"/>
      <x:c r="I124" s="190" t="str"/>
      <x:c r="J124" s="190" t="str"/>
      <x:c r="K124" s="190" t="str">
        <x:v>ESMALTE</x:v>
      </x:c>
      <x:c r="L124" s="190" t="str">
        <x:v>BRANCO CARRARA</x:v>
      </x:c>
      <x:c r="M124" s="210" t="n">
        <x:v>2</x:v>
      </x:c>
      <x:c r="N124" s="210" t="n">
        <x:v>1100</x:v>
      </x:c>
      <x:c r="O124" s="210" t="n">
        <x:v>70</x:v>
      </x:c>
      <x:c r="P124" s="210" t="n">
        <x:v>15</x:v>
      </x:c>
      <x:c r="Q124" s="211" t="n">
        <x:v>0</x:v>
      </x:c>
      <x:c r="R124" s="207" t="str"/>
      <x:c r="S124" s="207" t="str"/>
      <x:c r="T124" s="207" t="str"/>
      <x:c r="U124" s="207" t="n">
        <x:v>0</x:v>
      </x:c>
      <x:c r="V124" s="208" t="n">
        <x:f>MAX(0,M124-U124)</x:f>
        <x:v>2</x:v>
      </x:c>
      <x:c r="W124" s="209" t="n">
        <x:f>IFERROR(U124/M124,0)</x:f>
        <x:v>0</x:v>
      </x:c>
      <x:c r="X124" s="201" t="str">
        <x:f>IF(U124=0,"Não iniciado",IF(U124&gt;=M124,"Concluído","Parcial"))</x:f>
        <x:v>Não iniciado</x:v>
      </x:c>
      <x:c r="Y124" s="199" t="str"/>
      <x:c r="Z124" s="188" t="str">
        <x:v>Normal</x:v>
      </x:c>
    </x:row>
    <x:row r="125" ht="22" customHeight="1">
      <x:c r="A125" s="217" t="n">
        <x:v>121</x:v>
      </x:c>
      <x:c r="B125" s="218" t="str">
        <x:v>26689</x:v>
      </x:c>
      <x:c r="C125" s="218" t="str">
        <x:v>1</x:v>
      </x:c>
      <x:c r="D125" s="218" t="str">
        <x:v>609079</x:v>
      </x:c>
      <x:c r="E125" s="218" t="str">
        <x:v>981166</x:v>
      </x:c>
      <x:c r="F125" s="218" t="str">
        <x:v>ALIZAR</x:v>
      </x:c>
      <x:c r="G125" s="184" t="str">
        <x:v>T A 1100X70X15 RTO RL55 REC PET BCO(STD)</x:v>
      </x:c>
      <x:c r="H125" s="184" t="str"/>
      <x:c r="I125" s="184" t="str"/>
      <x:c r="J125" s="184" t="str"/>
      <x:c r="K125" s="184" t="str">
        <x:v>ESMALTE</x:v>
      </x:c>
      <x:c r="L125" s="184" t="str">
        <x:v>BRANCO CARRARA</x:v>
      </x:c>
      <x:c r="M125" s="205" t="n">
        <x:v>32</x:v>
      </x:c>
      <x:c r="N125" s="205" t="n">
        <x:v>1100</x:v>
      </x:c>
      <x:c r="O125" s="205" t="n">
        <x:v>70</x:v>
      </x:c>
      <x:c r="P125" s="205" t="n">
        <x:v>15</x:v>
      </x:c>
      <x:c r="Q125" s="206" t="n">
        <x:v>0</x:v>
      </x:c>
      <x:c r="R125" s="207" t="str"/>
      <x:c r="S125" s="207" t="str"/>
      <x:c r="T125" s="207" t="str"/>
      <x:c r="U125" s="207" t="n">
        <x:v>0</x:v>
      </x:c>
      <x:c r="V125" s="208" t="n">
        <x:f>MAX(0,M125-U125)</x:f>
        <x:v>32</x:v>
      </x:c>
      <x:c r="W125" s="209" t="n">
        <x:f>IFERROR(U125/M125,0)</x:f>
        <x:v>0</x:v>
      </x:c>
      <x:c r="X125" s="201" t="str">
        <x:f>IF(U125=0,"Não iniciado",IF(U125&gt;=M125,"Concluído","Parcial"))</x:f>
        <x:v>Não iniciado</x:v>
      </x:c>
      <x:c r="Y125" s="199" t="str"/>
      <x:c r="Z125" s="188" t="str">
        <x:v>Normal</x:v>
      </x:c>
    </x:row>
    <x:row r="126" ht="22" customHeight="1">
      <x:c r="A126" s="219" t="n">
        <x:v>122</x:v>
      </x:c>
      <x:c r="B126" s="220" t="str">
        <x:v>26689</x:v>
      </x:c>
      <x:c r="C126" s="220" t="str">
        <x:v>1</x:v>
      </x:c>
      <x:c r="D126" s="220" t="str">
        <x:v>609080</x:v>
      </x:c>
      <x:c r="E126" s="220" t="str">
        <x:v>981556</x:v>
      </x:c>
      <x:c r="F126" s="220" t="str">
        <x:v>ALIZAR</x:v>
      </x:c>
      <x:c r="G126" s="190" t="str">
        <x:v>T A 1100X70X15 RTO LMN REC PET BCO(STD)</x:v>
      </x:c>
      <x:c r="H126" s="190" t="str"/>
      <x:c r="I126" s="190" t="str"/>
      <x:c r="J126" s="190" t="str"/>
      <x:c r="K126" s="190" t="str">
        <x:v>ESMALTE</x:v>
      </x:c>
      <x:c r="L126" s="190" t="str">
        <x:v>BRANCO CARRARA</x:v>
      </x:c>
      <x:c r="M126" s="210" t="n">
        <x:v>32</x:v>
      </x:c>
      <x:c r="N126" s="210" t="n">
        <x:v>1100</x:v>
      </x:c>
      <x:c r="O126" s="210" t="n">
        <x:v>70</x:v>
      </x:c>
      <x:c r="P126" s="210" t="n">
        <x:v>15</x:v>
      </x:c>
      <x:c r="Q126" s="211" t="n">
        <x:v>0</x:v>
      </x:c>
      <x:c r="R126" s="207" t="str"/>
      <x:c r="S126" s="207" t="str"/>
      <x:c r="T126" s="207" t="str"/>
      <x:c r="U126" s="207" t="n">
        <x:v>0</x:v>
      </x:c>
      <x:c r="V126" s="208" t="n">
        <x:f>MAX(0,M126-U126)</x:f>
        <x:v>32</x:v>
      </x:c>
      <x:c r="W126" s="209" t="n">
        <x:f>IFERROR(U126/M126,0)</x:f>
        <x:v>0</x:v>
      </x:c>
      <x:c r="X126" s="201" t="str">
        <x:f>IF(U126=0,"Não iniciado",IF(U126&gt;=M126,"Concluído","Parcial"))</x:f>
        <x:v>Não iniciado</x:v>
      </x:c>
      <x:c r="Y126" s="199" t="str"/>
      <x:c r="Z126" s="188" t="str">
        <x:v>Normal</x:v>
      </x:c>
    </x:row>
    <x:row r="127" ht="22" customHeight="1">
      <x:c r="A127" s="217" t="n">
        <x:v>123</x:v>
      </x:c>
      <x:c r="B127" s="218" t="str">
        <x:v>26689</x:v>
      </x:c>
      <x:c r="C127" s="218" t="str">
        <x:v>2</x:v>
      </x:c>
      <x:c r="D127" s="218" t="str">
        <x:v>609089</x:v>
      </x:c>
      <x:c r="E127" s="218" t="str">
        <x:v>981166</x:v>
      </x:c>
      <x:c r="F127" s="218" t="str">
        <x:v>ALIZAR</x:v>
      </x:c>
      <x:c r="G127" s="184" t="str">
        <x:v>T A 1100X70X15 RTO RL55 REC PET BCO(STD)</x:v>
      </x:c>
      <x:c r="H127" s="184" t="str"/>
      <x:c r="I127" s="184" t="str"/>
      <x:c r="J127" s="184" t="str"/>
      <x:c r="K127" s="184" t="str">
        <x:v>ESMALTE</x:v>
      </x:c>
      <x:c r="L127" s="184" t="str">
        <x:v>BRANCO CARRARA</x:v>
      </x:c>
      <x:c r="M127" s="205" t="n">
        <x:v>64</x:v>
      </x:c>
      <x:c r="N127" s="205" t="n">
        <x:v>1100</x:v>
      </x:c>
      <x:c r="O127" s="205" t="n">
        <x:v>70</x:v>
      </x:c>
      <x:c r="P127" s="205" t="n">
        <x:v>15</x:v>
      </x:c>
      <x:c r="Q127" s="206" t="n">
        <x:v>0</x:v>
      </x:c>
      <x:c r="R127" s="207" t="str"/>
      <x:c r="S127" s="207" t="str"/>
      <x:c r="T127" s="207" t="str"/>
      <x:c r="U127" s="207" t="n">
        <x:v>0</x:v>
      </x:c>
      <x:c r="V127" s="208" t="n">
        <x:f>MAX(0,M127-U127)</x:f>
        <x:v>64</x:v>
      </x:c>
      <x:c r="W127" s="209" t="n">
        <x:f>IFERROR(U127/M127,0)</x:f>
        <x:v>0</x:v>
      </x:c>
      <x:c r="X127" s="201" t="str">
        <x:f>IF(U127=0,"Não iniciado",IF(U127&gt;=M127,"Concluído","Parcial"))</x:f>
        <x:v>Não iniciado</x:v>
      </x:c>
      <x:c r="Y127" s="199" t="str"/>
      <x:c r="Z127" s="188" t="str">
        <x:v>Normal</x:v>
      </x:c>
    </x:row>
    <x:row r="128" ht="22" customHeight="1">
      <x:c r="A128" s="219" t="n">
        <x:v>124</x:v>
      </x:c>
      <x:c r="B128" s="220" t="str">
        <x:v>26689</x:v>
      </x:c>
      <x:c r="C128" s="220" t="str">
        <x:v>2</x:v>
      </x:c>
      <x:c r="D128" s="220" t="str">
        <x:v>609090</x:v>
      </x:c>
      <x:c r="E128" s="220" t="str">
        <x:v>981556</x:v>
      </x:c>
      <x:c r="F128" s="220" t="str">
        <x:v>ALIZAR</x:v>
      </x:c>
      <x:c r="G128" s="190" t="str">
        <x:v>T A 1100X70X15 RTO LMN REC PET BCO(STD)</x:v>
      </x:c>
      <x:c r="H128" s="190" t="str"/>
      <x:c r="I128" s="190" t="str"/>
      <x:c r="J128" s="190" t="str"/>
      <x:c r="K128" s="190" t="str">
        <x:v>ESMALTE</x:v>
      </x:c>
      <x:c r="L128" s="190" t="str">
        <x:v>BRANCO CARRARA</x:v>
      </x:c>
      <x:c r="M128" s="210" t="n">
        <x:v>64</x:v>
      </x:c>
      <x:c r="N128" s="210" t="n">
        <x:v>1100</x:v>
      </x:c>
      <x:c r="O128" s="210" t="n">
        <x:v>70</x:v>
      </x:c>
      <x:c r="P128" s="210" t="n">
        <x:v>15</x:v>
      </x:c>
      <x:c r="Q128" s="211" t="n">
        <x:v>0</x:v>
      </x:c>
      <x:c r="R128" s="207" t="str"/>
      <x:c r="S128" s="207" t="str"/>
      <x:c r="T128" s="207" t="str"/>
      <x:c r="U128" s="207" t="n">
        <x:v>0</x:v>
      </x:c>
      <x:c r="V128" s="208" t="n">
        <x:f>MAX(0,M128-U128)</x:f>
        <x:v>64</x:v>
      </x:c>
      <x:c r="W128" s="209" t="n">
        <x:f>IFERROR(U128/M128,0)</x:f>
        <x:v>0</x:v>
      </x:c>
      <x:c r="X128" s="201" t="str">
        <x:f>IF(U128=0,"Não iniciado",IF(U128&gt;=M128,"Concluído","Parcial"))</x:f>
        <x:v>Não iniciado</x:v>
      </x:c>
      <x:c r="Y128" s="199" t="str"/>
      <x:c r="Z128" s="188" t="str">
        <x:v>Normal</x:v>
      </x:c>
    </x:row>
    <x:row r="129" ht="22" customHeight="1">
      <x:c r="A129" s="217" t="n">
        <x:v>125</x:v>
      </x:c>
      <x:c r="B129" s="218" t="str">
        <x:v>26689</x:v>
      </x:c>
      <x:c r="C129" s="218" t="str">
        <x:v>3</x:v>
      </x:c>
      <x:c r="D129" s="218" t="str">
        <x:v>609097</x:v>
      </x:c>
      <x:c r="E129" s="218" t="str">
        <x:v>981166</x:v>
      </x:c>
      <x:c r="F129" s="218" t="str">
        <x:v>ALIZAR</x:v>
      </x:c>
      <x:c r="G129" s="184" t="str">
        <x:v>T A 1100X70X15 RTO RL55 REC PET BCO(STD)</x:v>
      </x:c>
      <x:c r="H129" s="184" t="str"/>
      <x:c r="I129" s="184" t="str"/>
      <x:c r="J129" s="184" t="str"/>
      <x:c r="K129" s="184" t="str">
        <x:v>ESMALTE</x:v>
      </x:c>
      <x:c r="L129" s="184" t="str">
        <x:v>BRANCO CARRARA</x:v>
      </x:c>
      <x:c r="M129" s="205" t="n">
        <x:v>61</x:v>
      </x:c>
      <x:c r="N129" s="205" t="n">
        <x:v>1100</x:v>
      </x:c>
      <x:c r="O129" s="205" t="n">
        <x:v>70</x:v>
      </x:c>
      <x:c r="P129" s="205" t="n">
        <x:v>15</x:v>
      </x:c>
      <x:c r="Q129" s="206" t="n">
        <x:v>0</x:v>
      </x:c>
      <x:c r="R129" s="207" t="str"/>
      <x:c r="S129" s="207" t="str"/>
      <x:c r="T129" s="207" t="str"/>
      <x:c r="U129" s="207" t="n">
        <x:v>0</x:v>
      </x:c>
      <x:c r="V129" s="208" t="n">
        <x:f>MAX(0,M129-U129)</x:f>
        <x:v>61</x:v>
      </x:c>
      <x:c r="W129" s="209" t="n">
        <x:f>IFERROR(U129/M129,0)</x:f>
        <x:v>0</x:v>
      </x:c>
      <x:c r="X129" s="201" t="str">
        <x:f>IF(U129=0,"Não iniciado",IF(U129&gt;=M129,"Concluído","Parcial"))</x:f>
        <x:v>Não iniciado</x:v>
      </x:c>
      <x:c r="Y129" s="199" t="str"/>
      <x:c r="Z129" s="188" t="str">
        <x:v>Normal</x:v>
      </x:c>
    </x:row>
    <x:row r="130" ht="22" customHeight="1">
      <x:c r="A130" s="219" t="n">
        <x:v>126</x:v>
      </x:c>
      <x:c r="B130" s="220" t="str">
        <x:v>26689</x:v>
      </x:c>
      <x:c r="C130" s="220" t="str">
        <x:v>3</x:v>
      </x:c>
      <x:c r="D130" s="220" t="str">
        <x:v>609098</x:v>
      </x:c>
      <x:c r="E130" s="220" t="str">
        <x:v>981556</x:v>
      </x:c>
      <x:c r="F130" s="220" t="str">
        <x:v>ALIZAR</x:v>
      </x:c>
      <x:c r="G130" s="190" t="str">
        <x:v>T A 1100X70X15 RTO LMN REC PET BCO(STD)</x:v>
      </x:c>
      <x:c r="H130" s="190" t="str"/>
      <x:c r="I130" s="190" t="str"/>
      <x:c r="J130" s="190" t="str"/>
      <x:c r="K130" s="190" t="str">
        <x:v>ESMALTE</x:v>
      </x:c>
      <x:c r="L130" s="190" t="str">
        <x:v>BRANCO CARRARA</x:v>
      </x:c>
      <x:c r="M130" s="210" t="n">
        <x:v>61</x:v>
      </x:c>
      <x:c r="N130" s="210" t="n">
        <x:v>1100</x:v>
      </x:c>
      <x:c r="O130" s="210" t="n">
        <x:v>70</x:v>
      </x:c>
      <x:c r="P130" s="210" t="n">
        <x:v>15</x:v>
      </x:c>
      <x:c r="Q130" s="211" t="n">
        <x:v>0</x:v>
      </x:c>
      <x:c r="R130" s="207" t="str"/>
      <x:c r="S130" s="207" t="str"/>
      <x:c r="T130" s="207" t="str"/>
      <x:c r="U130" s="207" t="n">
        <x:v>0</x:v>
      </x:c>
      <x:c r="V130" s="208" t="n">
        <x:f>MAX(0,M130-U130)</x:f>
        <x:v>61</x:v>
      </x:c>
      <x:c r="W130" s="209" t="n">
        <x:f>IFERROR(U130/M130,0)</x:f>
        <x:v>0</x:v>
      </x:c>
      <x:c r="X130" s="201" t="str">
        <x:f>IF(U130=0,"Não iniciado",IF(U130&gt;=M130,"Concluído","Parcial"))</x:f>
        <x:v>Não iniciado</x:v>
      </x:c>
      <x:c r="Y130" s="199" t="str"/>
      <x:c r="Z130" s="188" t="str">
        <x:v>Normal</x:v>
      </x:c>
    </x:row>
    <x:row r="131" ht="22" customHeight="1">
      <x:c r="A131" s="217" t="n">
        <x:v>127</x:v>
      </x:c>
      <x:c r="B131" s="218" t="str">
        <x:v>26689</x:v>
      </x:c>
      <x:c r="C131" s="218" t="str">
        <x:v>4</x:v>
      </x:c>
      <x:c r="D131" s="218" t="str">
        <x:v>609104</x:v>
      </x:c>
      <x:c r="E131" s="218" t="str">
        <x:v>981166</x:v>
      </x:c>
      <x:c r="F131" s="218" t="str">
        <x:v>ALIZAR</x:v>
      </x:c>
      <x:c r="G131" s="184" t="str">
        <x:v>T A 1100X70X15 RTO RL55 REC PET BCO(STD)</x:v>
      </x:c>
      <x:c r="H131" s="184" t="str"/>
      <x:c r="I131" s="184" t="str"/>
      <x:c r="J131" s="184" t="str"/>
      <x:c r="K131" s="184" t="str">
        <x:v>ESMALTE</x:v>
      </x:c>
      <x:c r="L131" s="184" t="str">
        <x:v>BRANCO CARRARA</x:v>
      </x:c>
      <x:c r="M131" s="205" t="n">
        <x:v>3</x:v>
      </x:c>
      <x:c r="N131" s="205" t="n">
        <x:v>1100</x:v>
      </x:c>
      <x:c r="O131" s="205" t="n">
        <x:v>70</x:v>
      </x:c>
      <x:c r="P131" s="205" t="n">
        <x:v>15</x:v>
      </x:c>
      <x:c r="Q131" s="206" t="n">
        <x:v>0</x:v>
      </x:c>
      <x:c r="R131" s="207" t="str"/>
      <x:c r="S131" s="207" t="str"/>
      <x:c r="T131" s="207" t="str"/>
      <x:c r="U131" s="207" t="n">
        <x:v>0</x:v>
      </x:c>
      <x:c r="V131" s="208" t="n">
        <x:f>MAX(0,M131-U131)</x:f>
        <x:v>3</x:v>
      </x:c>
      <x:c r="W131" s="209" t="n">
        <x:f>IFERROR(U131/M131,0)</x:f>
        <x:v>0</x:v>
      </x:c>
      <x:c r="X131" s="201" t="str">
        <x:f>IF(U131=0,"Não iniciado",IF(U131&gt;=M131,"Concluído","Parcial"))</x:f>
        <x:v>Não iniciado</x:v>
      </x:c>
      <x:c r="Y131" s="199" t="str"/>
      <x:c r="Z131" s="188" t="str">
        <x:v>Normal</x:v>
      </x:c>
    </x:row>
    <x:row r="132" ht="22" customHeight="1">
      <x:c r="A132" s="219" t="n">
        <x:v>128</x:v>
      </x:c>
      <x:c r="B132" s="220" t="str">
        <x:v>26809</x:v>
      </x:c>
      <x:c r="C132" s="220" t="str">
        <x:v>11</x:v>
      </x:c>
      <x:c r="D132" s="220" t="str">
        <x:v>609958</x:v>
      </x:c>
      <x:c r="E132" s="220" t="str">
        <x:v>968526</x:v>
      </x:c>
      <x:c r="F132" s="220" t="str">
        <x:v>ALIZAR</x:v>
      </x:c>
      <x:c r="G132" s="190" t="str">
        <x:v>T A 1100X70X09 RTO RL55 RC PET CAPUC ULT</x:v>
      </x:c>
      <x:c r="H132" s="190" t="str">
        <x:v>REG 2L(MAIOR 55MM)</x:v>
      </x:c>
      <x:c r="I132" s="190" t="str"/>
      <x:c r="J132" s="190" t="str"/>
      <x:c r="K132" s="190" t="str">
        <x:v>RECOBERTO PET</x:v>
      </x:c>
      <x:c r="L132" s="190" t="str">
        <x:v>CAPUCCINO MARCHE</x:v>
      </x:c>
      <x:c r="M132" s="210" t="n">
        <x:v>12</x:v>
      </x:c>
      <x:c r="N132" s="210" t="n">
        <x:v>1100</x:v>
      </x:c>
      <x:c r="O132" s="210" t="n">
        <x:v>70</x:v>
      </x:c>
      <x:c r="P132" s="210" t="n">
        <x:v>9</x:v>
      </x:c>
      <x:c r="Q132" s="211" t="n">
        <x:v>0.008</x:v>
      </x:c>
      <x:c r="R132" s="207" t="str"/>
      <x:c r="S132" s="207" t="str"/>
      <x:c r="T132" s="207" t="str"/>
      <x:c r="U132" s="207" t="n">
        <x:v>0</x:v>
      </x:c>
      <x:c r="V132" s="208" t="n">
        <x:f>MAX(0,M132-U132)</x:f>
        <x:v>12</x:v>
      </x:c>
      <x:c r="W132" s="209" t="n">
        <x:f>IFERROR(U132/M132,0)</x:f>
        <x:v>0</x:v>
      </x:c>
      <x:c r="X132" s="201" t="str">
        <x:f>IF(U132=0,"Não iniciado",IF(U132&gt;=M132,"Concluído","Parcial"))</x:f>
        <x:v>Não iniciado</x:v>
      </x:c>
      <x:c r="Y132" s="199" t="str"/>
      <x:c r="Z132" s="188" t="str">
        <x:v>Normal</x:v>
      </x:c>
    </x:row>
    <x:row r="133" ht="22" customHeight="1">
      <x:c r="A133" s="217" t="n">
        <x:v>129</x:v>
      </x:c>
      <x:c r="B133" s="218" t="str">
        <x:v>26809</x:v>
      </x:c>
      <x:c r="C133" s="218" t="str">
        <x:v>11</x:v>
      </x:c>
      <x:c r="D133" s="218" t="str">
        <x:v>609960</x:v>
      </x:c>
      <x:c r="E133" s="218" t="str">
        <x:v>968528</x:v>
      </x:c>
      <x:c r="F133" s="218" t="str">
        <x:v>ALIZAR</x:v>
      </x:c>
      <x:c r="G133" s="184" t="str">
        <x:v>T A 1100X70X09 RTO LME RC PET CAPUCC (UL</x:v>
      </x:c>
      <x:c r="H133" s="184" t="str">
        <x:v>REG 2L(MAIOR 55MM)</x:v>
      </x:c>
      <x:c r="I133" s="184" t="str"/>
      <x:c r="J133" s="184" t="str"/>
      <x:c r="K133" s="184" t="str">
        <x:v>RECOBERTO PET</x:v>
      </x:c>
      <x:c r="L133" s="184" t="str">
        <x:v>CAPUCCINO MARCHE</x:v>
      </x:c>
      <x:c r="M133" s="205" t="n">
        <x:v>12</x:v>
      </x:c>
      <x:c r="N133" s="205" t="n">
        <x:v>1100</x:v>
      </x:c>
      <x:c r="O133" s="205" t="n">
        <x:v>70</x:v>
      </x:c>
      <x:c r="P133" s="205" t="n">
        <x:v>9</x:v>
      </x:c>
      <x:c r="Q133" s="206" t="n">
        <x:v>0.008</x:v>
      </x:c>
      <x:c r="R133" s="207" t="str"/>
      <x:c r="S133" s="207" t="str"/>
      <x:c r="T133" s="207" t="str"/>
      <x:c r="U133" s="207" t="n">
        <x:v>0</x:v>
      </x:c>
      <x:c r="V133" s="208" t="n">
        <x:f>MAX(0,M133-U133)</x:f>
        <x:v>12</x:v>
      </x:c>
      <x:c r="W133" s="209" t="n">
        <x:f>IFERROR(U133/M133,0)</x:f>
        <x:v>0</x:v>
      </x:c>
      <x:c r="X133" s="201" t="str">
        <x:f>IF(U133=0,"Não iniciado",IF(U133&gt;=M133,"Concluído","Parcial"))</x:f>
        <x:v>Não iniciado</x:v>
      </x:c>
      <x:c r="Y133" s="199" t="str"/>
      <x:c r="Z133" s="188" t="str">
        <x:v>Normal</x:v>
      </x:c>
    </x:row>
    <x:row r="134" ht="22" customHeight="1">
      <x:c r="A134" s="219" t="n">
        <x:v>130</x:v>
      </x:c>
      <x:c r="B134" s="220" t="str">
        <x:v>26520</x:v>
      </x:c>
      <x:c r="C134" s="220" t="str">
        <x:v>1</x:v>
      </x:c>
      <x:c r="D134" s="220" t="str">
        <x:v>610066</x:v>
      </x:c>
      <x:c r="E134" s="220" t="str">
        <x:v>976441</x:v>
      </x:c>
      <x:c r="F134" s="220" t="str">
        <x:v>ALIZAR</x:v>
      </x:c>
      <x:c r="G134" s="190" t="str">
        <x:v>T A 1100X70X09 RTO RL55 PET CNZ VE ULT</x:v>
      </x:c>
      <x:c r="H134" s="190" t="str"/>
      <x:c r="I134" s="190" t="str"/>
      <x:c r="J134" s="190" t="str"/>
      <x:c r="K134" s="190" t="str">
        <x:v>RECOBERTO PET</x:v>
      </x:c>
      <x:c r="L134" s="190" t="str">
        <x:v>CINZA VERONA</x:v>
      </x:c>
      <x:c r="M134" s="210" t="n">
        <x:v>2</x:v>
      </x:c>
      <x:c r="N134" s="210" t="n">
        <x:v>1100</x:v>
      </x:c>
      <x:c r="O134" s="210" t="n">
        <x:v>70</x:v>
      </x:c>
      <x:c r="P134" s="210" t="n">
        <x:v>9</x:v>
      </x:c>
      <x:c r="Q134" s="211" t="n">
        <x:v>0.001</x:v>
      </x:c>
      <x:c r="R134" s="207" t="str"/>
      <x:c r="S134" s="207" t="str"/>
      <x:c r="T134" s="207" t="str"/>
      <x:c r="U134" s="207" t="n">
        <x:v>0</x:v>
      </x:c>
      <x:c r="V134" s="208" t="n">
        <x:f>MAX(0,M134-U134)</x:f>
        <x:v>2</x:v>
      </x:c>
      <x:c r="W134" s="209" t="n">
        <x:f>IFERROR(U134/M134,0)</x:f>
        <x:v>0</x:v>
      </x:c>
      <x:c r="X134" s="201" t="str">
        <x:f>IF(U134=0,"Não iniciado",IF(U134&gt;=M134,"Concluído","Parcial"))</x:f>
        <x:v>Não iniciado</x:v>
      </x:c>
      <x:c r="Y134" s="199" t="str"/>
      <x:c r="Z134" s="188" t="str">
        <x:v>Normal</x:v>
      </x:c>
    </x:row>
    <x:row r="135" ht="22" customHeight="1">
      <x:c r="A135" s="217" t="n">
        <x:v>131</x:v>
      </x:c>
      <x:c r="B135" s="218" t="str">
        <x:v>26520</x:v>
      </x:c>
      <x:c r="C135" s="218" t="str">
        <x:v>1</x:v>
      </x:c>
      <x:c r="D135" s="218" t="str">
        <x:v>610067</x:v>
      </x:c>
      <x:c r="E135" s="218" t="str">
        <x:v>976443</x:v>
      </x:c>
      <x:c r="F135" s="218" t="str">
        <x:v>ALIZAR</x:v>
      </x:c>
      <x:c r="G135" s="184" t="str">
        <x:v>T A 1100X70X09 RTO LME PET CNZ VE (UL</x:v>
      </x:c>
      <x:c r="H135" s="184" t="str"/>
      <x:c r="I135" s="184" t="str"/>
      <x:c r="J135" s="184" t="str"/>
      <x:c r="K135" s="184" t="str">
        <x:v>RECOBERTO PET</x:v>
      </x:c>
      <x:c r="L135" s="184" t="str">
        <x:v>CINZA VERONA</x:v>
      </x:c>
      <x:c r="M135" s="205" t="n">
        <x:v>2</x:v>
      </x:c>
      <x:c r="N135" s="205" t="n">
        <x:v>1100</x:v>
      </x:c>
      <x:c r="O135" s="205" t="n">
        <x:v>70</x:v>
      </x:c>
      <x:c r="P135" s="205" t="n">
        <x:v>9</x:v>
      </x:c>
      <x:c r="Q135" s="206" t="n">
        <x:v>0.001</x:v>
      </x:c>
      <x:c r="R135" s="207" t="str"/>
      <x:c r="S135" s="207" t="str"/>
      <x:c r="T135" s="207" t="str"/>
      <x:c r="U135" s="207" t="n">
        <x:v>0</x:v>
      </x:c>
      <x:c r="V135" s="208" t="n">
        <x:f>MAX(0,M135-U135)</x:f>
        <x:v>2</x:v>
      </x:c>
      <x:c r="W135" s="209" t="n">
        <x:f>IFERROR(U135/M135,0)</x:f>
        <x:v>0</x:v>
      </x:c>
      <x:c r="X135" s="201" t="str">
        <x:f>IF(U135=0,"Não iniciado",IF(U135&gt;=M135,"Concluído","Parcial"))</x:f>
        <x:v>Não iniciado</x:v>
      </x:c>
      <x:c r="Y135" s="199" t="str"/>
      <x:c r="Z135" s="188" t="str">
        <x:v>Normal</x:v>
      </x:c>
    </x:row>
    <x:row r="136" ht="22" customHeight="1">
      <x:c r="A136" s="219" t="n">
        <x:v>132</x:v>
      </x:c>
      <x:c r="B136" s="220" t="str">
        <x:v>26520</x:v>
      </x:c>
      <x:c r="C136" s="220" t="str">
        <x:v>2</x:v>
      </x:c>
      <x:c r="D136" s="220" t="str">
        <x:v>610074</x:v>
      </x:c>
      <x:c r="E136" s="220" t="str">
        <x:v>976441</x:v>
      </x:c>
      <x:c r="F136" s="220" t="str">
        <x:v>ALIZAR</x:v>
      </x:c>
      <x:c r="G136" s="190" t="str">
        <x:v>T A 1100X70X09 RTO RL55 PET CNZ VE ULT</x:v>
      </x:c>
      <x:c r="H136" s="190" t="str"/>
      <x:c r="I136" s="190" t="str"/>
      <x:c r="J136" s="190" t="str"/>
      <x:c r="K136" s="190" t="str">
        <x:v>RECOBERTO PET</x:v>
      </x:c>
      <x:c r="L136" s="190" t="str">
        <x:v>CINZA VERONA</x:v>
      </x:c>
      <x:c r="M136" s="210" t="n">
        <x:v>6</x:v>
      </x:c>
      <x:c r="N136" s="210" t="n">
        <x:v>1100</x:v>
      </x:c>
      <x:c r="O136" s="210" t="n">
        <x:v>70</x:v>
      </x:c>
      <x:c r="P136" s="210" t="n">
        <x:v>9</x:v>
      </x:c>
      <x:c r="Q136" s="211" t="n">
        <x:v>0.004</x:v>
      </x:c>
      <x:c r="R136" s="207" t="str"/>
      <x:c r="S136" s="207" t="str"/>
      <x:c r="T136" s="207" t="str"/>
      <x:c r="U136" s="207" t="n">
        <x:v>0</x:v>
      </x:c>
      <x:c r="V136" s="208" t="n">
        <x:f>MAX(0,M136-U136)</x:f>
        <x:v>6</x:v>
      </x:c>
      <x:c r="W136" s="209" t="n">
        <x:f>IFERROR(U136/M136,0)</x:f>
        <x:v>0</x:v>
      </x:c>
      <x:c r="X136" s="201" t="str">
        <x:f>IF(U136=0,"Não iniciado",IF(U136&gt;=M136,"Concluído","Parcial"))</x:f>
        <x:v>Não iniciado</x:v>
      </x:c>
      <x:c r="Y136" s="199" t="str"/>
      <x:c r="Z136" s="188" t="str">
        <x:v>Normal</x:v>
      </x:c>
    </x:row>
    <x:row r="137" ht="22" customHeight="1">
      <x:c r="A137" s="217" t="n">
        <x:v>133</x:v>
      </x:c>
      <x:c r="B137" s="218" t="str">
        <x:v>26520</x:v>
      </x:c>
      <x:c r="C137" s="218" t="str">
        <x:v>2</x:v>
      </x:c>
      <x:c r="D137" s="218" t="str">
        <x:v>610075</x:v>
      </x:c>
      <x:c r="E137" s="218" t="str">
        <x:v>976443</x:v>
      </x:c>
      <x:c r="F137" s="218" t="str">
        <x:v>ALIZAR</x:v>
      </x:c>
      <x:c r="G137" s="184" t="str">
        <x:v>T A 1100X70X09 RTO LME PET CNZ VE (UL</x:v>
      </x:c>
      <x:c r="H137" s="184" t="str"/>
      <x:c r="I137" s="184" t="str"/>
      <x:c r="J137" s="184" t="str"/>
      <x:c r="K137" s="184" t="str">
        <x:v>RECOBERTO PET</x:v>
      </x:c>
      <x:c r="L137" s="184" t="str">
        <x:v>CINZA VERONA</x:v>
      </x:c>
      <x:c r="M137" s="205" t="n">
        <x:v>6</x:v>
      </x:c>
      <x:c r="N137" s="205" t="n">
        <x:v>1100</x:v>
      </x:c>
      <x:c r="O137" s="205" t="n">
        <x:v>70</x:v>
      </x:c>
      <x:c r="P137" s="205" t="n">
        <x:v>9</x:v>
      </x:c>
      <x:c r="Q137" s="206" t="n">
        <x:v>0.004</x:v>
      </x:c>
      <x:c r="R137" s="207" t="str"/>
      <x:c r="S137" s="207" t="str"/>
      <x:c r="T137" s="207" t="str"/>
      <x:c r="U137" s="207" t="n">
        <x:v>0</x:v>
      </x:c>
      <x:c r="V137" s="208" t="n">
        <x:f>MAX(0,M137-U137)</x:f>
        <x:v>6</x:v>
      </x:c>
      <x:c r="W137" s="209" t="n">
        <x:f>IFERROR(U137/M137,0)</x:f>
        <x:v>0</x:v>
      </x:c>
      <x:c r="X137" s="201" t="str">
        <x:f>IF(U137=0,"Não iniciado",IF(U137&gt;=M137,"Concluído","Parcial"))</x:f>
        <x:v>Não iniciado</x:v>
      </x:c>
      <x:c r="Y137" s="199" t="str"/>
      <x:c r="Z137" s="188" t="str">
        <x:v>Normal</x:v>
      </x:c>
    </x:row>
    <x:row r="138" ht="22" customHeight="1">
      <x:c r="A138" s="219" t="n">
        <x:v>134</x:v>
      </x:c>
      <x:c r="B138" s="220" t="str">
        <x:v>26808</x:v>
      </x:c>
      <x:c r="C138" s="220" t="str">
        <x:v>1</x:v>
      </x:c>
      <x:c r="D138" s="220" t="str">
        <x:v>608898</x:v>
      </x:c>
      <x:c r="E138" s="220" t="str">
        <x:v>962391</x:v>
      </x:c>
      <x:c r="F138" s="220" t="str">
        <x:v>OUTROS</x:v>
      </x:c>
      <x:c r="G138" s="190" t="str">
        <x:v>TR ALI 1100X70X9 RTO LME REC PET BCO(ULT</x:v>
      </x:c>
      <x:c r="H138" s="190" t="str"/>
      <x:c r="I138" s="190" t="str"/>
      <x:c r="J138" s="190" t="str"/>
      <x:c r="K138" s="190" t="str">
        <x:v>ESMALTE</x:v>
      </x:c>
      <x:c r="L138" s="190" t="str">
        <x:v>BRANCO CARRARA</x:v>
      </x:c>
      <x:c r="M138" s="210" t="n">
        <x:v>144</x:v>
      </x:c>
      <x:c r="N138" s="210" t="n">
        <x:v>1100</x:v>
      </x:c>
      <x:c r="O138" s="210" t="n">
        <x:v>70</x:v>
      </x:c>
      <x:c r="P138" s="210" t="n">
        <x:v>9</x:v>
      </x:c>
      <x:c r="Q138" s="211" t="n">
        <x:v>0</x:v>
      </x:c>
      <x:c r="R138" s="207" t="str"/>
      <x:c r="S138" s="207" t="str"/>
      <x:c r="T138" s="207" t="str"/>
      <x:c r="U138" s="207" t="n">
        <x:v>0</x:v>
      </x:c>
      <x:c r="V138" s="208" t="n">
        <x:f>MAX(0,M138-U138)</x:f>
        <x:v>144</x:v>
      </x:c>
      <x:c r="W138" s="209" t="n">
        <x:f>IFERROR(U138/M138,0)</x:f>
        <x:v>0</x:v>
      </x:c>
      <x:c r="X138" s="201" t="str">
        <x:f>IF(U138=0,"Não iniciado",IF(U138&gt;=M138,"Concluído","Parcial"))</x:f>
        <x:v>Não iniciado</x:v>
      </x:c>
      <x:c r="Y138" s="199" t="str"/>
      <x:c r="Z138" s="188" t="str">
        <x:v>Normal</x:v>
      </x:c>
    </x:row>
    <x:row r="139" ht="22" customHeight="1">
      <x:c r="A139" s="217" t="n">
        <x:v>135</x:v>
      </x:c>
      <x:c r="B139" s="218" t="str">
        <x:v>26808</x:v>
      </x:c>
      <x:c r="C139" s="218" t="str">
        <x:v>1</x:v>
      </x:c>
      <x:c r="D139" s="218" t="str">
        <x:v>608900</x:v>
      </x:c>
      <x:c r="E139" s="218" t="str">
        <x:v>962969</x:v>
      </x:c>
      <x:c r="F139" s="218" t="str">
        <x:v>OUTROS</x:v>
      </x:c>
      <x:c r="G139" s="184" t="str">
        <x:v>TR AL 1100X70X9 RTO RL35 REC PET BCO (UL</x:v>
      </x:c>
      <x:c r="H139" s="184" t="str"/>
      <x:c r="I139" s="184" t="str"/>
      <x:c r="J139" s="184" t="str"/>
      <x:c r="K139" s="184" t="str">
        <x:v>ESMALTE</x:v>
      </x:c>
      <x:c r="L139" s="184" t="str">
        <x:v>BRANCO CARRARA</x:v>
      </x:c>
      <x:c r="M139" s="205" t="n">
        <x:v>144</x:v>
      </x:c>
      <x:c r="N139" s="205" t="n">
        <x:v>1100</x:v>
      </x:c>
      <x:c r="O139" s="205" t="n">
        <x:v>70</x:v>
      </x:c>
      <x:c r="P139" s="205" t="n">
        <x:v>9</x:v>
      </x:c>
      <x:c r="Q139" s="206" t="n">
        <x:v>0</x:v>
      </x:c>
      <x:c r="R139" s="207" t="str"/>
      <x:c r="S139" s="207" t="str"/>
      <x:c r="T139" s="207" t="str"/>
      <x:c r="U139" s="207" t="n">
        <x:v>0</x:v>
      </x:c>
      <x:c r="V139" s="208" t="n">
        <x:f>MAX(0,M139-U139)</x:f>
        <x:v>144</x:v>
      </x:c>
      <x:c r="W139" s="209" t="n">
        <x:f>IFERROR(U139/M139,0)</x:f>
        <x:v>0</x:v>
      </x:c>
      <x:c r="X139" s="201" t="str">
        <x:f>IF(U139=0,"Não iniciado",IF(U139&gt;=M139,"Concluído","Parcial"))</x:f>
        <x:v>Não iniciado</x:v>
      </x:c>
      <x:c r="Y139" s="199" t="str"/>
      <x:c r="Z139" s="188" t="str">
        <x:v>Normal</x:v>
      </x:c>
    </x:row>
    <x:row r="140" ht="22" customHeight="1">
      <x:c r="A140" s="219" t="n">
        <x:v>136</x:v>
      </x:c>
      <x:c r="B140" s="220" t="str">
        <x:v>26808</x:v>
      </x:c>
      <x:c r="C140" s="220" t="str">
        <x:v>2</x:v>
      </x:c>
      <x:c r="D140" s="220" t="str">
        <x:v>608906</x:v>
      </x:c>
      <x:c r="E140" s="220" t="str">
        <x:v>962391</x:v>
      </x:c>
      <x:c r="F140" s="220" t="str">
        <x:v>OUTROS</x:v>
      </x:c>
      <x:c r="G140" s="190" t="str">
        <x:v>TR ALI 1100X70X9 RTO LME REC PET BCO(ULT</x:v>
      </x:c>
      <x:c r="H140" s="190" t="str"/>
      <x:c r="I140" s="190" t="str"/>
      <x:c r="J140" s="190" t="str"/>
      <x:c r="K140" s="190" t="str">
        <x:v>ESMALTE</x:v>
      </x:c>
      <x:c r="L140" s="190" t="str">
        <x:v>BRANCO CARRARA</x:v>
      </x:c>
      <x:c r="M140" s="210" t="n">
        <x:v>16</x:v>
      </x:c>
      <x:c r="N140" s="210" t="n">
        <x:v>1100</x:v>
      </x:c>
      <x:c r="O140" s="210" t="n">
        <x:v>70</x:v>
      </x:c>
      <x:c r="P140" s="210" t="n">
        <x:v>9</x:v>
      </x:c>
      <x:c r="Q140" s="211" t="n">
        <x:v>0</x:v>
      </x:c>
      <x:c r="R140" s="207" t="str"/>
      <x:c r="S140" s="207" t="str"/>
      <x:c r="T140" s="207" t="str"/>
      <x:c r="U140" s="207" t="n">
        <x:v>0</x:v>
      </x:c>
      <x:c r="V140" s="208" t="n">
        <x:f>MAX(0,M140-U140)</x:f>
        <x:v>16</x:v>
      </x:c>
      <x:c r="W140" s="209" t="n">
        <x:f>IFERROR(U140/M140,0)</x:f>
        <x:v>0</x:v>
      </x:c>
      <x:c r="X140" s="201" t="str">
        <x:f>IF(U140=0,"Não iniciado",IF(U140&gt;=M140,"Concluído","Parcial"))</x:f>
        <x:v>Não iniciado</x:v>
      </x:c>
      <x:c r="Y140" s="199" t="str"/>
      <x:c r="Z140" s="188" t="str">
        <x:v>Normal</x:v>
      </x:c>
    </x:row>
    <x:row r="141" ht="22" customHeight="1">
      <x:c r="A141" s="217" t="n">
        <x:v>137</x:v>
      </x:c>
      <x:c r="B141" s="218" t="str">
        <x:v>26808</x:v>
      </x:c>
      <x:c r="C141" s="218" t="str">
        <x:v>2</x:v>
      </x:c>
      <x:c r="D141" s="218" t="str">
        <x:v>608908</x:v>
      </x:c>
      <x:c r="E141" s="218" t="str">
        <x:v>962969</x:v>
      </x:c>
      <x:c r="F141" s="218" t="str">
        <x:v>OUTROS</x:v>
      </x:c>
      <x:c r="G141" s="184" t="str">
        <x:v>TR AL 1100X70X9 RTO RL35 REC PET BCO (UL</x:v>
      </x:c>
      <x:c r="H141" s="184" t="str"/>
      <x:c r="I141" s="184" t="str"/>
      <x:c r="J141" s="184" t="str"/>
      <x:c r="K141" s="184" t="str">
        <x:v>ESMALTE</x:v>
      </x:c>
      <x:c r="L141" s="184" t="str">
        <x:v>BRANCO CARRARA</x:v>
      </x:c>
      <x:c r="M141" s="205" t="n">
        <x:v>16</x:v>
      </x:c>
      <x:c r="N141" s="205" t="n">
        <x:v>1100</x:v>
      </x:c>
      <x:c r="O141" s="205" t="n">
        <x:v>70</x:v>
      </x:c>
      <x:c r="P141" s="205" t="n">
        <x:v>9</x:v>
      </x:c>
      <x:c r="Q141" s="206" t="n">
        <x:v>0</x:v>
      </x:c>
      <x:c r="R141" s="207" t="str"/>
      <x:c r="S141" s="207" t="str"/>
      <x:c r="T141" s="207" t="str"/>
      <x:c r="U141" s="207" t="n">
        <x:v>0</x:v>
      </x:c>
      <x:c r="V141" s="208" t="n">
        <x:f>MAX(0,M141-U141)</x:f>
        <x:v>16</x:v>
      </x:c>
      <x:c r="W141" s="209" t="n">
        <x:f>IFERROR(U141/M141,0)</x:f>
        <x:v>0</x:v>
      </x:c>
      <x:c r="X141" s="201" t="str">
        <x:f>IF(U141=0,"Não iniciado",IF(U141&gt;=M141,"Concluído","Parcial"))</x:f>
        <x:v>Não iniciado</x:v>
      </x:c>
      <x:c r="Y141" s="199" t="str"/>
      <x:c r="Z141" s="188" t="str">
        <x:v>Normal</x:v>
      </x:c>
    </x:row>
    <x:row r="142" ht="22" customHeight="1">
      <x:c r="A142" s="219" t="n">
        <x:v>138</x:v>
      </x:c>
      <x:c r="B142" s="220" t="str">
        <x:v>26808</x:v>
      </x:c>
      <x:c r="C142" s="220" t="str">
        <x:v>3</x:v>
      </x:c>
      <x:c r="D142" s="220" t="str">
        <x:v>608914</x:v>
      </x:c>
      <x:c r="E142" s="220" t="str">
        <x:v>962391</x:v>
      </x:c>
      <x:c r="F142" s="220" t="str">
        <x:v>OUTROS</x:v>
      </x:c>
      <x:c r="G142" s="190" t="str">
        <x:v>TR ALI 1100X70X9 RTO LME REC PET BCO(ULT</x:v>
      </x:c>
      <x:c r="H142" s="190" t="str"/>
      <x:c r="I142" s="190" t="str"/>
      <x:c r="J142" s="190" t="str"/>
      <x:c r="K142" s="190" t="str">
        <x:v>ESMALTE</x:v>
      </x:c>
      <x:c r="L142" s="190" t="str">
        <x:v>BRANCO CARRARA</x:v>
      </x:c>
      <x:c r="M142" s="210" t="n">
        <x:v>60</x:v>
      </x:c>
      <x:c r="N142" s="210" t="n">
        <x:v>1100</x:v>
      </x:c>
      <x:c r="O142" s="210" t="n">
        <x:v>70</x:v>
      </x:c>
      <x:c r="P142" s="210" t="n">
        <x:v>9</x:v>
      </x:c>
      <x:c r="Q142" s="211" t="n">
        <x:v>0</x:v>
      </x:c>
      <x:c r="R142" s="207" t="str"/>
      <x:c r="S142" s="207" t="str"/>
      <x:c r="T142" s="207" t="str"/>
      <x:c r="U142" s="207" t="n">
        <x:v>0</x:v>
      </x:c>
      <x:c r="V142" s="208" t="n">
        <x:f>MAX(0,M142-U142)</x:f>
        <x:v>60</x:v>
      </x:c>
      <x:c r="W142" s="209" t="n">
        <x:f>IFERROR(U142/M142,0)</x:f>
        <x:v>0</x:v>
      </x:c>
      <x:c r="X142" s="201" t="str">
        <x:f>IF(U142=0,"Não iniciado",IF(U142&gt;=M142,"Concluído","Parcial"))</x:f>
        <x:v>Não iniciado</x:v>
      </x:c>
      <x:c r="Y142" s="199" t="str"/>
      <x:c r="Z142" s="188" t="str">
        <x:v>Normal</x:v>
      </x:c>
    </x:row>
    <x:row r="143" ht="22" customHeight="1">
      <x:c r="A143" s="217" t="n">
        <x:v>139</x:v>
      </x:c>
      <x:c r="B143" s="218" t="str">
        <x:v>26808</x:v>
      </x:c>
      <x:c r="C143" s="218" t="str">
        <x:v>3</x:v>
      </x:c>
      <x:c r="D143" s="218" t="str">
        <x:v>608916</x:v>
      </x:c>
      <x:c r="E143" s="218" t="str">
        <x:v>962969</x:v>
      </x:c>
      <x:c r="F143" s="218" t="str">
        <x:v>OUTROS</x:v>
      </x:c>
      <x:c r="G143" s="184" t="str">
        <x:v>TR AL 1100X70X9 RTO RL35 REC PET BCO (UL</x:v>
      </x:c>
      <x:c r="H143" s="184" t="str"/>
      <x:c r="I143" s="184" t="str"/>
      <x:c r="J143" s="184" t="str"/>
      <x:c r="K143" s="184" t="str">
        <x:v>ESMALTE</x:v>
      </x:c>
      <x:c r="L143" s="184" t="str">
        <x:v>BRANCO CARRARA</x:v>
      </x:c>
      <x:c r="M143" s="205" t="n">
        <x:v>60</x:v>
      </x:c>
      <x:c r="N143" s="205" t="n">
        <x:v>1100</x:v>
      </x:c>
      <x:c r="O143" s="205" t="n">
        <x:v>70</x:v>
      </x:c>
      <x:c r="P143" s="205" t="n">
        <x:v>9</x:v>
      </x:c>
      <x:c r="Q143" s="206" t="n">
        <x:v>0</x:v>
      </x:c>
      <x:c r="R143" s="207" t="str"/>
      <x:c r="S143" s="207" t="str"/>
      <x:c r="T143" s="207" t="str"/>
      <x:c r="U143" s="207" t="n">
        <x:v>0</x:v>
      </x:c>
      <x:c r="V143" s="208" t="n">
        <x:f>MAX(0,M143-U143)</x:f>
        <x:v>60</x:v>
      </x:c>
      <x:c r="W143" s="209" t="n">
        <x:f>IFERROR(U143/M143,0)</x:f>
        <x:v>0</x:v>
      </x:c>
      <x:c r="X143" s="201" t="str">
        <x:f>IF(U143=0,"Não iniciado",IF(U143&gt;=M143,"Concluído","Parcial"))</x:f>
        <x:v>Não iniciado</x:v>
      </x:c>
      <x:c r="Y143" s="199" t="str"/>
      <x:c r="Z143" s="188" t="str">
        <x:v>Normal</x:v>
      </x:c>
    </x:row>
    <x:row r="144" ht="22" customHeight="1">
      <x:c r="A144" s="219" t="n">
        <x:v>140</x:v>
      </x:c>
      <x:c r="B144" s="220" t="str">
        <x:v>26808</x:v>
      </x:c>
      <x:c r="C144" s="220" t="str">
        <x:v>4</x:v>
      </x:c>
      <x:c r="D144" s="220" t="str">
        <x:v>608922</x:v>
      </x:c>
      <x:c r="E144" s="220" t="str">
        <x:v>962391</x:v>
      </x:c>
      <x:c r="F144" s="220" t="str">
        <x:v>OUTROS</x:v>
      </x:c>
      <x:c r="G144" s="190" t="str">
        <x:v>TR ALI 1100X70X9 RTO LME REC PET BCO(ULT</x:v>
      </x:c>
      <x:c r="H144" s="190" t="str"/>
      <x:c r="I144" s="190" t="str"/>
      <x:c r="J144" s="190" t="str"/>
      <x:c r="K144" s="190" t="str">
        <x:v>ESMALTE</x:v>
      </x:c>
      <x:c r="L144" s="190" t="str">
        <x:v>BRANCO CARRARA</x:v>
      </x:c>
      <x:c r="M144" s="210" t="n">
        <x:v>63</x:v>
      </x:c>
      <x:c r="N144" s="210" t="n">
        <x:v>1100</x:v>
      </x:c>
      <x:c r="O144" s="210" t="n">
        <x:v>70</x:v>
      </x:c>
      <x:c r="P144" s="210" t="n">
        <x:v>9</x:v>
      </x:c>
      <x:c r="Q144" s="211" t="n">
        <x:v>0</x:v>
      </x:c>
      <x:c r="R144" s="207" t="str"/>
      <x:c r="S144" s="207" t="str"/>
      <x:c r="T144" s="207" t="str"/>
      <x:c r="U144" s="207" t="n">
        <x:v>0</x:v>
      </x:c>
      <x:c r="V144" s="208" t="n">
        <x:f>MAX(0,M144-U144)</x:f>
        <x:v>63</x:v>
      </x:c>
      <x:c r="W144" s="209" t="n">
        <x:f>IFERROR(U144/M144,0)</x:f>
        <x:v>0</x:v>
      </x:c>
      <x:c r="X144" s="201" t="str">
        <x:f>IF(U144=0,"Não iniciado",IF(U144&gt;=M144,"Concluído","Parcial"))</x:f>
        <x:v>Não iniciado</x:v>
      </x:c>
      <x:c r="Y144" s="199" t="str"/>
      <x:c r="Z144" s="188" t="str">
        <x:v>Normal</x:v>
      </x:c>
    </x:row>
    <x:row r="145" ht="22" customHeight="1">
      <x:c r="A145" s="217" t="n">
        <x:v>141</x:v>
      </x:c>
      <x:c r="B145" s="218" t="str">
        <x:v>26808</x:v>
      </x:c>
      <x:c r="C145" s="218" t="str">
        <x:v>4</x:v>
      </x:c>
      <x:c r="D145" s="218" t="str">
        <x:v>608924</x:v>
      </x:c>
      <x:c r="E145" s="218" t="str">
        <x:v>962969</x:v>
      </x:c>
      <x:c r="F145" s="218" t="str">
        <x:v>OUTROS</x:v>
      </x:c>
      <x:c r="G145" s="184" t="str">
        <x:v>TR AL 1100X70X9 RTO RL35 REC PET BCO (UL</x:v>
      </x:c>
      <x:c r="H145" s="184" t="str"/>
      <x:c r="I145" s="184" t="str"/>
      <x:c r="J145" s="184" t="str"/>
      <x:c r="K145" s="184" t="str">
        <x:v>ESMALTE</x:v>
      </x:c>
      <x:c r="L145" s="184" t="str">
        <x:v>BRANCO CARRARA</x:v>
      </x:c>
      <x:c r="M145" s="205" t="n">
        <x:v>63</x:v>
      </x:c>
      <x:c r="N145" s="205" t="n">
        <x:v>1100</x:v>
      </x:c>
      <x:c r="O145" s="205" t="n">
        <x:v>70</x:v>
      </x:c>
      <x:c r="P145" s="205" t="n">
        <x:v>9</x:v>
      </x:c>
      <x:c r="Q145" s="206" t="n">
        <x:v>0</x:v>
      </x:c>
      <x:c r="R145" s="207" t="str"/>
      <x:c r="S145" s="207" t="str"/>
      <x:c r="T145" s="207" t="str"/>
      <x:c r="U145" s="207" t="n">
        <x:v>0</x:v>
      </x:c>
      <x:c r="V145" s="208" t="n">
        <x:f>MAX(0,M145-U145)</x:f>
        <x:v>63</x:v>
      </x:c>
      <x:c r="W145" s="209" t="n">
        <x:f>IFERROR(U145/M145,0)</x:f>
        <x:v>0</x:v>
      </x:c>
      <x:c r="X145" s="201" t="str">
        <x:f>IF(U145=0,"Não iniciado",IF(U145&gt;=M145,"Concluído","Parcial"))</x:f>
        <x:v>Não iniciado</x:v>
      </x:c>
      <x:c r="Y145" s="199" t="str"/>
      <x:c r="Z145" s="188" t="str">
        <x:v>Normal</x:v>
      </x:c>
    </x:row>
    <x:row r="146" ht="22" customHeight="1">
      <x:c r="A146" s="219" t="n">
        <x:v>142</x:v>
      </x:c>
      <x:c r="B146" s="220" t="str">
        <x:v>26808</x:v>
      </x:c>
      <x:c r="C146" s="220" t="str">
        <x:v>5</x:v>
      </x:c>
      <x:c r="D146" s="220" t="str">
        <x:v>608930</x:v>
      </x:c>
      <x:c r="E146" s="220" t="str">
        <x:v>962391</x:v>
      </x:c>
      <x:c r="F146" s="220" t="str">
        <x:v>OUTROS</x:v>
      </x:c>
      <x:c r="G146" s="190" t="str">
        <x:v>TR ALI 1100X70X9 RTO LME REC PET BCO(ULT</x:v>
      </x:c>
      <x:c r="H146" s="190" t="str"/>
      <x:c r="I146" s="190" t="str"/>
      <x:c r="J146" s="190" t="str"/>
      <x:c r="K146" s="190" t="str">
        <x:v>ESMALTE</x:v>
      </x:c>
      <x:c r="L146" s="190" t="str">
        <x:v>BRANCO CARRARA</x:v>
      </x:c>
      <x:c r="M146" s="210" t="n">
        <x:v>1</x:v>
      </x:c>
      <x:c r="N146" s="210" t="n">
        <x:v>1100</x:v>
      </x:c>
      <x:c r="O146" s="210" t="n">
        <x:v>70</x:v>
      </x:c>
      <x:c r="P146" s="210" t="n">
        <x:v>9</x:v>
      </x:c>
      <x:c r="Q146" s="211" t="n">
        <x:v>0</x:v>
      </x:c>
      <x:c r="R146" s="207" t="str"/>
      <x:c r="S146" s="207" t="str"/>
      <x:c r="T146" s="207" t="str"/>
      <x:c r="U146" s="207" t="n">
        <x:v>0</x:v>
      </x:c>
      <x:c r="V146" s="208" t="n">
        <x:f>MAX(0,M146-U146)</x:f>
        <x:v>1</x:v>
      </x:c>
      <x:c r="W146" s="209" t="n">
        <x:f>IFERROR(U146/M146,0)</x:f>
        <x:v>0</x:v>
      </x:c>
      <x:c r="X146" s="201" t="str">
        <x:f>IF(U146=0,"Não iniciado",IF(U146&gt;=M146,"Concluído","Parcial"))</x:f>
        <x:v>Não iniciado</x:v>
      </x:c>
      <x:c r="Y146" s="199" t="str"/>
      <x:c r="Z146" s="188" t="str">
        <x:v>Normal</x:v>
      </x:c>
    </x:row>
    <x:row r="147" ht="22" customHeight="1">
      <x:c r="A147" s="217" t="n">
        <x:v>143</x:v>
      </x:c>
      <x:c r="B147" s="218" t="str">
        <x:v>26808</x:v>
      </x:c>
      <x:c r="C147" s="218" t="str">
        <x:v>5</x:v>
      </x:c>
      <x:c r="D147" s="218" t="str">
        <x:v>608932</x:v>
      </x:c>
      <x:c r="E147" s="218" t="str">
        <x:v>962969</x:v>
      </x:c>
      <x:c r="F147" s="218" t="str">
        <x:v>OUTROS</x:v>
      </x:c>
      <x:c r="G147" s="184" t="str">
        <x:v>TR AL 1100X70X9 RTO RL35 REC PET BCO (UL</x:v>
      </x:c>
      <x:c r="H147" s="184" t="str"/>
      <x:c r="I147" s="184" t="str"/>
      <x:c r="J147" s="184" t="str"/>
      <x:c r="K147" s="184" t="str">
        <x:v>ESMALTE</x:v>
      </x:c>
      <x:c r="L147" s="184" t="str">
        <x:v>BRANCO CARRARA</x:v>
      </x:c>
      <x:c r="M147" s="205" t="n">
        <x:v>1</x:v>
      </x:c>
      <x:c r="N147" s="205" t="n">
        <x:v>1100</x:v>
      </x:c>
      <x:c r="O147" s="205" t="n">
        <x:v>70</x:v>
      </x:c>
      <x:c r="P147" s="205" t="n">
        <x:v>9</x:v>
      </x:c>
      <x:c r="Q147" s="206" t="n">
        <x:v>0</x:v>
      </x:c>
      <x:c r="R147" s="207" t="str"/>
      <x:c r="S147" s="207" t="str"/>
      <x:c r="T147" s="207" t="str"/>
      <x:c r="U147" s="207" t="n">
        <x:v>0</x:v>
      </x:c>
      <x:c r="V147" s="208" t="n">
        <x:f>MAX(0,M147-U147)</x:f>
        <x:v>1</x:v>
      </x:c>
      <x:c r="W147" s="209" t="n">
        <x:f>IFERROR(U147/M147,0)</x:f>
        <x:v>0</x:v>
      </x:c>
      <x:c r="X147" s="201" t="str">
        <x:f>IF(U147=0,"Não iniciado",IF(U147&gt;=M147,"Concluído","Parcial"))</x:f>
        <x:v>Não iniciado</x:v>
      </x:c>
      <x:c r="Y147" s="199" t="str"/>
      <x:c r="Z147" s="188" t="str">
        <x:v>Normal</x:v>
      </x:c>
    </x:row>
    <x:row r="148" ht="22" customHeight="1">
      <x:c r="A148" s="219" t="n">
        <x:v>144</x:v>
      </x:c>
      <x:c r="B148" s="220" t="str">
        <x:v>26808</x:v>
      </x:c>
      <x:c r="C148" s="220" t="str">
        <x:v>6</x:v>
      </x:c>
      <x:c r="D148" s="220" t="str">
        <x:v>608936</x:v>
      </x:c>
      <x:c r="E148" s="220" t="str">
        <x:v>962391</x:v>
      </x:c>
      <x:c r="F148" s="220" t="str">
        <x:v>OUTROS</x:v>
      </x:c>
      <x:c r="G148" s="190" t="str">
        <x:v>TR ALI 1100X70X9 RTO LME REC PET BCO(ULT</x:v>
      </x:c>
      <x:c r="H148" s="190" t="str"/>
      <x:c r="I148" s="190" t="str"/>
      <x:c r="J148" s="190" t="str"/>
      <x:c r="K148" s="190" t="str">
        <x:v>ESMALTE</x:v>
      </x:c>
      <x:c r="L148" s="190" t="str">
        <x:v>BRANCO CARRARA</x:v>
      </x:c>
      <x:c r="M148" s="210" t="n">
        <x:v>6</x:v>
      </x:c>
      <x:c r="N148" s="210" t="n">
        <x:v>1100</x:v>
      </x:c>
      <x:c r="O148" s="210" t="n">
        <x:v>70</x:v>
      </x:c>
      <x:c r="P148" s="210" t="n">
        <x:v>9</x:v>
      </x:c>
      <x:c r="Q148" s="211" t="n">
        <x:v>0</x:v>
      </x:c>
      <x:c r="R148" s="207" t="str"/>
      <x:c r="S148" s="207" t="str"/>
      <x:c r="T148" s="207" t="str"/>
      <x:c r="U148" s="207" t="n">
        <x:v>0</x:v>
      </x:c>
      <x:c r="V148" s="208" t="n">
        <x:f>MAX(0,M148-U148)</x:f>
        <x:v>6</x:v>
      </x:c>
      <x:c r="W148" s="209" t="n">
        <x:f>IFERROR(U148/M148,0)</x:f>
        <x:v>0</x:v>
      </x:c>
      <x:c r="X148" s="201" t="str">
        <x:f>IF(U148=0,"Não iniciado",IF(U148&gt;=M148,"Concluído","Parcial"))</x:f>
        <x:v>Não iniciado</x:v>
      </x:c>
      <x:c r="Y148" s="199" t="str"/>
      <x:c r="Z148" s="188" t="str">
        <x:v>Normal</x:v>
      </x:c>
    </x:row>
    <x:row r="149" ht="22" customHeight="1">
      <x:c r="A149" s="217" t="n">
        <x:v>145</x:v>
      </x:c>
      <x:c r="B149" s="218" t="str">
        <x:v>26808</x:v>
      </x:c>
      <x:c r="C149" s="218" t="str">
        <x:v>6</x:v>
      </x:c>
      <x:c r="D149" s="218" t="str">
        <x:v>608938</x:v>
      </x:c>
      <x:c r="E149" s="218" t="str">
        <x:v>962969</x:v>
      </x:c>
      <x:c r="F149" s="218" t="str">
        <x:v>OUTROS</x:v>
      </x:c>
      <x:c r="G149" s="184" t="str">
        <x:v>TR AL 1100X70X9 RTO RL35 REC PET BCO (UL</x:v>
      </x:c>
      <x:c r="H149" s="184" t="str"/>
      <x:c r="I149" s="184" t="str"/>
      <x:c r="J149" s="184" t="str"/>
      <x:c r="K149" s="184" t="str">
        <x:v>ESMALTE</x:v>
      </x:c>
      <x:c r="L149" s="184" t="str">
        <x:v>BRANCO CARRARA</x:v>
      </x:c>
      <x:c r="M149" s="205" t="n">
        <x:v>6</x:v>
      </x:c>
      <x:c r="N149" s="205" t="n">
        <x:v>1100</x:v>
      </x:c>
      <x:c r="O149" s="205" t="n">
        <x:v>70</x:v>
      </x:c>
      <x:c r="P149" s="205" t="n">
        <x:v>9</x:v>
      </x:c>
      <x:c r="Q149" s="206" t="n">
        <x:v>0</x:v>
      </x:c>
      <x:c r="R149" s="207" t="str"/>
      <x:c r="S149" s="207" t="str"/>
      <x:c r="T149" s="207" t="str"/>
      <x:c r="U149" s="207" t="n">
        <x:v>0</x:v>
      </x:c>
      <x:c r="V149" s="208" t="n">
        <x:f>MAX(0,M149-U149)</x:f>
        <x:v>6</x:v>
      </x:c>
      <x:c r="W149" s="209" t="n">
        <x:f>IFERROR(U149/M149,0)</x:f>
        <x:v>0</x:v>
      </x:c>
      <x:c r="X149" s="201" t="str">
        <x:f>IF(U149=0,"Não iniciado",IF(U149&gt;=M149,"Concluído","Parcial"))</x:f>
        <x:v>Não iniciado</x:v>
      </x:c>
      <x:c r="Y149" s="199" t="str"/>
      <x:c r="Z149" s="188" t="str">
        <x:v>Normal</x:v>
      </x:c>
    </x:row>
    <x:row r="150" ht="22" customHeight="1">
      <x:c r="A150" s="219" t="n">
        <x:v>146</x:v>
      </x:c>
      <x:c r="B150" s="220" t="str">
        <x:v>26808</x:v>
      </x:c>
      <x:c r="C150" s="220" t="str">
        <x:v>7</x:v>
      </x:c>
      <x:c r="D150" s="220" t="str">
        <x:v>608946</x:v>
      </x:c>
      <x:c r="E150" s="220" t="str">
        <x:v>962391</x:v>
      </x:c>
      <x:c r="F150" s="220" t="str">
        <x:v>OUTROS</x:v>
      </x:c>
      <x:c r="G150" s="190" t="str">
        <x:v>TR ALI 1100X70X9 RTO LME REC PET BCO(ULT</x:v>
      </x:c>
      <x:c r="H150" s="190" t="str"/>
      <x:c r="I150" s="190" t="str"/>
      <x:c r="J150" s="190" t="str"/>
      <x:c r="K150" s="190" t="str">
        <x:v>ESMALTE</x:v>
      </x:c>
      <x:c r="L150" s="190" t="str">
        <x:v>BRANCO CARRARA</x:v>
      </x:c>
      <x:c r="M150" s="210" t="n">
        <x:v>4</x:v>
      </x:c>
      <x:c r="N150" s="210" t="n">
        <x:v>1100</x:v>
      </x:c>
      <x:c r="O150" s="210" t="n">
        <x:v>70</x:v>
      </x:c>
      <x:c r="P150" s="210" t="n">
        <x:v>9</x:v>
      </x:c>
      <x:c r="Q150" s="211" t="n">
        <x:v>0</x:v>
      </x:c>
      <x:c r="R150" s="207" t="str"/>
      <x:c r="S150" s="207" t="str"/>
      <x:c r="T150" s="207" t="str"/>
      <x:c r="U150" s="207" t="n">
        <x:v>0</x:v>
      </x:c>
      <x:c r="V150" s="208" t="n">
        <x:f>MAX(0,M150-U150)</x:f>
        <x:v>4</x:v>
      </x:c>
      <x:c r="W150" s="209" t="n">
        <x:f>IFERROR(U150/M150,0)</x:f>
        <x:v>0</x:v>
      </x:c>
      <x:c r="X150" s="201" t="str">
        <x:f>IF(U150=0,"Não iniciado",IF(U150&gt;=M150,"Concluído","Parcial"))</x:f>
        <x:v>Não iniciado</x:v>
      </x:c>
      <x:c r="Y150" s="199" t="str"/>
      <x:c r="Z150" s="188" t="str">
        <x:v>Normal</x:v>
      </x:c>
    </x:row>
    <x:row r="151" ht="22" customHeight="1">
      <x:c r="A151" s="217" t="n">
        <x:v>147</x:v>
      </x:c>
      <x:c r="B151" s="218" t="str">
        <x:v>26808</x:v>
      </x:c>
      <x:c r="C151" s="218" t="str">
        <x:v>7</x:v>
      </x:c>
      <x:c r="D151" s="218" t="str">
        <x:v>608948</x:v>
      </x:c>
      <x:c r="E151" s="218" t="str">
        <x:v>962969</x:v>
      </x:c>
      <x:c r="F151" s="218" t="str">
        <x:v>OUTROS</x:v>
      </x:c>
      <x:c r="G151" s="184" t="str">
        <x:v>TR AL 1100X70X9 RTO RL35 REC PET BCO (UL</x:v>
      </x:c>
      <x:c r="H151" s="184" t="str"/>
      <x:c r="I151" s="184" t="str"/>
      <x:c r="J151" s="184" t="str"/>
      <x:c r="K151" s="184" t="str">
        <x:v>ESMALTE</x:v>
      </x:c>
      <x:c r="L151" s="184" t="str">
        <x:v>BRANCO CARRARA</x:v>
      </x:c>
      <x:c r="M151" s="205" t="n">
        <x:v>4</x:v>
      </x:c>
      <x:c r="N151" s="205" t="n">
        <x:v>1100</x:v>
      </x:c>
      <x:c r="O151" s="205" t="n">
        <x:v>70</x:v>
      </x:c>
      <x:c r="P151" s="205" t="n">
        <x:v>9</x:v>
      </x:c>
      <x:c r="Q151" s="206" t="n">
        <x:v>0</x:v>
      </x:c>
      <x:c r="R151" s="207" t="str"/>
      <x:c r="S151" s="207" t="str"/>
      <x:c r="T151" s="207" t="str"/>
      <x:c r="U151" s="207" t="n">
        <x:v>0</x:v>
      </x:c>
      <x:c r="V151" s="208" t="n">
        <x:f>MAX(0,M151-U151)</x:f>
        <x:v>4</x:v>
      </x:c>
      <x:c r="W151" s="209" t="n">
        <x:f>IFERROR(U151/M151,0)</x:f>
        <x:v>0</x:v>
      </x:c>
      <x:c r="X151" s="201" t="str">
        <x:f>IF(U151=0,"Não iniciado",IF(U151&gt;=M151,"Concluído","Parcial"))</x:f>
        <x:v>Não iniciado</x:v>
      </x:c>
      <x:c r="Y151" s="199" t="str"/>
      <x:c r="Z151" s="188" t="str">
        <x:v>Normal</x:v>
      </x:c>
    </x:row>
    <x:row r="152" ht="22" customHeight="1">
      <x:c r="A152" s="219" t="n">
        <x:v>148</x:v>
      </x:c>
      <x:c r="B152" s="220" t="str">
        <x:v>26808</x:v>
      </x:c>
      <x:c r="C152" s="220" t="str">
        <x:v>8</x:v>
      </x:c>
      <x:c r="D152" s="220" t="str">
        <x:v>608954</x:v>
      </x:c>
      <x:c r="E152" s="220" t="str">
        <x:v>962391</x:v>
      </x:c>
      <x:c r="F152" s="220" t="str">
        <x:v>OUTROS</x:v>
      </x:c>
      <x:c r="G152" s="190" t="str">
        <x:v>TR ALI 1100X70X9 RTO LME REC PET BCO(ULT</x:v>
      </x:c>
      <x:c r="H152" s="190" t="str"/>
      <x:c r="I152" s="190" t="str"/>
      <x:c r="J152" s="190" t="str"/>
      <x:c r="K152" s="190" t="str">
        <x:v>ESMALTE</x:v>
      </x:c>
      <x:c r="L152" s="190" t="str">
        <x:v>BRANCO CARRARA</x:v>
      </x:c>
      <x:c r="M152" s="210" t="n">
        <x:v>22</x:v>
      </x:c>
      <x:c r="N152" s="210" t="n">
        <x:v>1100</x:v>
      </x:c>
      <x:c r="O152" s="210" t="n">
        <x:v>70</x:v>
      </x:c>
      <x:c r="P152" s="210" t="n">
        <x:v>9</x:v>
      </x:c>
      <x:c r="Q152" s="211" t="n">
        <x:v>0</x:v>
      </x:c>
      <x:c r="R152" s="207" t="str"/>
      <x:c r="S152" s="207" t="str"/>
      <x:c r="T152" s="207" t="str"/>
      <x:c r="U152" s="207" t="n">
        <x:v>0</x:v>
      </x:c>
      <x:c r="V152" s="208" t="n">
        <x:f>MAX(0,M152-U152)</x:f>
        <x:v>22</x:v>
      </x:c>
      <x:c r="W152" s="209" t="n">
        <x:f>IFERROR(U152/M152,0)</x:f>
        <x:v>0</x:v>
      </x:c>
      <x:c r="X152" s="201" t="str">
        <x:f>IF(U152=0,"Não iniciado",IF(U152&gt;=M152,"Concluído","Parcial"))</x:f>
        <x:v>Não iniciado</x:v>
      </x:c>
      <x:c r="Y152" s="199" t="str"/>
      <x:c r="Z152" s="188" t="str">
        <x:v>Normal</x:v>
      </x:c>
    </x:row>
    <x:row r="153" ht="22" customHeight="1">
      <x:c r="A153" s="217" t="n">
        <x:v>149</x:v>
      </x:c>
      <x:c r="B153" s="218" t="str">
        <x:v>26808</x:v>
      </x:c>
      <x:c r="C153" s="218" t="str">
        <x:v>8</x:v>
      </x:c>
      <x:c r="D153" s="218" t="str">
        <x:v>608956</x:v>
      </x:c>
      <x:c r="E153" s="218" t="str">
        <x:v>962969</x:v>
      </x:c>
      <x:c r="F153" s="218" t="str">
        <x:v>OUTROS</x:v>
      </x:c>
      <x:c r="G153" s="184" t="str">
        <x:v>TR AL 1100X70X9 RTO RL35 REC PET BCO (UL</x:v>
      </x:c>
      <x:c r="H153" s="184" t="str"/>
      <x:c r="I153" s="184" t="str"/>
      <x:c r="J153" s="184" t="str"/>
      <x:c r="K153" s="184" t="str">
        <x:v>ESMALTE</x:v>
      </x:c>
      <x:c r="L153" s="184" t="str">
        <x:v>BRANCO CARRARA</x:v>
      </x:c>
      <x:c r="M153" s="205" t="n">
        <x:v>22</x:v>
      </x:c>
      <x:c r="N153" s="205" t="n">
        <x:v>1100</x:v>
      </x:c>
      <x:c r="O153" s="205" t="n">
        <x:v>70</x:v>
      </x:c>
      <x:c r="P153" s="205" t="n">
        <x:v>9</x:v>
      </x:c>
      <x:c r="Q153" s="206" t="n">
        <x:v>0</x:v>
      </x:c>
      <x:c r="R153" s="207" t="str"/>
      <x:c r="S153" s="207" t="str"/>
      <x:c r="T153" s="207" t="str"/>
      <x:c r="U153" s="207" t="n">
        <x:v>0</x:v>
      </x:c>
      <x:c r="V153" s="208" t="n">
        <x:f>MAX(0,M153-U153)</x:f>
        <x:v>22</x:v>
      </x:c>
      <x:c r="W153" s="209" t="n">
        <x:f>IFERROR(U153/M153,0)</x:f>
        <x:v>0</x:v>
      </x:c>
      <x:c r="X153" s="201" t="str">
        <x:f>IF(U153=0,"Não iniciado",IF(U153&gt;=M153,"Concluído","Parcial"))</x:f>
        <x:v>Não iniciado</x:v>
      </x:c>
      <x:c r="Y153" s="199" t="str"/>
      <x:c r="Z153" s="188" t="str">
        <x:v>Normal</x:v>
      </x:c>
    </x:row>
    <x:row r="154" ht="22" customHeight="1">
      <x:c r="A154" s="219" t="n">
        <x:v>150</x:v>
      </x:c>
      <x:c r="B154" s="220" t="str">
        <x:v>26808</x:v>
      </x:c>
      <x:c r="C154" s="220" t="str">
        <x:v>9</x:v>
      </x:c>
      <x:c r="D154" s="220" t="str">
        <x:v>608962</x:v>
      </x:c>
      <x:c r="E154" s="220" t="str">
        <x:v>962391</x:v>
      </x:c>
      <x:c r="F154" s="220" t="str">
        <x:v>OUTROS</x:v>
      </x:c>
      <x:c r="G154" s="190" t="str">
        <x:v>TR ALI 1100X70X9 RTO LME REC PET BCO(ULT</x:v>
      </x:c>
      <x:c r="H154" s="190" t="str"/>
      <x:c r="I154" s="190" t="str"/>
      <x:c r="J154" s="190" t="str"/>
      <x:c r="K154" s="190" t="str">
        <x:v>ESMALTE</x:v>
      </x:c>
      <x:c r="L154" s="190" t="str">
        <x:v>BRANCO CARRARA</x:v>
      </x:c>
      <x:c r="M154" s="210" t="n">
        <x:v>71</x:v>
      </x:c>
      <x:c r="N154" s="210" t="n">
        <x:v>1100</x:v>
      </x:c>
      <x:c r="O154" s="210" t="n">
        <x:v>70</x:v>
      </x:c>
      <x:c r="P154" s="210" t="n">
        <x:v>9</x:v>
      </x:c>
      <x:c r="Q154" s="211" t="n">
        <x:v>0</x:v>
      </x:c>
      <x:c r="R154" s="207" t="str"/>
      <x:c r="S154" s="207" t="str"/>
      <x:c r="T154" s="207" t="str"/>
      <x:c r="U154" s="207" t="n">
        <x:v>0</x:v>
      </x:c>
      <x:c r="V154" s="208" t="n">
        <x:f>MAX(0,M154-U154)</x:f>
        <x:v>71</x:v>
      </x:c>
      <x:c r="W154" s="209" t="n">
        <x:f>IFERROR(U154/M154,0)</x:f>
        <x:v>0</x:v>
      </x:c>
      <x:c r="X154" s="201" t="str">
        <x:f>IF(U154=0,"Não iniciado",IF(U154&gt;=M154,"Concluído","Parcial"))</x:f>
        <x:v>Não iniciado</x:v>
      </x:c>
      <x:c r="Y154" s="199" t="str"/>
      <x:c r="Z154" s="188" t="str">
        <x:v>Normal</x:v>
      </x:c>
    </x:row>
    <x:row r="155" ht="22" customHeight="1">
      <x:c r="A155" s="217" t="n">
        <x:v>151</x:v>
      </x:c>
      <x:c r="B155" s="218" t="str">
        <x:v>26808</x:v>
      </x:c>
      <x:c r="C155" s="218" t="str">
        <x:v>9</x:v>
      </x:c>
      <x:c r="D155" s="218" t="str">
        <x:v>608964</x:v>
      </x:c>
      <x:c r="E155" s="218" t="str">
        <x:v>962969</x:v>
      </x:c>
      <x:c r="F155" s="218" t="str">
        <x:v>OUTROS</x:v>
      </x:c>
      <x:c r="G155" s="184" t="str">
        <x:v>TR AL 1100X70X9 RTO RL35 REC PET BCO (UL</x:v>
      </x:c>
      <x:c r="H155" s="184" t="str"/>
      <x:c r="I155" s="184" t="str"/>
      <x:c r="J155" s="184" t="str"/>
      <x:c r="K155" s="184" t="str">
        <x:v>ESMALTE</x:v>
      </x:c>
      <x:c r="L155" s="184" t="str">
        <x:v>BRANCO CARRARA</x:v>
      </x:c>
      <x:c r="M155" s="205" t="n">
        <x:v>71</x:v>
      </x:c>
      <x:c r="N155" s="205" t="n">
        <x:v>1100</x:v>
      </x:c>
      <x:c r="O155" s="205" t="n">
        <x:v>70</x:v>
      </x:c>
      <x:c r="P155" s="205" t="n">
        <x:v>9</x:v>
      </x:c>
      <x:c r="Q155" s="206" t="n">
        <x:v>0</x:v>
      </x:c>
      <x:c r="R155" s="207" t="str"/>
      <x:c r="S155" s="207" t="str"/>
      <x:c r="T155" s="207" t="str"/>
      <x:c r="U155" s="207" t="n">
        <x:v>0</x:v>
      </x:c>
      <x:c r="V155" s="208" t="n">
        <x:f>MAX(0,M155-U155)</x:f>
        <x:v>71</x:v>
      </x:c>
      <x:c r="W155" s="209" t="n">
        <x:f>IFERROR(U155/M155,0)</x:f>
        <x:v>0</x:v>
      </x:c>
      <x:c r="X155" s="201" t="str">
        <x:f>IF(U155=0,"Não iniciado",IF(U155&gt;=M155,"Concluído","Parcial"))</x:f>
        <x:v>Não iniciado</x:v>
      </x:c>
      <x:c r="Y155" s="199" t="str"/>
      <x:c r="Z155" s="188" t="str">
        <x:v>Normal</x:v>
      </x:c>
    </x:row>
    <x:row r="156" ht="22" customHeight="1">
      <x:c r="A156" s="219" t="n">
        <x:v>152</x:v>
      </x:c>
      <x:c r="B156" s="220" t="str">
        <x:v>26808</x:v>
      </x:c>
      <x:c r="C156" s="220" t="str">
        <x:v>10</x:v>
      </x:c>
      <x:c r="D156" s="220" t="str">
        <x:v>608970</x:v>
      </x:c>
      <x:c r="E156" s="220" t="str">
        <x:v>962391</x:v>
      </x:c>
      <x:c r="F156" s="220" t="str">
        <x:v>OUTROS</x:v>
      </x:c>
      <x:c r="G156" s="190" t="str">
        <x:v>TR ALI 1100X70X9 RTO LME REC PET BCO(ULT</x:v>
      </x:c>
      <x:c r="H156" s="190" t="str"/>
      <x:c r="I156" s="190" t="str"/>
      <x:c r="J156" s="190" t="str"/>
      <x:c r="K156" s="190" t="str">
        <x:v>ESMALTE</x:v>
      </x:c>
      <x:c r="L156" s="190" t="str">
        <x:v>BRANCO CARRARA</x:v>
      </x:c>
      <x:c r="M156" s="210" t="n">
        <x:v>1</x:v>
      </x:c>
      <x:c r="N156" s="210" t="n">
        <x:v>1100</x:v>
      </x:c>
      <x:c r="O156" s="210" t="n">
        <x:v>70</x:v>
      </x:c>
      <x:c r="P156" s="210" t="n">
        <x:v>9</x:v>
      </x:c>
      <x:c r="Q156" s="211" t="n">
        <x:v>0</x:v>
      </x:c>
      <x:c r="R156" s="207" t="str"/>
      <x:c r="S156" s="207" t="str"/>
      <x:c r="T156" s="207" t="str"/>
      <x:c r="U156" s="207" t="n">
        <x:v>0</x:v>
      </x:c>
      <x:c r="V156" s="208" t="n">
        <x:f>MAX(0,M156-U156)</x:f>
        <x:v>1</x:v>
      </x:c>
      <x:c r="W156" s="209" t="n">
        <x:f>IFERROR(U156/M156,0)</x:f>
        <x:v>0</x:v>
      </x:c>
      <x:c r="X156" s="201" t="str">
        <x:f>IF(U156=0,"Não iniciado",IF(U156&gt;=M156,"Concluído","Parcial"))</x:f>
        <x:v>Não iniciado</x:v>
      </x:c>
      <x:c r="Y156" s="199" t="str"/>
      <x:c r="Z156" s="188" t="str">
        <x:v>Normal</x:v>
      </x:c>
    </x:row>
    <x:row r="157" ht="22" customHeight="1">
      <x:c r="A157" s="217" t="n">
        <x:v>153</x:v>
      </x:c>
      <x:c r="B157" s="218" t="str">
        <x:v>26808</x:v>
      </x:c>
      <x:c r="C157" s="218" t="str">
        <x:v>10</x:v>
      </x:c>
      <x:c r="D157" s="218" t="str">
        <x:v>608972</x:v>
      </x:c>
      <x:c r="E157" s="218" t="str">
        <x:v>962969</x:v>
      </x:c>
      <x:c r="F157" s="218" t="str">
        <x:v>OUTROS</x:v>
      </x:c>
      <x:c r="G157" s="184" t="str">
        <x:v>TR AL 1100X70X9 RTO RL35 REC PET BCO (UL</x:v>
      </x:c>
      <x:c r="H157" s="184" t="str"/>
      <x:c r="I157" s="184" t="str"/>
      <x:c r="J157" s="184" t="str"/>
      <x:c r="K157" s="184" t="str">
        <x:v>ESMALTE</x:v>
      </x:c>
      <x:c r="L157" s="184" t="str">
        <x:v>BRANCO CARRARA</x:v>
      </x:c>
      <x:c r="M157" s="205" t="n">
        <x:v>1</x:v>
      </x:c>
      <x:c r="N157" s="205" t="n">
        <x:v>1100</x:v>
      </x:c>
      <x:c r="O157" s="205" t="n">
        <x:v>70</x:v>
      </x:c>
      <x:c r="P157" s="205" t="n">
        <x:v>9</x:v>
      </x:c>
      <x:c r="Q157" s="206" t="n">
        <x:v>0</x:v>
      </x:c>
      <x:c r="R157" s="207" t="str"/>
      <x:c r="S157" s="207" t="str"/>
      <x:c r="T157" s="207" t="str"/>
      <x:c r="U157" s="207" t="n">
        <x:v>0</x:v>
      </x:c>
      <x:c r="V157" s="208" t="n">
        <x:f>MAX(0,M157-U157)</x:f>
        <x:v>1</x:v>
      </x:c>
      <x:c r="W157" s="209" t="n">
        <x:f>IFERROR(U157/M157,0)</x:f>
        <x:v>0</x:v>
      </x:c>
      <x:c r="X157" s="201" t="str">
        <x:f>IF(U157=0,"Não iniciado",IF(U157&gt;=M157,"Concluído","Parcial"))</x:f>
        <x:v>Não iniciado</x:v>
      </x:c>
      <x:c r="Y157" s="199" t="str"/>
      <x:c r="Z157" s="188" t="str">
        <x:v>Normal</x:v>
      </x:c>
    </x:row>
    <x:row r="158" ht="22" customHeight="1">
      <x:c r="A158" s="219" t="n">
        <x:v>154</x:v>
      </x:c>
      <x:c r="B158" s="220" t="str">
        <x:v>26800</x:v>
      </x:c>
      <x:c r="C158" s="220" t="str">
        <x:v>5</x:v>
      </x:c>
      <x:c r="D158" s="220" t="str">
        <x:v>609982</x:v>
      </x:c>
      <x:c r="E158" s="220" t="str">
        <x:v>979741</x:v>
      </x:c>
      <x:c r="F158" s="220" t="str">
        <x:v>OUTROS</x:v>
      </x:c>
      <x:c r="G158" s="190" t="str">
        <x:v>TR ALI 1100X70X9 RTO LME PET MALVA (ULT</x:v>
      </x:c>
      <x:c r="H158" s="190" t="str">
        <x:v>REG 2L(MAIOR 55MM)</x:v>
      </x:c>
      <x:c r="I158" s="190" t="str"/>
      <x:c r="J158" s="190" t="str"/>
      <x:c r="K158" s="190" t="str">
        <x:v>RECOBERTO PET</x:v>
      </x:c>
      <x:c r="L158" s="190" t="str">
        <x:v>CARVALHO MALVA</x:v>
      </x:c>
      <x:c r="M158" s="210" t="n">
        <x:v>6</x:v>
      </x:c>
      <x:c r="N158" s="210" t="n">
        <x:v>1100</x:v>
      </x:c>
      <x:c r="O158" s="210" t="n">
        <x:v>70</x:v>
      </x:c>
      <x:c r="P158" s="210" t="n">
        <x:v>9</x:v>
      </x:c>
      <x:c r="Q158" s="211" t="n">
        <x:v>0</x:v>
      </x:c>
      <x:c r="R158" s="207" t="str"/>
      <x:c r="S158" s="207" t="str"/>
      <x:c r="T158" s="207" t="str"/>
      <x:c r="U158" s="207" t="n">
        <x:v>0</x:v>
      </x:c>
      <x:c r="V158" s="208" t="n">
        <x:f>MAX(0,M158-U158)</x:f>
        <x:v>6</x:v>
      </x:c>
      <x:c r="W158" s="209" t="n">
        <x:f>IFERROR(U158/M158,0)</x:f>
        <x:v>0</x:v>
      </x:c>
      <x:c r="X158" s="201" t="str">
        <x:f>IF(U158=0,"Não iniciado",IF(U158&gt;=M158,"Concluído","Parcial"))</x:f>
        <x:v>Não iniciado</x:v>
      </x:c>
      <x:c r="Y158" s="199" t="str"/>
      <x:c r="Z158" s="188" t="str">
        <x:v>Normal</x:v>
      </x:c>
    </x:row>
    <x:row r="159" ht="22" customHeight="1">
      <x:c r="A159" s="217" t="n">
        <x:v>155</x:v>
      </x:c>
      <x:c r="B159" s="218" t="str">
        <x:v>26684</x:v>
      </x:c>
      <x:c r="C159" s="218" t="str">
        <x:v>6</x:v>
      </x:c>
      <x:c r="D159" s="218" t="str">
        <x:v>609155</x:v>
      </x:c>
      <x:c r="E159" s="218" t="str">
        <x:v>981168</x:v>
      </x:c>
      <x:c r="F159" s="218" t="str">
        <x:v>ALIZAR</x:v>
      </x:c>
      <x:c r="G159" s="184" t="str">
        <x:v>T A 1000X70X15 RTO LMN REC PET BCO(STD)</x:v>
      </x:c>
      <x:c r="H159" s="184" t="str"/>
      <x:c r="I159" s="184" t="str"/>
      <x:c r="J159" s="184" t="str"/>
      <x:c r="K159" s="184" t="str">
        <x:v>ESMALTE</x:v>
      </x:c>
      <x:c r="L159" s="184" t="str">
        <x:v>BRANCO CARRARA</x:v>
      </x:c>
      <x:c r="M159" s="205" t="n">
        <x:v>2</x:v>
      </x:c>
      <x:c r="N159" s="205" t="n">
        <x:v>1000</x:v>
      </x:c>
      <x:c r="O159" s="205" t="n">
        <x:v>70</x:v>
      </x:c>
      <x:c r="P159" s="205" t="n">
        <x:v>15</x:v>
      </x:c>
      <x:c r="Q159" s="206" t="n">
        <x:v>0</x:v>
      </x:c>
      <x:c r="R159" s="207" t="str"/>
      <x:c r="S159" s="207" t="str"/>
      <x:c r="T159" s="207" t="str"/>
      <x:c r="U159" s="207" t="n">
        <x:v>0</x:v>
      </x:c>
      <x:c r="V159" s="208" t="n">
        <x:f>MAX(0,M159-U159)</x:f>
        <x:v>2</x:v>
      </x:c>
      <x:c r="W159" s="209" t="n">
        <x:f>IFERROR(U159/M159,0)</x:f>
        <x:v>0</x:v>
      </x:c>
      <x:c r="X159" s="201" t="str">
        <x:f>IF(U159=0,"Não iniciado",IF(U159&gt;=M159,"Concluído","Parcial"))</x:f>
        <x:v>Não iniciado</x:v>
      </x:c>
      <x:c r="Y159" s="199" t="str"/>
      <x:c r="Z159" s="188" t="str">
        <x:v>Normal</x:v>
      </x:c>
    </x:row>
    <x:row r="160" ht="22" customHeight="1">
      <x:c r="A160" s="219" t="n">
        <x:v>156</x:v>
      </x:c>
      <x:c r="B160" s="220" t="str">
        <x:v>26684</x:v>
      </x:c>
      <x:c r="C160" s="220" t="str">
        <x:v>10</x:v>
      </x:c>
      <x:c r="D160" s="220" t="str">
        <x:v>609187</x:v>
      </x:c>
      <x:c r="E160" s="220" t="str">
        <x:v>981168</x:v>
      </x:c>
      <x:c r="F160" s="220" t="str">
        <x:v>ALIZAR</x:v>
      </x:c>
      <x:c r="G160" s="190" t="str">
        <x:v>T A 1000X70X15 RTO LMN REC PET BCO(STD)</x:v>
      </x:c>
      <x:c r="H160" s="190" t="str"/>
      <x:c r="I160" s="190" t="str"/>
      <x:c r="J160" s="190" t="str"/>
      <x:c r="K160" s="190" t="str">
        <x:v>ESMALTE</x:v>
      </x:c>
      <x:c r="L160" s="190" t="str">
        <x:v>BRANCO CARRARA</x:v>
      </x:c>
      <x:c r="M160" s="210" t="n">
        <x:v>2</x:v>
      </x:c>
      <x:c r="N160" s="210" t="n">
        <x:v>1000</x:v>
      </x:c>
      <x:c r="O160" s="210" t="n">
        <x:v>70</x:v>
      </x:c>
      <x:c r="P160" s="210" t="n">
        <x:v>15</x:v>
      </x:c>
      <x:c r="Q160" s="211" t="n">
        <x:v>0</x:v>
      </x:c>
      <x:c r="R160" s="207" t="str"/>
      <x:c r="S160" s="207" t="str"/>
      <x:c r="T160" s="207" t="str"/>
      <x:c r="U160" s="207" t="n">
        <x:v>0</x:v>
      </x:c>
      <x:c r="V160" s="208" t="n">
        <x:f>MAX(0,M160-U160)</x:f>
        <x:v>2</x:v>
      </x:c>
      <x:c r="W160" s="209" t="n">
        <x:f>IFERROR(U160/M160,0)</x:f>
        <x:v>0</x:v>
      </x:c>
      <x:c r="X160" s="201" t="str">
        <x:f>IF(U160=0,"Não iniciado",IF(U160&gt;=M160,"Concluído","Parcial"))</x:f>
        <x:v>Não iniciado</x:v>
      </x:c>
      <x:c r="Y160" s="199" t="str"/>
      <x:c r="Z160" s="188" t="str">
        <x:v>Normal</x:v>
      </x:c>
    </x:row>
    <x:row r="161" ht="22" customHeight="1">
      <x:c r="A161" s="217" t="n">
        <x:v>157</x:v>
      </x:c>
      <x:c r="B161" s="218" t="str">
        <x:v>26689</x:v>
      </x:c>
      <x:c r="C161" s="218" t="str">
        <x:v>4</x:v>
      </x:c>
      <x:c r="D161" s="218" t="str">
        <x:v>609106</x:v>
      </x:c>
      <x:c r="E161" s="218" t="str">
        <x:v>981168</x:v>
      </x:c>
      <x:c r="F161" s="218" t="str">
        <x:v>ALIZAR</x:v>
      </x:c>
      <x:c r="G161" s="184" t="str">
        <x:v>T A 1000X70X15 RTO LMN REC PET BCO(STD)</x:v>
      </x:c>
      <x:c r="H161" s="184" t="str"/>
      <x:c r="I161" s="184" t="str"/>
      <x:c r="J161" s="184" t="str"/>
      <x:c r="K161" s="184" t="str">
        <x:v>ESMALTE</x:v>
      </x:c>
      <x:c r="L161" s="184" t="str">
        <x:v>BRANCO CARRARA</x:v>
      </x:c>
      <x:c r="M161" s="205" t="n">
        <x:v>3</x:v>
      </x:c>
      <x:c r="N161" s="205" t="n">
        <x:v>1000</x:v>
      </x:c>
      <x:c r="O161" s="205" t="n">
        <x:v>70</x:v>
      </x:c>
      <x:c r="P161" s="205" t="n">
        <x:v>15</x:v>
      </x:c>
      <x:c r="Q161" s="206" t="n">
        <x:v>0</x:v>
      </x:c>
      <x:c r="R161" s="207" t="str"/>
      <x:c r="S161" s="207" t="str"/>
      <x:c r="T161" s="207" t="str"/>
      <x:c r="U161" s="207" t="n">
        <x:v>0</x:v>
      </x:c>
      <x:c r="V161" s="208" t="n">
        <x:f>MAX(0,M161-U161)</x:f>
        <x:v>3</x:v>
      </x:c>
      <x:c r="W161" s="209" t="n">
        <x:f>IFERROR(U161/M161,0)</x:f>
        <x:v>0</x:v>
      </x:c>
      <x:c r="X161" s="201" t="str">
        <x:f>IF(U161=0,"Não iniciado",IF(U161&gt;=M161,"Concluído","Parcial"))</x:f>
        <x:v>Não iniciado</x:v>
      </x:c>
      <x:c r="Y161" s="199" t="str"/>
      <x:c r="Z161" s="188" t="str">
        <x:v>Normal</x:v>
      </x:c>
    </x:row>
    <x:row r="162" ht="22" customHeight="1">
      <x:c r="A162" s="219" t="n">
        <x:v>158</x:v>
      </x:c>
      <x:c r="B162" s="220" t="str">
        <x:v>26747</x:v>
      </x:c>
      <x:c r="C162" s="220" t="str">
        <x:v>3</x:v>
      </x:c>
      <x:c r="D162" s="220" t="str">
        <x:v>609004</x:v>
      </x:c>
      <x:c r="E162" s="220" t="str">
        <x:v>980487</x:v>
      </x:c>
      <x:c r="F162" s="220" t="str">
        <x:v>OUTROS</x:v>
      </x:c>
      <x:c r="G162" s="190" t="str">
        <x:v>TRA ALI 1000X70X12 RT LME RC PET BCO(ULT</x:v>
      </x:c>
      <x:c r="H162" s="190" t="str">
        <x:v>REG 2L(MAIOR 55MM)</x:v>
      </x:c>
      <x:c r="I162" s="190" t="str"/>
      <x:c r="J162" s="190" t="str"/>
      <x:c r="K162" s="190" t="str">
        <x:v>RECOBERTO PET</x:v>
      </x:c>
      <x:c r="L162" s="190" t="str">
        <x:v>BRANCO CARRARA</x:v>
      </x:c>
      <x:c r="M162" s="210" t="n">
        <x:v>9</x:v>
      </x:c>
      <x:c r="N162" s="210" t="n">
        <x:v>1000</x:v>
      </x:c>
      <x:c r="O162" s="210" t="n">
        <x:v>70</x:v>
      </x:c>
      <x:c r="P162" s="210" t="n">
        <x:v>12</x:v>
      </x:c>
      <x:c r="Q162" s="211" t="n">
        <x:v>0</x:v>
      </x:c>
      <x:c r="R162" s="207" t="str"/>
      <x:c r="S162" s="207" t="str"/>
      <x:c r="T162" s="207" t="str"/>
      <x:c r="U162" s="207" t="n">
        <x:v>0</x:v>
      </x:c>
      <x:c r="V162" s="208" t="n">
        <x:f>MAX(0,M162-U162)</x:f>
        <x:v>9</x:v>
      </x:c>
      <x:c r="W162" s="209" t="n">
        <x:f>IFERROR(U162/M162,0)</x:f>
        <x:v>0</x:v>
      </x:c>
      <x:c r="X162" s="201" t="str">
        <x:f>IF(U162=0,"Não iniciado",IF(U162&gt;=M162,"Concluído","Parcial"))</x:f>
        <x:v>Não iniciado</x:v>
      </x:c>
      <x:c r="Y162" s="199" t="str"/>
      <x:c r="Z162" s="188" t="str">
        <x:v>Normal</x:v>
      </x:c>
    </x:row>
    <x:row r="163" ht="22" customHeight="1">
      <x:c r="A163" s="217" t="n">
        <x:v>159</x:v>
      </x:c>
      <x:c r="B163" s="218" t="str">
        <x:v>26747</x:v>
      </x:c>
      <x:c r="C163" s="218" t="str">
        <x:v>3</x:v>
      </x:c>
      <x:c r="D163" s="218" t="str">
        <x:v>609005</x:v>
      </x:c>
      <x:c r="E163" s="218" t="str">
        <x:v>980492</x:v>
      </x:c>
      <x:c r="F163" s="218" t="str">
        <x:v>OUTROS</x:v>
      </x:c>
      <x:c r="G163" s="184" t="str">
        <x:v>TRA ALI 1000X70X12 RT RL55 RC PET BCO(UL</x:v>
      </x:c>
      <x:c r="H163" s="184" t="str">
        <x:v>REG 2L(MAIOR 55MM)</x:v>
      </x:c>
      <x:c r="I163" s="184" t="str"/>
      <x:c r="J163" s="184" t="str"/>
      <x:c r="K163" s="184" t="str">
        <x:v>RECOBERTO PET</x:v>
      </x:c>
      <x:c r="L163" s="184" t="str">
        <x:v>BRANCO CARRARA</x:v>
      </x:c>
      <x:c r="M163" s="205" t="n">
        <x:v>9</x:v>
      </x:c>
      <x:c r="N163" s="205" t="n">
        <x:v>1000</x:v>
      </x:c>
      <x:c r="O163" s="205" t="n">
        <x:v>70</x:v>
      </x:c>
      <x:c r="P163" s="205" t="n">
        <x:v>12</x:v>
      </x:c>
      <x:c r="Q163" s="206" t="n">
        <x:v>0</x:v>
      </x:c>
      <x:c r="R163" s="207" t="str"/>
      <x:c r="S163" s="207" t="str"/>
      <x:c r="T163" s="207" t="str"/>
      <x:c r="U163" s="207" t="n">
        <x:v>0</x:v>
      </x:c>
      <x:c r="V163" s="208" t="n">
        <x:f>MAX(0,M163-U163)</x:f>
        <x:v>9</x:v>
      </x:c>
      <x:c r="W163" s="209" t="n">
        <x:f>IFERROR(U163/M163,0)</x:f>
        <x:v>0</x:v>
      </x:c>
      <x:c r="X163" s="201" t="str">
        <x:f>IF(U163=0,"Não iniciado",IF(U163&gt;=M163,"Concluído","Parcial"))</x:f>
        <x:v>Não iniciado</x:v>
      </x:c>
      <x:c r="Y163" s="199" t="str"/>
      <x:c r="Z163" s="188" t="str">
        <x:v>Normal</x:v>
      </x:c>
    </x:row>
    <x:row r="164" ht="22" customHeight="1">
      <x:c r="A164" s="219" t="n">
        <x:v>160</x:v>
      </x:c>
      <x:c r="B164" s="220" t="str">
        <x:v>26792</x:v>
      </x:c>
      <x:c r="C164" s="220" t="str">
        <x:v>5</x:v>
      </x:c>
      <x:c r="D164" s="220" t="str">
        <x:v>609459</x:v>
      </x:c>
      <x:c r="E164" s="220" t="str">
        <x:v>2020600242</x:v>
      </x:c>
      <x:c r="F164" s="220" t="str">
        <x:v>OUTROS</x:v>
      </x:c>
      <x:c r="G164" s="190" t="str">
        <x:v>A STD PET TXT BCO 2690X60X12 RG(55) RTO</x:v>
      </x:c>
      <x:c r="H164" s="190" t="str"/>
      <x:c r="I164" s="190" t="str"/>
      <x:c r="J164" s="190" t="str"/>
      <x:c r="K164" s="190" t="str">
        <x:v>ESMALTE</x:v>
      </x:c>
      <x:c r="L164" s="190" t="str">
        <x:v>BRANCO CARRARA</x:v>
      </x:c>
      <x:c r="M164" s="210" t="n">
        <x:v>108</x:v>
      </x:c>
      <x:c r="N164" s="210" t="n">
        <x:v>2690</x:v>
      </x:c>
      <x:c r="O164" s="210" t="n">
        <x:v>60</x:v>
      </x:c>
      <x:c r="P164" s="210" t="n">
        <x:v>12</x:v>
      </x:c>
      <x:c r="Q164" s="211" t="n">
        <x:v>0</x:v>
      </x:c>
      <x:c r="R164" s="207" t="str"/>
      <x:c r="S164" s="207" t="str"/>
      <x:c r="T164" s="207" t="str"/>
      <x:c r="U164" s="207" t="n">
        <x:v>0</x:v>
      </x:c>
      <x:c r="V164" s="208" t="n">
        <x:f>MAX(0,M164-U164)</x:f>
        <x:v>108</x:v>
      </x:c>
      <x:c r="W164" s="209" t="n">
        <x:f>IFERROR(U164/M164,0)</x:f>
        <x:v>0</x:v>
      </x:c>
      <x:c r="X164" s="201" t="str">
        <x:f>IF(U164=0,"Não iniciado",IF(U164&gt;=M164,"Concluído","Parcial"))</x:f>
        <x:v>Não iniciado</x:v>
      </x:c>
      <x:c r="Y164" s="199" t="str"/>
      <x:c r="Z164" s="188" t="str">
        <x:v>Normal</x:v>
      </x:c>
    </x:row>
    <x:row r="165" ht="22" customHeight="1">
      <x:c r="A165" s="217" t="n">
        <x:v>161</x:v>
      </x:c>
      <x:c r="B165" s="218" t="str">
        <x:v>26792</x:v>
      </x:c>
      <x:c r="C165" s="218" t="str">
        <x:v>6</x:v>
      </x:c>
      <x:c r="D165" s="218" t="str">
        <x:v>609476</x:v>
      </x:c>
      <x:c r="E165" s="218" t="str">
        <x:v>2020600243</x:v>
      </x:c>
      <x:c r="F165" s="218" t="str">
        <x:v>OUTROS</x:v>
      </x:c>
      <x:c r="G165" s="184" t="str">
        <x:v>A STD PET TXT BCO 2690X60X12 RG(80) RTO</x:v>
      </x:c>
      <x:c r="H165" s="184" t="str"/>
      <x:c r="I165" s="184" t="str"/>
      <x:c r="J165" s="184" t="str"/>
      <x:c r="K165" s="184" t="str">
        <x:v>ESMALTE</x:v>
      </x:c>
      <x:c r="L165" s="184" t="str">
        <x:v>BRANCO CARRARA</x:v>
      </x:c>
      <x:c r="M165" s="205" t="n">
        <x:v>20</x:v>
      </x:c>
      <x:c r="N165" s="205" t="n">
        <x:v>2690</x:v>
      </x:c>
      <x:c r="O165" s="205" t="n">
        <x:v>60</x:v>
      </x:c>
      <x:c r="P165" s="205" t="n">
        <x:v>12</x:v>
      </x:c>
      <x:c r="Q165" s="206" t="n">
        <x:v>0</x:v>
      </x:c>
      <x:c r="R165" s="207" t="str"/>
      <x:c r="S165" s="207" t="str"/>
      <x:c r="T165" s="207" t="str"/>
      <x:c r="U165" s="207" t="n">
        <x:v>0</x:v>
      </x:c>
      <x:c r="V165" s="208" t="n">
        <x:f>MAX(0,M165-U165)</x:f>
        <x:v>20</x:v>
      </x:c>
      <x:c r="W165" s="209" t="n">
        <x:f>IFERROR(U165/M165,0)</x:f>
        <x:v>0</x:v>
      </x:c>
      <x:c r="X165" s="201" t="str">
        <x:f>IF(U165=0,"Não iniciado",IF(U165&gt;=M165,"Concluído","Parcial"))</x:f>
        <x:v>Não iniciado</x:v>
      </x:c>
      <x:c r="Y165" s="199" t="str"/>
      <x:c r="Z165" s="188" t="str">
        <x:v>Normal</x:v>
      </x:c>
    </x:row>
    <x:row r="166" ht="22" customHeight="1">
      <x:c r="A166" s="219" t="n">
        <x:v>162</x:v>
      </x:c>
      <x:c r="B166" s="220" t="str">
        <x:v>26815</x:v>
      </x:c>
      <x:c r="C166" s="220" t="str">
        <x:v>4</x:v>
      </x:c>
      <x:c r="D166" s="220" t="str">
        <x:v>609520</x:v>
      </x:c>
      <x:c r="E166" s="220" t="str">
        <x:v>2020600242</x:v>
      </x:c>
      <x:c r="F166" s="220" t="str">
        <x:v>OUTROS</x:v>
      </x:c>
      <x:c r="G166" s="190" t="str">
        <x:v>A STD PET TXT BCO 2690X60X12 RG(55) RTO</x:v>
      </x:c>
      <x:c r="H166" s="190" t="str"/>
      <x:c r="I166" s="190" t="str"/>
      <x:c r="J166" s="190" t="str"/>
      <x:c r="K166" s="190" t="str">
        <x:v>ESMALTE</x:v>
      </x:c>
      <x:c r="L166" s="190" t="str">
        <x:v>BRANCO CARRARA</x:v>
      </x:c>
      <x:c r="M166" s="210" t="n">
        <x:v>134</x:v>
      </x:c>
      <x:c r="N166" s="210" t="n">
        <x:v>2690</x:v>
      </x:c>
      <x:c r="O166" s="210" t="n">
        <x:v>60</x:v>
      </x:c>
      <x:c r="P166" s="210" t="n">
        <x:v>12</x:v>
      </x:c>
      <x:c r="Q166" s="211" t="n">
        <x:v>0</x:v>
      </x:c>
      <x:c r="R166" s="207" t="str"/>
      <x:c r="S166" s="207" t="str"/>
      <x:c r="T166" s="207" t="str"/>
      <x:c r="U166" s="207" t="n">
        <x:v>0</x:v>
      </x:c>
      <x:c r="V166" s="208" t="n">
        <x:f>MAX(0,M166-U166)</x:f>
        <x:v>134</x:v>
      </x:c>
      <x:c r="W166" s="209" t="n">
        <x:f>IFERROR(U166/M166,0)</x:f>
        <x:v>0</x:v>
      </x:c>
      <x:c r="X166" s="201" t="str">
        <x:f>IF(U166=0,"Não iniciado",IF(U166&gt;=M166,"Concluído","Parcial"))</x:f>
        <x:v>Não iniciado</x:v>
      </x:c>
      <x:c r="Y166" s="199" t="str"/>
      <x:c r="Z166" s="188" t="str">
        <x:v>Normal</x:v>
      </x:c>
    </x:row>
    <x:row r="167" ht="22" customHeight="1">
      <x:c r="A167" s="217" t="n">
        <x:v>163</x:v>
      </x:c>
      <x:c r="B167" s="218" t="str">
        <x:v>26815</x:v>
      </x:c>
      <x:c r="C167" s="218" t="str">
        <x:v>5</x:v>
      </x:c>
      <x:c r="D167" s="218" t="str">
        <x:v>609537</x:v>
      </x:c>
      <x:c r="E167" s="218" t="str">
        <x:v>2020600242</x:v>
      </x:c>
      <x:c r="F167" s="218" t="str">
        <x:v>OUTROS</x:v>
      </x:c>
      <x:c r="G167" s="184" t="str">
        <x:v>A STD PET TXT BCO 2690X60X12 RG(55) RTO</x:v>
      </x:c>
      <x:c r="H167" s="184" t="str"/>
      <x:c r="I167" s="184" t="str"/>
      <x:c r="J167" s="184" t="str"/>
      <x:c r="K167" s="184" t="str">
        <x:v>ESMALTE</x:v>
      </x:c>
      <x:c r="L167" s="184" t="str">
        <x:v>BRANCO CARRARA</x:v>
      </x:c>
      <x:c r="M167" s="205" t="n">
        <x:v>16</x:v>
      </x:c>
      <x:c r="N167" s="205" t="n">
        <x:v>2690</x:v>
      </x:c>
      <x:c r="O167" s="205" t="n">
        <x:v>60</x:v>
      </x:c>
      <x:c r="P167" s="205" t="n">
        <x:v>12</x:v>
      </x:c>
      <x:c r="Q167" s="206" t="n">
        <x:v>0</x:v>
      </x:c>
      <x:c r="R167" s="207" t="str"/>
      <x:c r="S167" s="207" t="str"/>
      <x:c r="T167" s="207" t="str"/>
      <x:c r="U167" s="207" t="n">
        <x:v>0</x:v>
      </x:c>
      <x:c r="V167" s="208" t="n">
        <x:f>MAX(0,M167-U167)</x:f>
        <x:v>16</x:v>
      </x:c>
      <x:c r="W167" s="209" t="n">
        <x:f>IFERROR(U167/M167,0)</x:f>
        <x:v>0</x:v>
      </x:c>
      <x:c r="X167" s="201" t="str">
        <x:f>IF(U167=0,"Não iniciado",IF(U167&gt;=M167,"Concluído","Parcial"))</x:f>
        <x:v>Não iniciado</x:v>
      </x:c>
      <x:c r="Y167" s="199" t="str"/>
      <x:c r="Z167" s="188" t="str">
        <x:v>Normal</x:v>
      </x:c>
    </x:row>
    <x:row r="168" ht="22" customHeight="1">
      <x:c r="A168" s="219" t="n">
        <x:v>164</x:v>
      </x:c>
      <x:c r="B168" s="220" t="str">
        <x:v>26815</x:v>
      </x:c>
      <x:c r="C168" s="220" t="str">
        <x:v>6</x:v>
      </x:c>
      <x:c r="D168" s="220" t="str">
        <x:v>609554</x:v>
      </x:c>
      <x:c r="E168" s="220" t="str">
        <x:v>2020600242</x:v>
      </x:c>
      <x:c r="F168" s="220" t="str">
        <x:v>OUTROS</x:v>
      </x:c>
      <x:c r="G168" s="190" t="str">
        <x:v>A STD PET TXT BCO 2690X60X12 RG(55) RTO</x:v>
      </x:c>
      <x:c r="H168" s="190" t="str"/>
      <x:c r="I168" s="190" t="str"/>
      <x:c r="J168" s="190" t="str"/>
      <x:c r="K168" s="190" t="str">
        <x:v>ESMALTE</x:v>
      </x:c>
      <x:c r="L168" s="190" t="str">
        <x:v>BRANCO CARRARA</x:v>
      </x:c>
      <x:c r="M168" s="210" t="n">
        <x:v>54</x:v>
      </x:c>
      <x:c r="N168" s="210" t="n">
        <x:v>2690</x:v>
      </x:c>
      <x:c r="O168" s="210" t="n">
        <x:v>60</x:v>
      </x:c>
      <x:c r="P168" s="210" t="n">
        <x:v>12</x:v>
      </x:c>
      <x:c r="Q168" s="211" t="n">
        <x:v>0</x:v>
      </x:c>
      <x:c r="R168" s="207" t="str"/>
      <x:c r="S168" s="207" t="str"/>
      <x:c r="T168" s="207" t="str"/>
      <x:c r="U168" s="207" t="n">
        <x:v>0</x:v>
      </x:c>
      <x:c r="V168" s="208" t="n">
        <x:f>MAX(0,M168-U168)</x:f>
        <x:v>54</x:v>
      </x:c>
      <x:c r="W168" s="209" t="n">
        <x:f>IFERROR(U168/M168,0)</x:f>
        <x:v>0</x:v>
      </x:c>
      <x:c r="X168" s="201" t="str">
        <x:f>IF(U168=0,"Não iniciado",IF(U168&gt;=M168,"Concluído","Parcial"))</x:f>
        <x:v>Não iniciado</x:v>
      </x:c>
      <x:c r="Y168" s="199" t="str"/>
      <x:c r="Z168" s="188" t="str">
        <x:v>Normal</x:v>
      </x:c>
    </x:row>
    <x:row r="169" ht="22" customHeight="1">
      <x:c r="A169" s="217" t="n">
        <x:v>165</x:v>
      </x:c>
      <x:c r="B169" s="218" t="str">
        <x:v>26815</x:v>
      </x:c>
      <x:c r="C169" s="218" t="str">
        <x:v>7</x:v>
      </x:c>
      <x:c r="D169" s="218" t="str">
        <x:v>609571</x:v>
      </x:c>
      <x:c r="E169" s="218" t="str">
        <x:v>2020600243</x:v>
      </x:c>
      <x:c r="F169" s="218" t="str">
        <x:v>OUTROS</x:v>
      </x:c>
      <x:c r="G169" s="184" t="str">
        <x:v>A STD PET TXT BCO 2690X60X12 RG(80) RTO</x:v>
      </x:c>
      <x:c r="H169" s="184" t="str"/>
      <x:c r="I169" s="184" t="str"/>
      <x:c r="J169" s="184" t="str"/>
      <x:c r="K169" s="184" t="str">
        <x:v>ESMALTE</x:v>
      </x:c>
      <x:c r="L169" s="184" t="str">
        <x:v>BRANCO CARRARA</x:v>
      </x:c>
      <x:c r="M169" s="205" t="n">
        <x:v>10</x:v>
      </x:c>
      <x:c r="N169" s="205" t="n">
        <x:v>2690</x:v>
      </x:c>
      <x:c r="O169" s="205" t="n">
        <x:v>60</x:v>
      </x:c>
      <x:c r="P169" s="205" t="n">
        <x:v>12</x:v>
      </x:c>
      <x:c r="Q169" s="206" t="n">
        <x:v>0</x:v>
      </x:c>
      <x:c r="R169" s="207" t="str"/>
      <x:c r="S169" s="207" t="str"/>
      <x:c r="T169" s="207" t="str"/>
      <x:c r="U169" s="207" t="n">
        <x:v>0</x:v>
      </x:c>
      <x:c r="V169" s="208" t="n">
        <x:f>MAX(0,M169-U169)</x:f>
        <x:v>10</x:v>
      </x:c>
      <x:c r="W169" s="209" t="n">
        <x:f>IFERROR(U169/M169,0)</x:f>
        <x:v>0</x:v>
      </x:c>
      <x:c r="X169" s="201" t="str">
        <x:f>IF(U169=0,"Não iniciado",IF(U169&gt;=M169,"Concluído","Parcial"))</x:f>
        <x:v>Não iniciado</x:v>
      </x:c>
      <x:c r="Y169" s="199" t="str"/>
      <x:c r="Z169" s="188" t="str">
        <x:v>Normal</x:v>
      </x:c>
    </x:row>
    <x:row r="170" ht="22" customHeight="1">
      <x:c r="A170" s="219" t="n">
        <x:v>166</x:v>
      </x:c>
      <x:c r="B170" s="220" t="str">
        <x:v>26792</x:v>
      </x:c>
      <x:c r="C170" s="220" t="str">
        <x:v>4</x:v>
      </x:c>
      <x:c r="D170" s="220" t="str">
        <x:v>609443</x:v>
      </x:c>
      <x:c r="E170" s="220" t="str">
        <x:v>2020600203</x:v>
      </x:c>
      <x:c r="F170" s="220" t="str">
        <x:v>OUTROS</x:v>
      </x:c>
      <x:c r="G170" s="190" t="str">
        <x:v>A STD PET TXT BCO 2200X60X9 RG(35) RTO</x:v>
      </x:c>
      <x:c r="H170" s="190" t="str"/>
      <x:c r="I170" s="190" t="str"/>
      <x:c r="J170" s="190" t="str"/>
      <x:c r="K170" s="190" t="str">
        <x:v>ESMALTE</x:v>
      </x:c>
      <x:c r="L170" s="190" t="str">
        <x:v>BRANCO</x:v>
      </x:c>
      <x:c r="M170" s="210" t="n">
        <x:v>288</x:v>
      </x:c>
      <x:c r="N170" s="210" t="n">
        <x:v>2200</x:v>
      </x:c>
      <x:c r="O170" s="210" t="n">
        <x:v>60</x:v>
      </x:c>
      <x:c r="P170" s="210" t="n">
        <x:v>9</x:v>
      </x:c>
      <x:c r="Q170" s="211" t="n">
        <x:v>0</x:v>
      </x:c>
      <x:c r="R170" s="207" t="str"/>
      <x:c r="S170" s="207" t="str"/>
      <x:c r="T170" s="207" t="str"/>
      <x:c r="U170" s="207" t="n">
        <x:v>0</x:v>
      </x:c>
      <x:c r="V170" s="208" t="n">
        <x:f>MAX(0,M170-U170)</x:f>
        <x:v>288</x:v>
      </x:c>
      <x:c r="W170" s="209" t="n">
        <x:f>IFERROR(U170/M170,0)</x:f>
        <x:v>0</x:v>
      </x:c>
      <x:c r="X170" s="201" t="str">
        <x:f>IF(U170=0,"Não iniciado",IF(U170&gt;=M170,"Concluído","Parcial"))</x:f>
        <x:v>Não iniciado</x:v>
      </x:c>
      <x:c r="Y170" s="199" t="str"/>
      <x:c r="Z170" s="188" t="str">
        <x:v>Normal</x:v>
      </x:c>
    </x:row>
    <x:row r="171" ht="22" customHeight="1">
      <x:c r="A171" s="217" t="n">
        <x:v>167</x:v>
      </x:c>
      <x:c r="B171" s="218" t="str">
        <x:v>26792</x:v>
      </x:c>
      <x:c r="C171" s="218" t="str">
        <x:v>4</x:v>
      </x:c>
      <x:c r="D171" s="218" t="str">
        <x:v>609444</x:v>
      </x:c>
      <x:c r="E171" s="218" t="str">
        <x:v>2020600204</x:v>
      </x:c>
      <x:c r="F171" s="218" t="str">
        <x:v>OUTROS</x:v>
      </x:c>
      <x:c r="G171" s="184" t="str">
        <x:v>A STD PET TXT BCO 2200X60X9 RG(ME) RTO</x:v>
      </x:c>
      <x:c r="H171" s="184" t="str"/>
      <x:c r="I171" s="184" t="str"/>
      <x:c r="J171" s="184" t="str"/>
      <x:c r="K171" s="184" t="str">
        <x:v>ESMALTE</x:v>
      </x:c>
      <x:c r="L171" s="184" t="str">
        <x:v>BRANCO</x:v>
      </x:c>
      <x:c r="M171" s="205" t="n">
        <x:v>288</x:v>
      </x:c>
      <x:c r="N171" s="205" t="n">
        <x:v>2200</x:v>
      </x:c>
      <x:c r="O171" s="205" t="n">
        <x:v>60</x:v>
      </x:c>
      <x:c r="P171" s="205" t="n">
        <x:v>9</x:v>
      </x:c>
      <x:c r="Q171" s="206" t="n">
        <x:v>0</x:v>
      </x:c>
      <x:c r="R171" s="207" t="str"/>
      <x:c r="S171" s="207" t="str"/>
      <x:c r="T171" s="207" t="str"/>
      <x:c r="U171" s="207" t="n">
        <x:v>0</x:v>
      </x:c>
      <x:c r="V171" s="208" t="n">
        <x:f>MAX(0,M171-U171)</x:f>
        <x:v>288</x:v>
      </x:c>
      <x:c r="W171" s="209" t="n">
        <x:f>IFERROR(U171/M171,0)</x:f>
        <x:v>0</x:v>
      </x:c>
      <x:c r="X171" s="201" t="str">
        <x:f>IF(U171=0,"Não iniciado",IF(U171&gt;=M171,"Concluído","Parcial"))</x:f>
        <x:v>Não iniciado</x:v>
      </x:c>
      <x:c r="Y171" s="199" t="str"/>
      <x:c r="Z171" s="188" t="str">
        <x:v>Normal</x:v>
      </x:c>
    </x:row>
    <x:row r="172" ht="22" customHeight="1">
      <x:c r="A172" s="219" t="n">
        <x:v>168</x:v>
      </x:c>
      <x:c r="B172" s="220" t="str">
        <x:v>26815</x:v>
      </x:c>
      <x:c r="C172" s="220" t="str">
        <x:v>3</x:v>
      </x:c>
      <x:c r="D172" s="220" t="str">
        <x:v>609504</x:v>
      </x:c>
      <x:c r="E172" s="220" t="str">
        <x:v>2020600203</x:v>
      </x:c>
      <x:c r="F172" s="220" t="str">
        <x:v>OUTROS</x:v>
      </x:c>
      <x:c r="G172" s="190" t="str">
        <x:v>A STD PET TXT BCO 2200X60X9 RG(35) RTO</x:v>
      </x:c>
      <x:c r="H172" s="190" t="str"/>
      <x:c r="I172" s="190" t="str"/>
      <x:c r="J172" s="190" t="str"/>
      <x:c r="K172" s="190" t="str">
        <x:v>ESMALTE</x:v>
      </x:c>
      <x:c r="L172" s="190" t="str">
        <x:v>BRANCO</x:v>
      </x:c>
      <x:c r="M172" s="210" t="n">
        <x:v>184</x:v>
      </x:c>
      <x:c r="N172" s="210" t="n">
        <x:v>2200</x:v>
      </x:c>
      <x:c r="O172" s="210" t="n">
        <x:v>60</x:v>
      </x:c>
      <x:c r="P172" s="210" t="n">
        <x:v>9</x:v>
      </x:c>
      <x:c r="Q172" s="211" t="n">
        <x:v>0</x:v>
      </x:c>
      <x:c r="R172" s="207" t="str"/>
      <x:c r="S172" s="207" t="str"/>
      <x:c r="T172" s="207" t="str"/>
      <x:c r="U172" s="207" t="n">
        <x:v>0</x:v>
      </x:c>
      <x:c r="V172" s="208" t="n">
        <x:f>MAX(0,M172-U172)</x:f>
        <x:v>184</x:v>
      </x:c>
      <x:c r="W172" s="209" t="n">
        <x:f>IFERROR(U172/M172,0)</x:f>
        <x:v>0</x:v>
      </x:c>
      <x:c r="X172" s="201" t="str">
        <x:f>IF(U172=0,"Não iniciado",IF(U172&gt;=M172,"Concluído","Parcial"))</x:f>
        <x:v>Não iniciado</x:v>
      </x:c>
      <x:c r="Y172" s="199" t="str"/>
      <x:c r="Z172" s="188" t="str">
        <x:v>Normal</x:v>
      </x:c>
    </x:row>
    <x:row r="173" ht="22" customHeight="1">
      <x:c r="A173" s="217" t="n">
        <x:v>169</x:v>
      </x:c>
      <x:c r="B173" s="218" t="str">
        <x:v>26815</x:v>
      </x:c>
      <x:c r="C173" s="218" t="str">
        <x:v>3</x:v>
      </x:c>
      <x:c r="D173" s="218" t="str">
        <x:v>609505</x:v>
      </x:c>
      <x:c r="E173" s="218" t="str">
        <x:v>2020600204</x:v>
      </x:c>
      <x:c r="F173" s="218" t="str">
        <x:v>OUTROS</x:v>
      </x:c>
      <x:c r="G173" s="184" t="str">
        <x:v>A STD PET TXT BCO 2200X60X9 RG(ME) RTO</x:v>
      </x:c>
      <x:c r="H173" s="184" t="str"/>
      <x:c r="I173" s="184" t="str"/>
      <x:c r="J173" s="184" t="str"/>
      <x:c r="K173" s="184" t="str">
        <x:v>ESMALTE</x:v>
      </x:c>
      <x:c r="L173" s="184" t="str">
        <x:v>BRANCO</x:v>
      </x:c>
      <x:c r="M173" s="205" t="n">
        <x:v>184</x:v>
      </x:c>
      <x:c r="N173" s="205" t="n">
        <x:v>2200</x:v>
      </x:c>
      <x:c r="O173" s="205" t="n">
        <x:v>60</x:v>
      </x:c>
      <x:c r="P173" s="205" t="n">
        <x:v>9</x:v>
      </x:c>
      <x:c r="Q173" s="206" t="n">
        <x:v>0</x:v>
      </x:c>
      <x:c r="R173" s="207" t="str"/>
      <x:c r="S173" s="207" t="str"/>
      <x:c r="T173" s="207" t="str"/>
      <x:c r="U173" s="207" t="n">
        <x:v>0</x:v>
      </x:c>
      <x:c r="V173" s="208" t="n">
        <x:f>MAX(0,M173-U173)</x:f>
        <x:v>184</x:v>
      </x:c>
      <x:c r="W173" s="209" t="n">
        <x:f>IFERROR(U173/M173,0)</x:f>
        <x:v>0</x:v>
      </x:c>
      <x:c r="X173" s="201" t="str">
        <x:f>IF(U173=0,"Não iniciado",IF(U173&gt;=M173,"Concluído","Parcial"))</x:f>
        <x:v>Não iniciado</x:v>
      </x:c>
      <x:c r="Y173" s="199" t="str"/>
      <x:c r="Z173" s="188" t="str">
        <x:v>Normal</x:v>
      </x:c>
    </x:row>
    <x:row r="174" ht="22" customHeight="1">
      <x:c r="A174" s="219" t="n">
        <x:v>170</x:v>
      </x:c>
      <x:c r="B174" s="220" t="str">
        <x:v>26792</x:v>
      </x:c>
      <x:c r="C174" s="220" t="str">
        <x:v>1</x:v>
      </x:c>
      <x:c r="D174" s="220" t="str">
        <x:v>609419</x:v>
      </x:c>
      <x:c r="E174" s="220" t="str">
        <x:v>2020600232</x:v>
      </x:c>
      <x:c r="F174" s="220" t="str">
        <x:v>OUTROS</x:v>
      </x:c>
      <x:c r="G174" s="190" t="str">
        <x:v>A STD PET TXT BCO 2200X60X9 RG(55) RTO</x:v>
      </x:c>
      <x:c r="H174" s="190" t="str"/>
      <x:c r="I174" s="190" t="str"/>
      <x:c r="J174" s="190" t="str"/>
      <x:c r="K174" s="190" t="str">
        <x:v>ESMALTE</x:v>
      </x:c>
      <x:c r="L174" s="190" t="str">
        <x:v>BRANCO CARRARA</x:v>
      </x:c>
      <x:c r="M174" s="210" t="n">
        <x:v>274</x:v>
      </x:c>
      <x:c r="N174" s="210" t="n">
        <x:v>2200</x:v>
      </x:c>
      <x:c r="O174" s="210" t="n">
        <x:v>60</x:v>
      </x:c>
      <x:c r="P174" s="210" t="n">
        <x:v>9</x:v>
      </x:c>
      <x:c r="Q174" s="211" t="n">
        <x:v>0</x:v>
      </x:c>
      <x:c r="R174" s="207" t="str"/>
      <x:c r="S174" s="207" t="str"/>
      <x:c r="T174" s="207" t="str"/>
      <x:c r="U174" s="207" t="n">
        <x:v>0</x:v>
      </x:c>
      <x:c r="V174" s="208" t="n">
        <x:f>MAX(0,M174-U174)</x:f>
        <x:v>274</x:v>
      </x:c>
      <x:c r="W174" s="209" t="n">
        <x:f>IFERROR(U174/M174,0)</x:f>
        <x:v>0</x:v>
      </x:c>
      <x:c r="X174" s="201" t="str">
        <x:f>IF(U174=0,"Não iniciado",IF(U174&gt;=M174,"Concluído","Parcial"))</x:f>
        <x:v>Não iniciado</x:v>
      </x:c>
      <x:c r="Y174" s="199" t="str"/>
      <x:c r="Z174" s="188" t="str">
        <x:v>Normal</x:v>
      </x:c>
    </x:row>
    <x:row r="175" ht="22" customHeight="1">
      <x:c r="A175" s="217" t="n">
        <x:v>171</x:v>
      </x:c>
      <x:c r="B175" s="218" t="str">
        <x:v>26792</x:v>
      </x:c>
      <x:c r="C175" s="218" t="str">
        <x:v>1</x:v>
      </x:c>
      <x:c r="D175" s="218" t="str">
        <x:v>609420</x:v>
      </x:c>
      <x:c r="E175" s="218" t="str">
        <x:v>2020600233</x:v>
      </x:c>
      <x:c r="F175" s="218" t="str">
        <x:v>OUTROS</x:v>
      </x:c>
      <x:c r="G175" s="184" t="str">
        <x:v>A STD PET TXT BCO 2200X60X9 RG(ME) RTO</x:v>
      </x:c>
      <x:c r="H175" s="184" t="str"/>
      <x:c r="I175" s="184" t="str"/>
      <x:c r="J175" s="184" t="str"/>
      <x:c r="K175" s="184" t="str">
        <x:v>ESMALTE</x:v>
      </x:c>
      <x:c r="L175" s="184" t="str">
        <x:v>BRANCO CARRARA</x:v>
      </x:c>
      <x:c r="M175" s="205" t="n">
        <x:v>274</x:v>
      </x:c>
      <x:c r="N175" s="205" t="n">
        <x:v>2200</x:v>
      </x:c>
      <x:c r="O175" s="205" t="n">
        <x:v>60</x:v>
      </x:c>
      <x:c r="P175" s="205" t="n">
        <x:v>9</x:v>
      </x:c>
      <x:c r="Q175" s="206" t="n">
        <x:v>0</x:v>
      </x:c>
      <x:c r="R175" s="207" t="str"/>
      <x:c r="S175" s="207" t="str"/>
      <x:c r="T175" s="207" t="str"/>
      <x:c r="U175" s="207" t="n">
        <x:v>0</x:v>
      </x:c>
      <x:c r="V175" s="208" t="n">
        <x:f>MAX(0,M175-U175)</x:f>
        <x:v>274</x:v>
      </x:c>
      <x:c r="W175" s="209" t="n">
        <x:f>IFERROR(U175/M175,0)</x:f>
        <x:v>0</x:v>
      </x:c>
      <x:c r="X175" s="201" t="str">
        <x:f>IF(U175=0,"Não iniciado",IF(U175&gt;=M175,"Concluído","Parcial"))</x:f>
        <x:v>Não iniciado</x:v>
      </x:c>
      <x:c r="Y175" s="199" t="str"/>
      <x:c r="Z175" s="188" t="str">
        <x:v>Normal</x:v>
      </x:c>
    </x:row>
    <x:row r="176" ht="22" customHeight="1">
      <x:c r="A176" s="219" t="n">
        <x:v>172</x:v>
      </x:c>
      <x:c r="B176" s="220" t="str">
        <x:v>26792</x:v>
      </x:c>
      <x:c r="C176" s="220" t="str">
        <x:v>2</x:v>
      </x:c>
      <x:c r="D176" s="220" t="str">
        <x:v>609427</x:v>
      </x:c>
      <x:c r="E176" s="220" t="str">
        <x:v>2020600232</x:v>
      </x:c>
      <x:c r="F176" s="220" t="str">
        <x:v>OUTROS</x:v>
      </x:c>
      <x:c r="G176" s="190" t="str">
        <x:v>A STD PET TXT BCO 2200X60X9 RG(55) RTO</x:v>
      </x:c>
      <x:c r="H176" s="190" t="str"/>
      <x:c r="I176" s="190" t="str"/>
      <x:c r="J176" s="190" t="str"/>
      <x:c r="K176" s="190" t="str">
        <x:v>ESMALTE</x:v>
      </x:c>
      <x:c r="L176" s="190" t="str">
        <x:v>BRANCO CARRARA</x:v>
      </x:c>
      <x:c r="M176" s="210" t="n">
        <x:v>34</x:v>
      </x:c>
      <x:c r="N176" s="210" t="n">
        <x:v>2200</x:v>
      </x:c>
      <x:c r="O176" s="210" t="n">
        <x:v>60</x:v>
      </x:c>
      <x:c r="P176" s="210" t="n">
        <x:v>9</x:v>
      </x:c>
      <x:c r="Q176" s="211" t="n">
        <x:v>0</x:v>
      </x:c>
      <x:c r="R176" s="207" t="str"/>
      <x:c r="S176" s="207" t="str"/>
      <x:c r="T176" s="207" t="str"/>
      <x:c r="U176" s="207" t="n">
        <x:v>0</x:v>
      </x:c>
      <x:c r="V176" s="208" t="n">
        <x:f>MAX(0,M176-U176)</x:f>
        <x:v>34</x:v>
      </x:c>
      <x:c r="W176" s="209" t="n">
        <x:f>IFERROR(U176/M176,0)</x:f>
        <x:v>0</x:v>
      </x:c>
      <x:c r="X176" s="201" t="str">
        <x:f>IF(U176=0,"Não iniciado",IF(U176&gt;=M176,"Concluído","Parcial"))</x:f>
        <x:v>Não iniciado</x:v>
      </x:c>
      <x:c r="Y176" s="199" t="str"/>
      <x:c r="Z176" s="188" t="str">
        <x:v>Normal</x:v>
      </x:c>
    </x:row>
    <x:row r="177" ht="22" customHeight="1">
      <x:c r="A177" s="217" t="n">
        <x:v>173</x:v>
      </x:c>
      <x:c r="B177" s="218" t="str">
        <x:v>26792</x:v>
      </x:c>
      <x:c r="C177" s="218" t="str">
        <x:v>2</x:v>
      </x:c>
      <x:c r="D177" s="218" t="str">
        <x:v>609428</x:v>
      </x:c>
      <x:c r="E177" s="218" t="str">
        <x:v>2020600233</x:v>
      </x:c>
      <x:c r="F177" s="218" t="str">
        <x:v>OUTROS</x:v>
      </x:c>
      <x:c r="G177" s="184" t="str">
        <x:v>A STD PET TXT BCO 2200X60X9 RG(ME) RTO</x:v>
      </x:c>
      <x:c r="H177" s="184" t="str"/>
      <x:c r="I177" s="184" t="str"/>
      <x:c r="J177" s="184" t="str"/>
      <x:c r="K177" s="184" t="str">
        <x:v>ESMALTE</x:v>
      </x:c>
      <x:c r="L177" s="184" t="str">
        <x:v>BRANCO CARRARA</x:v>
      </x:c>
      <x:c r="M177" s="205" t="n">
        <x:v>34</x:v>
      </x:c>
      <x:c r="N177" s="205" t="n">
        <x:v>2200</x:v>
      </x:c>
      <x:c r="O177" s="205" t="n">
        <x:v>60</x:v>
      </x:c>
      <x:c r="P177" s="205" t="n">
        <x:v>9</x:v>
      </x:c>
      <x:c r="Q177" s="206" t="n">
        <x:v>0</x:v>
      </x:c>
      <x:c r="R177" s="207" t="str"/>
      <x:c r="S177" s="207" t="str"/>
      <x:c r="T177" s="207" t="str"/>
      <x:c r="U177" s="207" t="n">
        <x:v>0</x:v>
      </x:c>
      <x:c r="V177" s="208" t="n">
        <x:f>MAX(0,M177-U177)</x:f>
        <x:v>34</x:v>
      </x:c>
      <x:c r="W177" s="209" t="n">
        <x:f>IFERROR(U177/M177,0)</x:f>
        <x:v>0</x:v>
      </x:c>
      <x:c r="X177" s="201" t="str">
        <x:f>IF(U177=0,"Não iniciado",IF(U177&gt;=M177,"Concluído","Parcial"))</x:f>
        <x:v>Não iniciado</x:v>
      </x:c>
      <x:c r="Y177" s="199" t="str"/>
      <x:c r="Z177" s="188" t="str">
        <x:v>Normal</x:v>
      </x:c>
    </x:row>
    <x:row r="178" ht="22" customHeight="1">
      <x:c r="A178" s="219" t="n">
        <x:v>174</x:v>
      </x:c>
      <x:c r="B178" s="220" t="str">
        <x:v>26792</x:v>
      </x:c>
      <x:c r="C178" s="220" t="str">
        <x:v>3</x:v>
      </x:c>
      <x:c r="D178" s="220" t="str">
        <x:v>609435</x:v>
      </x:c>
      <x:c r="E178" s="220" t="str">
        <x:v>2020600236</x:v>
      </x:c>
      <x:c r="F178" s="220" t="str">
        <x:v>OUTROS</x:v>
      </x:c>
      <x:c r="G178" s="190" t="str">
        <x:v>A STD PET TXT BCO 2200X60X9 RG(ME) RTO</x:v>
      </x:c>
      <x:c r="H178" s="190" t="str"/>
      <x:c r="I178" s="190" t="str"/>
      <x:c r="J178" s="190" t="str"/>
      <x:c r="K178" s="190" t="str">
        <x:v>ESMALTE</x:v>
      </x:c>
      <x:c r="L178" s="190" t="str">
        <x:v>BRANCO CARRARA</x:v>
      </x:c>
      <x:c r="M178" s="210" t="n">
        <x:v>2</x:v>
      </x:c>
      <x:c r="N178" s="210" t="n">
        <x:v>2200</x:v>
      </x:c>
      <x:c r="O178" s="210" t="n">
        <x:v>60</x:v>
      </x:c>
      <x:c r="P178" s="210" t="n">
        <x:v>9</x:v>
      </x:c>
      <x:c r="Q178" s="211" t="n">
        <x:v>0</x:v>
      </x:c>
      <x:c r="R178" s="207" t="str"/>
      <x:c r="S178" s="207" t="str"/>
      <x:c r="T178" s="207" t="str"/>
      <x:c r="U178" s="207" t="n">
        <x:v>0</x:v>
      </x:c>
      <x:c r="V178" s="208" t="n">
        <x:f>MAX(0,M178-U178)</x:f>
        <x:v>2</x:v>
      </x:c>
      <x:c r="W178" s="209" t="n">
        <x:f>IFERROR(U178/M178,0)</x:f>
        <x:v>0</x:v>
      </x:c>
      <x:c r="X178" s="201" t="str">
        <x:f>IF(U178=0,"Não iniciado",IF(U178&gt;=M178,"Concluído","Parcial"))</x:f>
        <x:v>Não iniciado</x:v>
      </x:c>
      <x:c r="Y178" s="199" t="str"/>
      <x:c r="Z178" s="188" t="str">
        <x:v>Normal</x:v>
      </x:c>
    </x:row>
    <x:row r="179" ht="22" customHeight="1">
      <x:c r="A179" s="217" t="n">
        <x:v>175</x:v>
      </x:c>
      <x:c r="B179" s="218" t="str">
        <x:v>26792</x:v>
      </x:c>
      <x:c r="C179" s="218" t="str">
        <x:v>3</x:v>
      </x:c>
      <x:c r="D179" s="218" t="str">
        <x:v>609436</x:v>
      </x:c>
      <x:c r="E179" s="218" t="str">
        <x:v>2020600237</x:v>
      </x:c>
      <x:c r="F179" s="218" t="str">
        <x:v>OUTROS</x:v>
      </x:c>
      <x:c r="G179" s="184" t="str">
        <x:v>A STD PET TXT BCO 2200X60X9 RG(80) RTO</x:v>
      </x:c>
      <x:c r="H179" s="184" t="str"/>
      <x:c r="I179" s="184" t="str"/>
      <x:c r="J179" s="184" t="str"/>
      <x:c r="K179" s="184" t="str">
        <x:v>ESMALTE</x:v>
      </x:c>
      <x:c r="L179" s="184" t="str">
        <x:v>BRANCO CARRARA</x:v>
      </x:c>
      <x:c r="M179" s="205" t="n">
        <x:v>2</x:v>
      </x:c>
      <x:c r="N179" s="205" t="n">
        <x:v>2200</x:v>
      </x:c>
      <x:c r="O179" s="205" t="n">
        <x:v>60</x:v>
      </x:c>
      <x:c r="P179" s="205" t="n">
        <x:v>9</x:v>
      </x:c>
      <x:c r="Q179" s="206" t="n">
        <x:v>0</x:v>
      </x:c>
      <x:c r="R179" s="207" t="str"/>
      <x:c r="S179" s="207" t="str"/>
      <x:c r="T179" s="207" t="str"/>
      <x:c r="U179" s="207" t="n">
        <x:v>0</x:v>
      </x:c>
      <x:c r="V179" s="208" t="n">
        <x:f>MAX(0,M179-U179)</x:f>
        <x:v>2</x:v>
      </x:c>
      <x:c r="W179" s="209" t="n">
        <x:f>IFERROR(U179/M179,0)</x:f>
        <x:v>0</x:v>
      </x:c>
      <x:c r="X179" s="201" t="str">
        <x:f>IF(U179=0,"Não iniciado",IF(U179&gt;=M179,"Concluído","Parcial"))</x:f>
        <x:v>Não iniciado</x:v>
      </x:c>
      <x:c r="Y179" s="199" t="str"/>
      <x:c r="Z179" s="188" t="str">
        <x:v>Normal</x:v>
      </x:c>
    </x:row>
    <x:row r="180" ht="22" customHeight="1">
      <x:c r="A180" s="219" t="n">
        <x:v>176</x:v>
      </x:c>
      <x:c r="B180" s="220" t="str">
        <x:v>26792</x:v>
      </x:c>
      <x:c r="C180" s="220" t="str">
        <x:v>5</x:v>
      </x:c>
      <x:c r="D180" s="220" t="str">
        <x:v>609457</x:v>
      </x:c>
      <x:c r="E180" s="220" t="str">
        <x:v>2020600240</x:v>
      </x:c>
      <x:c r="F180" s="220" t="str">
        <x:v>OUTROS</x:v>
      </x:c>
      <x:c r="G180" s="190" t="str">
        <x:v>A STD PET TXT BCO 2200X60X12 RG(ME) RTO</x:v>
      </x:c>
      <x:c r="H180" s="190" t="str"/>
      <x:c r="I180" s="190" t="str"/>
      <x:c r="J180" s="190" t="str"/>
      <x:c r="K180" s="190" t="str">
        <x:v>ESMALTE</x:v>
      </x:c>
      <x:c r="L180" s="190" t="str">
        <x:v>BRANCO CARRARA</x:v>
      </x:c>
      <x:c r="M180" s="210" t="n">
        <x:v>108</x:v>
      </x:c>
      <x:c r="N180" s="210" t="n">
        <x:v>2200</x:v>
      </x:c>
      <x:c r="O180" s="210" t="n">
        <x:v>60</x:v>
      </x:c>
      <x:c r="P180" s="210" t="n">
        <x:v>12</x:v>
      </x:c>
      <x:c r="Q180" s="211" t="n">
        <x:v>0</x:v>
      </x:c>
      <x:c r="R180" s="207" t="str"/>
      <x:c r="S180" s="207" t="str"/>
      <x:c r="T180" s="207" t="str"/>
      <x:c r="U180" s="207" t="n">
        <x:v>0</x:v>
      </x:c>
      <x:c r="V180" s="208" t="n">
        <x:f>MAX(0,M180-U180)</x:f>
        <x:v>108</x:v>
      </x:c>
      <x:c r="W180" s="209" t="n">
        <x:f>IFERROR(U180/M180,0)</x:f>
        <x:v>0</x:v>
      </x:c>
      <x:c r="X180" s="201" t="str">
        <x:f>IF(U180=0,"Não iniciado",IF(U180&gt;=M180,"Concluído","Parcial"))</x:f>
        <x:v>Não iniciado</x:v>
      </x:c>
      <x:c r="Y180" s="199" t="str"/>
      <x:c r="Z180" s="188" t="str">
        <x:v>Normal</x:v>
      </x:c>
    </x:row>
    <x:row r="181" ht="22" customHeight="1">
      <x:c r="A181" s="217" t="n">
        <x:v>177</x:v>
      </x:c>
      <x:c r="B181" s="218" t="str">
        <x:v>26792</x:v>
      </x:c>
      <x:c r="C181" s="218" t="str">
        <x:v>6</x:v>
      </x:c>
      <x:c r="D181" s="218" t="str">
        <x:v>609474</x:v>
      </x:c>
      <x:c r="E181" s="218" t="str">
        <x:v>2020600240</x:v>
      </x:c>
      <x:c r="F181" s="218" t="str">
        <x:v>OUTROS</x:v>
      </x:c>
      <x:c r="G181" s="184" t="str">
        <x:v>A STD PET TXT BCO 2200X60X12 RG(ME) RTO</x:v>
      </x:c>
      <x:c r="H181" s="184" t="str"/>
      <x:c r="I181" s="184" t="str"/>
      <x:c r="J181" s="184" t="str"/>
      <x:c r="K181" s="184" t="str">
        <x:v>ESMALTE</x:v>
      </x:c>
      <x:c r="L181" s="184" t="str">
        <x:v>BRANCO CARRARA</x:v>
      </x:c>
      <x:c r="M181" s="205" t="n">
        <x:v>20</x:v>
      </x:c>
      <x:c r="N181" s="205" t="n">
        <x:v>2200</x:v>
      </x:c>
      <x:c r="O181" s="205" t="n">
        <x:v>60</x:v>
      </x:c>
      <x:c r="P181" s="205" t="n">
        <x:v>12</x:v>
      </x:c>
      <x:c r="Q181" s="206" t="n">
        <x:v>0</x:v>
      </x:c>
      <x:c r="R181" s="207" t="str"/>
      <x:c r="S181" s="207" t="str"/>
      <x:c r="T181" s="207" t="str"/>
      <x:c r="U181" s="207" t="n">
        <x:v>0</x:v>
      </x:c>
      <x:c r="V181" s="208" t="n">
        <x:f>MAX(0,M181-U181)</x:f>
        <x:v>20</x:v>
      </x:c>
      <x:c r="W181" s="209" t="n">
        <x:f>IFERROR(U181/M181,0)</x:f>
        <x:v>0</x:v>
      </x:c>
      <x:c r="X181" s="201" t="str">
        <x:f>IF(U181=0,"Não iniciado",IF(U181&gt;=M181,"Concluído","Parcial"))</x:f>
        <x:v>Não iniciado</x:v>
      </x:c>
      <x:c r="Y181" s="199" t="str"/>
      <x:c r="Z181" s="188" t="str">
        <x:v>Normal</x:v>
      </x:c>
    </x:row>
    <x:row r="182" ht="22" customHeight="1">
      <x:c r="A182" s="219" t="n">
        <x:v>178</x:v>
      </x:c>
      <x:c r="B182" s="220" t="str">
        <x:v>26815</x:v>
      </x:c>
      <x:c r="C182" s="220" t="str">
        <x:v>1</x:v>
      </x:c>
      <x:c r="D182" s="220" t="str">
        <x:v>609488</x:v>
      </x:c>
      <x:c r="E182" s="220" t="str">
        <x:v>2020600232</x:v>
      </x:c>
      <x:c r="F182" s="220" t="str">
        <x:v>OUTROS</x:v>
      </x:c>
      <x:c r="G182" s="190" t="str">
        <x:v>A STD PET TXT BCO 2200X60X9 RG(55) RTO</x:v>
      </x:c>
      <x:c r="H182" s="190" t="str"/>
      <x:c r="I182" s="190" t="str"/>
      <x:c r="J182" s="190" t="str"/>
      <x:c r="K182" s="190" t="str">
        <x:v>ESMALTE</x:v>
      </x:c>
      <x:c r="L182" s="190" t="str">
        <x:v>BRANCO CARRARA</x:v>
      </x:c>
      <x:c r="M182" s="210" t="n">
        <x:v>308</x:v>
      </x:c>
      <x:c r="N182" s="210" t="n">
        <x:v>2200</x:v>
      </x:c>
      <x:c r="O182" s="210" t="n">
        <x:v>60</x:v>
      </x:c>
      <x:c r="P182" s="210" t="n">
        <x:v>9</x:v>
      </x:c>
      <x:c r="Q182" s="211" t="n">
        <x:v>0</x:v>
      </x:c>
      <x:c r="R182" s="207" t="str"/>
      <x:c r="S182" s="207" t="str"/>
      <x:c r="T182" s="207" t="str"/>
      <x:c r="U182" s="207" t="n">
        <x:v>0</x:v>
      </x:c>
      <x:c r="V182" s="208" t="n">
        <x:f>MAX(0,M182-U182)</x:f>
        <x:v>308</x:v>
      </x:c>
      <x:c r="W182" s="209" t="n">
        <x:f>IFERROR(U182/M182,0)</x:f>
        <x:v>0</x:v>
      </x:c>
      <x:c r="X182" s="201" t="str">
        <x:f>IF(U182=0,"Não iniciado",IF(U182&gt;=M182,"Concluído","Parcial"))</x:f>
        <x:v>Não iniciado</x:v>
      </x:c>
      <x:c r="Y182" s="199" t="str"/>
      <x:c r="Z182" s="188" t="str">
        <x:v>Normal</x:v>
      </x:c>
    </x:row>
    <x:row r="183" ht="22" customHeight="1">
      <x:c r="A183" s="217" t="n">
        <x:v>179</x:v>
      </x:c>
      <x:c r="B183" s="218" t="str">
        <x:v>26815</x:v>
      </x:c>
      <x:c r="C183" s="218" t="str">
        <x:v>1</x:v>
      </x:c>
      <x:c r="D183" s="218" t="str">
        <x:v>609489</x:v>
      </x:c>
      <x:c r="E183" s="218" t="str">
        <x:v>2020600233</x:v>
      </x:c>
      <x:c r="F183" s="218" t="str">
        <x:v>OUTROS</x:v>
      </x:c>
      <x:c r="G183" s="184" t="str">
        <x:v>A STD PET TXT BCO 2200X60X9 RG(ME) RTO</x:v>
      </x:c>
      <x:c r="H183" s="184" t="str"/>
      <x:c r="I183" s="184" t="str"/>
      <x:c r="J183" s="184" t="str"/>
      <x:c r="K183" s="184" t="str">
        <x:v>ESMALTE</x:v>
      </x:c>
      <x:c r="L183" s="184" t="str">
        <x:v>BRANCO CARRARA</x:v>
      </x:c>
      <x:c r="M183" s="205" t="n">
        <x:v>308</x:v>
      </x:c>
      <x:c r="N183" s="205" t="n">
        <x:v>2200</x:v>
      </x:c>
      <x:c r="O183" s="205" t="n">
        <x:v>60</x:v>
      </x:c>
      <x:c r="P183" s="205" t="n">
        <x:v>9</x:v>
      </x:c>
      <x:c r="Q183" s="206" t="n">
        <x:v>0</x:v>
      </x:c>
      <x:c r="R183" s="207" t="str"/>
      <x:c r="S183" s="207" t="str"/>
      <x:c r="T183" s="207" t="str"/>
      <x:c r="U183" s="207" t="n">
        <x:v>0</x:v>
      </x:c>
      <x:c r="V183" s="208" t="n">
        <x:f>MAX(0,M183-U183)</x:f>
        <x:v>308</x:v>
      </x:c>
      <x:c r="W183" s="209" t="n">
        <x:f>IFERROR(U183/M183,0)</x:f>
        <x:v>0</x:v>
      </x:c>
      <x:c r="X183" s="201" t="str">
        <x:f>IF(U183=0,"Não iniciado",IF(U183&gt;=M183,"Concluído","Parcial"))</x:f>
        <x:v>Não iniciado</x:v>
      </x:c>
      <x:c r="Y183" s="199" t="str"/>
      <x:c r="Z183" s="188" t="str">
        <x:v>Normal</x:v>
      </x:c>
    </x:row>
    <x:row r="184" ht="22" customHeight="1">
      <x:c r="A184" s="219" t="n">
        <x:v>180</x:v>
      </x:c>
      <x:c r="B184" s="220" t="str">
        <x:v>26815</x:v>
      </x:c>
      <x:c r="C184" s="220" t="str">
        <x:v>2</x:v>
      </x:c>
      <x:c r="D184" s="220" t="str">
        <x:v>609496</x:v>
      </x:c>
      <x:c r="E184" s="220" t="str">
        <x:v>2020600232</x:v>
      </x:c>
      <x:c r="F184" s="220" t="str">
        <x:v>OUTROS</x:v>
      </x:c>
      <x:c r="G184" s="190" t="str">
        <x:v>A STD PET TXT BCO 2200X60X9 RG(55) RTO</x:v>
      </x:c>
      <x:c r="H184" s="190" t="str"/>
      <x:c r="I184" s="190" t="str"/>
      <x:c r="J184" s="190" t="str"/>
      <x:c r="K184" s="190" t="str">
        <x:v>ESMALTE</x:v>
      </x:c>
      <x:c r="L184" s="190" t="str">
        <x:v>BRANCO CARRARA</x:v>
      </x:c>
      <x:c r="M184" s="210" t="n">
        <x:v>20</x:v>
      </x:c>
      <x:c r="N184" s="210" t="n">
        <x:v>2200</x:v>
      </x:c>
      <x:c r="O184" s="210" t="n">
        <x:v>60</x:v>
      </x:c>
      <x:c r="P184" s="210" t="n">
        <x:v>9</x:v>
      </x:c>
      <x:c r="Q184" s="211" t="n">
        <x:v>0</x:v>
      </x:c>
      <x:c r="R184" s="207" t="str"/>
      <x:c r="S184" s="207" t="str"/>
      <x:c r="T184" s="207" t="str"/>
      <x:c r="U184" s="207" t="n">
        <x:v>0</x:v>
      </x:c>
      <x:c r="V184" s="208" t="n">
        <x:f>MAX(0,M184-U184)</x:f>
        <x:v>20</x:v>
      </x:c>
      <x:c r="W184" s="209" t="n">
        <x:f>IFERROR(U184/M184,0)</x:f>
        <x:v>0</x:v>
      </x:c>
      <x:c r="X184" s="201" t="str">
        <x:f>IF(U184=0,"Não iniciado",IF(U184&gt;=M184,"Concluído","Parcial"))</x:f>
        <x:v>Não iniciado</x:v>
      </x:c>
      <x:c r="Y184" s="199" t="str"/>
      <x:c r="Z184" s="188" t="str">
        <x:v>Normal</x:v>
      </x:c>
    </x:row>
    <x:row r="185" ht="22" customHeight="1">
      <x:c r="A185" s="217" t="n">
        <x:v>181</x:v>
      </x:c>
      <x:c r="B185" s="218" t="str">
        <x:v>26815</x:v>
      </x:c>
      <x:c r="C185" s="218" t="str">
        <x:v>2</x:v>
      </x:c>
      <x:c r="D185" s="218" t="str">
        <x:v>609497</x:v>
      </x:c>
      <x:c r="E185" s="218" t="str">
        <x:v>2020600233</x:v>
      </x:c>
      <x:c r="F185" s="218" t="str">
        <x:v>OUTROS</x:v>
      </x:c>
      <x:c r="G185" s="184" t="str">
        <x:v>A STD PET TXT BCO 2200X60X9 RG(ME) RTO</x:v>
      </x:c>
      <x:c r="H185" s="184" t="str"/>
      <x:c r="I185" s="184" t="str"/>
      <x:c r="J185" s="184" t="str"/>
      <x:c r="K185" s="184" t="str">
        <x:v>ESMALTE</x:v>
      </x:c>
      <x:c r="L185" s="184" t="str">
        <x:v>BRANCO CARRARA</x:v>
      </x:c>
      <x:c r="M185" s="205" t="n">
        <x:v>20</x:v>
      </x:c>
      <x:c r="N185" s="205" t="n">
        <x:v>2200</x:v>
      </x:c>
      <x:c r="O185" s="205" t="n">
        <x:v>60</x:v>
      </x:c>
      <x:c r="P185" s="205" t="n">
        <x:v>9</x:v>
      </x:c>
      <x:c r="Q185" s="206" t="n">
        <x:v>0</x:v>
      </x:c>
      <x:c r="R185" s="207" t="str"/>
      <x:c r="S185" s="207" t="str"/>
      <x:c r="T185" s="207" t="str"/>
      <x:c r="U185" s="207" t="n">
        <x:v>0</x:v>
      </x:c>
      <x:c r="V185" s="208" t="n">
        <x:f>MAX(0,M185-U185)</x:f>
        <x:v>20</x:v>
      </x:c>
      <x:c r="W185" s="209" t="n">
        <x:f>IFERROR(U185/M185,0)</x:f>
        <x:v>0</x:v>
      </x:c>
      <x:c r="X185" s="201" t="str">
        <x:f>IF(U185=0,"Não iniciado",IF(U185&gt;=M185,"Concluído","Parcial"))</x:f>
        <x:v>Não iniciado</x:v>
      </x:c>
      <x:c r="Y185" s="199" t="str"/>
      <x:c r="Z185" s="188" t="str">
        <x:v>Normal</x:v>
      </x:c>
    </x:row>
    <x:row r="186" ht="22" customHeight="1">
      <x:c r="A186" s="219" t="n">
        <x:v>182</x:v>
      </x:c>
      <x:c r="B186" s="220" t="str">
        <x:v>26815</x:v>
      </x:c>
      <x:c r="C186" s="220" t="str">
        <x:v>4</x:v>
      </x:c>
      <x:c r="D186" s="220" t="str">
        <x:v>609518</x:v>
      </x:c>
      <x:c r="E186" s="220" t="str">
        <x:v>2020600240</x:v>
      </x:c>
      <x:c r="F186" s="220" t="str">
        <x:v>OUTROS</x:v>
      </x:c>
      <x:c r="G186" s="190" t="str">
        <x:v>A STD PET TXT BCO 2200X60X12 RG(ME) RTO</x:v>
      </x:c>
      <x:c r="H186" s="190" t="str"/>
      <x:c r="I186" s="190" t="str"/>
      <x:c r="J186" s="190" t="str"/>
      <x:c r="K186" s="190" t="str">
        <x:v>ESMALTE</x:v>
      </x:c>
      <x:c r="L186" s="190" t="str">
        <x:v>BRANCO CARRARA</x:v>
      </x:c>
      <x:c r="M186" s="210" t="n">
        <x:v>134</x:v>
      </x:c>
      <x:c r="N186" s="210" t="n">
        <x:v>2200</x:v>
      </x:c>
      <x:c r="O186" s="210" t="n">
        <x:v>60</x:v>
      </x:c>
      <x:c r="P186" s="210" t="n">
        <x:v>12</x:v>
      </x:c>
      <x:c r="Q186" s="211" t="n">
        <x:v>0</x:v>
      </x:c>
      <x:c r="R186" s="207" t="str"/>
      <x:c r="S186" s="207" t="str"/>
      <x:c r="T186" s="207" t="str"/>
      <x:c r="U186" s="207" t="n">
        <x:v>0</x:v>
      </x:c>
      <x:c r="V186" s="208" t="n">
        <x:f>MAX(0,M186-U186)</x:f>
        <x:v>134</x:v>
      </x:c>
      <x:c r="W186" s="209" t="n">
        <x:f>IFERROR(U186/M186,0)</x:f>
        <x:v>0</x:v>
      </x:c>
      <x:c r="X186" s="201" t="str">
        <x:f>IF(U186=0,"Não iniciado",IF(U186&gt;=M186,"Concluído","Parcial"))</x:f>
        <x:v>Não iniciado</x:v>
      </x:c>
      <x:c r="Y186" s="199" t="str"/>
      <x:c r="Z186" s="188" t="str">
        <x:v>Normal</x:v>
      </x:c>
    </x:row>
    <x:row r="187" ht="22" customHeight="1">
      <x:c r="A187" s="217" t="n">
        <x:v>183</x:v>
      </x:c>
      <x:c r="B187" s="218" t="str">
        <x:v>26815</x:v>
      </x:c>
      <x:c r="C187" s="218" t="str">
        <x:v>5</x:v>
      </x:c>
      <x:c r="D187" s="218" t="str">
        <x:v>609535</x:v>
      </x:c>
      <x:c r="E187" s="218" t="str">
        <x:v>2020600240</x:v>
      </x:c>
      <x:c r="F187" s="218" t="str">
        <x:v>OUTROS</x:v>
      </x:c>
      <x:c r="G187" s="184" t="str">
        <x:v>A STD PET TXT BCO 2200X60X12 RG(ME) RTO</x:v>
      </x:c>
      <x:c r="H187" s="184" t="str"/>
      <x:c r="I187" s="184" t="str"/>
      <x:c r="J187" s="184" t="str"/>
      <x:c r="K187" s="184" t="str">
        <x:v>ESMALTE</x:v>
      </x:c>
      <x:c r="L187" s="184" t="str">
        <x:v>BRANCO CARRARA</x:v>
      </x:c>
      <x:c r="M187" s="205" t="n">
        <x:v>16</x:v>
      </x:c>
      <x:c r="N187" s="205" t="n">
        <x:v>2200</x:v>
      </x:c>
      <x:c r="O187" s="205" t="n">
        <x:v>60</x:v>
      </x:c>
      <x:c r="P187" s="205" t="n">
        <x:v>12</x:v>
      </x:c>
      <x:c r="Q187" s="206" t="n">
        <x:v>0</x:v>
      </x:c>
      <x:c r="R187" s="207" t="str"/>
      <x:c r="S187" s="207" t="str"/>
      <x:c r="T187" s="207" t="str"/>
      <x:c r="U187" s="207" t="n">
        <x:v>0</x:v>
      </x:c>
      <x:c r="V187" s="208" t="n">
        <x:f>MAX(0,M187-U187)</x:f>
        <x:v>16</x:v>
      </x:c>
      <x:c r="W187" s="209" t="n">
        <x:f>IFERROR(U187/M187,0)</x:f>
        <x:v>0</x:v>
      </x:c>
      <x:c r="X187" s="201" t="str">
        <x:f>IF(U187=0,"Não iniciado",IF(U187&gt;=M187,"Concluído","Parcial"))</x:f>
        <x:v>Não iniciado</x:v>
      </x:c>
      <x:c r="Y187" s="199" t="str"/>
      <x:c r="Z187" s="188" t="str">
        <x:v>Normal</x:v>
      </x:c>
    </x:row>
    <x:row r="188" ht="22" customHeight="1">
      <x:c r="A188" s="219" t="n">
        <x:v>184</x:v>
      </x:c>
      <x:c r="B188" s="220" t="str">
        <x:v>26815</x:v>
      </x:c>
      <x:c r="C188" s="220" t="str">
        <x:v>6</x:v>
      </x:c>
      <x:c r="D188" s="220" t="str">
        <x:v>609552</x:v>
      </x:c>
      <x:c r="E188" s="220" t="str">
        <x:v>2020600240</x:v>
      </x:c>
      <x:c r="F188" s="220" t="str">
        <x:v>OUTROS</x:v>
      </x:c>
      <x:c r="G188" s="190" t="str">
        <x:v>A STD PET TXT BCO 2200X60X12 RG(ME) RTO</x:v>
      </x:c>
      <x:c r="H188" s="190" t="str"/>
      <x:c r="I188" s="190" t="str"/>
      <x:c r="J188" s="190" t="str"/>
      <x:c r="K188" s="190" t="str">
        <x:v>ESMALTE</x:v>
      </x:c>
      <x:c r="L188" s="190" t="str">
        <x:v>BRANCO CARRARA</x:v>
      </x:c>
      <x:c r="M188" s="210" t="n">
        <x:v>54</x:v>
      </x:c>
      <x:c r="N188" s="210" t="n">
        <x:v>2200</x:v>
      </x:c>
      <x:c r="O188" s="210" t="n">
        <x:v>60</x:v>
      </x:c>
      <x:c r="P188" s="210" t="n">
        <x:v>12</x:v>
      </x:c>
      <x:c r="Q188" s="211" t="n">
        <x:v>0</x:v>
      </x:c>
      <x:c r="R188" s="207" t="str"/>
      <x:c r="S188" s="207" t="str"/>
      <x:c r="T188" s="207" t="str"/>
      <x:c r="U188" s="207" t="n">
        <x:v>0</x:v>
      </x:c>
      <x:c r="V188" s="208" t="n">
        <x:f>MAX(0,M188-U188)</x:f>
        <x:v>54</x:v>
      </x:c>
      <x:c r="W188" s="209" t="n">
        <x:f>IFERROR(U188/M188,0)</x:f>
        <x:v>0</x:v>
      </x:c>
      <x:c r="X188" s="201" t="str">
        <x:f>IF(U188=0,"Não iniciado",IF(U188&gt;=M188,"Concluído","Parcial"))</x:f>
        <x:v>Não iniciado</x:v>
      </x:c>
      <x:c r="Y188" s="199" t="str"/>
      <x:c r="Z188" s="188" t="str">
        <x:v>Normal</x:v>
      </x:c>
    </x:row>
    <x:row r="189" ht="22" customHeight="1">
      <x:c r="A189" s="217" t="n">
        <x:v>185</x:v>
      </x:c>
      <x:c r="B189" s="218" t="str">
        <x:v>26815</x:v>
      </x:c>
      <x:c r="C189" s="218" t="str">
        <x:v>7</x:v>
      </x:c>
      <x:c r="D189" s="218" t="str">
        <x:v>609569</x:v>
      </x:c>
      <x:c r="E189" s="218" t="str">
        <x:v>2020600240</x:v>
      </x:c>
      <x:c r="F189" s="218" t="str">
        <x:v>OUTROS</x:v>
      </x:c>
      <x:c r="G189" s="184" t="str">
        <x:v>A STD PET TXT BCO 2200X60X12 RG(ME) RTO</x:v>
      </x:c>
      <x:c r="H189" s="184" t="str"/>
      <x:c r="I189" s="184" t="str"/>
      <x:c r="J189" s="184" t="str"/>
      <x:c r="K189" s="184" t="str">
        <x:v>ESMALTE</x:v>
      </x:c>
      <x:c r="L189" s="184" t="str">
        <x:v>BRANCO CARRARA</x:v>
      </x:c>
      <x:c r="M189" s="205" t="n">
        <x:v>10</x:v>
      </x:c>
      <x:c r="N189" s="205" t="n">
        <x:v>2200</x:v>
      </x:c>
      <x:c r="O189" s="205" t="n">
        <x:v>60</x:v>
      </x:c>
      <x:c r="P189" s="205" t="n">
        <x:v>12</x:v>
      </x:c>
      <x:c r="Q189" s="206" t="n">
        <x:v>0</x:v>
      </x:c>
      <x:c r="R189" s="207" t="str"/>
      <x:c r="S189" s="207" t="str"/>
      <x:c r="T189" s="207" t="str"/>
      <x:c r="U189" s="207" t="n">
        <x:v>0</x:v>
      </x:c>
      <x:c r="V189" s="208" t="n">
        <x:f>MAX(0,M189-U189)</x:f>
        <x:v>10</x:v>
      </x:c>
      <x:c r="W189" s="209" t="n">
        <x:f>IFERROR(U189/M189,0)</x:f>
        <x:v>0</x:v>
      </x:c>
      <x:c r="X189" s="201" t="str">
        <x:f>IF(U189=0,"Não iniciado",IF(U189&gt;=M189,"Concluído","Parcial"))</x:f>
        <x:v>Não iniciado</x:v>
      </x:c>
      <x:c r="Y189" s="199" t="str"/>
      <x:c r="Z189" s="188" t="str">
        <x:v>Normal</x:v>
      </x:c>
    </x:row>
    <x:row r="190" ht="22" customHeight="1">
      <x:c r="A190" s="219" t="n">
        <x:v>186</x:v>
      </x:c>
      <x:c r="B190" s="220" t="str">
        <x:v>26825</x:v>
      </x:c>
      <x:c r="C190" s="220" t="str">
        <x:v>4</x:v>
      </x:c>
      <x:c r="D190" s="220" t="str">
        <x:v>609053</x:v>
      </x:c>
      <x:c r="E190" s="220" t="str">
        <x:v>2020700645</x:v>
      </x:c>
      <x:c r="F190" s="220" t="str">
        <x:v>OUTROS</x:v>
      </x:c>
      <x:c r="G190" s="190" t="str">
        <x:v>A ULTRA PET BCO CAR 2200X60X9 RG(55) RTO</x:v>
      </x:c>
      <x:c r="H190" s="190" t="str">
        <x:v>REG 2L(MAIOR 55MM)</x:v>
      </x:c>
      <x:c r="I190" s="190" t="str"/>
      <x:c r="J190" s="190" t="str"/>
      <x:c r="K190" s="190" t="str">
        <x:v>RECOBERTO PET</x:v>
      </x:c>
      <x:c r="L190" s="190" t="str">
        <x:v>BRANCO CARRARA</x:v>
      </x:c>
      <x:c r="M190" s="210" t="n">
        <x:v>64</x:v>
      </x:c>
      <x:c r="N190" s="210" t="n">
        <x:v>2200</x:v>
      </x:c>
      <x:c r="O190" s="210" t="n">
        <x:v>60</x:v>
      </x:c>
      <x:c r="P190" s="210" t="n">
        <x:v>9</x:v>
      </x:c>
      <x:c r="Q190" s="211" t="n">
        <x:v>0</x:v>
      </x:c>
      <x:c r="R190" s="207" t="str"/>
      <x:c r="S190" s="207" t="str"/>
      <x:c r="T190" s="207" t="str"/>
      <x:c r="U190" s="207" t="n">
        <x:v>0</x:v>
      </x:c>
      <x:c r="V190" s="208" t="n">
        <x:f>MAX(0,M190-U190)</x:f>
        <x:v>64</x:v>
      </x:c>
      <x:c r="W190" s="209" t="n">
        <x:f>IFERROR(U190/M190,0)</x:f>
        <x:v>0</x:v>
      </x:c>
      <x:c r="X190" s="201" t="str">
        <x:f>IF(U190=0,"Não iniciado",IF(U190&gt;=M190,"Concluído","Parcial"))</x:f>
        <x:v>Não iniciado</x:v>
      </x:c>
      <x:c r="Y190" s="199" t="str"/>
      <x:c r="Z190" s="188" t="str">
        <x:v>Normal</x:v>
      </x:c>
    </x:row>
    <x:row r="191" ht="22" customHeight="1">
      <x:c r="A191" s="217" t="n">
        <x:v>187</x:v>
      </x:c>
      <x:c r="B191" s="218" t="str">
        <x:v>26825</x:v>
      </x:c>
      <x:c r="C191" s="218" t="str">
        <x:v>4</x:v>
      </x:c>
      <x:c r="D191" s="218" t="str">
        <x:v>609054</x:v>
      </x:c>
      <x:c r="E191" s="218" t="str">
        <x:v>2020700646</x:v>
      </x:c>
      <x:c r="F191" s="218" t="str">
        <x:v>OUTROS</x:v>
      </x:c>
      <x:c r="G191" s="184" t="str">
        <x:v>A ULTRA PET BCO CAR 2200X60X9 RG(ME) RTO</x:v>
      </x:c>
      <x:c r="H191" s="184" t="str">
        <x:v>REG 2L(MAIOR 55MM)</x:v>
      </x:c>
      <x:c r="I191" s="184" t="str"/>
      <x:c r="J191" s="184" t="str"/>
      <x:c r="K191" s="184" t="str">
        <x:v>RECOBERTO PET</x:v>
      </x:c>
      <x:c r="L191" s="184" t="str">
        <x:v>BRANCO CARRARA</x:v>
      </x:c>
      <x:c r="M191" s="205" t="n">
        <x:v>64</x:v>
      </x:c>
      <x:c r="N191" s="205" t="n">
        <x:v>2200</x:v>
      </x:c>
      <x:c r="O191" s="205" t="n">
        <x:v>60</x:v>
      </x:c>
      <x:c r="P191" s="205" t="n">
        <x:v>9</x:v>
      </x:c>
      <x:c r="Q191" s="206" t="n">
        <x:v>0</x:v>
      </x:c>
      <x:c r="R191" s="207" t="str"/>
      <x:c r="S191" s="207" t="str"/>
      <x:c r="T191" s="207" t="str"/>
      <x:c r="U191" s="207" t="n">
        <x:v>0</x:v>
      </x:c>
      <x:c r="V191" s="208" t="n">
        <x:f>MAX(0,M191-U191)</x:f>
        <x:v>64</x:v>
      </x:c>
      <x:c r="W191" s="209" t="n">
        <x:f>IFERROR(U191/M191,0)</x:f>
        <x:v>0</x:v>
      </x:c>
      <x:c r="X191" s="201" t="str">
        <x:f>IF(U191=0,"Não iniciado",IF(U191&gt;=M191,"Concluído","Parcial"))</x:f>
        <x:v>Não iniciado</x:v>
      </x:c>
      <x:c r="Y191" s="199" t="str"/>
      <x:c r="Z191" s="188" t="str">
        <x:v>Normal</x:v>
      </x:c>
    </x:row>
    <x:row r="192" ht="22" customHeight="1">
      <x:c r="A192" s="219" t="n">
        <x:v>188</x:v>
      </x:c>
      <x:c r="B192" s="220" t="str">
        <x:v>26792</x:v>
      </x:c>
      <x:c r="C192" s="220" t="str">
        <x:v>3</x:v>
      </x:c>
      <x:c r="D192" s="220" t="str">
        <x:v>609438</x:v>
      </x:c>
      <x:c r="E192" s="220" t="str">
        <x:v>2020600239</x:v>
      </x:c>
      <x:c r="F192" s="220" t="str">
        <x:v>OUTROS</x:v>
      </x:c>
      <x:c r="G192" s="190" t="str">
        <x:v>A STD PET TXT BCO 1100X60X9 RG(80) RTO</x:v>
      </x:c>
      <x:c r="H192" s="190" t="str"/>
      <x:c r="I192" s="190" t="str"/>
      <x:c r="J192" s="190" t="str"/>
      <x:c r="K192" s="190" t="str">
        <x:v>ESMALTE</x:v>
      </x:c>
      <x:c r="L192" s="190" t="str">
        <x:v>BRANCO CARRARA</x:v>
      </x:c>
      <x:c r="M192" s="210" t="n">
        <x:v>1</x:v>
      </x:c>
      <x:c r="N192" s="210" t="n">
        <x:v>1100</x:v>
      </x:c>
      <x:c r="O192" s="210" t="n">
        <x:v>60</x:v>
      </x:c>
      <x:c r="P192" s="210" t="n">
        <x:v>9</x:v>
      </x:c>
      <x:c r="Q192" s="211" t="n">
        <x:v>0</x:v>
      </x:c>
      <x:c r="R192" s="207" t="str"/>
      <x:c r="S192" s="207" t="str"/>
      <x:c r="T192" s="207" t="str"/>
      <x:c r="U192" s="207" t="n">
        <x:v>0</x:v>
      </x:c>
      <x:c r="V192" s="208" t="n">
        <x:f>MAX(0,M192-U192)</x:f>
        <x:v>1</x:v>
      </x:c>
      <x:c r="W192" s="209" t="n">
        <x:f>IFERROR(U192/M192,0)</x:f>
        <x:v>0</x:v>
      </x:c>
      <x:c r="X192" s="201" t="str">
        <x:f>IF(U192=0,"Não iniciado",IF(U192&gt;=M192,"Concluído","Parcial"))</x:f>
        <x:v>Não iniciado</x:v>
      </x:c>
      <x:c r="Y192" s="199" t="str"/>
      <x:c r="Z192" s="188" t="str">
        <x:v>Normal</x:v>
      </x:c>
    </x:row>
    <x:row r="193" ht="22" customHeight="1">
      <x:c r="A193" s="217" t="n">
        <x:v>189</x:v>
      </x:c>
      <x:c r="B193" s="218" t="str">
        <x:v>26796</x:v>
      </x:c>
      <x:c r="C193" s="218" t="str">
        <x:v>2</x:v>
      </x:c>
      <x:c r="D193" s="218" t="str">
        <x:v>609292</x:v>
      </x:c>
      <x:c r="E193" s="218" t="str">
        <x:v>956374</x:v>
      </x:c>
      <x:c r="F193" s="218" t="str">
        <x:v>OUTROS</x:v>
      </x:c>
      <x:c r="G193" s="184" t="str">
        <x:v>2250X50X9 RTO LME PET BCO TXT MPMV(STD)</x:v>
      </x:c>
      <x:c r="H193" s="184" t="str"/>
      <x:c r="I193" s="184" t="str"/>
      <x:c r="J193" s="184" t="str"/>
      <x:c r="K193" s="184" t="str">
        <x:v>ESMALTE</x:v>
      </x:c>
      <x:c r="L193" s="184" t="str">
        <x:v>BRANCO</x:v>
      </x:c>
      <x:c r="M193" s="205" t="n">
        <x:v>96</x:v>
      </x:c>
      <x:c r="N193" s="205" t="n">
        <x:v>2250</x:v>
      </x:c>
      <x:c r="O193" s="205" t="n">
        <x:v>50</x:v>
      </x:c>
      <x:c r="P193" s="205" t="n">
        <x:v>9</x:v>
      </x:c>
      <x:c r="Q193" s="206" t="n">
        <x:v>0</x:v>
      </x:c>
      <x:c r="R193" s="207" t="str"/>
      <x:c r="S193" s="207" t="str"/>
      <x:c r="T193" s="207" t="str"/>
      <x:c r="U193" s="207" t="n">
        <x:v>0</x:v>
      </x:c>
      <x:c r="V193" s="208" t="n">
        <x:f>MAX(0,M193-U193)</x:f>
        <x:v>96</x:v>
      </x:c>
      <x:c r="W193" s="209" t="n">
        <x:f>IFERROR(U193/M193,0)</x:f>
        <x:v>0</x:v>
      </x:c>
      <x:c r="X193" s="201" t="str">
        <x:f>IF(U193=0,"Não iniciado",IF(U193&gt;=M193,"Concluído","Parcial"))</x:f>
        <x:v>Não iniciado</x:v>
      </x:c>
      <x:c r="Y193" s="199" t="str"/>
      <x:c r="Z193" s="188" t="str">
        <x:v>Normal</x:v>
      </x:c>
    </x:row>
    <x:row r="194" ht="22" customHeight="1">
      <x:c r="A194" s="219" t="n">
        <x:v>190</x:v>
      </x:c>
      <x:c r="B194" s="220" t="str">
        <x:v>26799</x:v>
      </x:c>
      <x:c r="C194" s="220" t="str">
        <x:v>2</x:v>
      </x:c>
      <x:c r="D194" s="220" t="str">
        <x:v>609397</x:v>
      </x:c>
      <x:c r="E194" s="220" t="str">
        <x:v>956374</x:v>
      </x:c>
      <x:c r="F194" s="220" t="str">
        <x:v>OUTROS</x:v>
      </x:c>
      <x:c r="G194" s="190" t="str">
        <x:v>2250X50X9 RTO LME PET BCO TXT MPMV(STD)</x:v>
      </x:c>
      <x:c r="H194" s="190" t="str"/>
      <x:c r="I194" s="190" t="str"/>
      <x:c r="J194" s="190" t="str"/>
      <x:c r="K194" s="190" t="str">
        <x:v>ESMALTE</x:v>
      </x:c>
      <x:c r="L194" s="190" t="str">
        <x:v>BRANCO</x:v>
      </x:c>
      <x:c r="M194" s="210" t="n">
        <x:v>32</x:v>
      </x:c>
      <x:c r="N194" s="210" t="n">
        <x:v>2250</x:v>
      </x:c>
      <x:c r="O194" s="210" t="n">
        <x:v>50</x:v>
      </x:c>
      <x:c r="P194" s="210" t="n">
        <x:v>9</x:v>
      </x:c>
      <x:c r="Q194" s="211" t="n">
        <x:v>0</x:v>
      </x:c>
      <x:c r="R194" s="207" t="str"/>
      <x:c r="S194" s="207" t="str"/>
      <x:c r="T194" s="207" t="str"/>
      <x:c r="U194" s="207" t="n">
        <x:v>0</x:v>
      </x:c>
      <x:c r="V194" s="208" t="n">
        <x:f>MAX(0,M194-U194)</x:f>
        <x:v>32</x:v>
      </x:c>
      <x:c r="W194" s="209" t="n">
        <x:f>IFERROR(U194/M194,0)</x:f>
        <x:v>0</x:v>
      </x:c>
      <x:c r="X194" s="201" t="str">
        <x:f>IF(U194=0,"Não iniciado",IF(U194&gt;=M194,"Concluído","Parcial"))</x:f>
        <x:v>Não iniciado</x:v>
      </x:c>
      <x:c r="Y194" s="199" t="str"/>
      <x:c r="Z194" s="188" t="str">
        <x:v>Normal</x:v>
      </x:c>
    </x:row>
    <x:row r="195" ht="22" customHeight="1">
      <x:c r="A195" s="217" t="n">
        <x:v>191</x:v>
      </x:c>
      <x:c r="B195" s="218" t="str">
        <x:v>26824</x:v>
      </x:c>
      <x:c r="C195" s="218" t="str">
        <x:v>2</x:v>
      </x:c>
      <x:c r="D195" s="218" t="str">
        <x:v>609587</x:v>
      </x:c>
      <x:c r="E195" s="218" t="str">
        <x:v>956369</x:v>
      </x:c>
      <x:c r="F195" s="218" t="str">
        <x:v>OUTROS</x:v>
      </x:c>
      <x:c r="G195" s="184" t="str">
        <x:v>2250X50X9 RTO RL55 PET BCO TXT MPMV(STD)</x:v>
      </x:c>
      <x:c r="H195" s="184" t="str"/>
      <x:c r="I195" s="184" t="str"/>
      <x:c r="J195" s="184" t="str"/>
      <x:c r="K195" s="184" t="str">
        <x:v>ESMALTE</x:v>
      </x:c>
      <x:c r="L195" s="184" t="str">
        <x:v>BRANCO</x:v>
      </x:c>
      <x:c r="M195" s="205" t="n">
        <x:v>362</x:v>
      </x:c>
      <x:c r="N195" s="205" t="n">
        <x:v>2250</x:v>
      </x:c>
      <x:c r="O195" s="205" t="n">
        <x:v>50</x:v>
      </x:c>
      <x:c r="P195" s="205" t="n">
        <x:v>9</x:v>
      </x:c>
      <x:c r="Q195" s="206" t="n">
        <x:v>0</x:v>
      </x:c>
      <x:c r="R195" s="207" t="str"/>
      <x:c r="S195" s="207" t="str"/>
      <x:c r="T195" s="207" t="str"/>
      <x:c r="U195" s="207" t="n">
        <x:v>0</x:v>
      </x:c>
      <x:c r="V195" s="208" t="n">
        <x:f>MAX(0,M195-U195)</x:f>
        <x:v>362</x:v>
      </x:c>
      <x:c r="W195" s="209" t="n">
        <x:f>IFERROR(U195/M195,0)</x:f>
        <x:v>0</x:v>
      </x:c>
      <x:c r="X195" s="201" t="str">
        <x:f>IF(U195=0,"Não iniciado",IF(U195&gt;=M195,"Concluído","Parcial"))</x:f>
        <x:v>Não iniciado</x:v>
      </x:c>
      <x:c r="Y195" s="199" t="str"/>
      <x:c r="Z195" s="188" t="str">
        <x:v>Normal</x:v>
      </x:c>
    </x:row>
    <x:row r="196" ht="22" customHeight="1">
      <x:c r="A196" s="219" t="n">
        <x:v>192</x:v>
      </x:c>
      <x:c r="B196" s="220" t="str">
        <x:v>26824</x:v>
      </x:c>
      <x:c r="C196" s="220" t="str">
        <x:v>2</x:v>
      </x:c>
      <x:c r="D196" s="220" t="str">
        <x:v>609588</x:v>
      </x:c>
      <x:c r="E196" s="220" t="str">
        <x:v>956374</x:v>
      </x:c>
      <x:c r="F196" s="220" t="str">
        <x:v>OUTROS</x:v>
      </x:c>
      <x:c r="G196" s="190" t="str">
        <x:v>2250X50X9 RTO LME PET BCO TXT MPMV(STD)</x:v>
      </x:c>
      <x:c r="H196" s="190" t="str"/>
      <x:c r="I196" s="190" t="str"/>
      <x:c r="J196" s="190" t="str"/>
      <x:c r="K196" s="190" t="str">
        <x:v>ESMALTE</x:v>
      </x:c>
      <x:c r="L196" s="190" t="str">
        <x:v>BRANCO</x:v>
      </x:c>
      <x:c r="M196" s="210" t="n">
        <x:v>362</x:v>
      </x:c>
      <x:c r="N196" s="210" t="n">
        <x:v>2250</x:v>
      </x:c>
      <x:c r="O196" s="210" t="n">
        <x:v>50</x:v>
      </x:c>
      <x:c r="P196" s="210" t="n">
        <x:v>9</x:v>
      </x:c>
      <x:c r="Q196" s="211" t="n">
        <x:v>0</x:v>
      </x:c>
      <x:c r="R196" s="207" t="str"/>
      <x:c r="S196" s="207" t="str"/>
      <x:c r="T196" s="207" t="str"/>
      <x:c r="U196" s="207" t="n">
        <x:v>0</x:v>
      </x:c>
      <x:c r="V196" s="208" t="n">
        <x:f>MAX(0,M196-U196)</x:f>
        <x:v>362</x:v>
      </x:c>
      <x:c r="W196" s="209" t="n">
        <x:f>IFERROR(U196/M196,0)</x:f>
        <x:v>0</x:v>
      </x:c>
      <x:c r="X196" s="201" t="str">
        <x:f>IF(U196=0,"Não iniciado",IF(U196&gt;=M196,"Concluído","Parcial"))</x:f>
        <x:v>Não iniciado</x:v>
      </x:c>
      <x:c r="Y196" s="199" t="str"/>
      <x:c r="Z196" s="188" t="str">
        <x:v>Normal</x:v>
      </x:c>
    </x:row>
    <x:row r="197" ht="22" customHeight="1">
      <x:c r="A197" s="217" t="n">
        <x:v>193</x:v>
      </x:c>
      <x:c r="B197" s="218" t="str">
        <x:v>26824</x:v>
      </x:c>
      <x:c r="C197" s="218" t="str">
        <x:v>4</x:v>
      </x:c>
      <x:c r="D197" s="218" t="str">
        <x:v>609603</x:v>
      </x:c>
      <x:c r="E197" s="218" t="str">
        <x:v>956374</x:v>
      </x:c>
      <x:c r="F197" s="218" t="str">
        <x:v>OUTROS</x:v>
      </x:c>
      <x:c r="G197" s="184" t="str">
        <x:v>2250X50X9 RTO LME PET BCO TXT MPMV(STD)</x:v>
      </x:c>
      <x:c r="H197" s="184" t="str"/>
      <x:c r="I197" s="184" t="str"/>
      <x:c r="J197" s="184" t="str"/>
      <x:c r="K197" s="184" t="str">
        <x:v>ESMALTE</x:v>
      </x:c>
      <x:c r="L197" s="184" t="str">
        <x:v>BRANCO</x:v>
      </x:c>
      <x:c r="M197" s="205" t="n">
        <x:v>84</x:v>
      </x:c>
      <x:c r="N197" s="205" t="n">
        <x:v>2250</x:v>
      </x:c>
      <x:c r="O197" s="205" t="n">
        <x:v>50</x:v>
      </x:c>
      <x:c r="P197" s="205" t="n">
        <x:v>9</x:v>
      </x:c>
      <x:c r="Q197" s="206" t="n">
        <x:v>0</x:v>
      </x:c>
      <x:c r="R197" s="207" t="str"/>
      <x:c r="S197" s="207" t="str"/>
      <x:c r="T197" s="207" t="str"/>
      <x:c r="U197" s="207" t="n">
        <x:v>0</x:v>
      </x:c>
      <x:c r="V197" s="208" t="n">
        <x:f>MAX(0,M197-U197)</x:f>
        <x:v>84</x:v>
      </x:c>
      <x:c r="W197" s="209" t="n">
        <x:f>IFERROR(U197/M197,0)</x:f>
        <x:v>0</x:v>
      </x:c>
      <x:c r="X197" s="201" t="str">
        <x:f>IF(U197=0,"Não iniciado",IF(U197&gt;=M197,"Concluído","Parcial"))</x:f>
        <x:v>Não iniciado</x:v>
      </x:c>
      <x:c r="Y197" s="199" t="str"/>
      <x:c r="Z197" s="188" t="str">
        <x:v>Normal</x:v>
      </x:c>
    </x:row>
    <x:row r="198" ht="22" customHeight="1">
      <x:c r="A198" s="219" t="n">
        <x:v>194</x:v>
      </x:c>
      <x:c r="B198" s="220" t="str">
        <x:v>26824</x:v>
      </x:c>
      <x:c r="C198" s="220" t="str">
        <x:v>4</x:v>
      </x:c>
      <x:c r="D198" s="220" t="str">
        <x:v>609604</x:v>
      </x:c>
      <x:c r="E198" s="220" t="str">
        <x:v>956400</x:v>
      </x:c>
      <x:c r="F198" s="220" t="str">
        <x:v>OUTROS</x:v>
      </x:c>
      <x:c r="G198" s="190" t="str">
        <x:v>2250X50X9 RTO RL80 PET BCO TXT MPMV(STD)</x:v>
      </x:c>
      <x:c r="H198" s="190" t="str"/>
      <x:c r="I198" s="190" t="str"/>
      <x:c r="J198" s="190" t="str"/>
      <x:c r="K198" s="190" t="str">
        <x:v>ESMALTE</x:v>
      </x:c>
      <x:c r="L198" s="190" t="str">
        <x:v>BRANCO</x:v>
      </x:c>
      <x:c r="M198" s="210" t="n">
        <x:v>84</x:v>
      </x:c>
      <x:c r="N198" s="210" t="n">
        <x:v>2250</x:v>
      </x:c>
      <x:c r="O198" s="210" t="n">
        <x:v>50</x:v>
      </x:c>
      <x:c r="P198" s="210" t="n">
        <x:v>9</x:v>
      </x:c>
      <x:c r="Q198" s="211" t="n">
        <x:v>0</x:v>
      </x:c>
      <x:c r="R198" s="207" t="str"/>
      <x:c r="S198" s="207" t="str"/>
      <x:c r="T198" s="207" t="str"/>
      <x:c r="U198" s="207" t="n">
        <x:v>0</x:v>
      </x:c>
      <x:c r="V198" s="208" t="n">
        <x:f>MAX(0,M198-U198)</x:f>
        <x:v>84</x:v>
      </x:c>
      <x:c r="W198" s="209" t="n">
        <x:f>IFERROR(U198/M198,0)</x:f>
        <x:v>0</x:v>
      </x:c>
      <x:c r="X198" s="201" t="str">
        <x:f>IF(U198=0,"Não iniciado",IF(U198&gt;=M198,"Concluído","Parcial"))</x:f>
        <x:v>Não iniciado</x:v>
      </x:c>
      <x:c r="Y198" s="199" t="str"/>
      <x:c r="Z198" s="188" t="str">
        <x:v>Normal</x:v>
      </x:c>
    </x:row>
    <x:row r="199" ht="22" customHeight="1">
      <x:c r="A199" s="217" t="n">
        <x:v>195</x:v>
      </x:c>
      <x:c r="B199" s="218" t="str">
        <x:v>26824</x:v>
      </x:c>
      <x:c r="C199" s="218" t="str">
        <x:v>5</x:v>
      </x:c>
      <x:c r="D199" s="218" t="str">
        <x:v>609611</x:v>
      </x:c>
      <x:c r="E199" s="218" t="str">
        <x:v>956369</x:v>
      </x:c>
      <x:c r="F199" s="218" t="str">
        <x:v>OUTROS</x:v>
      </x:c>
      <x:c r="G199" s="184" t="str">
        <x:v>2250X50X9 RTO RL55 PET BCO TXT MPMV(STD)</x:v>
      </x:c>
      <x:c r="H199" s="184" t="str"/>
      <x:c r="I199" s="184" t="str"/>
      <x:c r="J199" s="184" t="str"/>
      <x:c r="K199" s="184" t="str">
        <x:v>ESMALTE</x:v>
      </x:c>
      <x:c r="L199" s="184" t="str">
        <x:v>BRANCO</x:v>
      </x:c>
      <x:c r="M199" s="205" t="n">
        <x:v>42</x:v>
      </x:c>
      <x:c r="N199" s="205" t="n">
        <x:v>2250</x:v>
      </x:c>
      <x:c r="O199" s="205" t="n">
        <x:v>50</x:v>
      </x:c>
      <x:c r="P199" s="205" t="n">
        <x:v>9</x:v>
      </x:c>
      <x:c r="Q199" s="206" t="n">
        <x:v>0</x:v>
      </x:c>
      <x:c r="R199" s="207" t="str"/>
      <x:c r="S199" s="207" t="str"/>
      <x:c r="T199" s="207" t="str"/>
      <x:c r="U199" s="207" t="n">
        <x:v>0</x:v>
      </x:c>
      <x:c r="V199" s="208" t="n">
        <x:f>MAX(0,M199-U199)</x:f>
        <x:v>42</x:v>
      </x:c>
      <x:c r="W199" s="209" t="n">
        <x:f>IFERROR(U199/M199,0)</x:f>
        <x:v>0</x:v>
      </x:c>
      <x:c r="X199" s="201" t="str">
        <x:f>IF(U199=0,"Não iniciado",IF(U199&gt;=M199,"Concluído","Parcial"))</x:f>
        <x:v>Não iniciado</x:v>
      </x:c>
      <x:c r="Y199" s="199" t="str"/>
      <x:c r="Z199" s="188" t="str">
        <x:v>Normal</x:v>
      </x:c>
    </x:row>
    <x:row r="200" ht="22" customHeight="1">
      <x:c r="A200" s="219" t="n">
        <x:v>196</x:v>
      </x:c>
      <x:c r="B200" s="220" t="str">
        <x:v>26824</x:v>
      </x:c>
      <x:c r="C200" s="220" t="str">
        <x:v>5</x:v>
      </x:c>
      <x:c r="D200" s="220" t="str">
        <x:v>609612</x:v>
      </x:c>
      <x:c r="E200" s="220" t="str">
        <x:v>956374</x:v>
      </x:c>
      <x:c r="F200" s="220" t="str">
        <x:v>OUTROS</x:v>
      </x:c>
      <x:c r="G200" s="190" t="str">
        <x:v>2250X50X9 RTO LME PET BCO TXT MPMV(STD)</x:v>
      </x:c>
      <x:c r="H200" s="190" t="str"/>
      <x:c r="I200" s="190" t="str"/>
      <x:c r="J200" s="190" t="str"/>
      <x:c r="K200" s="190" t="str">
        <x:v>ESMALTE</x:v>
      </x:c>
      <x:c r="L200" s="190" t="str">
        <x:v>BRANCO</x:v>
      </x:c>
      <x:c r="M200" s="210" t="n">
        <x:v>42</x:v>
      </x:c>
      <x:c r="N200" s="210" t="n">
        <x:v>2250</x:v>
      </x:c>
      <x:c r="O200" s="210" t="n">
        <x:v>50</x:v>
      </x:c>
      <x:c r="P200" s="210" t="n">
        <x:v>9</x:v>
      </x:c>
      <x:c r="Q200" s="211" t="n">
        <x:v>0</x:v>
      </x:c>
      <x:c r="R200" s="207" t="str"/>
      <x:c r="S200" s="207" t="str"/>
      <x:c r="T200" s="207" t="str"/>
      <x:c r="U200" s="207" t="n">
        <x:v>0</x:v>
      </x:c>
      <x:c r="V200" s="208" t="n">
        <x:f>MAX(0,M200-U200)</x:f>
        <x:v>42</x:v>
      </x:c>
      <x:c r="W200" s="209" t="n">
        <x:f>IFERROR(U200/M200,0)</x:f>
        <x:v>0</x:v>
      </x:c>
      <x:c r="X200" s="201" t="str">
        <x:f>IF(U200=0,"Não iniciado",IF(U200&gt;=M200,"Concluído","Parcial"))</x:f>
        <x:v>Não iniciado</x:v>
      </x:c>
      <x:c r="Y200" s="199" t="str"/>
      <x:c r="Z200" s="188" t="str">
        <x:v>Normal</x:v>
      </x:c>
    </x:row>
    <x:row r="201" ht="22" customHeight="1">
      <x:c r="A201" s="217" t="n">
        <x:v>197</x:v>
      </x:c>
      <x:c r="B201" s="218" t="str">
        <x:v>26824</x:v>
      </x:c>
      <x:c r="C201" s="218" t="str">
        <x:v>6</x:v>
      </x:c>
      <x:c r="D201" s="218" t="str">
        <x:v>609619</x:v>
      </x:c>
      <x:c r="E201" s="218" t="str">
        <x:v>956374</x:v>
      </x:c>
      <x:c r="F201" s="218" t="str">
        <x:v>OUTROS</x:v>
      </x:c>
      <x:c r="G201" s="184" t="str">
        <x:v>2250X50X9 RTO LME PET BCO TXT MPMV(STD)</x:v>
      </x:c>
      <x:c r="H201" s="184" t="str"/>
      <x:c r="I201" s="184" t="str"/>
      <x:c r="J201" s="184" t="str"/>
      <x:c r="K201" s="184" t="str">
        <x:v>ESMALTE</x:v>
      </x:c>
      <x:c r="L201" s="184" t="str">
        <x:v>BRANCO</x:v>
      </x:c>
      <x:c r="M201" s="205" t="n">
        <x:v>4</x:v>
      </x:c>
      <x:c r="N201" s="205" t="n">
        <x:v>2250</x:v>
      </x:c>
      <x:c r="O201" s="205" t="n">
        <x:v>50</x:v>
      </x:c>
      <x:c r="P201" s="205" t="n">
        <x:v>9</x:v>
      </x:c>
      <x:c r="Q201" s="206" t="n">
        <x:v>0</x:v>
      </x:c>
      <x:c r="R201" s="207" t="str"/>
      <x:c r="S201" s="207" t="str"/>
      <x:c r="T201" s="207" t="str"/>
      <x:c r="U201" s="207" t="n">
        <x:v>0</x:v>
      </x:c>
      <x:c r="V201" s="208" t="n">
        <x:f>MAX(0,M201-U201)</x:f>
        <x:v>4</x:v>
      </x:c>
      <x:c r="W201" s="209" t="n">
        <x:f>IFERROR(U201/M201,0)</x:f>
        <x:v>0</x:v>
      </x:c>
      <x:c r="X201" s="201" t="str">
        <x:f>IF(U201=0,"Não iniciado",IF(U201&gt;=M201,"Concluído","Parcial"))</x:f>
        <x:v>Não iniciado</x:v>
      </x:c>
      <x:c r="Y201" s="199" t="str"/>
      <x:c r="Z201" s="188" t="str">
        <x:v>Normal</x:v>
      </x:c>
    </x:row>
    <x:row r="202" ht="22" customHeight="1">
      <x:c r="A202" s="219" t="n">
        <x:v>198</x:v>
      </x:c>
      <x:c r="B202" s="220" t="str">
        <x:v>26824</x:v>
      </x:c>
      <x:c r="C202" s="220" t="str">
        <x:v>6</x:v>
      </x:c>
      <x:c r="D202" s="220" t="str">
        <x:v>609620</x:v>
      </x:c>
      <x:c r="E202" s="220" t="str">
        <x:v>956400</x:v>
      </x:c>
      <x:c r="F202" s="220" t="str">
        <x:v>OUTROS</x:v>
      </x:c>
      <x:c r="G202" s="190" t="str">
        <x:v>2250X50X9 RTO RL80 PET BCO TXT MPMV(STD)</x:v>
      </x:c>
      <x:c r="H202" s="190" t="str"/>
      <x:c r="I202" s="190" t="str"/>
      <x:c r="J202" s="190" t="str"/>
      <x:c r="K202" s="190" t="str">
        <x:v>ESMALTE</x:v>
      </x:c>
      <x:c r="L202" s="190" t="str">
        <x:v>BRANCO</x:v>
      </x:c>
      <x:c r="M202" s="210" t="n">
        <x:v>4</x:v>
      </x:c>
      <x:c r="N202" s="210" t="n">
        <x:v>2250</x:v>
      </x:c>
      <x:c r="O202" s="210" t="n">
        <x:v>50</x:v>
      </x:c>
      <x:c r="P202" s="210" t="n">
        <x:v>9</x:v>
      </x:c>
      <x:c r="Q202" s="211" t="n">
        <x:v>0</x:v>
      </x:c>
      <x:c r="R202" s="207" t="str"/>
      <x:c r="S202" s="207" t="str"/>
      <x:c r="T202" s="207" t="str"/>
      <x:c r="U202" s="207" t="n">
        <x:v>0</x:v>
      </x:c>
      <x:c r="V202" s="208" t="n">
        <x:f>MAX(0,M202-U202)</x:f>
        <x:v>4</x:v>
      </x:c>
      <x:c r="W202" s="209" t="n">
        <x:f>IFERROR(U202/M202,0)</x:f>
        <x:v>0</x:v>
      </x:c>
      <x:c r="X202" s="201" t="str">
        <x:f>IF(U202=0,"Não iniciado",IF(U202&gt;=M202,"Concluído","Parcial"))</x:f>
        <x:v>Não iniciado</x:v>
      </x:c>
      <x:c r="Y202" s="199" t="str"/>
      <x:c r="Z202" s="188" t="str">
        <x:v>Normal</x:v>
      </x:c>
    </x:row>
    <x:row r="203" ht="22" customHeight="1">
      <x:c r="A203" s="217" t="n">
        <x:v>199</x:v>
      </x:c>
      <x:c r="B203" s="218" t="str">
        <x:v>26826</x:v>
      </x:c>
      <x:c r="C203" s="218" t="str">
        <x:v>6</x:v>
      </x:c>
      <x:c r="D203" s="218" t="str">
        <x:v>609072</x:v>
      </x:c>
      <x:c r="E203" s="218" t="str">
        <x:v>956369</x:v>
      </x:c>
      <x:c r="F203" s="218" t="str">
        <x:v>OUTROS</x:v>
      </x:c>
      <x:c r="G203" s="184" t="str">
        <x:v>2250X50X9 RTO RL55 PET BCO TXT MPMV(STD)</x:v>
      </x:c>
      <x:c r="H203" s="184" t="str">
        <x:v>REG 2L(MAIOR 55MM)</x:v>
      </x:c>
      <x:c r="I203" s="184" t="str"/>
      <x:c r="J203" s="184" t="str"/>
      <x:c r="K203" s="184" t="str">
        <x:v>RECOBERTO PET TXT</x:v>
      </x:c>
      <x:c r="L203" s="184" t="str">
        <x:v>BRANCO</x:v>
      </x:c>
      <x:c r="M203" s="205" t="n">
        <x:v>230</x:v>
      </x:c>
      <x:c r="N203" s="205" t="n">
        <x:v>2250</x:v>
      </x:c>
      <x:c r="O203" s="205" t="n">
        <x:v>50</x:v>
      </x:c>
      <x:c r="P203" s="205" t="n">
        <x:v>9</x:v>
      </x:c>
      <x:c r="Q203" s="206" t="n">
        <x:v>0</x:v>
      </x:c>
      <x:c r="R203" s="207" t="str"/>
      <x:c r="S203" s="207" t="str"/>
      <x:c r="T203" s="207" t="str"/>
      <x:c r="U203" s="207" t="n">
        <x:v>0</x:v>
      </x:c>
      <x:c r="V203" s="208" t="n">
        <x:f>MAX(0,M203-U203)</x:f>
        <x:v>230</x:v>
      </x:c>
      <x:c r="W203" s="209" t="n">
        <x:f>IFERROR(U203/M203,0)</x:f>
        <x:v>0</x:v>
      </x:c>
      <x:c r="X203" s="201" t="str">
        <x:f>IF(U203=0,"Não iniciado",IF(U203&gt;=M203,"Concluído","Parcial"))</x:f>
        <x:v>Não iniciado</x:v>
      </x:c>
      <x:c r="Y203" s="199" t="str"/>
      <x:c r="Z203" s="188" t="str">
        <x:v>Normal</x:v>
      </x:c>
    </x:row>
    <x:row r="204" ht="22" customHeight="1">
      <x:c r="A204" s="219" t="n">
        <x:v>200</x:v>
      </x:c>
      <x:c r="B204" s="220" t="str">
        <x:v>26826</x:v>
      </x:c>
      <x:c r="C204" s="220" t="str">
        <x:v>6</x:v>
      </x:c>
      <x:c r="D204" s="220" t="str">
        <x:v>609073</x:v>
      </x:c>
      <x:c r="E204" s="220" t="str">
        <x:v>956374</x:v>
      </x:c>
      <x:c r="F204" s="220" t="str">
        <x:v>OUTROS</x:v>
      </x:c>
      <x:c r="G204" s="190" t="str">
        <x:v>2250X50X9 RTO LME PET BCO TXT MPMV(STD)</x:v>
      </x:c>
      <x:c r="H204" s="190" t="str">
        <x:v>REG 2L(MAIOR 55MM)</x:v>
      </x:c>
      <x:c r="I204" s="190" t="str"/>
      <x:c r="J204" s="190" t="str"/>
      <x:c r="K204" s="190" t="str">
        <x:v>RECOBERTO PET TXT</x:v>
      </x:c>
      <x:c r="L204" s="190" t="str">
        <x:v>BRANCO</x:v>
      </x:c>
      <x:c r="M204" s="210" t="n">
        <x:v>230</x:v>
      </x:c>
      <x:c r="N204" s="210" t="n">
        <x:v>2250</x:v>
      </x:c>
      <x:c r="O204" s="210" t="n">
        <x:v>50</x:v>
      </x:c>
      <x:c r="P204" s="210" t="n">
        <x:v>9</x:v>
      </x:c>
      <x:c r="Q204" s="211" t="n">
        <x:v>0</x:v>
      </x:c>
      <x:c r="R204" s="207" t="str"/>
      <x:c r="S204" s="207" t="str"/>
      <x:c r="T204" s="207" t="str"/>
      <x:c r="U204" s="207" t="n">
        <x:v>0</x:v>
      </x:c>
      <x:c r="V204" s="208" t="n">
        <x:f>MAX(0,M204-U204)</x:f>
        <x:v>230</x:v>
      </x:c>
      <x:c r="W204" s="209" t="n">
        <x:f>IFERROR(U204/M204,0)</x:f>
        <x:v>0</x:v>
      </x:c>
      <x:c r="X204" s="201" t="str">
        <x:f>IF(U204=0,"Não iniciado",IF(U204&gt;=M204,"Concluído","Parcial"))</x:f>
        <x:v>Não iniciado</x:v>
      </x:c>
      <x:c r="Y204" s="199" t="str"/>
      <x:c r="Z204" s="188" t="str">
        <x:v>Normal</x:v>
      </x:c>
    </x:row>
    <x:row r="205" ht="22" customHeight="1">
      <x:c r="A205" s="217" t="n">
        <x:v>201</x:v>
      </x:c>
      <x:c r="B205" s="218" t="str">
        <x:v>26739</x:v>
      </x:c>
      <x:c r="C205" s="218" t="str">
        <x:v>8</x:v>
      </x:c>
      <x:c r="D205" s="218" t="str">
        <x:v>609640</x:v>
      </x:c>
      <x:c r="E205" s="218" t="str">
        <x:v>963311</x:v>
      </x:c>
      <x:c r="F205" s="218" t="str">
        <x:v>OUTROS</x:v>
      </x:c>
      <x:c r="G205" s="184" t="str">
        <x:v>PE AL 2250X50X9 RTO LME REC PET BCO(ULTR</x:v>
      </x:c>
      <x:c r="H205" s="184" t="str"/>
      <x:c r="I205" s="184" t="str"/>
      <x:c r="J205" s="184" t="str"/>
      <x:c r="K205" s="184" t="str">
        <x:v>ESMALTE</x:v>
      </x:c>
      <x:c r="L205" s="184" t="str">
        <x:v>BRANCO CARRARA</x:v>
      </x:c>
      <x:c r="M205" s="205" t="n">
        <x:v>36</x:v>
      </x:c>
      <x:c r="N205" s="205" t="n">
        <x:v>2250</x:v>
      </x:c>
      <x:c r="O205" s="205" t="n">
        <x:v>50</x:v>
      </x:c>
      <x:c r="P205" s="205" t="n">
        <x:v>9</x:v>
      </x:c>
      <x:c r="Q205" s="206" t="n">
        <x:v>0</x:v>
      </x:c>
      <x:c r="R205" s="207" t="str"/>
      <x:c r="S205" s="207" t="str"/>
      <x:c r="T205" s="207" t="str"/>
      <x:c r="U205" s="207" t="n">
        <x:v>0</x:v>
      </x:c>
      <x:c r="V205" s="208" t="n">
        <x:f>MAX(0,M205-U205)</x:f>
        <x:v>36</x:v>
      </x:c>
      <x:c r="W205" s="209" t="n">
        <x:f>IFERROR(U205/M205,0)</x:f>
        <x:v>0</x:v>
      </x:c>
      <x:c r="X205" s="201" t="str">
        <x:f>IF(U205=0,"Não iniciado",IF(U205&gt;=M205,"Concluído","Parcial"))</x:f>
        <x:v>Não iniciado</x:v>
      </x:c>
      <x:c r="Y205" s="199" t="str"/>
      <x:c r="Z205" s="188" t="str">
        <x:v>Normal</x:v>
      </x:c>
    </x:row>
    <x:row r="206" ht="22" customHeight="1">
      <x:c r="A206" s="219" t="n">
        <x:v>202</x:v>
      </x:c>
      <x:c r="B206" s="220" t="str">
        <x:v>26739</x:v>
      </x:c>
      <x:c r="C206" s="220" t="str">
        <x:v>8</x:v>
      </x:c>
      <x:c r="D206" s="220" t="str">
        <x:v>609642</x:v>
      </x:c>
      <x:c r="E206" s="220" t="str">
        <x:v>971601</x:v>
      </x:c>
      <x:c r="F206" s="220" t="str">
        <x:v>OUTROS</x:v>
      </x:c>
      <x:c r="G206" s="190" t="str">
        <x:v>PE AL 2250X50X9 RTO RL80 REC PET BCO(ULT</x:v>
      </x:c>
      <x:c r="H206" s="190" t="str"/>
      <x:c r="I206" s="190" t="str"/>
      <x:c r="J206" s="190" t="str"/>
      <x:c r="K206" s="190" t="str">
        <x:v>ESMALTE</x:v>
      </x:c>
      <x:c r="L206" s="190" t="str">
        <x:v>BRANCO CARRARA</x:v>
      </x:c>
      <x:c r="M206" s="210" t="n">
        <x:v>36</x:v>
      </x:c>
      <x:c r="N206" s="210" t="n">
        <x:v>2250</x:v>
      </x:c>
      <x:c r="O206" s="210" t="n">
        <x:v>50</x:v>
      </x:c>
      <x:c r="P206" s="210" t="n">
        <x:v>9</x:v>
      </x:c>
      <x:c r="Q206" s="211" t="n">
        <x:v>0</x:v>
      </x:c>
      <x:c r="R206" s="207" t="str"/>
      <x:c r="S206" s="207" t="str"/>
      <x:c r="T206" s="207" t="str"/>
      <x:c r="U206" s="207" t="n">
        <x:v>0</x:v>
      </x:c>
      <x:c r="V206" s="208" t="n">
        <x:f>MAX(0,M206-U206)</x:f>
        <x:v>36</x:v>
      </x:c>
      <x:c r="W206" s="209" t="n">
        <x:f>IFERROR(U206/M206,0)</x:f>
        <x:v>0</x:v>
      </x:c>
      <x:c r="X206" s="201" t="str">
        <x:f>IF(U206=0,"Não iniciado",IF(U206&gt;=M206,"Concluído","Parcial"))</x:f>
        <x:v>Não iniciado</x:v>
      </x:c>
      <x:c r="Y206" s="199" t="str"/>
      <x:c r="Z206" s="188" t="str">
        <x:v>Normal</x:v>
      </x:c>
    </x:row>
    <x:row r="207" ht="22" customHeight="1">
      <x:c r="A207" s="217" t="n">
        <x:v>203</x:v>
      </x:c>
      <x:c r="B207" s="218" t="str">
        <x:v>26739</x:v>
      </x:c>
      <x:c r="C207" s="218" t="str">
        <x:v>9</x:v>
      </x:c>
      <x:c r="D207" s="218" t="str">
        <x:v>609649</x:v>
      </x:c>
      <x:c r="E207" s="218" t="str">
        <x:v>963311</x:v>
      </x:c>
      <x:c r="F207" s="218" t="str">
        <x:v>OUTROS</x:v>
      </x:c>
      <x:c r="G207" s="184" t="str">
        <x:v>PE AL 2250X50X9 RTO LME REC PET BCO(ULTR</x:v>
      </x:c>
      <x:c r="H207" s="184" t="str"/>
      <x:c r="I207" s="184" t="str"/>
      <x:c r="J207" s="184" t="str"/>
      <x:c r="K207" s="184" t="str">
        <x:v>ESMALTE</x:v>
      </x:c>
      <x:c r="L207" s="184" t="str">
        <x:v>BRANCO CARRARA</x:v>
      </x:c>
      <x:c r="M207" s="205" t="n">
        <x:v>12</x:v>
      </x:c>
      <x:c r="N207" s="205" t="n">
        <x:v>2250</x:v>
      </x:c>
      <x:c r="O207" s="205" t="n">
        <x:v>50</x:v>
      </x:c>
      <x:c r="P207" s="205" t="n">
        <x:v>9</x:v>
      </x:c>
      <x:c r="Q207" s="206" t="n">
        <x:v>0</x:v>
      </x:c>
      <x:c r="R207" s="207" t="str"/>
      <x:c r="S207" s="207" t="str"/>
      <x:c r="T207" s="207" t="str"/>
      <x:c r="U207" s="207" t="n">
        <x:v>0</x:v>
      </x:c>
      <x:c r="V207" s="208" t="n">
        <x:f>MAX(0,M207-U207)</x:f>
        <x:v>12</x:v>
      </x:c>
      <x:c r="W207" s="209" t="n">
        <x:f>IFERROR(U207/M207,0)</x:f>
        <x:v>0</x:v>
      </x:c>
      <x:c r="X207" s="201" t="str">
        <x:f>IF(U207=0,"Não iniciado",IF(U207&gt;=M207,"Concluído","Parcial"))</x:f>
        <x:v>Não iniciado</x:v>
      </x:c>
      <x:c r="Y207" s="199" t="str"/>
      <x:c r="Z207" s="188" t="str">
        <x:v>Normal</x:v>
      </x:c>
    </x:row>
    <x:row r="208" ht="22" customHeight="1">
      <x:c r="A208" s="219" t="n">
        <x:v>204</x:v>
      </x:c>
      <x:c r="B208" s="220" t="str">
        <x:v>26739</x:v>
      </x:c>
      <x:c r="C208" s="220" t="str">
        <x:v>9</x:v>
      </x:c>
      <x:c r="D208" s="220" t="str">
        <x:v>609652</x:v>
      </x:c>
      <x:c r="E208" s="220" t="str">
        <x:v>971601</x:v>
      </x:c>
      <x:c r="F208" s="220" t="str">
        <x:v>OUTROS</x:v>
      </x:c>
      <x:c r="G208" s="190" t="str">
        <x:v>PE AL 2250X50X9 RTO RL80 REC PET BCO(ULT</x:v>
      </x:c>
      <x:c r="H208" s="190" t="str"/>
      <x:c r="I208" s="190" t="str"/>
      <x:c r="J208" s="190" t="str"/>
      <x:c r="K208" s="190" t="str">
        <x:v>ESMALTE</x:v>
      </x:c>
      <x:c r="L208" s="190" t="str">
        <x:v>BRANCO CARRARA</x:v>
      </x:c>
      <x:c r="M208" s="210" t="n">
        <x:v>12</x:v>
      </x:c>
      <x:c r="N208" s="210" t="n">
        <x:v>2250</x:v>
      </x:c>
      <x:c r="O208" s="210" t="n">
        <x:v>50</x:v>
      </x:c>
      <x:c r="P208" s="210" t="n">
        <x:v>9</x:v>
      </x:c>
      <x:c r="Q208" s="211" t="n">
        <x:v>0</x:v>
      </x:c>
      <x:c r="R208" s="207" t="str"/>
      <x:c r="S208" s="207" t="str"/>
      <x:c r="T208" s="207" t="str"/>
      <x:c r="U208" s="207" t="n">
        <x:v>0</x:v>
      </x:c>
      <x:c r="V208" s="208" t="n">
        <x:f>MAX(0,M208-U208)</x:f>
        <x:v>12</x:v>
      </x:c>
      <x:c r="W208" s="209" t="n">
        <x:f>IFERROR(U208/M208,0)</x:f>
        <x:v>0</x:v>
      </x:c>
      <x:c r="X208" s="201" t="str">
        <x:f>IF(U208=0,"Não iniciado",IF(U208&gt;=M208,"Concluído","Parcial"))</x:f>
        <x:v>Não iniciado</x:v>
      </x:c>
      <x:c r="Y208" s="199" t="str"/>
      <x:c r="Z208" s="188" t="str">
        <x:v>Normal</x:v>
      </x:c>
    </x:row>
    <x:row r="209" ht="22" customHeight="1">
      <x:c r="A209" s="217" t="n">
        <x:v>205</x:v>
      </x:c>
      <x:c r="B209" s="218" t="str">
        <x:v>26739</x:v>
      </x:c>
      <x:c r="C209" s="218" t="str">
        <x:v>10</x:v>
      </x:c>
      <x:c r="D209" s="218" t="str">
        <x:v>609656</x:v>
      </x:c>
      <x:c r="E209" s="218" t="str">
        <x:v>963311</x:v>
      </x:c>
      <x:c r="F209" s="218" t="str">
        <x:v>OUTROS</x:v>
      </x:c>
      <x:c r="G209" s="184" t="str">
        <x:v>PE AL 2250X50X9 RTO LME REC PET BCO(ULTR</x:v>
      </x:c>
      <x:c r="H209" s="184" t="str"/>
      <x:c r="I209" s="184" t="str"/>
      <x:c r="J209" s="184" t="str"/>
      <x:c r="K209" s="184" t="str">
        <x:v>ESMALTE</x:v>
      </x:c>
      <x:c r="L209" s="184" t="str">
        <x:v>BRANCO CARRARA</x:v>
      </x:c>
      <x:c r="M209" s="205" t="n">
        <x:v>44</x:v>
      </x:c>
      <x:c r="N209" s="205" t="n">
        <x:v>2250</x:v>
      </x:c>
      <x:c r="O209" s="205" t="n">
        <x:v>50</x:v>
      </x:c>
      <x:c r="P209" s="205" t="n">
        <x:v>9</x:v>
      </x:c>
      <x:c r="Q209" s="206" t="n">
        <x:v>0</x:v>
      </x:c>
      <x:c r="R209" s="207" t="str"/>
      <x:c r="S209" s="207" t="str"/>
      <x:c r="T209" s="207" t="str"/>
      <x:c r="U209" s="207" t="n">
        <x:v>0</x:v>
      </x:c>
      <x:c r="V209" s="208" t="n">
        <x:f>MAX(0,M209-U209)</x:f>
        <x:v>44</x:v>
      </x:c>
      <x:c r="W209" s="209" t="n">
        <x:f>IFERROR(U209/M209,0)</x:f>
        <x:v>0</x:v>
      </x:c>
      <x:c r="X209" s="201" t="str">
        <x:f>IF(U209=0,"Não iniciado",IF(U209&gt;=M209,"Concluído","Parcial"))</x:f>
        <x:v>Não iniciado</x:v>
      </x:c>
      <x:c r="Y209" s="199" t="str"/>
      <x:c r="Z209" s="188" t="str">
        <x:v>Normal</x:v>
      </x:c>
    </x:row>
    <x:row r="210" ht="22" customHeight="1">
      <x:c r="A210" s="219" t="n">
        <x:v>206</x:v>
      </x:c>
      <x:c r="B210" s="220" t="str">
        <x:v>26739</x:v>
      </x:c>
      <x:c r="C210" s="220" t="str">
        <x:v>10</x:v>
      </x:c>
      <x:c r="D210" s="220" t="str">
        <x:v>609658</x:v>
      </x:c>
      <x:c r="E210" s="220" t="str">
        <x:v>971601</x:v>
      </x:c>
      <x:c r="F210" s="220" t="str">
        <x:v>OUTROS</x:v>
      </x:c>
      <x:c r="G210" s="190" t="str">
        <x:v>PE AL 2250X50X9 RTO RL80 REC PET BCO(ULT</x:v>
      </x:c>
      <x:c r="H210" s="190" t="str"/>
      <x:c r="I210" s="190" t="str"/>
      <x:c r="J210" s="190" t="str"/>
      <x:c r="K210" s="190" t="str">
        <x:v>ESMALTE</x:v>
      </x:c>
      <x:c r="L210" s="190" t="str">
        <x:v>BRANCO CARRARA</x:v>
      </x:c>
      <x:c r="M210" s="210" t="n">
        <x:v>44</x:v>
      </x:c>
      <x:c r="N210" s="210" t="n">
        <x:v>2250</x:v>
      </x:c>
      <x:c r="O210" s="210" t="n">
        <x:v>50</x:v>
      </x:c>
      <x:c r="P210" s="210" t="n">
        <x:v>9</x:v>
      </x:c>
      <x:c r="Q210" s="211" t="n">
        <x:v>0</x:v>
      </x:c>
      <x:c r="R210" s="207" t="str"/>
      <x:c r="S210" s="207" t="str"/>
      <x:c r="T210" s="207" t="str"/>
      <x:c r="U210" s="207" t="n">
        <x:v>0</x:v>
      </x:c>
      <x:c r="V210" s="208" t="n">
        <x:f>MAX(0,M210-U210)</x:f>
        <x:v>44</x:v>
      </x:c>
      <x:c r="W210" s="209" t="n">
        <x:f>IFERROR(U210/M210,0)</x:f>
        <x:v>0</x:v>
      </x:c>
      <x:c r="X210" s="201" t="str">
        <x:f>IF(U210=0,"Não iniciado",IF(U210&gt;=M210,"Concluído","Parcial"))</x:f>
        <x:v>Não iniciado</x:v>
      </x:c>
      <x:c r="Y210" s="199" t="str"/>
      <x:c r="Z210" s="188" t="str">
        <x:v>Normal</x:v>
      </x:c>
    </x:row>
    <x:row r="211" ht="22" customHeight="1">
      <x:c r="A211" s="217" t="n">
        <x:v>207</x:v>
      </x:c>
      <x:c r="B211" s="218" t="str">
        <x:v>26739</x:v>
      </x:c>
      <x:c r="C211" s="218" t="str">
        <x:v>11</x:v>
      </x:c>
      <x:c r="D211" s="218" t="str">
        <x:v>609666</x:v>
      </x:c>
      <x:c r="E211" s="218" t="str">
        <x:v>963311</x:v>
      </x:c>
      <x:c r="F211" s="218" t="str">
        <x:v>OUTROS</x:v>
      </x:c>
      <x:c r="G211" s="184" t="str">
        <x:v>PE AL 2250X50X9 RTO LME REC PET BCO(ULTR</x:v>
      </x:c>
      <x:c r="H211" s="184" t="str"/>
      <x:c r="I211" s="184" t="str"/>
      <x:c r="J211" s="184" t="str"/>
      <x:c r="K211" s="184" t="str">
        <x:v>ESMALTE</x:v>
      </x:c>
      <x:c r="L211" s="184" t="str">
        <x:v>BRANCO CARRARA</x:v>
      </x:c>
      <x:c r="M211" s="205" t="n">
        <x:v>32</x:v>
      </x:c>
      <x:c r="N211" s="205" t="n">
        <x:v>2250</x:v>
      </x:c>
      <x:c r="O211" s="205" t="n">
        <x:v>50</x:v>
      </x:c>
      <x:c r="P211" s="205" t="n">
        <x:v>9</x:v>
      </x:c>
      <x:c r="Q211" s="206" t="n">
        <x:v>0</x:v>
      </x:c>
      <x:c r="R211" s="207" t="str"/>
      <x:c r="S211" s="207" t="str"/>
      <x:c r="T211" s="207" t="str"/>
      <x:c r="U211" s="207" t="n">
        <x:v>0</x:v>
      </x:c>
      <x:c r="V211" s="208" t="n">
        <x:f>MAX(0,M211-U211)</x:f>
        <x:v>32</x:v>
      </x:c>
      <x:c r="W211" s="209" t="n">
        <x:f>IFERROR(U211/M211,0)</x:f>
        <x:v>0</x:v>
      </x:c>
      <x:c r="X211" s="201" t="str">
        <x:f>IF(U211=0,"Não iniciado",IF(U211&gt;=M211,"Concluído","Parcial"))</x:f>
        <x:v>Não iniciado</x:v>
      </x:c>
      <x:c r="Y211" s="199" t="str"/>
      <x:c r="Z211" s="188" t="str">
        <x:v>Normal</x:v>
      </x:c>
    </x:row>
    <x:row r="212" ht="22" customHeight="1">
      <x:c r="A212" s="219" t="n">
        <x:v>208</x:v>
      </x:c>
      <x:c r="B212" s="220" t="str">
        <x:v>26739</x:v>
      </x:c>
      <x:c r="C212" s="220" t="str">
        <x:v>11</x:v>
      </x:c>
      <x:c r="D212" s="220" t="str">
        <x:v>609668</x:v>
      </x:c>
      <x:c r="E212" s="220" t="str">
        <x:v>971601</x:v>
      </x:c>
      <x:c r="F212" s="220" t="str">
        <x:v>OUTROS</x:v>
      </x:c>
      <x:c r="G212" s="190" t="str">
        <x:v>PE AL 2250X50X9 RTO RL80 REC PET BCO(ULT</x:v>
      </x:c>
      <x:c r="H212" s="190" t="str"/>
      <x:c r="I212" s="190" t="str"/>
      <x:c r="J212" s="190" t="str"/>
      <x:c r="K212" s="190" t="str">
        <x:v>ESMALTE</x:v>
      </x:c>
      <x:c r="L212" s="190" t="str">
        <x:v>BRANCO CARRARA</x:v>
      </x:c>
      <x:c r="M212" s="210" t="n">
        <x:v>32</x:v>
      </x:c>
      <x:c r="N212" s="210" t="n">
        <x:v>2250</x:v>
      </x:c>
      <x:c r="O212" s="210" t="n">
        <x:v>50</x:v>
      </x:c>
      <x:c r="P212" s="210" t="n">
        <x:v>9</x:v>
      </x:c>
      <x:c r="Q212" s="211" t="n">
        <x:v>0</x:v>
      </x:c>
      <x:c r="R212" s="207" t="str"/>
      <x:c r="S212" s="207" t="str"/>
      <x:c r="T212" s="207" t="str"/>
      <x:c r="U212" s="207" t="n">
        <x:v>0</x:v>
      </x:c>
      <x:c r="V212" s="208" t="n">
        <x:f>MAX(0,M212-U212)</x:f>
        <x:v>32</x:v>
      </x:c>
      <x:c r="W212" s="209" t="n">
        <x:f>IFERROR(U212/M212,0)</x:f>
        <x:v>0</x:v>
      </x:c>
      <x:c r="X212" s="201" t="str">
        <x:f>IF(U212=0,"Não iniciado",IF(U212&gt;=M212,"Concluído","Parcial"))</x:f>
        <x:v>Não iniciado</x:v>
      </x:c>
      <x:c r="Y212" s="199" t="str"/>
      <x:c r="Z212" s="188" t="str">
        <x:v>Normal</x:v>
      </x:c>
    </x:row>
    <x:row r="213" ht="22" customHeight="1">
      <x:c r="A213" s="217" t="n">
        <x:v>209</x:v>
      </x:c>
      <x:c r="B213" s="218" t="str">
        <x:v>26739</x:v>
      </x:c>
      <x:c r="C213" s="218" t="str">
        <x:v>12</x:v>
      </x:c>
      <x:c r="D213" s="218" t="str">
        <x:v>609673</x:v>
      </x:c>
      <x:c r="E213" s="218" t="str">
        <x:v>963311</x:v>
      </x:c>
      <x:c r="F213" s="218" t="str">
        <x:v>OUTROS</x:v>
      </x:c>
      <x:c r="G213" s="184" t="str">
        <x:v>PE AL 2250X50X9 RTO LME REC PET BCO(ULTR</x:v>
      </x:c>
      <x:c r="H213" s="184" t="str"/>
      <x:c r="I213" s="184" t="str"/>
      <x:c r="J213" s="184" t="str"/>
      <x:c r="K213" s="184" t="str">
        <x:v>ESMALTE</x:v>
      </x:c>
      <x:c r="L213" s="184" t="str">
        <x:v>BRANCO CARRARA</x:v>
      </x:c>
      <x:c r="M213" s="205" t="n">
        <x:v>2</x:v>
      </x:c>
      <x:c r="N213" s="205" t="n">
        <x:v>2250</x:v>
      </x:c>
      <x:c r="O213" s="205" t="n">
        <x:v>50</x:v>
      </x:c>
      <x:c r="P213" s="205" t="n">
        <x:v>9</x:v>
      </x:c>
      <x:c r="Q213" s="206" t="n">
        <x:v>0</x:v>
      </x:c>
      <x:c r="R213" s="207" t="str"/>
      <x:c r="S213" s="207" t="str"/>
      <x:c r="T213" s="207" t="str"/>
      <x:c r="U213" s="207" t="n">
        <x:v>0</x:v>
      </x:c>
      <x:c r="V213" s="208" t="n">
        <x:f>MAX(0,M213-U213)</x:f>
        <x:v>2</x:v>
      </x:c>
      <x:c r="W213" s="209" t="n">
        <x:f>IFERROR(U213/M213,0)</x:f>
        <x:v>0</x:v>
      </x:c>
      <x:c r="X213" s="201" t="str">
        <x:f>IF(U213=0,"Não iniciado",IF(U213&gt;=M213,"Concluído","Parcial"))</x:f>
        <x:v>Não iniciado</x:v>
      </x:c>
      <x:c r="Y213" s="199" t="str"/>
      <x:c r="Z213" s="188" t="str">
        <x:v>Normal</x:v>
      </x:c>
    </x:row>
    <x:row r="214" ht="22" customHeight="1">
      <x:c r="A214" s="219" t="n">
        <x:v>210</x:v>
      </x:c>
      <x:c r="B214" s="220" t="str">
        <x:v>26739</x:v>
      </x:c>
      <x:c r="C214" s="220" t="str">
        <x:v>12</x:v>
      </x:c>
      <x:c r="D214" s="220" t="str">
        <x:v>609676</x:v>
      </x:c>
      <x:c r="E214" s="220" t="str">
        <x:v>971601</x:v>
      </x:c>
      <x:c r="F214" s="220" t="str">
        <x:v>OUTROS</x:v>
      </x:c>
      <x:c r="G214" s="190" t="str">
        <x:v>PE AL 2250X50X9 RTO RL80 REC PET BCO(ULT</x:v>
      </x:c>
      <x:c r="H214" s="190" t="str"/>
      <x:c r="I214" s="190" t="str"/>
      <x:c r="J214" s="190" t="str"/>
      <x:c r="K214" s="190" t="str">
        <x:v>ESMALTE</x:v>
      </x:c>
      <x:c r="L214" s="190" t="str">
        <x:v>BRANCO CARRARA</x:v>
      </x:c>
      <x:c r="M214" s="210" t="n">
        <x:v>2</x:v>
      </x:c>
      <x:c r="N214" s="210" t="n">
        <x:v>2250</x:v>
      </x:c>
      <x:c r="O214" s="210" t="n">
        <x:v>50</x:v>
      </x:c>
      <x:c r="P214" s="210" t="n">
        <x:v>9</x:v>
      </x:c>
      <x:c r="Q214" s="211" t="n">
        <x:v>0</x:v>
      </x:c>
      <x:c r="R214" s="207" t="str"/>
      <x:c r="S214" s="207" t="str"/>
      <x:c r="T214" s="207" t="str"/>
      <x:c r="U214" s="207" t="n">
        <x:v>0</x:v>
      </x:c>
      <x:c r="V214" s="208" t="n">
        <x:f>MAX(0,M214-U214)</x:f>
        <x:v>2</x:v>
      </x:c>
      <x:c r="W214" s="209" t="n">
        <x:f>IFERROR(U214/M214,0)</x:f>
        <x:v>0</x:v>
      </x:c>
      <x:c r="X214" s="201" t="str">
        <x:f>IF(U214=0,"Não iniciado",IF(U214&gt;=M214,"Concluído","Parcial"))</x:f>
        <x:v>Não iniciado</x:v>
      </x:c>
      <x:c r="Y214" s="199" t="str"/>
      <x:c r="Z214" s="188" t="str">
        <x:v>Normal</x:v>
      </x:c>
    </x:row>
    <x:row r="215" ht="22" customHeight="1">
      <x:c r="A215" s="217" t="n">
        <x:v>211</x:v>
      </x:c>
      <x:c r="B215" s="218" t="str">
        <x:v>26739</x:v>
      </x:c>
      <x:c r="C215" s="218" t="str">
        <x:v>15</x:v>
      </x:c>
      <x:c r="D215" s="218" t="str">
        <x:v>609684</x:v>
      </x:c>
      <x:c r="E215" s="218" t="str">
        <x:v>963311</x:v>
      </x:c>
      <x:c r="F215" s="218" t="str">
        <x:v>OUTROS</x:v>
      </x:c>
      <x:c r="G215" s="184" t="str">
        <x:v>PE AL 2250X50X9 RTO LME REC PET BCO(ULTR</x:v>
      </x:c>
      <x:c r="H215" s="184" t="str">
        <x:v>REG 2L(MAIOR 80MM)</x:v>
      </x:c>
      <x:c r="I215" s="184" t="str"/>
      <x:c r="J215" s="184" t="str"/>
      <x:c r="K215" s="184" t="str">
        <x:v>RECOBERTO PET</x:v>
      </x:c>
      <x:c r="L215" s="184" t="str">
        <x:v>BRANCO CARRARA</x:v>
      </x:c>
      <x:c r="M215" s="205" t="n">
        <x:v>14</x:v>
      </x:c>
      <x:c r="N215" s="205" t="n">
        <x:v>2250</x:v>
      </x:c>
      <x:c r="O215" s="205" t="n">
        <x:v>50</x:v>
      </x:c>
      <x:c r="P215" s="205" t="n">
        <x:v>9</x:v>
      </x:c>
      <x:c r="Q215" s="206" t="n">
        <x:v>0</x:v>
      </x:c>
      <x:c r="R215" s="207" t="str"/>
      <x:c r="S215" s="207" t="str"/>
      <x:c r="T215" s="207" t="str"/>
      <x:c r="U215" s="207" t="n">
        <x:v>0</x:v>
      </x:c>
      <x:c r="V215" s="208" t="n">
        <x:f>MAX(0,M215-U215)</x:f>
        <x:v>14</x:v>
      </x:c>
      <x:c r="W215" s="209" t="n">
        <x:f>IFERROR(U215/M215,0)</x:f>
        <x:v>0</x:v>
      </x:c>
      <x:c r="X215" s="201" t="str">
        <x:f>IF(U215=0,"Não iniciado",IF(U215&gt;=M215,"Concluído","Parcial"))</x:f>
        <x:v>Não iniciado</x:v>
      </x:c>
      <x:c r="Y215" s="199" t="str"/>
      <x:c r="Z215" s="188" t="str">
        <x:v>Normal</x:v>
      </x:c>
    </x:row>
    <x:row r="216" ht="22" customHeight="1">
      <x:c r="A216" s="219" t="n">
        <x:v>212</x:v>
      </x:c>
      <x:c r="B216" s="220" t="str">
        <x:v>26739</x:v>
      </x:c>
      <x:c r="C216" s="220" t="str">
        <x:v>15</x:v>
      </x:c>
      <x:c r="D216" s="220" t="str">
        <x:v>609686</x:v>
      </x:c>
      <x:c r="E216" s="220" t="str">
        <x:v>971601</x:v>
      </x:c>
      <x:c r="F216" s="220" t="str">
        <x:v>OUTROS</x:v>
      </x:c>
      <x:c r="G216" s="190" t="str">
        <x:v>PE AL 2250X50X9 RTO RL80 REC PET BCO(ULT</x:v>
      </x:c>
      <x:c r="H216" s="190" t="str">
        <x:v>REG 2L(MAIOR 80MM)</x:v>
      </x:c>
      <x:c r="I216" s="190" t="str"/>
      <x:c r="J216" s="190" t="str"/>
      <x:c r="K216" s="190" t="str">
        <x:v>RECOBERTO PET</x:v>
      </x:c>
      <x:c r="L216" s="190" t="str">
        <x:v>BRANCO CARRARA</x:v>
      </x:c>
      <x:c r="M216" s="210" t="n">
        <x:v>14</x:v>
      </x:c>
      <x:c r="N216" s="210" t="n">
        <x:v>2250</x:v>
      </x:c>
      <x:c r="O216" s="210" t="n">
        <x:v>50</x:v>
      </x:c>
      <x:c r="P216" s="210" t="n">
        <x:v>9</x:v>
      </x:c>
      <x:c r="Q216" s="211" t="n">
        <x:v>0</x:v>
      </x:c>
      <x:c r="R216" s="207" t="str"/>
      <x:c r="S216" s="207" t="str"/>
      <x:c r="T216" s="207" t="str"/>
      <x:c r="U216" s="207" t="n">
        <x:v>0</x:v>
      </x:c>
      <x:c r="V216" s="208" t="n">
        <x:f>MAX(0,M216-U216)</x:f>
        <x:v>14</x:v>
      </x:c>
      <x:c r="W216" s="209" t="n">
        <x:f>IFERROR(U216/M216,0)</x:f>
        <x:v>0</x:v>
      </x:c>
      <x:c r="X216" s="201" t="str">
        <x:f>IF(U216=0,"Não iniciado",IF(U216&gt;=M216,"Concluído","Parcial"))</x:f>
        <x:v>Não iniciado</x:v>
      </x:c>
      <x:c r="Y216" s="199" t="str"/>
      <x:c r="Z216" s="188" t="str">
        <x:v>Normal</x:v>
      </x:c>
    </x:row>
    <x:row r="217" ht="22" customHeight="1">
      <x:c r="A217" s="217" t="n">
        <x:v>213</x:v>
      </x:c>
      <x:c r="B217" s="218" t="str">
        <x:v>26739</x:v>
      </x:c>
      <x:c r="C217" s="218" t="str">
        <x:v>17</x:v>
      </x:c>
      <x:c r="D217" s="218" t="str">
        <x:v>609695</x:v>
      </x:c>
      <x:c r="E217" s="218" t="str">
        <x:v>963311</x:v>
      </x:c>
      <x:c r="F217" s="218" t="str">
        <x:v>OUTROS</x:v>
      </x:c>
      <x:c r="G217" s="184" t="str">
        <x:v>PE AL 2250X50X9 RTO LME REC PET BCO(ULTR</x:v>
      </x:c>
      <x:c r="H217" s="184" t="str"/>
      <x:c r="I217" s="184" t="str"/>
      <x:c r="J217" s="184" t="str"/>
      <x:c r="K217" s="184" t="str">
        <x:v>ESMALTE</x:v>
      </x:c>
      <x:c r="L217" s="184" t="str">
        <x:v>BRANCO CARRARA</x:v>
      </x:c>
      <x:c r="M217" s="205" t="n">
        <x:v>18</x:v>
      </x:c>
      <x:c r="N217" s="205" t="n">
        <x:v>2250</x:v>
      </x:c>
      <x:c r="O217" s="205" t="n">
        <x:v>50</x:v>
      </x:c>
      <x:c r="P217" s="205" t="n">
        <x:v>9</x:v>
      </x:c>
      <x:c r="Q217" s="206" t="n">
        <x:v>0</x:v>
      </x:c>
      <x:c r="R217" s="207" t="str"/>
      <x:c r="S217" s="207" t="str"/>
      <x:c r="T217" s="207" t="str"/>
      <x:c r="U217" s="207" t="n">
        <x:v>0</x:v>
      </x:c>
      <x:c r="V217" s="208" t="n">
        <x:f>MAX(0,M217-U217)</x:f>
        <x:v>18</x:v>
      </x:c>
      <x:c r="W217" s="209" t="n">
        <x:f>IFERROR(U217/M217,0)</x:f>
        <x:v>0</x:v>
      </x:c>
      <x:c r="X217" s="201" t="str">
        <x:f>IF(U217=0,"Não iniciado",IF(U217&gt;=M217,"Concluído","Parcial"))</x:f>
        <x:v>Não iniciado</x:v>
      </x:c>
      <x:c r="Y217" s="199" t="str"/>
      <x:c r="Z217" s="188" t="str">
        <x:v>Normal</x:v>
      </x:c>
    </x:row>
    <x:row r="218" ht="22" customHeight="1">
      <x:c r="A218" s="219" t="n">
        <x:v>214</x:v>
      </x:c>
      <x:c r="B218" s="220" t="str">
        <x:v>26739</x:v>
      </x:c>
      <x:c r="C218" s="220" t="str">
        <x:v>17</x:v>
      </x:c>
      <x:c r="D218" s="220" t="str">
        <x:v>609697</x:v>
      </x:c>
      <x:c r="E218" s="220" t="str">
        <x:v>971601</x:v>
      </x:c>
      <x:c r="F218" s="220" t="str">
        <x:v>OUTROS</x:v>
      </x:c>
      <x:c r="G218" s="190" t="str">
        <x:v>PE AL 2250X50X9 RTO RL80 REC PET BCO(ULT</x:v>
      </x:c>
      <x:c r="H218" s="190" t="str"/>
      <x:c r="I218" s="190" t="str"/>
      <x:c r="J218" s="190" t="str"/>
      <x:c r="K218" s="190" t="str">
        <x:v>ESMALTE</x:v>
      </x:c>
      <x:c r="L218" s="190" t="str">
        <x:v>BRANCO CARRARA</x:v>
      </x:c>
      <x:c r="M218" s="210" t="n">
        <x:v>18</x:v>
      </x:c>
      <x:c r="N218" s="210" t="n">
        <x:v>2250</x:v>
      </x:c>
      <x:c r="O218" s="210" t="n">
        <x:v>50</x:v>
      </x:c>
      <x:c r="P218" s="210" t="n">
        <x:v>9</x:v>
      </x:c>
      <x:c r="Q218" s="211" t="n">
        <x:v>0</x:v>
      </x:c>
      <x:c r="R218" s="207" t="str"/>
      <x:c r="S218" s="207" t="str"/>
      <x:c r="T218" s="207" t="str"/>
      <x:c r="U218" s="207" t="n">
        <x:v>0</x:v>
      </x:c>
      <x:c r="V218" s="208" t="n">
        <x:f>MAX(0,M218-U218)</x:f>
        <x:v>18</x:v>
      </x:c>
      <x:c r="W218" s="209" t="n">
        <x:f>IFERROR(U218/M218,0)</x:f>
        <x:v>0</x:v>
      </x:c>
      <x:c r="X218" s="201" t="str">
        <x:f>IF(U218=0,"Não iniciado",IF(U218&gt;=M218,"Concluído","Parcial"))</x:f>
        <x:v>Não iniciado</x:v>
      </x:c>
      <x:c r="Y218" s="199" t="str"/>
      <x:c r="Z218" s="188" t="str">
        <x:v>Normal</x:v>
      </x:c>
    </x:row>
    <x:row r="219" ht="22" customHeight="1">
      <x:c r="A219" s="217" t="n">
        <x:v>215</x:v>
      </x:c>
      <x:c r="B219" s="218" t="str">
        <x:v>26739</x:v>
      </x:c>
      <x:c r="C219" s="218" t="str">
        <x:v>18</x:v>
      </x:c>
      <x:c r="D219" s="218" t="str">
        <x:v>609703</x:v>
      </x:c>
      <x:c r="E219" s="218" t="str">
        <x:v>963311</x:v>
      </x:c>
      <x:c r="F219" s="218" t="str">
        <x:v>OUTROS</x:v>
      </x:c>
      <x:c r="G219" s="184" t="str">
        <x:v>PE AL 2250X50X9 RTO LME REC PET BCO(ULTR</x:v>
      </x:c>
      <x:c r="H219" s="184" t="str"/>
      <x:c r="I219" s="184" t="str"/>
      <x:c r="J219" s="184" t="str"/>
      <x:c r="K219" s="184" t="str">
        <x:v>ESMALTE</x:v>
      </x:c>
      <x:c r="L219" s="184" t="str">
        <x:v>BRANCO CARRARA</x:v>
      </x:c>
      <x:c r="M219" s="205" t="n">
        <x:v>10</x:v>
      </x:c>
      <x:c r="N219" s="205" t="n">
        <x:v>2250</x:v>
      </x:c>
      <x:c r="O219" s="205" t="n">
        <x:v>50</x:v>
      </x:c>
      <x:c r="P219" s="205" t="n">
        <x:v>9</x:v>
      </x:c>
      <x:c r="Q219" s="206" t="n">
        <x:v>0</x:v>
      </x:c>
      <x:c r="R219" s="207" t="str"/>
      <x:c r="S219" s="207" t="str"/>
      <x:c r="T219" s="207" t="str"/>
      <x:c r="U219" s="207" t="n">
        <x:v>0</x:v>
      </x:c>
      <x:c r="V219" s="208" t="n">
        <x:f>MAX(0,M219-U219)</x:f>
        <x:v>10</x:v>
      </x:c>
      <x:c r="W219" s="209" t="n">
        <x:f>IFERROR(U219/M219,0)</x:f>
        <x:v>0</x:v>
      </x:c>
      <x:c r="X219" s="201" t="str">
        <x:f>IF(U219=0,"Não iniciado",IF(U219&gt;=M219,"Concluído","Parcial"))</x:f>
        <x:v>Não iniciado</x:v>
      </x:c>
      <x:c r="Y219" s="199" t="str"/>
      <x:c r="Z219" s="188" t="str">
        <x:v>Normal</x:v>
      </x:c>
    </x:row>
    <x:row r="220" ht="22" customHeight="1">
      <x:c r="A220" s="219" t="n">
        <x:v>216</x:v>
      </x:c>
      <x:c r="B220" s="220" t="str">
        <x:v>26739</x:v>
      </x:c>
      <x:c r="C220" s="220" t="str">
        <x:v>18</x:v>
      </x:c>
      <x:c r="D220" s="220" t="str">
        <x:v>609705</x:v>
      </x:c>
      <x:c r="E220" s="220" t="str">
        <x:v>971601</x:v>
      </x:c>
      <x:c r="F220" s="220" t="str">
        <x:v>OUTROS</x:v>
      </x:c>
      <x:c r="G220" s="190" t="str">
        <x:v>PE AL 2250X50X9 RTO RL80 REC PET BCO(ULT</x:v>
      </x:c>
      <x:c r="H220" s="190" t="str"/>
      <x:c r="I220" s="190" t="str"/>
      <x:c r="J220" s="190" t="str"/>
      <x:c r="K220" s="190" t="str">
        <x:v>ESMALTE</x:v>
      </x:c>
      <x:c r="L220" s="190" t="str">
        <x:v>BRANCO CARRARA</x:v>
      </x:c>
      <x:c r="M220" s="210" t="n">
        <x:v>10</x:v>
      </x:c>
      <x:c r="N220" s="210" t="n">
        <x:v>2250</x:v>
      </x:c>
      <x:c r="O220" s="210" t="n">
        <x:v>50</x:v>
      </x:c>
      <x:c r="P220" s="210" t="n">
        <x:v>9</x:v>
      </x:c>
      <x:c r="Q220" s="211" t="n">
        <x:v>0</x:v>
      </x:c>
      <x:c r="R220" s="207" t="str"/>
      <x:c r="S220" s="207" t="str"/>
      <x:c r="T220" s="207" t="str"/>
      <x:c r="U220" s="207" t="n">
        <x:v>0</x:v>
      </x:c>
      <x:c r="V220" s="208" t="n">
        <x:f>MAX(0,M220-U220)</x:f>
        <x:v>10</x:v>
      </x:c>
      <x:c r="W220" s="209" t="n">
        <x:f>IFERROR(U220/M220,0)</x:f>
        <x:v>0</x:v>
      </x:c>
      <x:c r="X220" s="201" t="str">
        <x:f>IF(U220=0,"Não iniciado",IF(U220&gt;=M220,"Concluído","Parcial"))</x:f>
        <x:v>Não iniciado</x:v>
      </x:c>
      <x:c r="Y220" s="199" t="str"/>
      <x:c r="Z220" s="188" t="str">
        <x:v>Normal</x:v>
      </x:c>
    </x:row>
    <x:row r="221" ht="22" customHeight="1">
      <x:c r="A221" s="217" t="n">
        <x:v>217</x:v>
      </x:c>
      <x:c r="B221" s="218" t="str">
        <x:v>26739</x:v>
      </x:c>
      <x:c r="C221" s="218" t="str">
        <x:v>19</x:v>
      </x:c>
      <x:c r="D221" s="218" t="str">
        <x:v>609712</x:v>
      </x:c>
      <x:c r="E221" s="218" t="str">
        <x:v>963311</x:v>
      </x:c>
      <x:c r="F221" s="218" t="str">
        <x:v>OUTROS</x:v>
      </x:c>
      <x:c r="G221" s="184" t="str">
        <x:v>PE AL 2250X50X9 RTO LME REC PET BCO(ULTR</x:v>
      </x:c>
      <x:c r="H221" s="184" t="str"/>
      <x:c r="I221" s="184" t="str"/>
      <x:c r="J221" s="184" t="str"/>
      <x:c r="K221" s="184" t="str">
        <x:v>ESMALTE</x:v>
      </x:c>
      <x:c r="L221" s="184" t="str">
        <x:v>BRANCO CARRARA</x:v>
      </x:c>
      <x:c r="M221" s="205" t="n">
        <x:v>54</x:v>
      </x:c>
      <x:c r="N221" s="205" t="n">
        <x:v>2250</x:v>
      </x:c>
      <x:c r="O221" s="205" t="n">
        <x:v>50</x:v>
      </x:c>
      <x:c r="P221" s="205" t="n">
        <x:v>9</x:v>
      </x:c>
      <x:c r="Q221" s="206" t="n">
        <x:v>0</x:v>
      </x:c>
      <x:c r="R221" s="207" t="str"/>
      <x:c r="S221" s="207" t="str"/>
      <x:c r="T221" s="207" t="str"/>
      <x:c r="U221" s="207" t="n">
        <x:v>0</x:v>
      </x:c>
      <x:c r="V221" s="208" t="n">
        <x:f>MAX(0,M221-U221)</x:f>
        <x:v>54</x:v>
      </x:c>
      <x:c r="W221" s="209" t="n">
        <x:f>IFERROR(U221/M221,0)</x:f>
        <x:v>0</x:v>
      </x:c>
      <x:c r="X221" s="201" t="str">
        <x:f>IF(U221=0,"Não iniciado",IF(U221&gt;=M221,"Concluído","Parcial"))</x:f>
        <x:v>Não iniciado</x:v>
      </x:c>
      <x:c r="Y221" s="199" t="str"/>
      <x:c r="Z221" s="188" t="str">
        <x:v>Normal</x:v>
      </x:c>
    </x:row>
    <x:row r="222" ht="22" customHeight="1">
      <x:c r="A222" s="219" t="n">
        <x:v>218</x:v>
      </x:c>
      <x:c r="B222" s="220" t="str">
        <x:v>26739</x:v>
      </x:c>
      <x:c r="C222" s="220" t="str">
        <x:v>19</x:v>
      </x:c>
      <x:c r="D222" s="220" t="str">
        <x:v>609714</x:v>
      </x:c>
      <x:c r="E222" s="220" t="str">
        <x:v>971601</x:v>
      </x:c>
      <x:c r="F222" s="220" t="str">
        <x:v>OUTROS</x:v>
      </x:c>
      <x:c r="G222" s="190" t="str">
        <x:v>PE AL 2250X50X9 RTO RL80 REC PET BCO(ULT</x:v>
      </x:c>
      <x:c r="H222" s="190" t="str"/>
      <x:c r="I222" s="190" t="str"/>
      <x:c r="J222" s="190" t="str"/>
      <x:c r="K222" s="190" t="str">
        <x:v>ESMALTE</x:v>
      </x:c>
      <x:c r="L222" s="190" t="str">
        <x:v>BRANCO CARRARA</x:v>
      </x:c>
      <x:c r="M222" s="210" t="n">
        <x:v>54</x:v>
      </x:c>
      <x:c r="N222" s="210" t="n">
        <x:v>2250</x:v>
      </x:c>
      <x:c r="O222" s="210" t="n">
        <x:v>50</x:v>
      </x:c>
      <x:c r="P222" s="210" t="n">
        <x:v>9</x:v>
      </x:c>
      <x:c r="Q222" s="211" t="n">
        <x:v>0</x:v>
      </x:c>
      <x:c r="R222" s="207" t="str"/>
      <x:c r="S222" s="207" t="str"/>
      <x:c r="T222" s="207" t="str"/>
      <x:c r="U222" s="207" t="n">
        <x:v>0</x:v>
      </x:c>
      <x:c r="V222" s="208" t="n">
        <x:f>MAX(0,M222-U222)</x:f>
        <x:v>54</x:v>
      </x:c>
      <x:c r="W222" s="209" t="n">
        <x:f>IFERROR(U222/M222,0)</x:f>
        <x:v>0</x:v>
      </x:c>
      <x:c r="X222" s="201" t="str">
        <x:f>IF(U222=0,"Não iniciado",IF(U222&gt;=M222,"Concluído","Parcial"))</x:f>
        <x:v>Não iniciado</x:v>
      </x:c>
      <x:c r="Y222" s="199" t="str"/>
      <x:c r="Z222" s="188" t="str">
        <x:v>Normal</x:v>
      </x:c>
    </x:row>
    <x:row r="223" ht="22" customHeight="1">
      <x:c r="A223" s="217" t="n">
        <x:v>219</x:v>
      </x:c>
      <x:c r="B223" s="218" t="str">
        <x:v>26739</x:v>
      </x:c>
      <x:c r="C223" s="218" t="str">
        <x:v>20</x:v>
      </x:c>
      <x:c r="D223" s="218" t="str">
        <x:v>609720</x:v>
      </x:c>
      <x:c r="E223" s="218" t="str">
        <x:v>963311</x:v>
      </x:c>
      <x:c r="F223" s="218" t="str">
        <x:v>OUTROS</x:v>
      </x:c>
      <x:c r="G223" s="184" t="str">
        <x:v>PE AL 2250X50X9 RTO LME REC PET BCO(ULTR</x:v>
      </x:c>
      <x:c r="H223" s="184" t="str"/>
      <x:c r="I223" s="184" t="str"/>
      <x:c r="J223" s="184" t="str"/>
      <x:c r="K223" s="184" t="str">
        <x:v>ESMALTE</x:v>
      </x:c>
      <x:c r="L223" s="184" t="str">
        <x:v>BRANCO CARRARA</x:v>
      </x:c>
      <x:c r="M223" s="205" t="n">
        <x:v>6</x:v>
      </x:c>
      <x:c r="N223" s="205" t="n">
        <x:v>2250</x:v>
      </x:c>
      <x:c r="O223" s="205" t="n">
        <x:v>50</x:v>
      </x:c>
      <x:c r="P223" s="205" t="n">
        <x:v>9</x:v>
      </x:c>
      <x:c r="Q223" s="206" t="n">
        <x:v>0</x:v>
      </x:c>
      <x:c r="R223" s="207" t="str"/>
      <x:c r="S223" s="207" t="str"/>
      <x:c r="T223" s="207" t="str"/>
      <x:c r="U223" s="207" t="n">
        <x:v>0</x:v>
      </x:c>
      <x:c r="V223" s="208" t="n">
        <x:f>MAX(0,M223-U223)</x:f>
        <x:v>6</x:v>
      </x:c>
      <x:c r="W223" s="209" t="n">
        <x:f>IFERROR(U223/M223,0)</x:f>
        <x:v>0</x:v>
      </x:c>
      <x:c r="X223" s="201" t="str">
        <x:f>IF(U223=0,"Não iniciado",IF(U223&gt;=M223,"Concluído","Parcial"))</x:f>
        <x:v>Não iniciado</x:v>
      </x:c>
      <x:c r="Y223" s="199" t="str"/>
      <x:c r="Z223" s="188" t="str">
        <x:v>Normal</x:v>
      </x:c>
    </x:row>
    <x:row r="224" ht="22" customHeight="1">
      <x:c r="A224" s="219" t="n">
        <x:v>220</x:v>
      </x:c>
      <x:c r="B224" s="220" t="str">
        <x:v>26739</x:v>
      </x:c>
      <x:c r="C224" s="220" t="str">
        <x:v>20</x:v>
      </x:c>
      <x:c r="D224" s="220" t="str">
        <x:v>609723</x:v>
      </x:c>
      <x:c r="E224" s="220" t="str">
        <x:v>971601</x:v>
      </x:c>
      <x:c r="F224" s="220" t="str">
        <x:v>OUTROS</x:v>
      </x:c>
      <x:c r="G224" s="190" t="str">
        <x:v>PE AL 2250X50X9 RTO RL80 REC PET BCO(ULT</x:v>
      </x:c>
      <x:c r="H224" s="190" t="str"/>
      <x:c r="I224" s="190" t="str"/>
      <x:c r="J224" s="190" t="str"/>
      <x:c r="K224" s="190" t="str">
        <x:v>ESMALTE</x:v>
      </x:c>
      <x:c r="L224" s="190" t="str">
        <x:v>BRANCO CARRARA</x:v>
      </x:c>
      <x:c r="M224" s="210" t="n">
        <x:v>6</x:v>
      </x:c>
      <x:c r="N224" s="210" t="n">
        <x:v>2250</x:v>
      </x:c>
      <x:c r="O224" s="210" t="n">
        <x:v>50</x:v>
      </x:c>
      <x:c r="P224" s="210" t="n">
        <x:v>9</x:v>
      </x:c>
      <x:c r="Q224" s="211" t="n">
        <x:v>0</x:v>
      </x:c>
      <x:c r="R224" s="207" t="str"/>
      <x:c r="S224" s="207" t="str"/>
      <x:c r="T224" s="207" t="str"/>
      <x:c r="U224" s="207" t="n">
        <x:v>0</x:v>
      </x:c>
      <x:c r="V224" s="208" t="n">
        <x:f>MAX(0,M224-U224)</x:f>
        <x:v>6</x:v>
      </x:c>
      <x:c r="W224" s="209" t="n">
        <x:f>IFERROR(U224/M224,0)</x:f>
        <x:v>0</x:v>
      </x:c>
      <x:c r="X224" s="201" t="str">
        <x:f>IF(U224=0,"Não iniciado",IF(U224&gt;=M224,"Concluído","Parcial"))</x:f>
        <x:v>Não iniciado</x:v>
      </x:c>
      <x:c r="Y224" s="199" t="str"/>
      <x:c r="Z224" s="188" t="str">
        <x:v>Normal</x:v>
      </x:c>
    </x:row>
    <x:row r="225" ht="22" customHeight="1">
      <x:c r="A225" s="217" t="n">
        <x:v>221</x:v>
      </x:c>
      <x:c r="B225" s="218" t="str">
        <x:v>26739</x:v>
      </x:c>
      <x:c r="C225" s="218" t="str">
        <x:v>21</x:v>
      </x:c>
      <x:c r="D225" s="218" t="str">
        <x:v>609729</x:v>
      </x:c>
      <x:c r="E225" s="218" t="str">
        <x:v>963311</x:v>
      </x:c>
      <x:c r="F225" s="218" t="str">
        <x:v>OUTROS</x:v>
      </x:c>
      <x:c r="G225" s="184" t="str">
        <x:v>PE AL 2250X50X9 RTO LME REC PET BCO(ULTR</x:v>
      </x:c>
      <x:c r="H225" s="184" t="str"/>
      <x:c r="I225" s="184" t="str"/>
      <x:c r="J225" s="184" t="str"/>
      <x:c r="K225" s="184" t="str">
        <x:v>ESMALTE</x:v>
      </x:c>
      <x:c r="L225" s="184" t="str">
        <x:v>BRANCO CARRARA</x:v>
      </x:c>
      <x:c r="M225" s="205" t="n">
        <x:v>20</x:v>
      </x:c>
      <x:c r="N225" s="205" t="n">
        <x:v>2250</x:v>
      </x:c>
      <x:c r="O225" s="205" t="n">
        <x:v>50</x:v>
      </x:c>
      <x:c r="P225" s="205" t="n">
        <x:v>9</x:v>
      </x:c>
      <x:c r="Q225" s="206" t="n">
        <x:v>0</x:v>
      </x:c>
      <x:c r="R225" s="207" t="str"/>
      <x:c r="S225" s="207" t="str"/>
      <x:c r="T225" s="207" t="str"/>
      <x:c r="U225" s="207" t="n">
        <x:v>0</x:v>
      </x:c>
      <x:c r="V225" s="208" t="n">
        <x:f>MAX(0,M225-U225)</x:f>
        <x:v>20</x:v>
      </x:c>
      <x:c r="W225" s="209" t="n">
        <x:f>IFERROR(U225/M225,0)</x:f>
        <x:v>0</x:v>
      </x:c>
      <x:c r="X225" s="201" t="str">
        <x:f>IF(U225=0,"Não iniciado",IF(U225&gt;=M225,"Concluído","Parcial"))</x:f>
        <x:v>Não iniciado</x:v>
      </x:c>
      <x:c r="Y225" s="199" t="str"/>
      <x:c r="Z225" s="188" t="str">
        <x:v>Normal</x:v>
      </x:c>
    </x:row>
    <x:row r="226" ht="22" customHeight="1">
      <x:c r="A226" s="219" t="n">
        <x:v>222</x:v>
      </x:c>
      <x:c r="B226" s="220" t="str">
        <x:v>26739</x:v>
      </x:c>
      <x:c r="C226" s="220" t="str">
        <x:v>21</x:v>
      </x:c>
      <x:c r="D226" s="220" t="str">
        <x:v>609731</x:v>
      </x:c>
      <x:c r="E226" s="220" t="str">
        <x:v>971601</x:v>
      </x:c>
      <x:c r="F226" s="220" t="str">
        <x:v>OUTROS</x:v>
      </x:c>
      <x:c r="G226" s="190" t="str">
        <x:v>PE AL 2250X50X9 RTO RL80 REC PET BCO(ULT</x:v>
      </x:c>
      <x:c r="H226" s="190" t="str"/>
      <x:c r="I226" s="190" t="str"/>
      <x:c r="J226" s="190" t="str"/>
      <x:c r="K226" s="190" t="str">
        <x:v>ESMALTE</x:v>
      </x:c>
      <x:c r="L226" s="190" t="str">
        <x:v>BRANCO CARRARA</x:v>
      </x:c>
      <x:c r="M226" s="210" t="n">
        <x:v>20</x:v>
      </x:c>
      <x:c r="N226" s="210" t="n">
        <x:v>2250</x:v>
      </x:c>
      <x:c r="O226" s="210" t="n">
        <x:v>50</x:v>
      </x:c>
      <x:c r="P226" s="210" t="n">
        <x:v>9</x:v>
      </x:c>
      <x:c r="Q226" s="211" t="n">
        <x:v>0</x:v>
      </x:c>
      <x:c r="R226" s="207" t="str"/>
      <x:c r="S226" s="207" t="str"/>
      <x:c r="T226" s="207" t="str"/>
      <x:c r="U226" s="207" t="n">
        <x:v>0</x:v>
      </x:c>
      <x:c r="V226" s="208" t="n">
        <x:f>MAX(0,M226-U226)</x:f>
        <x:v>20</x:v>
      </x:c>
      <x:c r="W226" s="209" t="n">
        <x:f>IFERROR(U226/M226,0)</x:f>
        <x:v>0</x:v>
      </x:c>
      <x:c r="X226" s="201" t="str">
        <x:f>IF(U226=0,"Não iniciado",IF(U226&gt;=M226,"Concluído","Parcial"))</x:f>
        <x:v>Não iniciado</x:v>
      </x:c>
      <x:c r="Y226" s="199" t="str"/>
      <x:c r="Z226" s="188" t="str">
        <x:v>Normal</x:v>
      </x:c>
    </x:row>
    <x:row r="227" ht="22" customHeight="1">
      <x:c r="A227" s="217" t="n">
        <x:v>223</x:v>
      </x:c>
      <x:c r="B227" s="218" t="str">
        <x:v>26739</x:v>
      </x:c>
      <x:c r="C227" s="218" t="str">
        <x:v>22</x:v>
      </x:c>
      <x:c r="D227" s="218" t="str">
        <x:v>609735</x:v>
      </x:c>
      <x:c r="E227" s="218" t="str">
        <x:v>963311</x:v>
      </x:c>
      <x:c r="F227" s="218" t="str">
        <x:v>OUTROS</x:v>
      </x:c>
      <x:c r="G227" s="184" t="str">
        <x:v>PE AL 2250X50X9 RTO LME REC PET BCO(ULTR</x:v>
      </x:c>
      <x:c r="H227" s="184" t="str"/>
      <x:c r="I227" s="184" t="str"/>
      <x:c r="J227" s="184" t="str"/>
      <x:c r="K227" s="184" t="str">
        <x:v>ESMALTE</x:v>
      </x:c>
      <x:c r="L227" s="184" t="str">
        <x:v>BRANCO CARRARA</x:v>
      </x:c>
      <x:c r="M227" s="205" t="n">
        <x:v>2</x:v>
      </x:c>
      <x:c r="N227" s="205" t="n">
        <x:v>2250</x:v>
      </x:c>
      <x:c r="O227" s="205" t="n">
        <x:v>50</x:v>
      </x:c>
      <x:c r="P227" s="205" t="n">
        <x:v>9</x:v>
      </x:c>
      <x:c r="Q227" s="206" t="n">
        <x:v>0</x:v>
      </x:c>
      <x:c r="R227" s="207" t="str"/>
      <x:c r="S227" s="207" t="str"/>
      <x:c r="T227" s="207" t="str"/>
      <x:c r="U227" s="207" t="n">
        <x:v>0</x:v>
      </x:c>
      <x:c r="V227" s="208" t="n">
        <x:f>MAX(0,M227-U227)</x:f>
        <x:v>2</x:v>
      </x:c>
      <x:c r="W227" s="209" t="n">
        <x:f>IFERROR(U227/M227,0)</x:f>
        <x:v>0</x:v>
      </x:c>
      <x:c r="X227" s="201" t="str">
        <x:f>IF(U227=0,"Não iniciado",IF(U227&gt;=M227,"Concluído","Parcial"))</x:f>
        <x:v>Não iniciado</x:v>
      </x:c>
      <x:c r="Y227" s="199" t="str"/>
      <x:c r="Z227" s="188" t="str">
        <x:v>Normal</x:v>
      </x:c>
    </x:row>
    <x:row r="228" ht="22" customHeight="1">
      <x:c r="A228" s="219" t="n">
        <x:v>224</x:v>
      </x:c>
      <x:c r="B228" s="220" t="str">
        <x:v>26739</x:v>
      </x:c>
      <x:c r="C228" s="220" t="str">
        <x:v>22</x:v>
      </x:c>
      <x:c r="D228" s="220" t="str">
        <x:v>609737</x:v>
      </x:c>
      <x:c r="E228" s="220" t="str">
        <x:v>971601</x:v>
      </x:c>
      <x:c r="F228" s="220" t="str">
        <x:v>OUTROS</x:v>
      </x:c>
      <x:c r="G228" s="190" t="str">
        <x:v>PE AL 2250X50X9 RTO RL80 REC PET BCO(ULT</x:v>
      </x:c>
      <x:c r="H228" s="190" t="str"/>
      <x:c r="I228" s="190" t="str"/>
      <x:c r="J228" s="190" t="str"/>
      <x:c r="K228" s="190" t="str">
        <x:v>ESMALTE</x:v>
      </x:c>
      <x:c r="L228" s="190" t="str">
        <x:v>BRANCO CARRARA</x:v>
      </x:c>
      <x:c r="M228" s="210" t="n">
        <x:v>2</x:v>
      </x:c>
      <x:c r="N228" s="210" t="n">
        <x:v>2250</x:v>
      </x:c>
      <x:c r="O228" s="210" t="n">
        <x:v>50</x:v>
      </x:c>
      <x:c r="P228" s="210" t="n">
        <x:v>9</x:v>
      </x:c>
      <x:c r="Q228" s="211" t="n">
        <x:v>0</x:v>
      </x:c>
      <x:c r="R228" s="207" t="str"/>
      <x:c r="S228" s="207" t="str"/>
      <x:c r="T228" s="207" t="str"/>
      <x:c r="U228" s="207" t="n">
        <x:v>0</x:v>
      </x:c>
      <x:c r="V228" s="208" t="n">
        <x:f>MAX(0,M228-U228)</x:f>
        <x:v>2</x:v>
      </x:c>
      <x:c r="W228" s="209" t="n">
        <x:f>IFERROR(U228/M228,0)</x:f>
        <x:v>0</x:v>
      </x:c>
      <x:c r="X228" s="201" t="str">
        <x:f>IF(U228=0,"Não iniciado",IF(U228&gt;=M228,"Concluído","Parcial"))</x:f>
        <x:v>Não iniciado</x:v>
      </x:c>
      <x:c r="Y228" s="199" t="str"/>
      <x:c r="Z228" s="188" t="str">
        <x:v>Normal</x:v>
      </x:c>
    </x:row>
    <x:row r="229" ht="22" customHeight="1">
      <x:c r="A229" s="217" t="n">
        <x:v>225</x:v>
      </x:c>
      <x:c r="B229" s="218" t="str">
        <x:v>26739</x:v>
      </x:c>
      <x:c r="C229" s="218" t="str">
        <x:v>23</x:v>
      </x:c>
      <x:c r="D229" s="218" t="str">
        <x:v>609746</x:v>
      </x:c>
      <x:c r="E229" s="218" t="str">
        <x:v>963311</x:v>
      </x:c>
      <x:c r="F229" s="218" t="str">
        <x:v>OUTROS</x:v>
      </x:c>
      <x:c r="G229" s="184" t="str">
        <x:v>PE AL 2250X50X9 RTO LME REC PET BCO(ULTR</x:v>
      </x:c>
      <x:c r="H229" s="184" t="str"/>
      <x:c r="I229" s="184" t="str"/>
      <x:c r="J229" s="184" t="str"/>
      <x:c r="K229" s="184" t="str">
        <x:v>ESMALTE</x:v>
      </x:c>
      <x:c r="L229" s="184" t="str">
        <x:v>BRANCO CARRARA</x:v>
      </x:c>
      <x:c r="M229" s="205" t="n">
        <x:v>2</x:v>
      </x:c>
      <x:c r="N229" s="205" t="n">
        <x:v>2250</x:v>
      </x:c>
      <x:c r="O229" s="205" t="n">
        <x:v>50</x:v>
      </x:c>
      <x:c r="P229" s="205" t="n">
        <x:v>9</x:v>
      </x:c>
      <x:c r="Q229" s="206" t="n">
        <x:v>0</x:v>
      </x:c>
      <x:c r="R229" s="207" t="str"/>
      <x:c r="S229" s="207" t="str"/>
      <x:c r="T229" s="207" t="str"/>
      <x:c r="U229" s="207" t="n">
        <x:v>0</x:v>
      </x:c>
      <x:c r="V229" s="208" t="n">
        <x:f>MAX(0,M229-U229)</x:f>
        <x:v>2</x:v>
      </x:c>
      <x:c r="W229" s="209" t="n">
        <x:f>IFERROR(U229/M229,0)</x:f>
        <x:v>0</x:v>
      </x:c>
      <x:c r="X229" s="201" t="str">
        <x:f>IF(U229=0,"Não iniciado",IF(U229&gt;=M229,"Concluído","Parcial"))</x:f>
        <x:v>Não iniciado</x:v>
      </x:c>
      <x:c r="Y229" s="199" t="str"/>
      <x:c r="Z229" s="188" t="str">
        <x:v>Normal</x:v>
      </x:c>
    </x:row>
    <x:row r="230" ht="22" customHeight="1">
      <x:c r="A230" s="219" t="n">
        <x:v>226</x:v>
      </x:c>
      <x:c r="B230" s="220" t="str">
        <x:v>26739</x:v>
      </x:c>
      <x:c r="C230" s="220" t="str">
        <x:v>23</x:v>
      </x:c>
      <x:c r="D230" s="220" t="str">
        <x:v>609748</x:v>
      </x:c>
      <x:c r="E230" s="220" t="str">
        <x:v>971601</x:v>
      </x:c>
      <x:c r="F230" s="220" t="str">
        <x:v>OUTROS</x:v>
      </x:c>
      <x:c r="G230" s="190" t="str">
        <x:v>PE AL 2250X50X9 RTO RL80 REC PET BCO(ULT</x:v>
      </x:c>
      <x:c r="H230" s="190" t="str"/>
      <x:c r="I230" s="190" t="str"/>
      <x:c r="J230" s="190" t="str"/>
      <x:c r="K230" s="190" t="str">
        <x:v>ESMALTE</x:v>
      </x:c>
      <x:c r="L230" s="190" t="str">
        <x:v>BRANCO CARRARA</x:v>
      </x:c>
      <x:c r="M230" s="210" t="n">
        <x:v>2</x:v>
      </x:c>
      <x:c r="N230" s="210" t="n">
        <x:v>2250</x:v>
      </x:c>
      <x:c r="O230" s="210" t="n">
        <x:v>50</x:v>
      </x:c>
      <x:c r="P230" s="210" t="n">
        <x:v>9</x:v>
      </x:c>
      <x:c r="Q230" s="211" t="n">
        <x:v>0</x:v>
      </x:c>
      <x:c r="R230" s="207" t="str"/>
      <x:c r="S230" s="207" t="str"/>
      <x:c r="T230" s="207" t="str"/>
      <x:c r="U230" s="207" t="n">
        <x:v>0</x:v>
      </x:c>
      <x:c r="V230" s="208" t="n">
        <x:f>MAX(0,M230-U230)</x:f>
        <x:v>2</x:v>
      </x:c>
      <x:c r="W230" s="209" t="n">
        <x:f>IFERROR(U230/M230,0)</x:f>
        <x:v>0</x:v>
      </x:c>
      <x:c r="X230" s="201" t="str">
        <x:f>IF(U230=0,"Não iniciado",IF(U230&gt;=M230,"Concluído","Parcial"))</x:f>
        <x:v>Não iniciado</x:v>
      </x:c>
      <x:c r="Y230" s="199" t="str"/>
      <x:c r="Z230" s="188" t="str">
        <x:v>Normal</x:v>
      </x:c>
    </x:row>
    <x:row r="231" ht="22" customHeight="1">
      <x:c r="A231" s="217" t="n">
        <x:v>227</x:v>
      </x:c>
      <x:c r="B231" s="218" t="str">
        <x:v>26739</x:v>
      </x:c>
      <x:c r="C231" s="218" t="str">
        <x:v>24</x:v>
      </x:c>
      <x:c r="D231" s="218" t="str">
        <x:v>609760</x:v>
      </x:c>
      <x:c r="E231" s="218" t="str">
        <x:v>963311</x:v>
      </x:c>
      <x:c r="F231" s="218" t="str">
        <x:v>OUTROS</x:v>
      </x:c>
      <x:c r="G231" s="184" t="str">
        <x:v>PE AL 2250X50X9 RTO LME REC PET BCO(ULTR</x:v>
      </x:c>
      <x:c r="H231" s="184" t="str"/>
      <x:c r="I231" s="184" t="str"/>
      <x:c r="J231" s="184" t="str"/>
      <x:c r="K231" s="184" t="str">
        <x:v>ESMALTE</x:v>
      </x:c>
      <x:c r="L231" s="184" t="str">
        <x:v>BRANCO CARRARA</x:v>
      </x:c>
      <x:c r="M231" s="205" t="n">
        <x:v>4</x:v>
      </x:c>
      <x:c r="N231" s="205" t="n">
        <x:v>2250</x:v>
      </x:c>
      <x:c r="O231" s="205" t="n">
        <x:v>50</x:v>
      </x:c>
      <x:c r="P231" s="205" t="n">
        <x:v>9</x:v>
      </x:c>
      <x:c r="Q231" s="206" t="n">
        <x:v>0</x:v>
      </x:c>
      <x:c r="R231" s="207" t="str"/>
      <x:c r="S231" s="207" t="str"/>
      <x:c r="T231" s="207" t="str"/>
      <x:c r="U231" s="207" t="n">
        <x:v>0</x:v>
      </x:c>
      <x:c r="V231" s="208" t="n">
        <x:f>MAX(0,M231-U231)</x:f>
        <x:v>4</x:v>
      </x:c>
      <x:c r="W231" s="209" t="n">
        <x:f>IFERROR(U231/M231,0)</x:f>
        <x:v>0</x:v>
      </x:c>
      <x:c r="X231" s="201" t="str">
        <x:f>IF(U231=0,"Não iniciado",IF(U231&gt;=M231,"Concluído","Parcial"))</x:f>
        <x:v>Não iniciado</x:v>
      </x:c>
      <x:c r="Y231" s="199" t="str"/>
      <x:c r="Z231" s="188" t="str">
        <x:v>Normal</x:v>
      </x:c>
    </x:row>
    <x:row r="232" ht="22" customHeight="1">
      <x:c r="A232" s="219" t="n">
        <x:v>228</x:v>
      </x:c>
      <x:c r="B232" s="220" t="str">
        <x:v>26739</x:v>
      </x:c>
      <x:c r="C232" s="220" t="str">
        <x:v>24</x:v>
      </x:c>
      <x:c r="D232" s="220" t="str">
        <x:v>609762</x:v>
      </x:c>
      <x:c r="E232" s="220" t="str">
        <x:v>971601</x:v>
      </x:c>
      <x:c r="F232" s="220" t="str">
        <x:v>OUTROS</x:v>
      </x:c>
      <x:c r="G232" s="190" t="str">
        <x:v>PE AL 2250X50X9 RTO RL80 REC PET BCO(ULT</x:v>
      </x:c>
      <x:c r="H232" s="190" t="str"/>
      <x:c r="I232" s="190" t="str"/>
      <x:c r="J232" s="190" t="str"/>
      <x:c r="K232" s="190" t="str">
        <x:v>ESMALTE</x:v>
      </x:c>
      <x:c r="L232" s="190" t="str">
        <x:v>BRANCO CARRARA</x:v>
      </x:c>
      <x:c r="M232" s="210" t="n">
        <x:v>4</x:v>
      </x:c>
      <x:c r="N232" s="210" t="n">
        <x:v>2250</x:v>
      </x:c>
      <x:c r="O232" s="210" t="n">
        <x:v>50</x:v>
      </x:c>
      <x:c r="P232" s="210" t="n">
        <x:v>9</x:v>
      </x:c>
      <x:c r="Q232" s="211" t="n">
        <x:v>0</x:v>
      </x:c>
      <x:c r="R232" s="207" t="str"/>
      <x:c r="S232" s="207" t="str"/>
      <x:c r="T232" s="207" t="str"/>
      <x:c r="U232" s="207" t="n">
        <x:v>0</x:v>
      </x:c>
      <x:c r="V232" s="208" t="n">
        <x:f>MAX(0,M232-U232)</x:f>
        <x:v>4</x:v>
      </x:c>
      <x:c r="W232" s="209" t="n">
        <x:f>IFERROR(U232/M232,0)</x:f>
        <x:v>0</x:v>
      </x:c>
      <x:c r="X232" s="201" t="str">
        <x:f>IF(U232=0,"Não iniciado",IF(U232&gt;=M232,"Concluído","Parcial"))</x:f>
        <x:v>Não iniciado</x:v>
      </x:c>
      <x:c r="Y232" s="199" t="str"/>
      <x:c r="Z232" s="188" t="str">
        <x:v>Normal</x:v>
      </x:c>
    </x:row>
    <x:row r="233" ht="22" customHeight="1">
      <x:c r="A233" s="217" t="n">
        <x:v>229</x:v>
      </x:c>
      <x:c r="B233" s="218" t="str">
        <x:v>26739</x:v>
      </x:c>
      <x:c r="C233" s="218" t="str">
        <x:v>25</x:v>
      </x:c>
      <x:c r="D233" s="218" t="str">
        <x:v>609774</x:v>
      </x:c>
      <x:c r="E233" s="218" t="str">
        <x:v>963311</x:v>
      </x:c>
      <x:c r="F233" s="218" t="str">
        <x:v>OUTROS</x:v>
      </x:c>
      <x:c r="G233" s="184" t="str">
        <x:v>PE AL 2250X50X9 RTO LME REC PET BCO(ULTR</x:v>
      </x:c>
      <x:c r="H233" s="184" t="str"/>
      <x:c r="I233" s="184" t="str"/>
      <x:c r="J233" s="184" t="str"/>
      <x:c r="K233" s="184" t="str">
        <x:v>ESMALTE</x:v>
      </x:c>
      <x:c r="L233" s="184" t="str">
        <x:v>BRANCO CARRARA</x:v>
      </x:c>
      <x:c r="M233" s="205" t="n">
        <x:v>2</x:v>
      </x:c>
      <x:c r="N233" s="205" t="n">
        <x:v>2250</x:v>
      </x:c>
      <x:c r="O233" s="205" t="n">
        <x:v>50</x:v>
      </x:c>
      <x:c r="P233" s="205" t="n">
        <x:v>9</x:v>
      </x:c>
      <x:c r="Q233" s="206" t="n">
        <x:v>0</x:v>
      </x:c>
      <x:c r="R233" s="207" t="str"/>
      <x:c r="S233" s="207" t="str"/>
      <x:c r="T233" s="207" t="str"/>
      <x:c r="U233" s="207" t="n">
        <x:v>0</x:v>
      </x:c>
      <x:c r="V233" s="208" t="n">
        <x:f>MAX(0,M233-U233)</x:f>
        <x:v>2</x:v>
      </x:c>
      <x:c r="W233" s="209" t="n">
        <x:f>IFERROR(U233/M233,0)</x:f>
        <x:v>0</x:v>
      </x:c>
      <x:c r="X233" s="201" t="str">
        <x:f>IF(U233=0,"Não iniciado",IF(U233&gt;=M233,"Concluído","Parcial"))</x:f>
        <x:v>Não iniciado</x:v>
      </x:c>
      <x:c r="Y233" s="199" t="str"/>
      <x:c r="Z233" s="188" t="str">
        <x:v>Normal</x:v>
      </x:c>
    </x:row>
    <x:row r="234" ht="22" customHeight="1">
      <x:c r="A234" s="219" t="n">
        <x:v>230</x:v>
      </x:c>
      <x:c r="B234" s="220" t="str">
        <x:v>26739</x:v>
      </x:c>
      <x:c r="C234" s="220" t="str">
        <x:v>25</x:v>
      </x:c>
      <x:c r="D234" s="220" t="str">
        <x:v>609777</x:v>
      </x:c>
      <x:c r="E234" s="220" t="str">
        <x:v>971601</x:v>
      </x:c>
      <x:c r="F234" s="220" t="str">
        <x:v>OUTROS</x:v>
      </x:c>
      <x:c r="G234" s="190" t="str">
        <x:v>PE AL 2250X50X9 RTO RL80 REC PET BCO(ULT</x:v>
      </x:c>
      <x:c r="H234" s="190" t="str"/>
      <x:c r="I234" s="190" t="str"/>
      <x:c r="J234" s="190" t="str"/>
      <x:c r="K234" s="190" t="str">
        <x:v>ESMALTE</x:v>
      </x:c>
      <x:c r="L234" s="190" t="str">
        <x:v>BRANCO CARRARA</x:v>
      </x:c>
      <x:c r="M234" s="210" t="n">
        <x:v>2</x:v>
      </x:c>
      <x:c r="N234" s="210" t="n">
        <x:v>2250</x:v>
      </x:c>
      <x:c r="O234" s="210" t="n">
        <x:v>50</x:v>
      </x:c>
      <x:c r="P234" s="210" t="n">
        <x:v>9</x:v>
      </x:c>
      <x:c r="Q234" s="211" t="n">
        <x:v>0</x:v>
      </x:c>
      <x:c r="R234" s="207" t="str"/>
      <x:c r="S234" s="207" t="str"/>
      <x:c r="T234" s="207" t="str"/>
      <x:c r="U234" s="207" t="n">
        <x:v>0</x:v>
      </x:c>
      <x:c r="V234" s="208" t="n">
        <x:f>MAX(0,M234-U234)</x:f>
        <x:v>2</x:v>
      </x:c>
      <x:c r="W234" s="209" t="n">
        <x:f>IFERROR(U234/M234,0)</x:f>
        <x:v>0</x:v>
      </x:c>
      <x:c r="X234" s="201" t="str">
        <x:f>IF(U234=0,"Não iniciado",IF(U234&gt;=M234,"Concluído","Parcial"))</x:f>
        <x:v>Não iniciado</x:v>
      </x:c>
      <x:c r="Y234" s="199" t="str"/>
      <x:c r="Z234" s="188" t="str">
        <x:v>Normal</x:v>
      </x:c>
    </x:row>
    <x:row r="235" ht="22" customHeight="1">
      <x:c r="A235" s="217" t="n">
        <x:v>231</x:v>
      </x:c>
      <x:c r="B235" s="218" t="str">
        <x:v>26744</x:v>
      </x:c>
      <x:c r="C235" s="218" t="str">
        <x:v>1</x:v>
      </x:c>
      <x:c r="D235" s="218" t="str">
        <x:v>609992</x:v>
      </x:c>
      <x:c r="E235" s="218" t="str">
        <x:v>963311</x:v>
      </x:c>
      <x:c r="F235" s="218" t="str">
        <x:v>OUTROS</x:v>
      </x:c>
      <x:c r="G235" s="184" t="str">
        <x:v>PE AL 2250X50X9 RTO LME REC PET BCO(ULTR</x:v>
      </x:c>
      <x:c r="H235" s="184" t="str"/>
      <x:c r="I235" s="184" t="str"/>
      <x:c r="J235" s="184" t="str"/>
      <x:c r="K235" s="184" t="str">
        <x:v>RECOBERTO PET</x:v>
      </x:c>
      <x:c r="L235" s="184" t="str">
        <x:v>BRANCO CARRARA</x:v>
      </x:c>
      <x:c r="M235" s="205" t="n">
        <x:v>8</x:v>
      </x:c>
      <x:c r="N235" s="205" t="n">
        <x:v>2250</x:v>
      </x:c>
      <x:c r="O235" s="205" t="n">
        <x:v>50</x:v>
      </x:c>
      <x:c r="P235" s="205" t="n">
        <x:v>9</x:v>
      </x:c>
      <x:c r="Q235" s="206" t="n">
        <x:v>0</x:v>
      </x:c>
      <x:c r="R235" s="207" t="str"/>
      <x:c r="S235" s="207" t="str"/>
      <x:c r="T235" s="207" t="str"/>
      <x:c r="U235" s="207" t="n">
        <x:v>0</x:v>
      </x:c>
      <x:c r="V235" s="208" t="n">
        <x:f>MAX(0,M235-U235)</x:f>
        <x:v>8</x:v>
      </x:c>
      <x:c r="W235" s="209" t="n">
        <x:f>IFERROR(U235/M235,0)</x:f>
        <x:v>0</x:v>
      </x:c>
      <x:c r="X235" s="201" t="str">
        <x:f>IF(U235=0,"Não iniciado",IF(U235&gt;=M235,"Concluído","Parcial"))</x:f>
        <x:v>Não iniciado</x:v>
      </x:c>
      <x:c r="Y235" s="199" t="str"/>
      <x:c r="Z235" s="188" t="str">
        <x:v>Normal</x:v>
      </x:c>
    </x:row>
    <x:row r="236" ht="22" customHeight="1">
      <x:c r="A236" s="219" t="n">
        <x:v>232</x:v>
      </x:c>
      <x:c r="B236" s="220" t="str">
        <x:v>26744</x:v>
      </x:c>
      <x:c r="C236" s="220" t="str">
        <x:v>2</x:v>
      </x:c>
      <x:c r="D236" s="220" t="str">
        <x:v>610001</x:v>
      </x:c>
      <x:c r="E236" s="220" t="str">
        <x:v>963311</x:v>
      </x:c>
      <x:c r="F236" s="220" t="str">
        <x:v>OUTROS</x:v>
      </x:c>
      <x:c r="G236" s="190" t="str">
        <x:v>PE AL 2250X50X9 RTO LME REC PET BCO(ULTR</x:v>
      </x:c>
      <x:c r="H236" s="190" t="str"/>
      <x:c r="I236" s="190" t="str"/>
      <x:c r="J236" s="190" t="str"/>
      <x:c r="K236" s="190" t="str">
        <x:v>RECOBERTO PET</x:v>
      </x:c>
      <x:c r="L236" s="190" t="str">
        <x:v>BRANCO CARRARA</x:v>
      </x:c>
      <x:c r="M236" s="210" t="n">
        <x:v>10</x:v>
      </x:c>
      <x:c r="N236" s="210" t="n">
        <x:v>2250</x:v>
      </x:c>
      <x:c r="O236" s="210" t="n">
        <x:v>50</x:v>
      </x:c>
      <x:c r="P236" s="210" t="n">
        <x:v>9</x:v>
      </x:c>
      <x:c r="Q236" s="211" t="n">
        <x:v>0</x:v>
      </x:c>
      <x:c r="R236" s="207" t="str"/>
      <x:c r="S236" s="207" t="str"/>
      <x:c r="T236" s="207" t="str"/>
      <x:c r="U236" s="207" t="n">
        <x:v>0</x:v>
      </x:c>
      <x:c r="V236" s="208" t="n">
        <x:f>MAX(0,M236-U236)</x:f>
        <x:v>10</x:v>
      </x:c>
      <x:c r="W236" s="209" t="n">
        <x:f>IFERROR(U236/M236,0)</x:f>
        <x:v>0</x:v>
      </x:c>
      <x:c r="X236" s="201" t="str">
        <x:f>IF(U236=0,"Não iniciado",IF(U236&gt;=M236,"Concluído","Parcial"))</x:f>
        <x:v>Não iniciado</x:v>
      </x:c>
      <x:c r="Y236" s="199" t="str"/>
      <x:c r="Z236" s="188" t="str">
        <x:v>Normal</x:v>
      </x:c>
    </x:row>
    <x:row r="237" ht="22" customHeight="1">
      <x:c r="A237" s="217" t="n">
        <x:v>233</x:v>
      </x:c>
      <x:c r="B237" s="218" t="str">
        <x:v>26744</x:v>
      </x:c>
      <x:c r="C237" s="218" t="str">
        <x:v>3</x:v>
      </x:c>
      <x:c r="D237" s="218" t="str">
        <x:v>610009</x:v>
      </x:c>
      <x:c r="E237" s="218" t="str">
        <x:v>963311</x:v>
      </x:c>
      <x:c r="F237" s="218" t="str">
        <x:v>OUTROS</x:v>
      </x:c>
      <x:c r="G237" s="184" t="str">
        <x:v>PE AL 2250X50X9 RTO LME REC PET BCO(ULTR</x:v>
      </x:c>
      <x:c r="H237" s="184" t="str"/>
      <x:c r="I237" s="184" t="str"/>
      <x:c r="J237" s="184" t="str"/>
      <x:c r="K237" s="184" t="str">
        <x:v>RECOBERTO PET</x:v>
      </x:c>
      <x:c r="L237" s="184" t="str">
        <x:v>BRANCO CARRARA</x:v>
      </x:c>
      <x:c r="M237" s="205" t="n">
        <x:v>2</x:v>
      </x:c>
      <x:c r="N237" s="205" t="n">
        <x:v>2250</x:v>
      </x:c>
      <x:c r="O237" s="205" t="n">
        <x:v>50</x:v>
      </x:c>
      <x:c r="P237" s="205" t="n">
        <x:v>9</x:v>
      </x:c>
      <x:c r="Q237" s="206" t="n">
        <x:v>0</x:v>
      </x:c>
      <x:c r="R237" s="207" t="str"/>
      <x:c r="S237" s="207" t="str"/>
      <x:c r="T237" s="207" t="str"/>
      <x:c r="U237" s="207" t="n">
        <x:v>0</x:v>
      </x:c>
      <x:c r="V237" s="208" t="n">
        <x:f>MAX(0,M237-U237)</x:f>
        <x:v>2</x:v>
      </x:c>
      <x:c r="W237" s="209" t="n">
        <x:f>IFERROR(U237/M237,0)</x:f>
        <x:v>0</x:v>
      </x:c>
      <x:c r="X237" s="201" t="str">
        <x:f>IF(U237=0,"Não iniciado",IF(U237&gt;=M237,"Concluído","Parcial"))</x:f>
        <x:v>Não iniciado</x:v>
      </x:c>
      <x:c r="Y237" s="199" t="str"/>
      <x:c r="Z237" s="188" t="str">
        <x:v>Normal</x:v>
      </x:c>
    </x:row>
    <x:row r="238" ht="22" customHeight="1">
      <x:c r="A238" s="219" t="n">
        <x:v>234</x:v>
      </x:c>
      <x:c r="B238" s="220" t="str">
        <x:v>26744</x:v>
      </x:c>
      <x:c r="C238" s="220" t="str">
        <x:v>3</x:v>
      </x:c>
      <x:c r="D238" s="220" t="str">
        <x:v>610010</x:v>
      </x:c>
      <x:c r="E238" s="220" t="str">
        <x:v>965034</x:v>
      </x:c>
      <x:c r="F238" s="220" t="str">
        <x:v>OUTROS</x:v>
      </x:c>
      <x:c r="G238" s="190" t="str">
        <x:v>PE AL 2250X50X9 RTO RL55 REC PET BCO(ULT</x:v>
      </x:c>
      <x:c r="H238" s="190" t="str"/>
      <x:c r="I238" s="190" t="str"/>
      <x:c r="J238" s="190" t="str"/>
      <x:c r="K238" s="190" t="str">
        <x:v>RECOBERTO PET</x:v>
      </x:c>
      <x:c r="L238" s="190" t="str">
        <x:v>BRANCO CARRARA</x:v>
      </x:c>
      <x:c r="M238" s="210" t="n">
        <x:v>2</x:v>
      </x:c>
      <x:c r="N238" s="210" t="n">
        <x:v>2250</x:v>
      </x:c>
      <x:c r="O238" s="210" t="n">
        <x:v>50</x:v>
      </x:c>
      <x:c r="P238" s="210" t="n">
        <x:v>9</x:v>
      </x:c>
      <x:c r="Q238" s="211" t="n">
        <x:v>0</x:v>
      </x:c>
      <x:c r="R238" s="207" t="str"/>
      <x:c r="S238" s="207" t="str"/>
      <x:c r="T238" s="207" t="str"/>
      <x:c r="U238" s="207" t="n">
        <x:v>0</x:v>
      </x:c>
      <x:c r="V238" s="208" t="n">
        <x:f>MAX(0,M238-U238)</x:f>
        <x:v>2</x:v>
      </x:c>
      <x:c r="W238" s="209" t="n">
        <x:f>IFERROR(U238/M238,0)</x:f>
        <x:v>0</x:v>
      </x:c>
      <x:c r="X238" s="201" t="str">
        <x:f>IF(U238=0,"Não iniciado",IF(U238&gt;=M238,"Concluído","Parcial"))</x:f>
        <x:v>Não iniciado</x:v>
      </x:c>
      <x:c r="Y238" s="199" t="str"/>
      <x:c r="Z238" s="188" t="str">
        <x:v>Normal</x:v>
      </x:c>
    </x:row>
    <x:row r="239" ht="22" customHeight="1">
      <x:c r="A239" s="217" t="n">
        <x:v>235</x:v>
      </x:c>
      <x:c r="B239" s="218" t="str">
        <x:v>26744</x:v>
      </x:c>
      <x:c r="C239" s="218" t="str">
        <x:v>7</x:v>
      </x:c>
      <x:c r="D239" s="218" t="str">
        <x:v>610027</x:v>
      </x:c>
      <x:c r="E239" s="218" t="str">
        <x:v>963311</x:v>
      </x:c>
      <x:c r="F239" s="218" t="str">
        <x:v>OUTROS</x:v>
      </x:c>
      <x:c r="G239" s="184" t="str">
        <x:v>PE AL 2250X50X9 RTO LME REC PET BCO(ULTR</x:v>
      </x:c>
      <x:c r="H239" s="184" t="str">
        <x:v>REG 2L(MAIOR 35mm)</x:v>
      </x:c>
      <x:c r="I239" s="184" t="str"/>
      <x:c r="J239" s="184" t="str"/>
      <x:c r="K239" s="184" t="str">
        <x:v>RECOBERTO PET</x:v>
      </x:c>
      <x:c r="L239" s="184" t="str">
        <x:v>BRANCO CARRARA</x:v>
      </x:c>
      <x:c r="M239" s="205" t="n">
        <x:v>4</x:v>
      </x:c>
      <x:c r="N239" s="205" t="n">
        <x:v>2250</x:v>
      </x:c>
      <x:c r="O239" s="205" t="n">
        <x:v>50</x:v>
      </x:c>
      <x:c r="P239" s="205" t="n">
        <x:v>9</x:v>
      </x:c>
      <x:c r="Q239" s="206" t="n">
        <x:v>0</x:v>
      </x:c>
      <x:c r="R239" s="207" t="str"/>
      <x:c r="S239" s="207" t="str"/>
      <x:c r="T239" s="207" t="str"/>
      <x:c r="U239" s="207" t="n">
        <x:v>0</x:v>
      </x:c>
      <x:c r="V239" s="208" t="n">
        <x:f>MAX(0,M239-U239)</x:f>
        <x:v>4</x:v>
      </x:c>
      <x:c r="W239" s="209" t="n">
        <x:f>IFERROR(U239/M239,0)</x:f>
        <x:v>0</x:v>
      </x:c>
      <x:c r="X239" s="201" t="str">
        <x:f>IF(U239=0,"Não iniciado",IF(U239&gt;=M239,"Concluído","Parcial"))</x:f>
        <x:v>Não iniciado</x:v>
      </x:c>
      <x:c r="Y239" s="199" t="str"/>
      <x:c r="Z239" s="188" t="str">
        <x:v>Normal</x:v>
      </x:c>
    </x:row>
    <x:row r="240" ht="22" customHeight="1">
      <x:c r="A240" s="219" t="n">
        <x:v>236</x:v>
      </x:c>
      <x:c r="B240" s="220" t="str">
        <x:v>26750</x:v>
      </x:c>
      <x:c r="C240" s="220" t="str">
        <x:v>10</x:v>
      </x:c>
      <x:c r="D240" s="220" t="str">
        <x:v>609806</x:v>
      </x:c>
      <x:c r="E240" s="220" t="str">
        <x:v>963311</x:v>
      </x:c>
      <x:c r="F240" s="220" t="str">
        <x:v>OUTROS</x:v>
      </x:c>
      <x:c r="G240" s="190" t="str">
        <x:v>PE AL 2250X50X9 RTO LME REC PET BCO(ULTR</x:v>
      </x:c>
      <x:c r="H240" s="190" t="str"/>
      <x:c r="I240" s="190" t="str"/>
      <x:c r="J240" s="190" t="str"/>
      <x:c r="K240" s="190" t="str">
        <x:v>ESMALTE</x:v>
      </x:c>
      <x:c r="L240" s="190" t="str">
        <x:v>BRANCO CARRARA</x:v>
      </x:c>
      <x:c r="M240" s="210" t="n">
        <x:v>4</x:v>
      </x:c>
      <x:c r="N240" s="210" t="n">
        <x:v>2250</x:v>
      </x:c>
      <x:c r="O240" s="210" t="n">
        <x:v>50</x:v>
      </x:c>
      <x:c r="P240" s="210" t="n">
        <x:v>9</x:v>
      </x:c>
      <x:c r="Q240" s="211" t="n">
        <x:v>0</x:v>
      </x:c>
      <x:c r="R240" s="207" t="str"/>
      <x:c r="S240" s="207" t="str"/>
      <x:c r="T240" s="207" t="str"/>
      <x:c r="U240" s="207" t="n">
        <x:v>0</x:v>
      </x:c>
      <x:c r="V240" s="208" t="n">
        <x:f>MAX(0,M240-U240)</x:f>
        <x:v>4</x:v>
      </x:c>
      <x:c r="W240" s="209" t="n">
        <x:f>IFERROR(U240/M240,0)</x:f>
        <x:v>0</x:v>
      </x:c>
      <x:c r="X240" s="201" t="str">
        <x:f>IF(U240=0,"Não iniciado",IF(U240&gt;=M240,"Concluído","Parcial"))</x:f>
        <x:v>Não iniciado</x:v>
      </x:c>
      <x:c r="Y240" s="199" t="str"/>
      <x:c r="Z240" s="188" t="str">
        <x:v>Normal</x:v>
      </x:c>
    </x:row>
    <x:row r="241" ht="22" customHeight="1">
      <x:c r="A241" s="217" t="n">
        <x:v>237</x:v>
      </x:c>
      <x:c r="B241" s="218" t="str">
        <x:v>26750</x:v>
      </x:c>
      <x:c r="C241" s="218" t="str">
        <x:v>10</x:v>
      </x:c>
      <x:c r="D241" s="218" t="str">
        <x:v>609808</x:v>
      </x:c>
      <x:c r="E241" s="218" t="str">
        <x:v>971601</x:v>
      </x:c>
      <x:c r="F241" s="218" t="str">
        <x:v>OUTROS</x:v>
      </x:c>
      <x:c r="G241" s="184" t="str">
        <x:v>PE AL 2250X50X9 RTO RL80 REC PET BCO(ULT</x:v>
      </x:c>
      <x:c r="H241" s="184" t="str"/>
      <x:c r="I241" s="184" t="str"/>
      <x:c r="J241" s="184" t="str"/>
      <x:c r="K241" s="184" t="str">
        <x:v>ESMALTE</x:v>
      </x:c>
      <x:c r="L241" s="184" t="str">
        <x:v>BRANCO CARRARA</x:v>
      </x:c>
      <x:c r="M241" s="205" t="n">
        <x:v>4</x:v>
      </x:c>
      <x:c r="N241" s="205" t="n">
        <x:v>2250</x:v>
      </x:c>
      <x:c r="O241" s="205" t="n">
        <x:v>50</x:v>
      </x:c>
      <x:c r="P241" s="205" t="n">
        <x:v>9</x:v>
      </x:c>
      <x:c r="Q241" s="206" t="n">
        <x:v>0</x:v>
      </x:c>
      <x:c r="R241" s="207" t="str"/>
      <x:c r="S241" s="207" t="str"/>
      <x:c r="T241" s="207" t="str"/>
      <x:c r="U241" s="207" t="n">
        <x:v>0</x:v>
      </x:c>
      <x:c r="V241" s="208" t="n">
        <x:f>MAX(0,M241-U241)</x:f>
        <x:v>4</x:v>
      </x:c>
      <x:c r="W241" s="209" t="n">
        <x:f>IFERROR(U241/M241,0)</x:f>
        <x:v>0</x:v>
      </x:c>
      <x:c r="X241" s="201" t="str">
        <x:f>IF(U241=0,"Não iniciado",IF(U241&gt;=M241,"Concluído","Parcial"))</x:f>
        <x:v>Não iniciado</x:v>
      </x:c>
      <x:c r="Y241" s="199" t="str"/>
      <x:c r="Z241" s="188" t="str">
        <x:v>Normal</x:v>
      </x:c>
    </x:row>
    <x:row r="242" ht="22" customHeight="1">
      <x:c r="A242" s="219" t="n">
        <x:v>238</x:v>
      </x:c>
      <x:c r="B242" s="220" t="str">
        <x:v>26750</x:v>
      </x:c>
      <x:c r="C242" s="220" t="str">
        <x:v>11</x:v>
      </x:c>
      <x:c r="D242" s="220" t="str">
        <x:v>609813</x:v>
      </x:c>
      <x:c r="E242" s="220" t="str">
        <x:v>963311</x:v>
      </x:c>
      <x:c r="F242" s="220" t="str">
        <x:v>OUTROS</x:v>
      </x:c>
      <x:c r="G242" s="190" t="str">
        <x:v>PE AL 2250X50X9 RTO LME REC PET BCO(ULTR</x:v>
      </x:c>
      <x:c r="H242" s="190" t="str"/>
      <x:c r="I242" s="190" t="str"/>
      <x:c r="J242" s="190" t="str"/>
      <x:c r="K242" s="190" t="str">
        <x:v>ESMALTE</x:v>
      </x:c>
      <x:c r="L242" s="190" t="str">
        <x:v>BRANCO CARRARA</x:v>
      </x:c>
      <x:c r="M242" s="210" t="n">
        <x:v>24</x:v>
      </x:c>
      <x:c r="N242" s="210" t="n">
        <x:v>2250</x:v>
      </x:c>
      <x:c r="O242" s="210" t="n">
        <x:v>50</x:v>
      </x:c>
      <x:c r="P242" s="210" t="n">
        <x:v>9</x:v>
      </x:c>
      <x:c r="Q242" s="211" t="n">
        <x:v>0</x:v>
      </x:c>
      <x:c r="R242" s="207" t="str"/>
      <x:c r="S242" s="207" t="str"/>
      <x:c r="T242" s="207" t="str"/>
      <x:c r="U242" s="207" t="n">
        <x:v>0</x:v>
      </x:c>
      <x:c r="V242" s="208" t="n">
        <x:f>MAX(0,M242-U242)</x:f>
        <x:v>24</x:v>
      </x:c>
      <x:c r="W242" s="209" t="n">
        <x:f>IFERROR(U242/M242,0)</x:f>
        <x:v>0</x:v>
      </x:c>
      <x:c r="X242" s="201" t="str">
        <x:f>IF(U242=0,"Não iniciado",IF(U242&gt;=M242,"Concluído","Parcial"))</x:f>
        <x:v>Não iniciado</x:v>
      </x:c>
      <x:c r="Y242" s="199" t="str"/>
      <x:c r="Z242" s="188" t="str">
        <x:v>Normal</x:v>
      </x:c>
    </x:row>
    <x:row r="243" ht="22" customHeight="1">
      <x:c r="A243" s="217" t="n">
        <x:v>239</x:v>
      </x:c>
      <x:c r="B243" s="218" t="str">
        <x:v>26750</x:v>
      </x:c>
      <x:c r="C243" s="218" t="str">
        <x:v>11</x:v>
      </x:c>
      <x:c r="D243" s="218" t="str">
        <x:v>609815</x:v>
      </x:c>
      <x:c r="E243" s="218" t="str">
        <x:v>971601</x:v>
      </x:c>
      <x:c r="F243" s="218" t="str">
        <x:v>OUTROS</x:v>
      </x:c>
      <x:c r="G243" s="184" t="str">
        <x:v>PE AL 2250X50X9 RTO RL80 REC PET BCO(ULT</x:v>
      </x:c>
      <x:c r="H243" s="184" t="str"/>
      <x:c r="I243" s="184" t="str"/>
      <x:c r="J243" s="184" t="str"/>
      <x:c r="K243" s="184" t="str">
        <x:v>ESMALTE</x:v>
      </x:c>
      <x:c r="L243" s="184" t="str">
        <x:v>BRANCO CARRARA</x:v>
      </x:c>
      <x:c r="M243" s="205" t="n">
        <x:v>24</x:v>
      </x:c>
      <x:c r="N243" s="205" t="n">
        <x:v>2250</x:v>
      </x:c>
      <x:c r="O243" s="205" t="n">
        <x:v>50</x:v>
      </x:c>
      <x:c r="P243" s="205" t="n">
        <x:v>9</x:v>
      </x:c>
      <x:c r="Q243" s="206" t="n">
        <x:v>0</x:v>
      </x:c>
      <x:c r="R243" s="207" t="str"/>
      <x:c r="S243" s="207" t="str"/>
      <x:c r="T243" s="207" t="str"/>
      <x:c r="U243" s="207" t="n">
        <x:v>0</x:v>
      </x:c>
      <x:c r="V243" s="208" t="n">
        <x:f>MAX(0,M243-U243)</x:f>
        <x:v>24</x:v>
      </x:c>
      <x:c r="W243" s="209" t="n">
        <x:f>IFERROR(U243/M243,0)</x:f>
        <x:v>0</x:v>
      </x:c>
      <x:c r="X243" s="201" t="str">
        <x:f>IF(U243=0,"Não iniciado",IF(U243&gt;=M243,"Concluído","Parcial"))</x:f>
        <x:v>Não iniciado</x:v>
      </x:c>
      <x:c r="Y243" s="199" t="str"/>
      <x:c r="Z243" s="188" t="str">
        <x:v>Normal</x:v>
      </x:c>
    </x:row>
    <x:row r="244" ht="22" customHeight="1">
      <x:c r="A244" s="219" t="n">
        <x:v>240</x:v>
      </x:c>
      <x:c r="B244" s="220" t="str">
        <x:v>26750</x:v>
      </x:c>
      <x:c r="C244" s="220" t="str">
        <x:v>12</x:v>
      </x:c>
      <x:c r="D244" s="220" t="str">
        <x:v>609822</x:v>
      </x:c>
      <x:c r="E244" s="220" t="str">
        <x:v>963311</x:v>
      </x:c>
      <x:c r="F244" s="220" t="str">
        <x:v>OUTROS</x:v>
      </x:c>
      <x:c r="G244" s="190" t="str">
        <x:v>PE AL 2250X50X9 RTO LME REC PET BCO(ULTR</x:v>
      </x:c>
      <x:c r="H244" s="190" t="str"/>
      <x:c r="I244" s="190" t="str"/>
      <x:c r="J244" s="190" t="str"/>
      <x:c r="K244" s="190" t="str">
        <x:v>ESMALTE</x:v>
      </x:c>
      <x:c r="L244" s="190" t="str">
        <x:v>BRANCO CARRARA</x:v>
      </x:c>
      <x:c r="M244" s="210" t="n">
        <x:v>8</x:v>
      </x:c>
      <x:c r="N244" s="210" t="n">
        <x:v>2250</x:v>
      </x:c>
      <x:c r="O244" s="210" t="n">
        <x:v>50</x:v>
      </x:c>
      <x:c r="P244" s="210" t="n">
        <x:v>9</x:v>
      </x:c>
      <x:c r="Q244" s="211" t="n">
        <x:v>0</x:v>
      </x:c>
      <x:c r="R244" s="207" t="str"/>
      <x:c r="S244" s="207" t="str"/>
      <x:c r="T244" s="207" t="str"/>
      <x:c r="U244" s="207" t="n">
        <x:v>0</x:v>
      </x:c>
      <x:c r="V244" s="208" t="n">
        <x:f>MAX(0,M244-U244)</x:f>
        <x:v>8</x:v>
      </x:c>
      <x:c r="W244" s="209" t="n">
        <x:f>IFERROR(U244/M244,0)</x:f>
        <x:v>0</x:v>
      </x:c>
      <x:c r="X244" s="201" t="str">
        <x:f>IF(U244=0,"Não iniciado",IF(U244&gt;=M244,"Concluído","Parcial"))</x:f>
        <x:v>Não iniciado</x:v>
      </x:c>
      <x:c r="Y244" s="199" t="str"/>
      <x:c r="Z244" s="188" t="str">
        <x:v>Normal</x:v>
      </x:c>
    </x:row>
    <x:row r="245" ht="22" customHeight="1">
      <x:c r="A245" s="217" t="n">
        <x:v>241</x:v>
      </x:c>
      <x:c r="B245" s="218" t="str">
        <x:v>26750</x:v>
      </x:c>
      <x:c r="C245" s="218" t="str">
        <x:v>12</x:v>
      </x:c>
      <x:c r="D245" s="218" t="str">
        <x:v>609825</x:v>
      </x:c>
      <x:c r="E245" s="218" t="str">
        <x:v>971601</x:v>
      </x:c>
      <x:c r="F245" s="218" t="str">
        <x:v>OUTROS</x:v>
      </x:c>
      <x:c r="G245" s="184" t="str">
        <x:v>PE AL 2250X50X9 RTO RL80 REC PET BCO(ULT</x:v>
      </x:c>
      <x:c r="H245" s="184" t="str"/>
      <x:c r="I245" s="184" t="str"/>
      <x:c r="J245" s="184" t="str"/>
      <x:c r="K245" s="184" t="str">
        <x:v>ESMALTE</x:v>
      </x:c>
      <x:c r="L245" s="184" t="str">
        <x:v>BRANCO CARRARA</x:v>
      </x:c>
      <x:c r="M245" s="205" t="n">
        <x:v>8</x:v>
      </x:c>
      <x:c r="N245" s="205" t="n">
        <x:v>2250</x:v>
      </x:c>
      <x:c r="O245" s="205" t="n">
        <x:v>50</x:v>
      </x:c>
      <x:c r="P245" s="205" t="n">
        <x:v>9</x:v>
      </x:c>
      <x:c r="Q245" s="206" t="n">
        <x:v>0</x:v>
      </x:c>
      <x:c r="R245" s="207" t="str"/>
      <x:c r="S245" s="207" t="str"/>
      <x:c r="T245" s="207" t="str"/>
      <x:c r="U245" s="207" t="n">
        <x:v>0</x:v>
      </x:c>
      <x:c r="V245" s="208" t="n">
        <x:f>MAX(0,M245-U245)</x:f>
        <x:v>8</x:v>
      </x:c>
      <x:c r="W245" s="209" t="n">
        <x:f>IFERROR(U245/M245,0)</x:f>
        <x:v>0</x:v>
      </x:c>
      <x:c r="X245" s="201" t="str">
        <x:f>IF(U245=0,"Não iniciado",IF(U245&gt;=M245,"Concluído","Parcial"))</x:f>
        <x:v>Não iniciado</x:v>
      </x:c>
      <x:c r="Y245" s="199" t="str"/>
      <x:c r="Z245" s="188" t="str">
        <x:v>Normal</x:v>
      </x:c>
    </x:row>
    <x:row r="246" ht="22" customHeight="1">
      <x:c r="A246" s="219" t="n">
        <x:v>242</x:v>
      </x:c>
      <x:c r="B246" s="220" t="str">
        <x:v>26750</x:v>
      </x:c>
      <x:c r="C246" s="220" t="str">
        <x:v>13</x:v>
      </x:c>
      <x:c r="D246" s="220" t="str">
        <x:v>609829</x:v>
      </x:c>
      <x:c r="E246" s="220" t="str">
        <x:v>963311</x:v>
      </x:c>
      <x:c r="F246" s="220" t="str">
        <x:v>OUTROS</x:v>
      </x:c>
      <x:c r="G246" s="190" t="str">
        <x:v>PE AL 2250X50X9 RTO LME REC PET BCO(ULTR</x:v>
      </x:c>
      <x:c r="H246" s="190" t="str"/>
      <x:c r="I246" s="190" t="str"/>
      <x:c r="J246" s="190" t="str"/>
      <x:c r="K246" s="190" t="str">
        <x:v>ESMALTE</x:v>
      </x:c>
      <x:c r="L246" s="190" t="str">
        <x:v>BRANCO CARRARA</x:v>
      </x:c>
      <x:c r="M246" s="210" t="n">
        <x:v>56</x:v>
      </x:c>
      <x:c r="N246" s="210" t="n">
        <x:v>2250</x:v>
      </x:c>
      <x:c r="O246" s="210" t="n">
        <x:v>50</x:v>
      </x:c>
      <x:c r="P246" s="210" t="n">
        <x:v>9</x:v>
      </x:c>
      <x:c r="Q246" s="211" t="n">
        <x:v>0</x:v>
      </x:c>
      <x:c r="R246" s="207" t="str"/>
      <x:c r="S246" s="207" t="str"/>
      <x:c r="T246" s="207" t="str"/>
      <x:c r="U246" s="207" t="n">
        <x:v>0</x:v>
      </x:c>
      <x:c r="V246" s="208" t="n">
        <x:f>MAX(0,M246-U246)</x:f>
        <x:v>56</x:v>
      </x:c>
      <x:c r="W246" s="209" t="n">
        <x:f>IFERROR(U246/M246,0)</x:f>
        <x:v>0</x:v>
      </x:c>
      <x:c r="X246" s="201" t="str">
        <x:f>IF(U246=0,"Não iniciado",IF(U246&gt;=M246,"Concluído","Parcial"))</x:f>
        <x:v>Não iniciado</x:v>
      </x:c>
      <x:c r="Y246" s="199" t="str"/>
      <x:c r="Z246" s="188" t="str">
        <x:v>Normal</x:v>
      </x:c>
    </x:row>
    <x:row r="247" ht="22" customHeight="1">
      <x:c r="A247" s="217" t="n">
        <x:v>243</x:v>
      </x:c>
      <x:c r="B247" s="218" t="str">
        <x:v>26750</x:v>
      </x:c>
      <x:c r="C247" s="218" t="str">
        <x:v>13</x:v>
      </x:c>
      <x:c r="D247" s="218" t="str">
        <x:v>609831</x:v>
      </x:c>
      <x:c r="E247" s="218" t="str">
        <x:v>971601</x:v>
      </x:c>
      <x:c r="F247" s="218" t="str">
        <x:v>OUTROS</x:v>
      </x:c>
      <x:c r="G247" s="184" t="str">
        <x:v>PE AL 2250X50X9 RTO RL80 REC PET BCO(ULT</x:v>
      </x:c>
      <x:c r="H247" s="184" t="str"/>
      <x:c r="I247" s="184" t="str"/>
      <x:c r="J247" s="184" t="str"/>
      <x:c r="K247" s="184" t="str">
        <x:v>ESMALTE</x:v>
      </x:c>
      <x:c r="L247" s="184" t="str">
        <x:v>BRANCO CARRARA</x:v>
      </x:c>
      <x:c r="M247" s="205" t="n">
        <x:v>56</x:v>
      </x:c>
      <x:c r="N247" s="205" t="n">
        <x:v>2250</x:v>
      </x:c>
      <x:c r="O247" s="205" t="n">
        <x:v>50</x:v>
      </x:c>
      <x:c r="P247" s="205" t="n">
        <x:v>9</x:v>
      </x:c>
      <x:c r="Q247" s="206" t="n">
        <x:v>0</x:v>
      </x:c>
      <x:c r="R247" s="207" t="str"/>
      <x:c r="S247" s="207" t="str"/>
      <x:c r="T247" s="207" t="str"/>
      <x:c r="U247" s="207" t="n">
        <x:v>0</x:v>
      </x:c>
      <x:c r="V247" s="208" t="n">
        <x:f>MAX(0,M247-U247)</x:f>
        <x:v>56</x:v>
      </x:c>
      <x:c r="W247" s="209" t="n">
        <x:f>IFERROR(U247/M247,0)</x:f>
        <x:v>0</x:v>
      </x:c>
      <x:c r="X247" s="201" t="str">
        <x:f>IF(U247=0,"Não iniciado",IF(U247&gt;=M247,"Concluído","Parcial"))</x:f>
        <x:v>Não iniciado</x:v>
      </x:c>
      <x:c r="Y247" s="199" t="str"/>
      <x:c r="Z247" s="188" t="str">
        <x:v>Normal</x:v>
      </x:c>
    </x:row>
    <x:row r="248" ht="22" customHeight="1">
      <x:c r="A248" s="219" t="n">
        <x:v>244</x:v>
      </x:c>
      <x:c r="B248" s="220" t="str">
        <x:v>26750</x:v>
      </x:c>
      <x:c r="C248" s="220" t="str">
        <x:v>14</x:v>
      </x:c>
      <x:c r="D248" s="220" t="str">
        <x:v>609839</x:v>
      </x:c>
      <x:c r="E248" s="220" t="str">
        <x:v>963311</x:v>
      </x:c>
      <x:c r="F248" s="220" t="str">
        <x:v>OUTROS</x:v>
      </x:c>
      <x:c r="G248" s="190" t="str">
        <x:v>PE AL 2250X50X9 RTO LME REC PET BCO(ULTR</x:v>
      </x:c>
      <x:c r="H248" s="190" t="str"/>
      <x:c r="I248" s="190" t="str"/>
      <x:c r="J248" s="190" t="str"/>
      <x:c r="K248" s="190" t="str">
        <x:v>ESMALTE</x:v>
      </x:c>
      <x:c r="L248" s="190" t="str">
        <x:v>BRANCO CARRARA</x:v>
      </x:c>
      <x:c r="M248" s="210" t="n">
        <x:v>38</x:v>
      </x:c>
      <x:c r="N248" s="210" t="n">
        <x:v>2250</x:v>
      </x:c>
      <x:c r="O248" s="210" t="n">
        <x:v>50</x:v>
      </x:c>
      <x:c r="P248" s="210" t="n">
        <x:v>9</x:v>
      </x:c>
      <x:c r="Q248" s="211" t="n">
        <x:v>0</x:v>
      </x:c>
      <x:c r="R248" s="207" t="str"/>
      <x:c r="S248" s="207" t="str"/>
      <x:c r="T248" s="207" t="str"/>
      <x:c r="U248" s="207" t="n">
        <x:v>0</x:v>
      </x:c>
      <x:c r="V248" s="208" t="n">
        <x:f>MAX(0,M248-U248)</x:f>
        <x:v>38</x:v>
      </x:c>
      <x:c r="W248" s="209" t="n">
        <x:f>IFERROR(U248/M248,0)</x:f>
        <x:v>0</x:v>
      </x:c>
      <x:c r="X248" s="201" t="str">
        <x:f>IF(U248=0,"Não iniciado",IF(U248&gt;=M248,"Concluído","Parcial"))</x:f>
        <x:v>Não iniciado</x:v>
      </x:c>
      <x:c r="Y248" s="199" t="str"/>
      <x:c r="Z248" s="188" t="str">
        <x:v>Normal</x:v>
      </x:c>
    </x:row>
    <x:row r="249" ht="22" customHeight="1">
      <x:c r="A249" s="217" t="n">
        <x:v>245</x:v>
      </x:c>
      <x:c r="B249" s="218" t="str">
        <x:v>26750</x:v>
      </x:c>
      <x:c r="C249" s="218" t="str">
        <x:v>14</x:v>
      </x:c>
      <x:c r="D249" s="218" t="str">
        <x:v>609841</x:v>
      </x:c>
      <x:c r="E249" s="218" t="str">
        <x:v>971601</x:v>
      </x:c>
      <x:c r="F249" s="218" t="str">
        <x:v>OUTROS</x:v>
      </x:c>
      <x:c r="G249" s="184" t="str">
        <x:v>PE AL 2250X50X9 RTO RL80 REC PET BCO(ULT</x:v>
      </x:c>
      <x:c r="H249" s="184" t="str"/>
      <x:c r="I249" s="184" t="str"/>
      <x:c r="J249" s="184" t="str"/>
      <x:c r="K249" s="184" t="str">
        <x:v>ESMALTE</x:v>
      </x:c>
      <x:c r="L249" s="184" t="str">
        <x:v>BRANCO CARRARA</x:v>
      </x:c>
      <x:c r="M249" s="205" t="n">
        <x:v>38</x:v>
      </x:c>
      <x:c r="N249" s="205" t="n">
        <x:v>2250</x:v>
      </x:c>
      <x:c r="O249" s="205" t="n">
        <x:v>50</x:v>
      </x:c>
      <x:c r="P249" s="205" t="n">
        <x:v>9</x:v>
      </x:c>
      <x:c r="Q249" s="206" t="n">
        <x:v>0</x:v>
      </x:c>
      <x:c r="R249" s="207" t="str"/>
      <x:c r="S249" s="207" t="str"/>
      <x:c r="T249" s="207" t="str"/>
      <x:c r="U249" s="207" t="n">
        <x:v>0</x:v>
      </x:c>
      <x:c r="V249" s="208" t="n">
        <x:f>MAX(0,M249-U249)</x:f>
        <x:v>38</x:v>
      </x:c>
      <x:c r="W249" s="209" t="n">
        <x:f>IFERROR(U249/M249,0)</x:f>
        <x:v>0</x:v>
      </x:c>
      <x:c r="X249" s="201" t="str">
        <x:f>IF(U249=0,"Não iniciado",IF(U249&gt;=M249,"Concluído","Parcial"))</x:f>
        <x:v>Não iniciado</x:v>
      </x:c>
      <x:c r="Y249" s="199" t="str"/>
      <x:c r="Z249" s="188" t="str">
        <x:v>Normal</x:v>
      </x:c>
    </x:row>
    <x:row r="250" ht="22" customHeight="1">
      <x:c r="A250" s="219" t="n">
        <x:v>246</x:v>
      </x:c>
      <x:c r="B250" s="220" t="str">
        <x:v>26750</x:v>
      </x:c>
      <x:c r="C250" s="220" t="str">
        <x:v>15</x:v>
      </x:c>
      <x:c r="D250" s="220" t="str">
        <x:v>609846</x:v>
      </x:c>
      <x:c r="E250" s="220" t="str">
        <x:v>963311</x:v>
      </x:c>
      <x:c r="F250" s="220" t="str">
        <x:v>OUTROS</x:v>
      </x:c>
      <x:c r="G250" s="190" t="str">
        <x:v>PE AL 2250X50X9 RTO LME REC PET BCO(ULTR</x:v>
      </x:c>
      <x:c r="H250" s="190" t="str"/>
      <x:c r="I250" s="190" t="str"/>
      <x:c r="J250" s="190" t="str"/>
      <x:c r="K250" s="190" t="str">
        <x:v>ESMALTE</x:v>
      </x:c>
      <x:c r="L250" s="190" t="str">
        <x:v>BRANCO CARRARA</x:v>
      </x:c>
      <x:c r="M250" s="210" t="n">
        <x:v>8</x:v>
      </x:c>
      <x:c r="N250" s="210" t="n">
        <x:v>2250</x:v>
      </x:c>
      <x:c r="O250" s="210" t="n">
        <x:v>50</x:v>
      </x:c>
      <x:c r="P250" s="210" t="n">
        <x:v>9</x:v>
      </x:c>
      <x:c r="Q250" s="211" t="n">
        <x:v>0</x:v>
      </x:c>
      <x:c r="R250" s="207" t="str"/>
      <x:c r="S250" s="207" t="str"/>
      <x:c r="T250" s="207" t="str"/>
      <x:c r="U250" s="207" t="n">
        <x:v>0</x:v>
      </x:c>
      <x:c r="V250" s="208" t="n">
        <x:f>MAX(0,M250-U250)</x:f>
        <x:v>8</x:v>
      </x:c>
      <x:c r="W250" s="209" t="n">
        <x:f>IFERROR(U250/M250,0)</x:f>
        <x:v>0</x:v>
      </x:c>
      <x:c r="X250" s="201" t="str">
        <x:f>IF(U250=0,"Não iniciado",IF(U250&gt;=M250,"Concluído","Parcial"))</x:f>
        <x:v>Não iniciado</x:v>
      </x:c>
      <x:c r="Y250" s="199" t="str"/>
      <x:c r="Z250" s="188" t="str">
        <x:v>Normal</x:v>
      </x:c>
    </x:row>
    <x:row r="251" ht="22" customHeight="1">
      <x:c r="A251" s="217" t="n">
        <x:v>247</x:v>
      </x:c>
      <x:c r="B251" s="218" t="str">
        <x:v>26750</x:v>
      </x:c>
      <x:c r="C251" s="218" t="str">
        <x:v>15</x:v>
      </x:c>
      <x:c r="D251" s="218" t="str">
        <x:v>609849</x:v>
      </x:c>
      <x:c r="E251" s="218" t="str">
        <x:v>971601</x:v>
      </x:c>
      <x:c r="F251" s="218" t="str">
        <x:v>OUTROS</x:v>
      </x:c>
      <x:c r="G251" s="184" t="str">
        <x:v>PE AL 2250X50X9 RTO RL80 REC PET BCO(ULT</x:v>
      </x:c>
      <x:c r="H251" s="184" t="str"/>
      <x:c r="I251" s="184" t="str"/>
      <x:c r="J251" s="184" t="str"/>
      <x:c r="K251" s="184" t="str">
        <x:v>ESMALTE</x:v>
      </x:c>
      <x:c r="L251" s="184" t="str">
        <x:v>BRANCO CARRARA</x:v>
      </x:c>
      <x:c r="M251" s="205" t="n">
        <x:v>8</x:v>
      </x:c>
      <x:c r="N251" s="205" t="n">
        <x:v>2250</x:v>
      </x:c>
      <x:c r="O251" s="205" t="n">
        <x:v>50</x:v>
      </x:c>
      <x:c r="P251" s="205" t="n">
        <x:v>9</x:v>
      </x:c>
      <x:c r="Q251" s="206" t="n">
        <x:v>0</x:v>
      </x:c>
      <x:c r="R251" s="207" t="str"/>
      <x:c r="S251" s="207" t="str"/>
      <x:c r="T251" s="207" t="str"/>
      <x:c r="U251" s="207" t="n">
        <x:v>0</x:v>
      </x:c>
      <x:c r="V251" s="208" t="n">
        <x:f>MAX(0,M251-U251)</x:f>
        <x:v>8</x:v>
      </x:c>
      <x:c r="W251" s="209" t="n">
        <x:f>IFERROR(U251/M251,0)</x:f>
        <x:v>0</x:v>
      </x:c>
      <x:c r="X251" s="201" t="str">
        <x:f>IF(U251=0,"Não iniciado",IF(U251&gt;=M251,"Concluído","Parcial"))</x:f>
        <x:v>Não iniciado</x:v>
      </x:c>
      <x:c r="Y251" s="199" t="str"/>
      <x:c r="Z251" s="188" t="str">
        <x:v>Normal</x:v>
      </x:c>
    </x:row>
    <x:row r="252" ht="22" customHeight="1">
      <x:c r="A252" s="219" t="n">
        <x:v>248</x:v>
      </x:c>
      <x:c r="B252" s="220" t="str">
        <x:v>26750</x:v>
      </x:c>
      <x:c r="C252" s="220" t="str">
        <x:v>18</x:v>
      </x:c>
      <x:c r="D252" s="220" t="str">
        <x:v>609857</x:v>
      </x:c>
      <x:c r="E252" s="220" t="str">
        <x:v>963311</x:v>
      </x:c>
      <x:c r="F252" s="220" t="str">
        <x:v>OUTROS</x:v>
      </x:c>
      <x:c r="G252" s="190" t="str">
        <x:v>PE AL 2250X50X9 RTO LME REC PET BCO(ULTR</x:v>
      </x:c>
      <x:c r="H252" s="190" t="str">
        <x:v>REG 2L(MAIOR 80MM)</x:v>
      </x:c>
      <x:c r="I252" s="190" t="str"/>
      <x:c r="J252" s="190" t="str"/>
      <x:c r="K252" s="190" t="str">
        <x:v>RECOBERTO PET</x:v>
      </x:c>
      <x:c r="L252" s="190" t="str">
        <x:v>BRANCO CARRARA</x:v>
      </x:c>
      <x:c r="M252" s="210" t="n">
        <x:v>14</x:v>
      </x:c>
      <x:c r="N252" s="210" t="n">
        <x:v>2250</x:v>
      </x:c>
      <x:c r="O252" s="210" t="n">
        <x:v>50</x:v>
      </x:c>
      <x:c r="P252" s="210" t="n">
        <x:v>9</x:v>
      </x:c>
      <x:c r="Q252" s="211" t="n">
        <x:v>0</x:v>
      </x:c>
      <x:c r="R252" s="207" t="str"/>
      <x:c r="S252" s="207" t="str"/>
      <x:c r="T252" s="207" t="str"/>
      <x:c r="U252" s="207" t="n">
        <x:v>0</x:v>
      </x:c>
      <x:c r="V252" s="208" t="n">
        <x:f>MAX(0,M252-U252)</x:f>
        <x:v>14</x:v>
      </x:c>
      <x:c r="W252" s="209" t="n">
        <x:f>IFERROR(U252/M252,0)</x:f>
        <x:v>0</x:v>
      </x:c>
      <x:c r="X252" s="201" t="str">
        <x:f>IF(U252=0,"Não iniciado",IF(U252&gt;=M252,"Concluído","Parcial"))</x:f>
        <x:v>Não iniciado</x:v>
      </x:c>
      <x:c r="Y252" s="199" t="str"/>
      <x:c r="Z252" s="188" t="str">
        <x:v>Normal</x:v>
      </x:c>
    </x:row>
    <x:row r="253" ht="22" customHeight="1">
      <x:c r="A253" s="217" t="n">
        <x:v>249</x:v>
      </x:c>
      <x:c r="B253" s="218" t="str">
        <x:v>26750</x:v>
      </x:c>
      <x:c r="C253" s="218" t="str">
        <x:v>18</x:v>
      </x:c>
      <x:c r="D253" s="218" t="str">
        <x:v>609859</x:v>
      </x:c>
      <x:c r="E253" s="218" t="str">
        <x:v>971601</x:v>
      </x:c>
      <x:c r="F253" s="218" t="str">
        <x:v>OUTROS</x:v>
      </x:c>
      <x:c r="G253" s="184" t="str">
        <x:v>PE AL 2250X50X9 RTO RL80 REC PET BCO(ULT</x:v>
      </x:c>
      <x:c r="H253" s="184" t="str">
        <x:v>REG 2L(MAIOR 80MM)</x:v>
      </x:c>
      <x:c r="I253" s="184" t="str"/>
      <x:c r="J253" s="184" t="str"/>
      <x:c r="K253" s="184" t="str">
        <x:v>RECOBERTO PET</x:v>
      </x:c>
      <x:c r="L253" s="184" t="str">
        <x:v>BRANCO CARRARA</x:v>
      </x:c>
      <x:c r="M253" s="205" t="n">
        <x:v>14</x:v>
      </x:c>
      <x:c r="N253" s="205" t="n">
        <x:v>2250</x:v>
      </x:c>
      <x:c r="O253" s="205" t="n">
        <x:v>50</x:v>
      </x:c>
      <x:c r="P253" s="205" t="n">
        <x:v>9</x:v>
      </x:c>
      <x:c r="Q253" s="206" t="n">
        <x:v>0</x:v>
      </x:c>
      <x:c r="R253" s="207" t="str"/>
      <x:c r="S253" s="207" t="str"/>
      <x:c r="T253" s="207" t="str"/>
      <x:c r="U253" s="207" t="n">
        <x:v>0</x:v>
      </x:c>
      <x:c r="V253" s="208" t="n">
        <x:f>MAX(0,M253-U253)</x:f>
        <x:v>14</x:v>
      </x:c>
      <x:c r="W253" s="209" t="n">
        <x:f>IFERROR(U253/M253,0)</x:f>
        <x:v>0</x:v>
      </x:c>
      <x:c r="X253" s="201" t="str">
        <x:f>IF(U253=0,"Não iniciado",IF(U253&gt;=M253,"Concluído","Parcial"))</x:f>
        <x:v>Não iniciado</x:v>
      </x:c>
      <x:c r="Y253" s="199" t="str"/>
      <x:c r="Z253" s="188" t="str">
        <x:v>Normal</x:v>
      </x:c>
    </x:row>
    <x:row r="254" ht="22" customHeight="1">
      <x:c r="A254" s="219" t="n">
        <x:v>250</x:v>
      </x:c>
      <x:c r="B254" s="220" t="str">
        <x:v>26750</x:v>
      </x:c>
      <x:c r="C254" s="220" t="str">
        <x:v>20</x:v>
      </x:c>
      <x:c r="D254" s="220" t="str">
        <x:v>609868</x:v>
      </x:c>
      <x:c r="E254" s="220" t="str">
        <x:v>963311</x:v>
      </x:c>
      <x:c r="F254" s="220" t="str">
        <x:v>OUTROS</x:v>
      </x:c>
      <x:c r="G254" s="190" t="str">
        <x:v>PE AL 2250X50X9 RTO LME REC PET BCO(ULTR</x:v>
      </x:c>
      <x:c r="H254" s="190" t="str"/>
      <x:c r="I254" s="190" t="str"/>
      <x:c r="J254" s="190" t="str"/>
      <x:c r="K254" s="190" t="str">
        <x:v>ESMALTE</x:v>
      </x:c>
      <x:c r="L254" s="190" t="str">
        <x:v>BRANCO CARRARA</x:v>
      </x:c>
      <x:c r="M254" s="210" t="n">
        <x:v>18</x:v>
      </x:c>
      <x:c r="N254" s="210" t="n">
        <x:v>2250</x:v>
      </x:c>
      <x:c r="O254" s="210" t="n">
        <x:v>50</x:v>
      </x:c>
      <x:c r="P254" s="210" t="n">
        <x:v>9</x:v>
      </x:c>
      <x:c r="Q254" s="211" t="n">
        <x:v>0</x:v>
      </x:c>
      <x:c r="R254" s="207" t="str"/>
      <x:c r="S254" s="207" t="str"/>
      <x:c r="T254" s="207" t="str"/>
      <x:c r="U254" s="207" t="n">
        <x:v>0</x:v>
      </x:c>
      <x:c r="V254" s="208" t="n">
        <x:f>MAX(0,M254-U254)</x:f>
        <x:v>18</x:v>
      </x:c>
      <x:c r="W254" s="209" t="n">
        <x:f>IFERROR(U254/M254,0)</x:f>
        <x:v>0</x:v>
      </x:c>
      <x:c r="X254" s="201" t="str">
        <x:f>IF(U254=0,"Não iniciado",IF(U254&gt;=M254,"Concluído","Parcial"))</x:f>
        <x:v>Não iniciado</x:v>
      </x:c>
      <x:c r="Y254" s="199" t="str"/>
      <x:c r="Z254" s="188" t="str">
        <x:v>Normal</x:v>
      </x:c>
    </x:row>
    <x:row r="255" ht="22" customHeight="1">
      <x:c r="A255" s="217" t="n">
        <x:v>251</x:v>
      </x:c>
      <x:c r="B255" s="218" t="str">
        <x:v>26750</x:v>
      </x:c>
      <x:c r="C255" s="218" t="str">
        <x:v>20</x:v>
      </x:c>
      <x:c r="D255" s="218" t="str">
        <x:v>609870</x:v>
      </x:c>
      <x:c r="E255" s="218" t="str">
        <x:v>971601</x:v>
      </x:c>
      <x:c r="F255" s="218" t="str">
        <x:v>OUTROS</x:v>
      </x:c>
      <x:c r="G255" s="184" t="str">
        <x:v>PE AL 2250X50X9 RTO RL80 REC PET BCO(ULT</x:v>
      </x:c>
      <x:c r="H255" s="184" t="str"/>
      <x:c r="I255" s="184" t="str"/>
      <x:c r="J255" s="184" t="str"/>
      <x:c r="K255" s="184" t="str">
        <x:v>ESMALTE</x:v>
      </x:c>
      <x:c r="L255" s="184" t="str">
        <x:v>BRANCO CARRARA</x:v>
      </x:c>
      <x:c r="M255" s="205" t="n">
        <x:v>18</x:v>
      </x:c>
      <x:c r="N255" s="205" t="n">
        <x:v>2250</x:v>
      </x:c>
      <x:c r="O255" s="205" t="n">
        <x:v>50</x:v>
      </x:c>
      <x:c r="P255" s="205" t="n">
        <x:v>9</x:v>
      </x:c>
      <x:c r="Q255" s="206" t="n">
        <x:v>0</x:v>
      </x:c>
      <x:c r="R255" s="207" t="str"/>
      <x:c r="S255" s="207" t="str"/>
      <x:c r="T255" s="207" t="str"/>
      <x:c r="U255" s="207" t="n">
        <x:v>0</x:v>
      </x:c>
      <x:c r="V255" s="208" t="n">
        <x:f>MAX(0,M255-U255)</x:f>
        <x:v>18</x:v>
      </x:c>
      <x:c r="W255" s="209" t="n">
        <x:f>IFERROR(U255/M255,0)</x:f>
        <x:v>0</x:v>
      </x:c>
      <x:c r="X255" s="201" t="str">
        <x:f>IF(U255=0,"Não iniciado",IF(U255&gt;=M255,"Concluído","Parcial"))</x:f>
        <x:v>Não iniciado</x:v>
      </x:c>
      <x:c r="Y255" s="199" t="str"/>
      <x:c r="Z255" s="188" t="str">
        <x:v>Normal</x:v>
      </x:c>
    </x:row>
    <x:row r="256" ht="22" customHeight="1">
      <x:c r="A256" s="219" t="n">
        <x:v>252</x:v>
      </x:c>
      <x:c r="B256" s="220" t="str">
        <x:v>26750</x:v>
      </x:c>
      <x:c r="C256" s="220" t="str">
        <x:v>21</x:v>
      </x:c>
      <x:c r="D256" s="220" t="str">
        <x:v>609876</x:v>
      </x:c>
      <x:c r="E256" s="220" t="str">
        <x:v>963311</x:v>
      </x:c>
      <x:c r="F256" s="220" t="str">
        <x:v>OUTROS</x:v>
      </x:c>
      <x:c r="G256" s="190" t="str">
        <x:v>PE AL 2250X50X9 RTO LME REC PET BCO(ULTR</x:v>
      </x:c>
      <x:c r="H256" s="190" t="str"/>
      <x:c r="I256" s="190" t="str"/>
      <x:c r="J256" s="190" t="str"/>
      <x:c r="K256" s="190" t="str">
        <x:v>ESMALTE</x:v>
      </x:c>
      <x:c r="L256" s="190" t="str">
        <x:v>BRANCO CARRARA</x:v>
      </x:c>
      <x:c r="M256" s="210" t="n">
        <x:v>10</x:v>
      </x:c>
      <x:c r="N256" s="210" t="n">
        <x:v>2250</x:v>
      </x:c>
      <x:c r="O256" s="210" t="n">
        <x:v>50</x:v>
      </x:c>
      <x:c r="P256" s="210" t="n">
        <x:v>9</x:v>
      </x:c>
      <x:c r="Q256" s="211" t="n">
        <x:v>0</x:v>
      </x:c>
      <x:c r="R256" s="207" t="str"/>
      <x:c r="S256" s="207" t="str"/>
      <x:c r="T256" s="207" t="str"/>
      <x:c r="U256" s="207" t="n">
        <x:v>0</x:v>
      </x:c>
      <x:c r="V256" s="208" t="n">
        <x:f>MAX(0,M256-U256)</x:f>
        <x:v>10</x:v>
      </x:c>
      <x:c r="W256" s="209" t="n">
        <x:f>IFERROR(U256/M256,0)</x:f>
        <x:v>0</x:v>
      </x:c>
      <x:c r="X256" s="201" t="str">
        <x:f>IF(U256=0,"Não iniciado",IF(U256&gt;=M256,"Concluído","Parcial"))</x:f>
        <x:v>Não iniciado</x:v>
      </x:c>
      <x:c r="Y256" s="199" t="str"/>
      <x:c r="Z256" s="188" t="str">
        <x:v>Normal</x:v>
      </x:c>
    </x:row>
    <x:row r="257" ht="22" customHeight="1">
      <x:c r="A257" s="217" t="n">
        <x:v>253</x:v>
      </x:c>
      <x:c r="B257" s="218" t="str">
        <x:v>26750</x:v>
      </x:c>
      <x:c r="C257" s="218" t="str">
        <x:v>21</x:v>
      </x:c>
      <x:c r="D257" s="218" t="str">
        <x:v>609878</x:v>
      </x:c>
      <x:c r="E257" s="218" t="str">
        <x:v>971601</x:v>
      </x:c>
      <x:c r="F257" s="218" t="str">
        <x:v>OUTROS</x:v>
      </x:c>
      <x:c r="G257" s="184" t="str">
        <x:v>PE AL 2250X50X9 RTO RL80 REC PET BCO(ULT</x:v>
      </x:c>
      <x:c r="H257" s="184" t="str"/>
      <x:c r="I257" s="184" t="str"/>
      <x:c r="J257" s="184" t="str"/>
      <x:c r="K257" s="184" t="str">
        <x:v>ESMALTE</x:v>
      </x:c>
      <x:c r="L257" s="184" t="str">
        <x:v>BRANCO CARRARA</x:v>
      </x:c>
      <x:c r="M257" s="205" t="n">
        <x:v>10</x:v>
      </x:c>
      <x:c r="N257" s="205" t="n">
        <x:v>2250</x:v>
      </x:c>
      <x:c r="O257" s="205" t="n">
        <x:v>50</x:v>
      </x:c>
      <x:c r="P257" s="205" t="n">
        <x:v>9</x:v>
      </x:c>
      <x:c r="Q257" s="206" t="n">
        <x:v>0</x:v>
      </x:c>
      <x:c r="R257" s="207" t="str"/>
      <x:c r="S257" s="207" t="str"/>
      <x:c r="T257" s="207" t="str"/>
      <x:c r="U257" s="207" t="n">
        <x:v>0</x:v>
      </x:c>
      <x:c r="V257" s="208" t="n">
        <x:f>MAX(0,M257-U257)</x:f>
        <x:v>10</x:v>
      </x:c>
      <x:c r="W257" s="209" t="n">
        <x:f>IFERROR(U257/M257,0)</x:f>
        <x:v>0</x:v>
      </x:c>
      <x:c r="X257" s="201" t="str">
        <x:f>IF(U257=0,"Não iniciado",IF(U257&gt;=M257,"Concluído","Parcial"))</x:f>
        <x:v>Não iniciado</x:v>
      </x:c>
      <x:c r="Y257" s="199" t="str"/>
      <x:c r="Z257" s="188" t="str">
        <x:v>Normal</x:v>
      </x:c>
    </x:row>
    <x:row r="258" ht="22" customHeight="1">
      <x:c r="A258" s="219" t="n">
        <x:v>254</x:v>
      </x:c>
      <x:c r="B258" s="220" t="str">
        <x:v>26750</x:v>
      </x:c>
      <x:c r="C258" s="220" t="str">
        <x:v>22</x:v>
      </x:c>
      <x:c r="D258" s="220" t="str">
        <x:v>609885</x:v>
      </x:c>
      <x:c r="E258" s="220" t="str">
        <x:v>963311</x:v>
      </x:c>
      <x:c r="F258" s="220" t="str">
        <x:v>OUTROS</x:v>
      </x:c>
      <x:c r="G258" s="190" t="str">
        <x:v>PE AL 2250X50X9 RTO LME REC PET BCO(ULTR</x:v>
      </x:c>
      <x:c r="H258" s="190" t="str"/>
      <x:c r="I258" s="190" t="str"/>
      <x:c r="J258" s="190" t="str"/>
      <x:c r="K258" s="190" t="str">
        <x:v>ESMALTE</x:v>
      </x:c>
      <x:c r="L258" s="190" t="str">
        <x:v>BRANCO CARRARA</x:v>
      </x:c>
      <x:c r="M258" s="210" t="n">
        <x:v>38</x:v>
      </x:c>
      <x:c r="N258" s="210" t="n">
        <x:v>2250</x:v>
      </x:c>
      <x:c r="O258" s="210" t="n">
        <x:v>50</x:v>
      </x:c>
      <x:c r="P258" s="210" t="n">
        <x:v>9</x:v>
      </x:c>
      <x:c r="Q258" s="211" t="n">
        <x:v>0</x:v>
      </x:c>
      <x:c r="R258" s="207" t="str"/>
      <x:c r="S258" s="207" t="str"/>
      <x:c r="T258" s="207" t="str"/>
      <x:c r="U258" s="207" t="n">
        <x:v>0</x:v>
      </x:c>
      <x:c r="V258" s="208" t="n">
        <x:f>MAX(0,M258-U258)</x:f>
        <x:v>38</x:v>
      </x:c>
      <x:c r="W258" s="209" t="n">
        <x:f>IFERROR(U258/M258,0)</x:f>
        <x:v>0</x:v>
      </x:c>
      <x:c r="X258" s="201" t="str">
        <x:f>IF(U258=0,"Não iniciado",IF(U258&gt;=M258,"Concluído","Parcial"))</x:f>
        <x:v>Não iniciado</x:v>
      </x:c>
      <x:c r="Y258" s="199" t="str"/>
      <x:c r="Z258" s="188" t="str">
        <x:v>Normal</x:v>
      </x:c>
    </x:row>
    <x:row r="259" ht="22" customHeight="1">
      <x:c r="A259" s="217" t="n">
        <x:v>255</x:v>
      </x:c>
      <x:c r="B259" s="218" t="str">
        <x:v>26750</x:v>
      </x:c>
      <x:c r="C259" s="218" t="str">
        <x:v>22</x:v>
      </x:c>
      <x:c r="D259" s="218" t="str">
        <x:v>609887</x:v>
      </x:c>
      <x:c r="E259" s="218" t="str">
        <x:v>971601</x:v>
      </x:c>
      <x:c r="F259" s="218" t="str">
        <x:v>OUTROS</x:v>
      </x:c>
      <x:c r="G259" s="184" t="str">
        <x:v>PE AL 2250X50X9 RTO RL80 REC PET BCO(ULT</x:v>
      </x:c>
      <x:c r="H259" s="184" t="str"/>
      <x:c r="I259" s="184" t="str"/>
      <x:c r="J259" s="184" t="str"/>
      <x:c r="K259" s="184" t="str">
        <x:v>ESMALTE</x:v>
      </x:c>
      <x:c r="L259" s="184" t="str">
        <x:v>BRANCO CARRARA</x:v>
      </x:c>
      <x:c r="M259" s="205" t="n">
        <x:v>38</x:v>
      </x:c>
      <x:c r="N259" s="205" t="n">
        <x:v>2250</x:v>
      </x:c>
      <x:c r="O259" s="205" t="n">
        <x:v>50</x:v>
      </x:c>
      <x:c r="P259" s="205" t="n">
        <x:v>9</x:v>
      </x:c>
      <x:c r="Q259" s="206" t="n">
        <x:v>0</x:v>
      </x:c>
      <x:c r="R259" s="207" t="str"/>
      <x:c r="S259" s="207" t="str"/>
      <x:c r="T259" s="207" t="str"/>
      <x:c r="U259" s="207" t="n">
        <x:v>0</x:v>
      </x:c>
      <x:c r="V259" s="208" t="n">
        <x:f>MAX(0,M259-U259)</x:f>
        <x:v>38</x:v>
      </x:c>
      <x:c r="W259" s="209" t="n">
        <x:f>IFERROR(U259/M259,0)</x:f>
        <x:v>0</x:v>
      </x:c>
      <x:c r="X259" s="201" t="str">
        <x:f>IF(U259=0,"Não iniciado",IF(U259&gt;=M259,"Concluído","Parcial"))</x:f>
        <x:v>Não iniciado</x:v>
      </x:c>
      <x:c r="Y259" s="199" t="str"/>
      <x:c r="Z259" s="188" t="str">
        <x:v>Normal</x:v>
      </x:c>
    </x:row>
    <x:row r="260" ht="22" customHeight="1">
      <x:c r="A260" s="219" t="n">
        <x:v>256</x:v>
      </x:c>
      <x:c r="B260" s="220" t="str">
        <x:v>26750</x:v>
      </x:c>
      <x:c r="C260" s="220" t="str">
        <x:v>23</x:v>
      </x:c>
      <x:c r="D260" s="220" t="str">
        <x:v>609893</x:v>
      </x:c>
      <x:c r="E260" s="220" t="str">
        <x:v>963311</x:v>
      </x:c>
      <x:c r="F260" s="220" t="str">
        <x:v>OUTROS</x:v>
      </x:c>
      <x:c r="G260" s="190" t="str">
        <x:v>PE AL 2250X50X9 RTO LME REC PET BCO(ULTR</x:v>
      </x:c>
      <x:c r="H260" s="190" t="str"/>
      <x:c r="I260" s="190" t="str"/>
      <x:c r="J260" s="190" t="str"/>
      <x:c r="K260" s="190" t="str">
        <x:v>ESMALTE</x:v>
      </x:c>
      <x:c r="L260" s="190" t="str">
        <x:v>BRANCO CARRARA</x:v>
      </x:c>
      <x:c r="M260" s="210" t="n">
        <x:v>8</x:v>
      </x:c>
      <x:c r="N260" s="210" t="n">
        <x:v>2250</x:v>
      </x:c>
      <x:c r="O260" s="210" t="n">
        <x:v>50</x:v>
      </x:c>
      <x:c r="P260" s="210" t="n">
        <x:v>9</x:v>
      </x:c>
      <x:c r="Q260" s="211" t="n">
        <x:v>0</x:v>
      </x:c>
      <x:c r="R260" s="207" t="str"/>
      <x:c r="S260" s="207" t="str"/>
      <x:c r="T260" s="207" t="str"/>
      <x:c r="U260" s="207" t="n">
        <x:v>0</x:v>
      </x:c>
      <x:c r="V260" s="208" t="n">
        <x:f>MAX(0,M260-U260)</x:f>
        <x:v>8</x:v>
      </x:c>
      <x:c r="W260" s="209" t="n">
        <x:f>IFERROR(U260/M260,0)</x:f>
        <x:v>0</x:v>
      </x:c>
      <x:c r="X260" s="201" t="str">
        <x:f>IF(U260=0,"Não iniciado",IF(U260&gt;=M260,"Concluído","Parcial"))</x:f>
        <x:v>Não iniciado</x:v>
      </x:c>
      <x:c r="Y260" s="199" t="str"/>
      <x:c r="Z260" s="188" t="str">
        <x:v>Normal</x:v>
      </x:c>
    </x:row>
    <x:row r="261" ht="22" customHeight="1">
      <x:c r="A261" s="217" t="n">
        <x:v>257</x:v>
      </x:c>
      <x:c r="B261" s="218" t="str">
        <x:v>26750</x:v>
      </x:c>
      <x:c r="C261" s="218" t="str">
        <x:v>23</x:v>
      </x:c>
      <x:c r="D261" s="218" t="str">
        <x:v>609896</x:v>
      </x:c>
      <x:c r="E261" s="218" t="str">
        <x:v>971601</x:v>
      </x:c>
      <x:c r="F261" s="218" t="str">
        <x:v>OUTROS</x:v>
      </x:c>
      <x:c r="G261" s="184" t="str">
        <x:v>PE AL 2250X50X9 RTO RL80 REC PET BCO(ULT</x:v>
      </x:c>
      <x:c r="H261" s="184" t="str"/>
      <x:c r="I261" s="184" t="str"/>
      <x:c r="J261" s="184" t="str"/>
      <x:c r="K261" s="184" t="str">
        <x:v>ESMALTE</x:v>
      </x:c>
      <x:c r="L261" s="184" t="str">
        <x:v>BRANCO CARRARA</x:v>
      </x:c>
      <x:c r="M261" s="205" t="n">
        <x:v>8</x:v>
      </x:c>
      <x:c r="N261" s="205" t="n">
        <x:v>2250</x:v>
      </x:c>
      <x:c r="O261" s="205" t="n">
        <x:v>50</x:v>
      </x:c>
      <x:c r="P261" s="205" t="n">
        <x:v>9</x:v>
      </x:c>
      <x:c r="Q261" s="206" t="n">
        <x:v>0</x:v>
      </x:c>
      <x:c r="R261" s="207" t="str"/>
      <x:c r="S261" s="207" t="str"/>
      <x:c r="T261" s="207" t="str"/>
      <x:c r="U261" s="207" t="n">
        <x:v>0</x:v>
      </x:c>
      <x:c r="V261" s="208" t="n">
        <x:f>MAX(0,M261-U261)</x:f>
        <x:v>8</x:v>
      </x:c>
      <x:c r="W261" s="209" t="n">
        <x:f>IFERROR(U261/M261,0)</x:f>
        <x:v>0</x:v>
      </x:c>
      <x:c r="X261" s="201" t="str">
        <x:f>IF(U261=0,"Não iniciado",IF(U261&gt;=M261,"Concluído","Parcial"))</x:f>
        <x:v>Não iniciado</x:v>
      </x:c>
      <x:c r="Y261" s="199" t="str"/>
      <x:c r="Z261" s="188" t="str">
        <x:v>Normal</x:v>
      </x:c>
    </x:row>
    <x:row r="262" ht="22" customHeight="1">
      <x:c r="A262" s="219" t="n">
        <x:v>258</x:v>
      </x:c>
      <x:c r="B262" s="220" t="str">
        <x:v>26750</x:v>
      </x:c>
      <x:c r="C262" s="220" t="str">
        <x:v>24</x:v>
      </x:c>
      <x:c r="D262" s="220" t="str">
        <x:v>609902</x:v>
      </x:c>
      <x:c r="E262" s="220" t="str">
        <x:v>963311</x:v>
      </x:c>
      <x:c r="F262" s="220" t="str">
        <x:v>OUTROS</x:v>
      </x:c>
      <x:c r="G262" s="190" t="str">
        <x:v>PE AL 2250X50X9 RTO LME REC PET BCO(ULTR</x:v>
      </x:c>
      <x:c r="H262" s="190" t="str"/>
      <x:c r="I262" s="190" t="str"/>
      <x:c r="J262" s="190" t="str"/>
      <x:c r="K262" s="190" t="str">
        <x:v>ESMALTE</x:v>
      </x:c>
      <x:c r="L262" s="190" t="str">
        <x:v>BRANCO CARRARA</x:v>
      </x:c>
      <x:c r="M262" s="210" t="n">
        <x:v>20</x:v>
      </x:c>
      <x:c r="N262" s="210" t="n">
        <x:v>2250</x:v>
      </x:c>
      <x:c r="O262" s="210" t="n">
        <x:v>50</x:v>
      </x:c>
      <x:c r="P262" s="210" t="n">
        <x:v>9</x:v>
      </x:c>
      <x:c r="Q262" s="211" t="n">
        <x:v>0</x:v>
      </x:c>
      <x:c r="R262" s="207" t="str"/>
      <x:c r="S262" s="207" t="str"/>
      <x:c r="T262" s="207" t="str"/>
      <x:c r="U262" s="207" t="n">
        <x:v>0</x:v>
      </x:c>
      <x:c r="V262" s="208" t="n">
        <x:f>MAX(0,M262-U262)</x:f>
        <x:v>20</x:v>
      </x:c>
      <x:c r="W262" s="209" t="n">
        <x:f>IFERROR(U262/M262,0)</x:f>
        <x:v>0</x:v>
      </x:c>
      <x:c r="X262" s="201" t="str">
        <x:f>IF(U262=0,"Não iniciado",IF(U262&gt;=M262,"Concluído","Parcial"))</x:f>
        <x:v>Não iniciado</x:v>
      </x:c>
      <x:c r="Y262" s="199" t="str"/>
      <x:c r="Z262" s="188" t="str">
        <x:v>Normal</x:v>
      </x:c>
    </x:row>
    <x:row r="263" ht="22" customHeight="1">
      <x:c r="A263" s="217" t="n">
        <x:v>259</x:v>
      </x:c>
      <x:c r="B263" s="218" t="str">
        <x:v>26750</x:v>
      </x:c>
      <x:c r="C263" s="218" t="str">
        <x:v>24</x:v>
      </x:c>
      <x:c r="D263" s="218" t="str">
        <x:v>609904</x:v>
      </x:c>
      <x:c r="E263" s="218" t="str">
        <x:v>971601</x:v>
      </x:c>
      <x:c r="F263" s="218" t="str">
        <x:v>OUTROS</x:v>
      </x:c>
      <x:c r="G263" s="184" t="str">
        <x:v>PE AL 2250X50X9 RTO RL80 REC PET BCO(ULT</x:v>
      </x:c>
      <x:c r="H263" s="184" t="str"/>
      <x:c r="I263" s="184" t="str"/>
      <x:c r="J263" s="184" t="str"/>
      <x:c r="K263" s="184" t="str">
        <x:v>ESMALTE</x:v>
      </x:c>
      <x:c r="L263" s="184" t="str">
        <x:v>BRANCO CARRARA</x:v>
      </x:c>
      <x:c r="M263" s="205" t="n">
        <x:v>20</x:v>
      </x:c>
      <x:c r="N263" s="205" t="n">
        <x:v>2250</x:v>
      </x:c>
      <x:c r="O263" s="205" t="n">
        <x:v>50</x:v>
      </x:c>
      <x:c r="P263" s="205" t="n">
        <x:v>9</x:v>
      </x:c>
      <x:c r="Q263" s="206" t="n">
        <x:v>0</x:v>
      </x:c>
      <x:c r="R263" s="207" t="str"/>
      <x:c r="S263" s="207" t="str"/>
      <x:c r="T263" s="207" t="str"/>
      <x:c r="U263" s="207" t="n">
        <x:v>0</x:v>
      </x:c>
      <x:c r="V263" s="208" t="n">
        <x:f>MAX(0,M263-U263)</x:f>
        <x:v>20</x:v>
      </x:c>
      <x:c r="W263" s="209" t="n">
        <x:f>IFERROR(U263/M263,0)</x:f>
        <x:v>0</x:v>
      </x:c>
      <x:c r="X263" s="201" t="str">
        <x:f>IF(U263=0,"Não iniciado",IF(U263&gt;=M263,"Concluído","Parcial"))</x:f>
        <x:v>Não iniciado</x:v>
      </x:c>
      <x:c r="Y263" s="199" t="str"/>
      <x:c r="Z263" s="188" t="str">
        <x:v>Normal</x:v>
      </x:c>
    </x:row>
    <x:row r="264" ht="22" customHeight="1">
      <x:c r="A264" s="219" t="n">
        <x:v>260</x:v>
      </x:c>
      <x:c r="B264" s="220" t="str">
        <x:v>26750</x:v>
      </x:c>
      <x:c r="C264" s="220" t="str">
        <x:v>25</x:v>
      </x:c>
      <x:c r="D264" s="220" t="str">
        <x:v>609908</x:v>
      </x:c>
      <x:c r="E264" s="220" t="str">
        <x:v>963311</x:v>
      </x:c>
      <x:c r="F264" s="220" t="str">
        <x:v>OUTROS</x:v>
      </x:c>
      <x:c r="G264" s="190" t="str">
        <x:v>PE AL 2250X50X9 RTO LME REC PET BCO(ULTR</x:v>
      </x:c>
      <x:c r="H264" s="190" t="str"/>
      <x:c r="I264" s="190" t="str"/>
      <x:c r="J264" s="190" t="str"/>
      <x:c r="K264" s="190" t="str">
        <x:v>ESMALTE</x:v>
      </x:c>
      <x:c r="L264" s="190" t="str">
        <x:v>BRANCO CARRARA</x:v>
      </x:c>
      <x:c r="M264" s="210" t="n">
        <x:v>6</x:v>
      </x:c>
      <x:c r="N264" s="210" t="n">
        <x:v>2250</x:v>
      </x:c>
      <x:c r="O264" s="210" t="n">
        <x:v>50</x:v>
      </x:c>
      <x:c r="P264" s="210" t="n">
        <x:v>9</x:v>
      </x:c>
      <x:c r="Q264" s="211" t="n">
        <x:v>0</x:v>
      </x:c>
      <x:c r="R264" s="207" t="str"/>
      <x:c r="S264" s="207" t="str"/>
      <x:c r="T264" s="207" t="str"/>
      <x:c r="U264" s="207" t="n">
        <x:v>0</x:v>
      </x:c>
      <x:c r="V264" s="208" t="n">
        <x:f>MAX(0,M264-U264)</x:f>
        <x:v>6</x:v>
      </x:c>
      <x:c r="W264" s="209" t="n">
        <x:f>IFERROR(U264/M264,0)</x:f>
        <x:v>0</x:v>
      </x:c>
      <x:c r="X264" s="201" t="str">
        <x:f>IF(U264=0,"Não iniciado",IF(U264&gt;=M264,"Concluído","Parcial"))</x:f>
        <x:v>Não iniciado</x:v>
      </x:c>
      <x:c r="Y264" s="199" t="str"/>
      <x:c r="Z264" s="188" t="str">
        <x:v>Normal</x:v>
      </x:c>
    </x:row>
    <x:row r="265" ht="22" customHeight="1">
      <x:c r="A265" s="217" t="n">
        <x:v>261</x:v>
      </x:c>
      <x:c r="B265" s="218" t="str">
        <x:v>26750</x:v>
      </x:c>
      <x:c r="C265" s="218" t="str">
        <x:v>25</x:v>
      </x:c>
      <x:c r="D265" s="218" t="str">
        <x:v>609910</x:v>
      </x:c>
      <x:c r="E265" s="218" t="str">
        <x:v>971601</x:v>
      </x:c>
      <x:c r="F265" s="218" t="str">
        <x:v>OUTROS</x:v>
      </x:c>
      <x:c r="G265" s="184" t="str">
        <x:v>PE AL 2250X50X9 RTO RL80 REC PET BCO(ULT</x:v>
      </x:c>
      <x:c r="H265" s="184" t="str"/>
      <x:c r="I265" s="184" t="str"/>
      <x:c r="J265" s="184" t="str"/>
      <x:c r="K265" s="184" t="str">
        <x:v>ESMALTE</x:v>
      </x:c>
      <x:c r="L265" s="184" t="str">
        <x:v>BRANCO CARRARA</x:v>
      </x:c>
      <x:c r="M265" s="205" t="n">
        <x:v>6</x:v>
      </x:c>
      <x:c r="N265" s="205" t="n">
        <x:v>2250</x:v>
      </x:c>
      <x:c r="O265" s="205" t="n">
        <x:v>50</x:v>
      </x:c>
      <x:c r="P265" s="205" t="n">
        <x:v>9</x:v>
      </x:c>
      <x:c r="Q265" s="206" t="n">
        <x:v>0</x:v>
      </x:c>
      <x:c r="R265" s="207" t="str"/>
      <x:c r="S265" s="207" t="str"/>
      <x:c r="T265" s="207" t="str"/>
      <x:c r="U265" s="207" t="n">
        <x:v>0</x:v>
      </x:c>
      <x:c r="V265" s="208" t="n">
        <x:f>MAX(0,M265-U265)</x:f>
        <x:v>6</x:v>
      </x:c>
      <x:c r="W265" s="209" t="n">
        <x:f>IFERROR(U265/M265,0)</x:f>
        <x:v>0</x:v>
      </x:c>
      <x:c r="X265" s="201" t="str">
        <x:f>IF(U265=0,"Não iniciado",IF(U265&gt;=M265,"Concluído","Parcial"))</x:f>
        <x:v>Não iniciado</x:v>
      </x:c>
      <x:c r="Y265" s="199" t="str"/>
      <x:c r="Z265" s="188" t="str">
        <x:v>Normal</x:v>
      </x:c>
    </x:row>
    <x:row r="266" ht="22" customHeight="1">
      <x:c r="A266" s="219" t="n">
        <x:v>262</x:v>
      </x:c>
      <x:c r="B266" s="220" t="str">
        <x:v>26750</x:v>
      </x:c>
      <x:c r="C266" s="220" t="str">
        <x:v>26</x:v>
      </x:c>
      <x:c r="D266" s="220" t="str">
        <x:v>609921</x:v>
      </x:c>
      <x:c r="E266" s="220" t="str">
        <x:v>963311</x:v>
      </x:c>
      <x:c r="F266" s="220" t="str">
        <x:v>OUTROS</x:v>
      </x:c>
      <x:c r="G266" s="190" t="str">
        <x:v>PE AL 2250X50X9 RTO LME REC PET BCO(ULTR</x:v>
      </x:c>
      <x:c r="H266" s="190" t="str"/>
      <x:c r="I266" s="190" t="str"/>
      <x:c r="J266" s="190" t="str"/>
      <x:c r="K266" s="190" t="str">
        <x:v>ESMALTE</x:v>
      </x:c>
      <x:c r="L266" s="190" t="str">
        <x:v>BRANCO CARRARA</x:v>
      </x:c>
      <x:c r="M266" s="210" t="n">
        <x:v>4</x:v>
      </x:c>
      <x:c r="N266" s="210" t="n">
        <x:v>2250</x:v>
      </x:c>
      <x:c r="O266" s="210" t="n">
        <x:v>50</x:v>
      </x:c>
      <x:c r="P266" s="210" t="n">
        <x:v>9</x:v>
      </x:c>
      <x:c r="Q266" s="211" t="n">
        <x:v>0</x:v>
      </x:c>
      <x:c r="R266" s="207" t="str"/>
      <x:c r="S266" s="207" t="str"/>
      <x:c r="T266" s="207" t="str"/>
      <x:c r="U266" s="207" t="n">
        <x:v>0</x:v>
      </x:c>
      <x:c r="V266" s="208" t="n">
        <x:f>MAX(0,M266-U266)</x:f>
        <x:v>4</x:v>
      </x:c>
      <x:c r="W266" s="209" t="n">
        <x:f>IFERROR(U266/M266,0)</x:f>
        <x:v>0</x:v>
      </x:c>
      <x:c r="X266" s="201" t="str">
        <x:f>IF(U266=0,"Não iniciado",IF(U266&gt;=M266,"Concluído","Parcial"))</x:f>
        <x:v>Não iniciado</x:v>
      </x:c>
      <x:c r="Y266" s="199" t="str"/>
      <x:c r="Z266" s="188" t="str">
        <x:v>Normal</x:v>
      </x:c>
    </x:row>
    <x:row r="267" ht="22" customHeight="1">
      <x:c r="A267" s="217" t="n">
        <x:v>263</x:v>
      </x:c>
      <x:c r="B267" s="218" t="str">
        <x:v>26750</x:v>
      </x:c>
      <x:c r="C267" s="218" t="str">
        <x:v>26</x:v>
      </x:c>
      <x:c r="D267" s="218" t="str">
        <x:v>609923</x:v>
      </x:c>
      <x:c r="E267" s="218" t="str">
        <x:v>971601</x:v>
      </x:c>
      <x:c r="F267" s="218" t="str">
        <x:v>OUTROS</x:v>
      </x:c>
      <x:c r="G267" s="184" t="str">
        <x:v>PE AL 2250X50X9 RTO RL80 REC PET BCO(ULT</x:v>
      </x:c>
      <x:c r="H267" s="184" t="str"/>
      <x:c r="I267" s="184" t="str"/>
      <x:c r="J267" s="184" t="str"/>
      <x:c r="K267" s="184" t="str">
        <x:v>ESMALTE</x:v>
      </x:c>
      <x:c r="L267" s="184" t="str">
        <x:v>BRANCO CARRARA</x:v>
      </x:c>
      <x:c r="M267" s="205" t="n">
        <x:v>4</x:v>
      </x:c>
      <x:c r="N267" s="205" t="n">
        <x:v>2250</x:v>
      </x:c>
      <x:c r="O267" s="205" t="n">
        <x:v>50</x:v>
      </x:c>
      <x:c r="P267" s="205" t="n">
        <x:v>9</x:v>
      </x:c>
      <x:c r="Q267" s="206" t="n">
        <x:v>0</x:v>
      </x:c>
      <x:c r="R267" s="207" t="str"/>
      <x:c r="S267" s="207" t="str"/>
      <x:c r="T267" s="207" t="str"/>
      <x:c r="U267" s="207" t="n">
        <x:v>0</x:v>
      </x:c>
      <x:c r="V267" s="208" t="n">
        <x:f>MAX(0,M267-U267)</x:f>
        <x:v>4</x:v>
      </x:c>
      <x:c r="W267" s="209" t="n">
        <x:f>IFERROR(U267/M267,0)</x:f>
        <x:v>0</x:v>
      </x:c>
      <x:c r="X267" s="201" t="str">
        <x:f>IF(U267=0,"Não iniciado",IF(U267&gt;=M267,"Concluído","Parcial"))</x:f>
        <x:v>Não iniciado</x:v>
      </x:c>
      <x:c r="Y267" s="199" t="str"/>
      <x:c r="Z267" s="188" t="str">
        <x:v>Normal</x:v>
      </x:c>
    </x:row>
    <x:row r="268" ht="22" customHeight="1">
      <x:c r="A268" s="219" t="n">
        <x:v>264</x:v>
      </x:c>
      <x:c r="B268" s="220" t="str">
        <x:v>26796</x:v>
      </x:c>
      <x:c r="C268" s="220" t="str">
        <x:v>1</x:v>
      </x:c>
      <x:c r="D268" s="220" t="str">
        <x:v>609284</x:v>
      </x:c>
      <x:c r="E268" s="220" t="str">
        <x:v>956374</x:v>
      </x:c>
      <x:c r="F268" s="220" t="str">
        <x:v>OUTROS</x:v>
      </x:c>
      <x:c r="G268" s="190" t="str">
        <x:v>2250X50X9 RTO LME PET BCO TXT MPMV(STD)</x:v>
      </x:c>
      <x:c r="H268" s="190" t="str"/>
      <x:c r="I268" s="190" t="str"/>
      <x:c r="J268" s="190" t="str"/>
      <x:c r="K268" s="190" t="str">
        <x:v>ESMALTE</x:v>
      </x:c>
      <x:c r="L268" s="190" t="str">
        <x:v>BRANCO CARRARA</x:v>
      </x:c>
      <x:c r="M268" s="210" t="n">
        <x:v>432</x:v>
      </x:c>
      <x:c r="N268" s="210" t="n">
        <x:v>2250</x:v>
      </x:c>
      <x:c r="O268" s="210" t="n">
        <x:v>50</x:v>
      </x:c>
      <x:c r="P268" s="210" t="n">
        <x:v>9</x:v>
      </x:c>
      <x:c r="Q268" s="211" t="n">
        <x:v>0</x:v>
      </x:c>
      <x:c r="R268" s="207" t="str"/>
      <x:c r="S268" s="207" t="str"/>
      <x:c r="T268" s="207" t="str"/>
      <x:c r="U268" s="207" t="n">
        <x:v>0</x:v>
      </x:c>
      <x:c r="V268" s="208" t="n">
        <x:f>MAX(0,M268-U268)</x:f>
        <x:v>432</x:v>
      </x:c>
      <x:c r="W268" s="209" t="n">
        <x:f>IFERROR(U268/M268,0)</x:f>
        <x:v>0</x:v>
      </x:c>
      <x:c r="X268" s="201" t="str">
        <x:f>IF(U268=0,"Não iniciado",IF(U268&gt;=M268,"Concluído","Parcial"))</x:f>
        <x:v>Não iniciado</x:v>
      </x:c>
      <x:c r="Y268" s="199" t="str"/>
      <x:c r="Z268" s="188" t="str">
        <x:v>Normal</x:v>
      </x:c>
    </x:row>
    <x:row r="269" ht="22" customHeight="1">
      <x:c r="A269" s="217" t="n">
        <x:v>265</x:v>
      </x:c>
      <x:c r="B269" s="218" t="str">
        <x:v>26796</x:v>
      </x:c>
      <x:c r="C269" s="218" t="str">
        <x:v>3</x:v>
      </x:c>
      <x:c r="D269" s="218" t="str">
        <x:v>609300</x:v>
      </x:c>
      <x:c r="E269" s="218" t="str">
        <x:v>956374</x:v>
      </x:c>
      <x:c r="F269" s="218" t="str">
        <x:v>OUTROS</x:v>
      </x:c>
      <x:c r="G269" s="184" t="str">
        <x:v>2250X50X9 RTO LME PET BCO TXT MPMV(STD)</x:v>
      </x:c>
      <x:c r="H269" s="184" t="str"/>
      <x:c r="I269" s="184" t="str"/>
      <x:c r="J269" s="184" t="str"/>
      <x:c r="K269" s="184" t="str">
        <x:v>ESMALTE</x:v>
      </x:c>
      <x:c r="L269" s="184" t="str">
        <x:v>BRANCO CARRARA</x:v>
      </x:c>
      <x:c r="M269" s="205" t="n">
        <x:v>384</x:v>
      </x:c>
      <x:c r="N269" s="205" t="n">
        <x:v>2250</x:v>
      </x:c>
      <x:c r="O269" s="205" t="n">
        <x:v>50</x:v>
      </x:c>
      <x:c r="P269" s="205" t="n">
        <x:v>9</x:v>
      </x:c>
      <x:c r="Q269" s="206" t="n">
        <x:v>0</x:v>
      </x:c>
      <x:c r="R269" s="207" t="str"/>
      <x:c r="S269" s="207" t="str"/>
      <x:c r="T269" s="207" t="str"/>
      <x:c r="U269" s="207" t="n">
        <x:v>0</x:v>
      </x:c>
      <x:c r="V269" s="208" t="n">
        <x:f>MAX(0,M269-U269)</x:f>
        <x:v>384</x:v>
      </x:c>
      <x:c r="W269" s="209" t="n">
        <x:f>IFERROR(U269/M269,0)</x:f>
        <x:v>0</x:v>
      </x:c>
      <x:c r="X269" s="201" t="str">
        <x:f>IF(U269=0,"Não iniciado",IF(U269&gt;=M269,"Concluído","Parcial"))</x:f>
        <x:v>Não iniciado</x:v>
      </x:c>
      <x:c r="Y269" s="199" t="str"/>
      <x:c r="Z269" s="188" t="str">
        <x:v>Normal</x:v>
      </x:c>
    </x:row>
    <x:row r="270" ht="22" customHeight="1">
      <x:c r="A270" s="219" t="n">
        <x:v>266</x:v>
      </x:c>
      <x:c r="B270" s="220" t="str">
        <x:v>26799</x:v>
      </x:c>
      <x:c r="C270" s="220" t="str">
        <x:v>1</x:v>
      </x:c>
      <x:c r="D270" s="220" t="str">
        <x:v>609389</x:v>
      </x:c>
      <x:c r="E270" s="220" t="str">
        <x:v>956374</x:v>
      </x:c>
      <x:c r="F270" s="220" t="str">
        <x:v>OUTROS</x:v>
      </x:c>
      <x:c r="G270" s="190" t="str">
        <x:v>2250X50X9 RTO LME PET BCO TXT MPMV(STD)</x:v>
      </x:c>
      <x:c r="H270" s="190" t="str"/>
      <x:c r="I270" s="190" t="str"/>
      <x:c r="J270" s="190" t="str"/>
      <x:c r="K270" s="190" t="str">
        <x:v>ESMALTE</x:v>
      </x:c>
      <x:c r="L270" s="190" t="str">
        <x:v>BRANCO CARRARA</x:v>
      </x:c>
      <x:c r="M270" s="210" t="n">
        <x:v>144</x:v>
      </x:c>
      <x:c r="N270" s="210" t="n">
        <x:v>2250</x:v>
      </x:c>
      <x:c r="O270" s="210" t="n">
        <x:v>50</x:v>
      </x:c>
      <x:c r="P270" s="210" t="n">
        <x:v>9</x:v>
      </x:c>
      <x:c r="Q270" s="211" t="n">
        <x:v>0</x:v>
      </x:c>
      <x:c r="R270" s="207" t="str"/>
      <x:c r="S270" s="207" t="str"/>
      <x:c r="T270" s="207" t="str"/>
      <x:c r="U270" s="207" t="n">
        <x:v>0</x:v>
      </x:c>
      <x:c r="V270" s="208" t="n">
        <x:f>MAX(0,M270-U270)</x:f>
        <x:v>144</x:v>
      </x:c>
      <x:c r="W270" s="209" t="n">
        <x:f>IFERROR(U270/M270,0)</x:f>
        <x:v>0</x:v>
      </x:c>
      <x:c r="X270" s="201" t="str">
        <x:f>IF(U270=0,"Não iniciado",IF(U270&gt;=M270,"Concluído","Parcial"))</x:f>
        <x:v>Não iniciado</x:v>
      </x:c>
      <x:c r="Y270" s="199" t="str"/>
      <x:c r="Z270" s="188" t="str">
        <x:v>Normal</x:v>
      </x:c>
    </x:row>
    <x:row r="271" ht="22" customHeight="1">
      <x:c r="A271" s="217" t="n">
        <x:v>267</x:v>
      </x:c>
      <x:c r="B271" s="218" t="str">
        <x:v>26799</x:v>
      </x:c>
      <x:c r="C271" s="218" t="str">
        <x:v>3</x:v>
      </x:c>
      <x:c r="D271" s="218" t="str">
        <x:v>609405</x:v>
      </x:c>
      <x:c r="E271" s="218" t="str">
        <x:v>956374</x:v>
      </x:c>
      <x:c r="F271" s="218" t="str">
        <x:v>OUTROS</x:v>
      </x:c>
      <x:c r="G271" s="184" t="str">
        <x:v>2250X50X9 RTO LME PET BCO TXT MPMV(STD)</x:v>
      </x:c>
      <x:c r="H271" s="184" t="str"/>
      <x:c r="I271" s="184" t="str"/>
      <x:c r="J271" s="184" t="str"/>
      <x:c r="K271" s="184" t="str">
        <x:v>ESMALTE</x:v>
      </x:c>
      <x:c r="L271" s="184" t="str">
        <x:v>BRANCO CARRARA</x:v>
      </x:c>
      <x:c r="M271" s="205" t="n">
        <x:v>128</x:v>
      </x:c>
      <x:c r="N271" s="205" t="n">
        <x:v>2250</x:v>
      </x:c>
      <x:c r="O271" s="205" t="n">
        <x:v>50</x:v>
      </x:c>
      <x:c r="P271" s="205" t="n">
        <x:v>9</x:v>
      </x:c>
      <x:c r="Q271" s="206" t="n">
        <x:v>0</x:v>
      </x:c>
      <x:c r="R271" s="207" t="str"/>
      <x:c r="S271" s="207" t="str"/>
      <x:c r="T271" s="207" t="str"/>
      <x:c r="U271" s="207" t="n">
        <x:v>0</x:v>
      </x:c>
      <x:c r="V271" s="208" t="n">
        <x:f>MAX(0,M271-U271)</x:f>
        <x:v>128</x:v>
      </x:c>
      <x:c r="W271" s="209" t="n">
        <x:f>IFERROR(U271/M271,0)</x:f>
        <x:v>0</x:v>
      </x:c>
      <x:c r="X271" s="201" t="str">
        <x:f>IF(U271=0,"Não iniciado",IF(U271&gt;=M271,"Concluído","Parcial"))</x:f>
        <x:v>Não iniciado</x:v>
      </x:c>
      <x:c r="Y271" s="199" t="str"/>
      <x:c r="Z271" s="188" t="str">
        <x:v>Normal</x:v>
      </x:c>
    </x:row>
    <x:row r="272" ht="22" customHeight="1">
      <x:c r="A272" s="219" t="n">
        <x:v>268</x:v>
      </x:c>
      <x:c r="B272" s="220" t="str">
        <x:v>26824</x:v>
      </x:c>
      <x:c r="C272" s="220" t="str">
        <x:v>1</x:v>
      </x:c>
      <x:c r="D272" s="220" t="str">
        <x:v>609579</x:v>
      </x:c>
      <x:c r="E272" s="220" t="str">
        <x:v>956369</x:v>
      </x:c>
      <x:c r="F272" s="220" t="str">
        <x:v>OUTROS</x:v>
      </x:c>
      <x:c r="G272" s="190" t="str">
        <x:v>2250X50X9 RTO RL55 PET BCO TXT MPMV(STD)</x:v>
      </x:c>
      <x:c r="H272" s="190" t="str"/>
      <x:c r="I272" s="190" t="str"/>
      <x:c r="J272" s="190" t="str"/>
      <x:c r="K272" s="190" t="str">
        <x:v>ESMALTE</x:v>
      </x:c>
      <x:c r="L272" s="190" t="str">
        <x:v>BRANCO CARRARA</x:v>
      </x:c>
      <x:c r="M272" s="210" t="n">
        <x:v>246</x:v>
      </x:c>
      <x:c r="N272" s="210" t="n">
        <x:v>2250</x:v>
      </x:c>
      <x:c r="O272" s="210" t="n">
        <x:v>50</x:v>
      </x:c>
      <x:c r="P272" s="210" t="n">
        <x:v>9</x:v>
      </x:c>
      <x:c r="Q272" s="211" t="n">
        <x:v>0</x:v>
      </x:c>
      <x:c r="R272" s="207" t="str"/>
      <x:c r="S272" s="207" t="str"/>
      <x:c r="T272" s="207" t="str"/>
      <x:c r="U272" s="207" t="n">
        <x:v>0</x:v>
      </x:c>
      <x:c r="V272" s="208" t="n">
        <x:f>MAX(0,M272-U272)</x:f>
        <x:v>246</x:v>
      </x:c>
      <x:c r="W272" s="209" t="n">
        <x:f>IFERROR(U272/M272,0)</x:f>
        <x:v>0</x:v>
      </x:c>
      <x:c r="X272" s="201" t="str">
        <x:f>IF(U272=0,"Não iniciado",IF(U272&gt;=M272,"Concluído","Parcial"))</x:f>
        <x:v>Não iniciado</x:v>
      </x:c>
      <x:c r="Y272" s="199" t="str"/>
      <x:c r="Z272" s="188" t="str">
        <x:v>Normal</x:v>
      </x:c>
    </x:row>
    <x:row r="273" ht="22" customHeight="1">
      <x:c r="A273" s="217" t="n">
        <x:v>269</x:v>
      </x:c>
      <x:c r="B273" s="218" t="str">
        <x:v>26824</x:v>
      </x:c>
      <x:c r="C273" s="218" t="str">
        <x:v>1</x:v>
      </x:c>
      <x:c r="D273" s="218" t="str">
        <x:v>609580</x:v>
      </x:c>
      <x:c r="E273" s="218" t="str">
        <x:v>956374</x:v>
      </x:c>
      <x:c r="F273" s="218" t="str">
        <x:v>OUTROS</x:v>
      </x:c>
      <x:c r="G273" s="184" t="str">
        <x:v>2250X50X9 RTO LME PET BCO TXT MPMV(STD)</x:v>
      </x:c>
      <x:c r="H273" s="184" t="str"/>
      <x:c r="I273" s="184" t="str"/>
      <x:c r="J273" s="184" t="str"/>
      <x:c r="K273" s="184" t="str">
        <x:v>ESMALTE</x:v>
      </x:c>
      <x:c r="L273" s="184" t="str">
        <x:v>BRANCO CARRARA</x:v>
      </x:c>
      <x:c r="M273" s="205" t="n">
        <x:v>246</x:v>
      </x:c>
      <x:c r="N273" s="205" t="n">
        <x:v>2250</x:v>
      </x:c>
      <x:c r="O273" s="205" t="n">
        <x:v>50</x:v>
      </x:c>
      <x:c r="P273" s="205" t="n">
        <x:v>9</x:v>
      </x:c>
      <x:c r="Q273" s="206" t="n">
        <x:v>0</x:v>
      </x:c>
      <x:c r="R273" s="207" t="str"/>
      <x:c r="S273" s="207" t="str"/>
      <x:c r="T273" s="207" t="str"/>
      <x:c r="U273" s="207" t="n">
        <x:v>0</x:v>
      </x:c>
      <x:c r="V273" s="208" t="n">
        <x:f>MAX(0,M273-U273)</x:f>
        <x:v>246</x:v>
      </x:c>
      <x:c r="W273" s="209" t="n">
        <x:f>IFERROR(U273/M273,0)</x:f>
        <x:v>0</x:v>
      </x:c>
      <x:c r="X273" s="201" t="str">
        <x:f>IF(U273=0,"Não iniciado",IF(U273&gt;=M273,"Concluído","Parcial"))</x:f>
        <x:v>Não iniciado</x:v>
      </x:c>
      <x:c r="Y273" s="199" t="str"/>
      <x:c r="Z273" s="188" t="str">
        <x:v>Normal</x:v>
      </x:c>
    </x:row>
    <x:row r="274" ht="22" customHeight="1">
      <x:c r="A274" s="219" t="n">
        <x:v>270</x:v>
      </x:c>
      <x:c r="B274" s="220" t="str">
        <x:v>26824</x:v>
      </x:c>
      <x:c r="C274" s="220" t="str">
        <x:v>3</x:v>
      </x:c>
      <x:c r="D274" s="220" t="str">
        <x:v>609595</x:v>
      </x:c>
      <x:c r="E274" s="220" t="str">
        <x:v>956374</x:v>
      </x:c>
      <x:c r="F274" s="220" t="str">
        <x:v>OUTROS</x:v>
      </x:c>
      <x:c r="G274" s="190" t="str">
        <x:v>2250X50X9 RTO LME PET BCO TXT MPMV(STD)</x:v>
      </x:c>
      <x:c r="H274" s="190" t="str"/>
      <x:c r="I274" s="190" t="str"/>
      <x:c r="J274" s="190" t="str"/>
      <x:c r="K274" s="190" t="str">
        <x:v>ESMALTE</x:v>
      </x:c>
      <x:c r="L274" s="190" t="str">
        <x:v>BRANCO CARRARA</x:v>
      </x:c>
      <x:c r="M274" s="210" t="n">
        <x:v>10</x:v>
      </x:c>
      <x:c r="N274" s="210" t="n">
        <x:v>2250</x:v>
      </x:c>
      <x:c r="O274" s="210" t="n">
        <x:v>50</x:v>
      </x:c>
      <x:c r="P274" s="210" t="n">
        <x:v>9</x:v>
      </x:c>
      <x:c r="Q274" s="211" t="n">
        <x:v>0</x:v>
      </x:c>
      <x:c r="R274" s="207" t="str"/>
      <x:c r="S274" s="207" t="str"/>
      <x:c r="T274" s="207" t="str"/>
      <x:c r="U274" s="207" t="n">
        <x:v>0</x:v>
      </x:c>
      <x:c r="V274" s="208" t="n">
        <x:f>MAX(0,M274-U274)</x:f>
        <x:v>10</x:v>
      </x:c>
      <x:c r="W274" s="209" t="n">
        <x:f>IFERROR(U274/M274,0)</x:f>
        <x:v>0</x:v>
      </x:c>
      <x:c r="X274" s="201" t="str">
        <x:f>IF(U274=0,"Não iniciado",IF(U274&gt;=M274,"Concluído","Parcial"))</x:f>
        <x:v>Não iniciado</x:v>
      </x:c>
      <x:c r="Y274" s="199" t="str"/>
      <x:c r="Z274" s="188" t="str">
        <x:v>Normal</x:v>
      </x:c>
    </x:row>
    <x:row r="275" ht="22" customHeight="1">
      <x:c r="A275" s="217" t="n">
        <x:v>271</x:v>
      </x:c>
      <x:c r="B275" s="218" t="str">
        <x:v>26824</x:v>
      </x:c>
      <x:c r="C275" s="218" t="str">
        <x:v>3</x:v>
      </x:c>
      <x:c r="D275" s="218" t="str">
        <x:v>609596</x:v>
      </x:c>
      <x:c r="E275" s="218" t="str">
        <x:v>956400</x:v>
      </x:c>
      <x:c r="F275" s="218" t="str">
        <x:v>OUTROS</x:v>
      </x:c>
      <x:c r="G275" s="184" t="str">
        <x:v>2250X50X9 RTO RL80 PET BCO TXT MPMV(STD)</x:v>
      </x:c>
      <x:c r="H275" s="184" t="str"/>
      <x:c r="I275" s="184" t="str"/>
      <x:c r="J275" s="184" t="str"/>
      <x:c r="K275" s="184" t="str">
        <x:v>ESMALTE</x:v>
      </x:c>
      <x:c r="L275" s="184" t="str">
        <x:v>BRANCO CARRARA</x:v>
      </x:c>
      <x:c r="M275" s="205" t="n">
        <x:v>10</x:v>
      </x:c>
      <x:c r="N275" s="205" t="n">
        <x:v>2250</x:v>
      </x:c>
      <x:c r="O275" s="205" t="n">
        <x:v>50</x:v>
      </x:c>
      <x:c r="P275" s="205" t="n">
        <x:v>9</x:v>
      </x:c>
      <x:c r="Q275" s="206" t="n">
        <x:v>0</x:v>
      </x:c>
      <x:c r="R275" s="207" t="str"/>
      <x:c r="S275" s="207" t="str"/>
      <x:c r="T275" s="207" t="str"/>
      <x:c r="U275" s="207" t="n">
        <x:v>0</x:v>
      </x:c>
      <x:c r="V275" s="208" t="n">
        <x:f>MAX(0,M275-U275)</x:f>
        <x:v>10</x:v>
      </x:c>
      <x:c r="W275" s="209" t="n">
        <x:f>IFERROR(U275/M275,0)</x:f>
        <x:v>0</x:v>
      </x:c>
      <x:c r="X275" s="201" t="str">
        <x:f>IF(U275=0,"Não iniciado",IF(U275&gt;=M275,"Concluído","Parcial"))</x:f>
        <x:v>Não iniciado</x:v>
      </x:c>
      <x:c r="Y275" s="199" t="str"/>
      <x:c r="Z275" s="188" t="str">
        <x:v>Normal</x:v>
      </x:c>
    </x:row>
    <x:row r="276" ht="22" customHeight="1">
      <x:c r="A276" s="219" t="n">
        <x:v>272</x:v>
      </x:c>
      <x:c r="B276" s="220" t="str">
        <x:v>26520</x:v>
      </x:c>
      <x:c r="C276" s="220" t="str">
        <x:v>3</x:v>
      </x:c>
      <x:c r="D276" s="220" t="str">
        <x:v>610079</x:v>
      </x:c>
      <x:c r="E276" s="220" t="str">
        <x:v>969662</x:v>
      </x:c>
      <x:c r="F276" s="220" t="str">
        <x:v>ALIZAR</x:v>
      </x:c>
      <x:c r="G276" s="190" t="str">
        <x:v>P A 2200X50X9 RTO RL55 PET CIN VER ULTRA</x:v>
      </x:c>
      <x:c r="H276" s="190" t="str"/>
      <x:c r="I276" s="190" t="str"/>
      <x:c r="J276" s="190" t="str"/>
      <x:c r="K276" s="190" t="str">
        <x:v>RECOBERTO PET</x:v>
      </x:c>
      <x:c r="L276" s="190" t="str">
        <x:v>CINZA VERONA</x:v>
      </x:c>
      <x:c r="M276" s="210" t="n">
        <x:v>8</x:v>
      </x:c>
      <x:c r="N276" s="210" t="n">
        <x:v>2200</x:v>
      </x:c>
      <x:c r="O276" s="210" t="n">
        <x:v>50</x:v>
      </x:c>
      <x:c r="P276" s="210" t="n">
        <x:v>9</x:v>
      </x:c>
      <x:c r="Q276" s="211" t="n">
        <x:v>0</x:v>
      </x:c>
      <x:c r="R276" s="207" t="str"/>
      <x:c r="S276" s="207" t="str"/>
      <x:c r="T276" s="207" t="str"/>
      <x:c r="U276" s="207" t="n">
        <x:v>0</x:v>
      </x:c>
      <x:c r="V276" s="208" t="n">
        <x:f>MAX(0,M276-U276)</x:f>
        <x:v>8</x:v>
      </x:c>
      <x:c r="W276" s="209" t="n">
        <x:f>IFERROR(U276/M276,0)</x:f>
        <x:v>0</x:v>
      </x:c>
      <x:c r="X276" s="201" t="str">
        <x:f>IF(U276=0,"Não iniciado",IF(U276&gt;=M276,"Concluído","Parcial"))</x:f>
        <x:v>Não iniciado</x:v>
      </x:c>
      <x:c r="Y276" s="199" t="str"/>
      <x:c r="Z276" s="188" t="str">
        <x:v>Normal</x:v>
      </x:c>
    </x:row>
    <x:row r="277" ht="22" customHeight="1">
      <x:c r="A277" s="217" t="n">
        <x:v>273</x:v>
      </x:c>
      <x:c r="B277" s="218" t="str">
        <x:v>26520</x:v>
      </x:c>
      <x:c r="C277" s="218" t="str">
        <x:v>3</x:v>
      </x:c>
      <x:c r="D277" s="218" t="str">
        <x:v>610081</x:v>
      </x:c>
      <x:c r="E277" s="218" t="str">
        <x:v>969664</x:v>
      </x:c>
      <x:c r="F277" s="218" t="str">
        <x:v>ALIZAR</x:v>
      </x:c>
      <x:c r="G277" s="184" t="str">
        <x:v>P A 2200X50X9 RTO LME PET CIN VER ULTRA</x:v>
      </x:c>
      <x:c r="H277" s="184" t="str"/>
      <x:c r="I277" s="184" t="str"/>
      <x:c r="J277" s="184" t="str"/>
      <x:c r="K277" s="184" t="str">
        <x:v>RECOBERTO PET</x:v>
      </x:c>
      <x:c r="L277" s="184" t="str">
        <x:v>CINZA VERONA</x:v>
      </x:c>
      <x:c r="M277" s="205" t="n">
        <x:v>8</x:v>
      </x:c>
      <x:c r="N277" s="205" t="n">
        <x:v>2200</x:v>
      </x:c>
      <x:c r="O277" s="205" t="n">
        <x:v>50</x:v>
      </x:c>
      <x:c r="P277" s="205" t="n">
        <x:v>9</x:v>
      </x:c>
      <x:c r="Q277" s="206" t="n">
        <x:v>0</x:v>
      </x:c>
      <x:c r="R277" s="207" t="str"/>
      <x:c r="S277" s="207" t="str"/>
      <x:c r="T277" s="207" t="str"/>
      <x:c r="U277" s="207" t="n">
        <x:v>0</x:v>
      </x:c>
      <x:c r="V277" s="208" t="n">
        <x:f>MAX(0,M277-U277)</x:f>
        <x:v>8</x:v>
      </x:c>
      <x:c r="W277" s="209" t="n">
        <x:f>IFERROR(U277/M277,0)</x:f>
        <x:v>0</x:v>
      </x:c>
      <x:c r="X277" s="201" t="str">
        <x:f>IF(U277=0,"Não iniciado",IF(U277&gt;=M277,"Concluído","Parcial"))</x:f>
        <x:v>Não iniciado</x:v>
      </x:c>
      <x:c r="Y277" s="199" t="str"/>
      <x:c r="Z277" s="188" t="str">
        <x:v>Normal</x:v>
      </x:c>
    </x:row>
    <x:row r="278" ht="22" customHeight="1">
      <x:c r="A278" s="219" t="n">
        <x:v>274</x:v>
      </x:c>
      <x:c r="B278" s="220" t="str">
        <x:v>26520</x:v>
      </x:c>
      <x:c r="C278" s="220" t="str">
        <x:v>4</x:v>
      </x:c>
      <x:c r="D278" s="220" t="str">
        <x:v>610087</x:v>
      </x:c>
      <x:c r="E278" s="220" t="str">
        <x:v>969662</x:v>
      </x:c>
      <x:c r="F278" s="220" t="str">
        <x:v>ALIZAR</x:v>
      </x:c>
      <x:c r="G278" s="190" t="str">
        <x:v>P A 2200X50X9 RTO RL55 PET CIN VER ULTRA</x:v>
      </x:c>
      <x:c r="H278" s="190" t="str"/>
      <x:c r="I278" s="190" t="str"/>
      <x:c r="J278" s="190" t="str"/>
      <x:c r="K278" s="190" t="str">
        <x:v>RECOBERTO PET</x:v>
      </x:c>
      <x:c r="L278" s="190" t="str">
        <x:v>CINZA VERONA</x:v>
      </x:c>
      <x:c r="M278" s="210" t="n">
        <x:v>8</x:v>
      </x:c>
      <x:c r="N278" s="210" t="n">
        <x:v>2200</x:v>
      </x:c>
      <x:c r="O278" s="210" t="n">
        <x:v>50</x:v>
      </x:c>
      <x:c r="P278" s="210" t="n">
        <x:v>9</x:v>
      </x:c>
      <x:c r="Q278" s="211" t="n">
        <x:v>0</x:v>
      </x:c>
      <x:c r="R278" s="207" t="str"/>
      <x:c r="S278" s="207" t="str"/>
      <x:c r="T278" s="207" t="str"/>
      <x:c r="U278" s="207" t="n">
        <x:v>0</x:v>
      </x:c>
      <x:c r="V278" s="208" t="n">
        <x:f>MAX(0,M278-U278)</x:f>
        <x:v>8</x:v>
      </x:c>
      <x:c r="W278" s="209" t="n">
        <x:f>IFERROR(U278/M278,0)</x:f>
        <x:v>0</x:v>
      </x:c>
      <x:c r="X278" s="201" t="str">
        <x:f>IF(U278=0,"Não iniciado",IF(U278&gt;=M278,"Concluído","Parcial"))</x:f>
        <x:v>Não iniciado</x:v>
      </x:c>
      <x:c r="Y278" s="199" t="str"/>
      <x:c r="Z278" s="188" t="str">
        <x:v>Normal</x:v>
      </x:c>
    </x:row>
    <x:row r="279" ht="22" customHeight="1">
      <x:c r="A279" s="217" t="n">
        <x:v>275</x:v>
      </x:c>
      <x:c r="B279" s="218" t="str">
        <x:v>26520</x:v>
      </x:c>
      <x:c r="C279" s="218" t="str">
        <x:v>4</x:v>
      </x:c>
      <x:c r="D279" s="218" t="str">
        <x:v>610089</x:v>
      </x:c>
      <x:c r="E279" s="218" t="str">
        <x:v>969664</x:v>
      </x:c>
      <x:c r="F279" s="218" t="str">
        <x:v>ALIZAR</x:v>
      </x:c>
      <x:c r="G279" s="184" t="str">
        <x:v>P A 2200X50X9 RTO LME PET CIN VER ULTRA</x:v>
      </x:c>
      <x:c r="H279" s="184" t="str"/>
      <x:c r="I279" s="184" t="str"/>
      <x:c r="J279" s="184" t="str"/>
      <x:c r="K279" s="184" t="str">
        <x:v>RECOBERTO PET</x:v>
      </x:c>
      <x:c r="L279" s="184" t="str">
        <x:v>CINZA VERONA</x:v>
      </x:c>
      <x:c r="M279" s="205" t="n">
        <x:v>8</x:v>
      </x:c>
      <x:c r="N279" s="205" t="n">
        <x:v>2200</x:v>
      </x:c>
      <x:c r="O279" s="205" t="n">
        <x:v>50</x:v>
      </x:c>
      <x:c r="P279" s="205" t="n">
        <x:v>9</x:v>
      </x:c>
      <x:c r="Q279" s="206" t="n">
        <x:v>0</x:v>
      </x:c>
      <x:c r="R279" s="207" t="str"/>
      <x:c r="S279" s="207" t="str"/>
      <x:c r="T279" s="207" t="str"/>
      <x:c r="U279" s="207" t="n">
        <x:v>0</x:v>
      </x:c>
      <x:c r="V279" s="208" t="n">
        <x:f>MAX(0,M279-U279)</x:f>
        <x:v>8</x:v>
      </x:c>
      <x:c r="W279" s="209" t="n">
        <x:f>IFERROR(U279/M279,0)</x:f>
        <x:v>0</x:v>
      </x:c>
      <x:c r="X279" s="201" t="str">
        <x:f>IF(U279=0,"Não iniciado",IF(U279&gt;=M279,"Concluído","Parcial"))</x:f>
        <x:v>Não iniciado</x:v>
      </x:c>
      <x:c r="Y279" s="199" t="str"/>
      <x:c r="Z279" s="188" t="str">
        <x:v>Normal</x:v>
      </x:c>
    </x:row>
    <x:row r="280" ht="22" customHeight="1">
      <x:c r="A280" s="219" t="n">
        <x:v>276</x:v>
      </x:c>
      <x:c r="B280" s="220" t="str">
        <x:v>26520</x:v>
      </x:c>
      <x:c r="C280" s="220" t="str">
        <x:v>5</x:v>
      </x:c>
      <x:c r="D280" s="220" t="str">
        <x:v>610095</x:v>
      </x:c>
      <x:c r="E280" s="220" t="str">
        <x:v>969662</x:v>
      </x:c>
      <x:c r="F280" s="220" t="str">
        <x:v>ALIZAR</x:v>
      </x:c>
      <x:c r="G280" s="190" t="str">
        <x:v>P A 2200X50X9 RTO RL55 PET CIN VER ULTRA</x:v>
      </x:c>
      <x:c r="H280" s="190" t="str"/>
      <x:c r="I280" s="190" t="str"/>
      <x:c r="J280" s="190" t="str"/>
      <x:c r="K280" s="190" t="str">
        <x:v>RECOBERTO PET</x:v>
      </x:c>
      <x:c r="L280" s="190" t="str">
        <x:v>CINZA VERONA</x:v>
      </x:c>
      <x:c r="M280" s="210" t="n">
        <x:v>2</x:v>
      </x:c>
      <x:c r="N280" s="210" t="n">
        <x:v>2200</x:v>
      </x:c>
      <x:c r="O280" s="210" t="n">
        <x:v>50</x:v>
      </x:c>
      <x:c r="P280" s="210" t="n">
        <x:v>9</x:v>
      </x:c>
      <x:c r="Q280" s="211" t="n">
        <x:v>0</x:v>
      </x:c>
      <x:c r="R280" s="207" t="str"/>
      <x:c r="S280" s="207" t="str"/>
      <x:c r="T280" s="207" t="str"/>
      <x:c r="U280" s="207" t="n">
        <x:v>0</x:v>
      </x:c>
      <x:c r="V280" s="208" t="n">
        <x:f>MAX(0,M280-U280)</x:f>
        <x:v>2</x:v>
      </x:c>
      <x:c r="W280" s="209" t="n">
        <x:f>IFERROR(U280/M280,0)</x:f>
        <x:v>0</x:v>
      </x:c>
      <x:c r="X280" s="201" t="str">
        <x:f>IF(U280=0,"Não iniciado",IF(U280&gt;=M280,"Concluído","Parcial"))</x:f>
        <x:v>Não iniciado</x:v>
      </x:c>
      <x:c r="Y280" s="199" t="str"/>
      <x:c r="Z280" s="188" t="str">
        <x:v>Normal</x:v>
      </x:c>
    </x:row>
    <x:row r="281" ht="22" customHeight="1">
      <x:c r="A281" s="217" t="n">
        <x:v>277</x:v>
      </x:c>
      <x:c r="B281" s="218" t="str">
        <x:v>26520</x:v>
      </x:c>
      <x:c r="C281" s="218" t="str">
        <x:v>5</x:v>
      </x:c>
      <x:c r="D281" s="218" t="str">
        <x:v>610097</x:v>
      </x:c>
      <x:c r="E281" s="218" t="str">
        <x:v>969664</x:v>
      </x:c>
      <x:c r="F281" s="218" t="str">
        <x:v>ALIZAR</x:v>
      </x:c>
      <x:c r="G281" s="184" t="str">
        <x:v>P A 2200X50X9 RTO LME PET CIN VER ULTRA</x:v>
      </x:c>
      <x:c r="H281" s="184" t="str"/>
      <x:c r="I281" s="184" t="str"/>
      <x:c r="J281" s="184" t="str"/>
      <x:c r="K281" s="184" t="str">
        <x:v>RECOBERTO PET</x:v>
      </x:c>
      <x:c r="L281" s="184" t="str">
        <x:v>CINZA VERONA</x:v>
      </x:c>
      <x:c r="M281" s="205" t="n">
        <x:v>2</x:v>
      </x:c>
      <x:c r="N281" s="205" t="n">
        <x:v>2200</x:v>
      </x:c>
      <x:c r="O281" s="205" t="n">
        <x:v>50</x:v>
      </x:c>
      <x:c r="P281" s="205" t="n">
        <x:v>9</x:v>
      </x:c>
      <x:c r="Q281" s="206" t="n">
        <x:v>0</x:v>
      </x:c>
      <x:c r="R281" s="207" t="str"/>
      <x:c r="S281" s="207" t="str"/>
      <x:c r="T281" s="207" t="str"/>
      <x:c r="U281" s="207" t="n">
        <x:v>0</x:v>
      </x:c>
      <x:c r="V281" s="208" t="n">
        <x:f>MAX(0,M281-U281)</x:f>
        <x:v>2</x:v>
      </x:c>
      <x:c r="W281" s="209" t="n">
        <x:f>IFERROR(U281/M281,0)</x:f>
        <x:v>0</x:v>
      </x:c>
      <x:c r="X281" s="201" t="str">
        <x:f>IF(U281=0,"Não iniciado",IF(U281&gt;=M281,"Concluído","Parcial"))</x:f>
        <x:v>Não iniciado</x:v>
      </x:c>
      <x:c r="Y281" s="199" t="str"/>
      <x:c r="Z281" s="188" t="str">
        <x:v>Normal</x:v>
      </x:c>
    </x:row>
    <x:row r="282" ht="22" customHeight="1">
      <x:c r="A282" s="219" t="n">
        <x:v>278</x:v>
      </x:c>
      <x:c r="B282" s="220" t="str">
        <x:v>26520</x:v>
      </x:c>
      <x:c r="C282" s="220" t="str">
        <x:v>6</x:v>
      </x:c>
      <x:c r="D282" s="220" t="str">
        <x:v>610103</x:v>
      </x:c>
      <x:c r="E282" s="220" t="str">
        <x:v>969662</x:v>
      </x:c>
      <x:c r="F282" s="220" t="str">
        <x:v>ALIZAR</x:v>
      </x:c>
      <x:c r="G282" s="190" t="str">
        <x:v>P A 2200X50X9 RTO RL55 PET CIN VER ULTRA</x:v>
      </x:c>
      <x:c r="H282" s="190" t="str"/>
      <x:c r="I282" s="190" t="str"/>
      <x:c r="J282" s="190" t="str"/>
      <x:c r="K282" s="190" t="str">
        <x:v>RECOBERTO PET</x:v>
      </x:c>
      <x:c r="L282" s="190" t="str">
        <x:v>CINZA VERONA</x:v>
      </x:c>
      <x:c r="M282" s="210" t="n">
        <x:v>2</x:v>
      </x:c>
      <x:c r="N282" s="210" t="n">
        <x:v>2200</x:v>
      </x:c>
      <x:c r="O282" s="210" t="n">
        <x:v>50</x:v>
      </x:c>
      <x:c r="P282" s="210" t="n">
        <x:v>9</x:v>
      </x:c>
      <x:c r="Q282" s="211" t="n">
        <x:v>0</x:v>
      </x:c>
      <x:c r="R282" s="207" t="str"/>
      <x:c r="S282" s="207" t="str"/>
      <x:c r="T282" s="207" t="str"/>
      <x:c r="U282" s="207" t="n">
        <x:v>0</x:v>
      </x:c>
      <x:c r="V282" s="208" t="n">
        <x:f>MAX(0,M282-U282)</x:f>
        <x:v>2</x:v>
      </x:c>
      <x:c r="W282" s="209" t="n">
        <x:f>IFERROR(U282/M282,0)</x:f>
        <x:v>0</x:v>
      </x:c>
      <x:c r="X282" s="201" t="str">
        <x:f>IF(U282=0,"Não iniciado",IF(U282&gt;=M282,"Concluído","Parcial"))</x:f>
        <x:v>Não iniciado</x:v>
      </x:c>
      <x:c r="Y282" s="199" t="str"/>
      <x:c r="Z282" s="188" t="str">
        <x:v>Normal</x:v>
      </x:c>
    </x:row>
    <x:row r="283" ht="22" customHeight="1">
      <x:c r="A283" s="217" t="n">
        <x:v>279</x:v>
      </x:c>
      <x:c r="B283" s="218" t="str">
        <x:v>26520</x:v>
      </x:c>
      <x:c r="C283" s="218" t="str">
        <x:v>6</x:v>
      </x:c>
      <x:c r="D283" s="218" t="str">
        <x:v>610105</x:v>
      </x:c>
      <x:c r="E283" s="218" t="str">
        <x:v>969664</x:v>
      </x:c>
      <x:c r="F283" s="218" t="str">
        <x:v>ALIZAR</x:v>
      </x:c>
      <x:c r="G283" s="184" t="str">
        <x:v>P A 2200X50X9 RTO LME PET CIN VER ULTRA</x:v>
      </x:c>
      <x:c r="H283" s="184" t="str"/>
      <x:c r="I283" s="184" t="str"/>
      <x:c r="J283" s="184" t="str"/>
      <x:c r="K283" s="184" t="str">
        <x:v>RECOBERTO PET</x:v>
      </x:c>
      <x:c r="L283" s="184" t="str">
        <x:v>CINZA VERONA</x:v>
      </x:c>
      <x:c r="M283" s="205" t="n">
        <x:v>2</x:v>
      </x:c>
      <x:c r="N283" s="205" t="n">
        <x:v>2200</x:v>
      </x:c>
      <x:c r="O283" s="205" t="n">
        <x:v>50</x:v>
      </x:c>
      <x:c r="P283" s="205" t="n">
        <x:v>9</x:v>
      </x:c>
      <x:c r="Q283" s="206" t="n">
        <x:v>0</x:v>
      </x:c>
      <x:c r="R283" s="207" t="str"/>
      <x:c r="S283" s="207" t="str"/>
      <x:c r="T283" s="207" t="str"/>
      <x:c r="U283" s="207" t="n">
        <x:v>0</x:v>
      </x:c>
      <x:c r="V283" s="208" t="n">
        <x:f>MAX(0,M283-U283)</x:f>
        <x:v>2</x:v>
      </x:c>
      <x:c r="W283" s="209" t="n">
        <x:f>IFERROR(U283/M283,0)</x:f>
        <x:v>0</x:v>
      </x:c>
      <x:c r="X283" s="201" t="str">
        <x:f>IF(U283=0,"Não iniciado",IF(U283&gt;=M283,"Concluído","Parcial"))</x:f>
        <x:v>Não iniciado</x:v>
      </x:c>
      <x:c r="Y283" s="199" t="str"/>
      <x:c r="Z283" s="188" t="str">
        <x:v>Normal</x:v>
      </x:c>
    </x:row>
    <x:row r="284" ht="22" customHeight="1">
      <x:c r="A284" s="219" t="n">
        <x:v>280</x:v>
      </x:c>
      <x:c r="B284" s="220" t="str">
        <x:v>26739</x:v>
      </x:c>
      <x:c r="C284" s="220" t="str">
        <x:v>4</x:v>
      </x:c>
      <x:c r="D284" s="220" t="str">
        <x:v>609633</x:v>
      </x:c>
      <x:c r="E284" s="220" t="str">
        <x:v>2020700628</x:v>
      </x:c>
      <x:c r="F284" s="220" t="str">
        <x:v>OUTROS</x:v>
      </x:c>
      <x:c r="G284" s="190" t="str">
        <x:v>A ULTRA PVC R BCO 2200X50X9 RG(ME) RTO</x:v>
      </x:c>
      <x:c r="H284" s="190" t="str">
        <x:v>REG 1L(MENOR)</x:v>
      </x:c>
      <x:c r="I284" s="190" t="str"/>
      <x:c r="J284" s="190" t="str"/>
      <x:c r="K284" s="190" t="str">
        <x:v>RECOBERTO PVC RENOLIT</x:v>
      </x:c>
      <x:c r="L284" s="190" t="str">
        <x:v>BRANCO</x:v>
      </x:c>
      <x:c r="M284" s="210" t="n">
        <x:v>32</x:v>
      </x:c>
      <x:c r="N284" s="210" t="n">
        <x:v>2200</x:v>
      </x:c>
      <x:c r="O284" s="210" t="n">
        <x:v>50</x:v>
      </x:c>
      <x:c r="P284" s="210" t="n">
        <x:v>9</x:v>
      </x:c>
      <x:c r="Q284" s="211" t="n">
        <x:v>0</x:v>
      </x:c>
      <x:c r="R284" s="207" t="str"/>
      <x:c r="S284" s="207" t="str"/>
      <x:c r="T284" s="207" t="str"/>
      <x:c r="U284" s="207" t="n">
        <x:v>0</x:v>
      </x:c>
      <x:c r="V284" s="208" t="n">
        <x:f>MAX(0,M284-U284)</x:f>
        <x:v>32</x:v>
      </x:c>
      <x:c r="W284" s="209" t="n">
        <x:f>IFERROR(U284/M284,0)</x:f>
        <x:v>0</x:v>
      </x:c>
      <x:c r="X284" s="201" t="str">
        <x:f>IF(U284=0,"Não iniciado",IF(U284&gt;=M284,"Concluído","Parcial"))</x:f>
        <x:v>Não iniciado</x:v>
      </x:c>
      <x:c r="Y284" s="199" t="str"/>
      <x:c r="Z284" s="188" t="str">
        <x:v>Normal</x:v>
      </x:c>
    </x:row>
    <x:row r="285" ht="22" customHeight="1">
      <x:c r="A285" s="217" t="n">
        <x:v>281</x:v>
      </x:c>
      <x:c r="B285" s="218" t="str">
        <x:v>26750</x:v>
      </x:c>
      <x:c r="C285" s="218" t="str">
        <x:v>5</x:v>
      </x:c>
      <x:c r="D285" s="218" t="str">
        <x:v>609796</x:v>
      </x:c>
      <x:c r="E285" s="218" t="str">
        <x:v>2020700628</x:v>
      </x:c>
      <x:c r="F285" s="218" t="str">
        <x:v>OUTROS</x:v>
      </x:c>
      <x:c r="G285" s="184" t="str">
        <x:v>A ULTRA PVC R BCO 2200X50X9 RG(ME) RTO</x:v>
      </x:c>
      <x:c r="H285" s="184" t="str">
        <x:v>REG 1L(MENOR)</x:v>
      </x:c>
      <x:c r="I285" s="184" t="str"/>
      <x:c r="J285" s="184" t="str"/>
      <x:c r="K285" s="184" t="str">
        <x:v>RECOBERTO PVC RENOLIT</x:v>
      </x:c>
      <x:c r="L285" s="184" t="str">
        <x:v>BRANCO</x:v>
      </x:c>
      <x:c r="M285" s="205" t="n">
        <x:v>22</x:v>
      </x:c>
      <x:c r="N285" s="205" t="n">
        <x:v>2200</x:v>
      </x:c>
      <x:c r="O285" s="205" t="n">
        <x:v>50</x:v>
      </x:c>
      <x:c r="P285" s="205" t="n">
        <x:v>9</x:v>
      </x:c>
      <x:c r="Q285" s="206" t="n">
        <x:v>0</x:v>
      </x:c>
      <x:c r="R285" s="207" t="str"/>
      <x:c r="S285" s="207" t="str"/>
      <x:c r="T285" s="207" t="str"/>
      <x:c r="U285" s="207" t="n">
        <x:v>0</x:v>
      </x:c>
      <x:c r="V285" s="208" t="n">
        <x:f>MAX(0,M285-U285)</x:f>
        <x:v>22</x:v>
      </x:c>
      <x:c r="W285" s="209" t="n">
        <x:f>IFERROR(U285/M285,0)</x:f>
        <x:v>0</x:v>
      </x:c>
      <x:c r="X285" s="201" t="str">
        <x:f>IF(U285=0,"Não iniciado",IF(U285&gt;=M285,"Concluído","Parcial"))</x:f>
        <x:v>Não iniciado</x:v>
      </x:c>
      <x:c r="Y285" s="199" t="str"/>
      <x:c r="Z285" s="188" t="str">
        <x:v>Normal</x:v>
      </x:c>
    </x:row>
    <x:row r="286" ht="22" customHeight="1">
      <x:c r="A286" s="219" t="n">
        <x:v>282</x:v>
      </x:c>
      <x:c r="B286" s="220" t="str">
        <x:v>26796</x:v>
      </x:c>
      <x:c r="C286" s="220" t="str">
        <x:v>2</x:v>
      </x:c>
      <x:c r="D286" s="220" t="str">
        <x:v>609294</x:v>
      </x:c>
      <x:c r="E286" s="220" t="str">
        <x:v>986855</x:v>
      </x:c>
      <x:c r="F286" s="220" t="str">
        <x:v>OUTROS</x:v>
      </x:c>
      <x:c r="G286" s="190" t="str">
        <x:v>P.A. 2200X50X9 RT RL35 PET TXT BCO STD</x:v>
      </x:c>
      <x:c r="H286" s="190" t="str"/>
      <x:c r="I286" s="190" t="str"/>
      <x:c r="J286" s="190" t="str"/>
      <x:c r="K286" s="190" t="str">
        <x:v>ESMALTE</x:v>
      </x:c>
      <x:c r="L286" s="190" t="str">
        <x:v>BRANCO</x:v>
      </x:c>
      <x:c r="M286" s="210" t="n">
        <x:v>96</x:v>
      </x:c>
      <x:c r="N286" s="210" t="n">
        <x:v>2200</x:v>
      </x:c>
      <x:c r="O286" s="210" t="n">
        <x:v>50</x:v>
      </x:c>
      <x:c r="P286" s="210" t="n">
        <x:v>9</x:v>
      </x:c>
      <x:c r="Q286" s="211" t="n">
        <x:v>0.095</x:v>
      </x:c>
      <x:c r="R286" s="207" t="str"/>
      <x:c r="S286" s="207" t="str"/>
      <x:c r="T286" s="207" t="str"/>
      <x:c r="U286" s="207" t="n">
        <x:v>0</x:v>
      </x:c>
      <x:c r="V286" s="208" t="n">
        <x:f>MAX(0,M286-U286)</x:f>
        <x:v>96</x:v>
      </x:c>
      <x:c r="W286" s="209" t="n">
        <x:f>IFERROR(U286/M286,0)</x:f>
        <x:v>0</x:v>
      </x:c>
      <x:c r="X286" s="201" t="str">
        <x:f>IF(U286=0,"Não iniciado",IF(U286&gt;=M286,"Concluído","Parcial"))</x:f>
        <x:v>Não iniciado</x:v>
      </x:c>
      <x:c r="Y286" s="199" t="str"/>
      <x:c r="Z286" s="188" t="str">
        <x:v>Normal</x:v>
      </x:c>
    </x:row>
    <x:row r="287" ht="22" customHeight="1">
      <x:c r="A287" s="217" t="n">
        <x:v>283</x:v>
      </x:c>
      <x:c r="B287" s="218" t="str">
        <x:v>26799</x:v>
      </x:c>
      <x:c r="C287" s="218" t="str">
        <x:v>2</x:v>
      </x:c>
      <x:c r="D287" s="218" t="str">
        <x:v>609399</x:v>
      </x:c>
      <x:c r="E287" s="218" t="str">
        <x:v>986855</x:v>
      </x:c>
      <x:c r="F287" s="218" t="str">
        <x:v>OUTROS</x:v>
      </x:c>
      <x:c r="G287" s="184" t="str">
        <x:v>P.A. 2200X50X9 RT RL35 PET TXT BCO STD</x:v>
      </x:c>
      <x:c r="H287" s="184" t="str"/>
      <x:c r="I287" s="184" t="str"/>
      <x:c r="J287" s="184" t="str"/>
      <x:c r="K287" s="184" t="str">
        <x:v>ESMALTE</x:v>
      </x:c>
      <x:c r="L287" s="184" t="str">
        <x:v>BRANCO</x:v>
      </x:c>
      <x:c r="M287" s="205" t="n">
        <x:v>32</x:v>
      </x:c>
      <x:c r="N287" s="205" t="n">
        <x:v>2200</x:v>
      </x:c>
      <x:c r="O287" s="205" t="n">
        <x:v>50</x:v>
      </x:c>
      <x:c r="P287" s="205" t="n">
        <x:v>9</x:v>
      </x:c>
      <x:c r="Q287" s="206" t="n">
        <x:v>0.032</x:v>
      </x:c>
      <x:c r="R287" s="207" t="str"/>
      <x:c r="S287" s="207" t="str"/>
      <x:c r="T287" s="207" t="str"/>
      <x:c r="U287" s="207" t="n">
        <x:v>0</x:v>
      </x:c>
      <x:c r="V287" s="208" t="n">
        <x:f>MAX(0,M287-U287)</x:f>
        <x:v>32</x:v>
      </x:c>
      <x:c r="W287" s="209" t="n">
        <x:f>IFERROR(U287/M287,0)</x:f>
        <x:v>0</x:v>
      </x:c>
      <x:c r="X287" s="201" t="str">
        <x:f>IF(U287=0,"Não iniciado",IF(U287&gt;=M287,"Concluído","Parcial"))</x:f>
        <x:v>Não iniciado</x:v>
      </x:c>
      <x:c r="Y287" s="199" t="str"/>
      <x:c r="Z287" s="188" t="str">
        <x:v>Normal</x:v>
      </x:c>
    </x:row>
    <x:row r="288" ht="22" customHeight="1">
      <x:c r="A288" s="219" t="n">
        <x:v>284</x:v>
      </x:c>
      <x:c r="B288" s="220" t="str">
        <x:v>26744</x:v>
      </x:c>
      <x:c r="C288" s="220" t="str">
        <x:v>1</x:v>
      </x:c>
      <x:c r="D288" s="220" t="str">
        <x:v>609990</x:v>
      </x:c>
      <x:c r="E288" s="220" t="str">
        <x:v>962729</x:v>
      </x:c>
      <x:c r="F288" s="220" t="str">
        <x:v>OUTROS</x:v>
      </x:c>
      <x:c r="G288" s="190" t="str">
        <x:v>PE AL 2200X50X9 RTO RL35 REC PET BCO(ULT</x:v>
      </x:c>
      <x:c r="H288" s="190" t="str"/>
      <x:c r="I288" s="190" t="str"/>
      <x:c r="J288" s="190" t="str"/>
      <x:c r="K288" s="190" t="str">
        <x:v>RECOBERTO PET</x:v>
      </x:c>
      <x:c r="L288" s="190" t="str">
        <x:v>BRANCO CARRARA</x:v>
      </x:c>
      <x:c r="M288" s="210" t="n">
        <x:v>8</x:v>
      </x:c>
      <x:c r="N288" s="210" t="n">
        <x:v>2200</x:v>
      </x:c>
      <x:c r="O288" s="210" t="n">
        <x:v>50</x:v>
      </x:c>
      <x:c r="P288" s="210" t="n">
        <x:v>9</x:v>
      </x:c>
      <x:c r="Q288" s="211" t="n">
        <x:v>0</x:v>
      </x:c>
      <x:c r="R288" s="207" t="str"/>
      <x:c r="S288" s="207" t="str"/>
      <x:c r="T288" s="207" t="str"/>
      <x:c r="U288" s="207" t="n">
        <x:v>0</x:v>
      </x:c>
      <x:c r="V288" s="208" t="n">
        <x:f>MAX(0,M288-U288)</x:f>
        <x:v>8</x:v>
      </x:c>
      <x:c r="W288" s="209" t="n">
        <x:f>IFERROR(U288/M288,0)</x:f>
        <x:v>0</x:v>
      </x:c>
      <x:c r="X288" s="201" t="str">
        <x:f>IF(U288=0,"Não iniciado",IF(U288&gt;=M288,"Concluído","Parcial"))</x:f>
        <x:v>Não iniciado</x:v>
      </x:c>
      <x:c r="Y288" s="199" t="str"/>
      <x:c r="Z288" s="188" t="str">
        <x:v>Normal</x:v>
      </x:c>
    </x:row>
    <x:row r="289" ht="22" customHeight="1">
      <x:c r="A289" s="217" t="n">
        <x:v>285</x:v>
      </x:c>
      <x:c r="B289" s="218" t="str">
        <x:v>26744</x:v>
      </x:c>
      <x:c r="C289" s="218" t="str">
        <x:v>2</x:v>
      </x:c>
      <x:c r="D289" s="218" t="str">
        <x:v>609999</x:v>
      </x:c>
      <x:c r="E289" s="218" t="str">
        <x:v>962729</x:v>
      </x:c>
      <x:c r="F289" s="218" t="str">
        <x:v>OUTROS</x:v>
      </x:c>
      <x:c r="G289" s="184" t="str">
        <x:v>PE AL 2200X50X9 RTO RL35 REC PET BCO(ULT</x:v>
      </x:c>
      <x:c r="H289" s="184" t="str"/>
      <x:c r="I289" s="184" t="str"/>
      <x:c r="J289" s="184" t="str"/>
      <x:c r="K289" s="184" t="str">
        <x:v>RECOBERTO PET</x:v>
      </x:c>
      <x:c r="L289" s="184" t="str">
        <x:v>BRANCO CARRARA</x:v>
      </x:c>
      <x:c r="M289" s="205" t="n">
        <x:v>10</x:v>
      </x:c>
      <x:c r="N289" s="205" t="n">
        <x:v>2200</x:v>
      </x:c>
      <x:c r="O289" s="205" t="n">
        <x:v>50</x:v>
      </x:c>
      <x:c r="P289" s="205" t="n">
        <x:v>9</x:v>
      </x:c>
      <x:c r="Q289" s="206" t="n">
        <x:v>0</x:v>
      </x:c>
      <x:c r="R289" s="207" t="str"/>
      <x:c r="S289" s="207" t="str"/>
      <x:c r="T289" s="207" t="str"/>
      <x:c r="U289" s="207" t="n">
        <x:v>0</x:v>
      </x:c>
      <x:c r="V289" s="208" t="n">
        <x:f>MAX(0,M289-U289)</x:f>
        <x:v>10</x:v>
      </x:c>
      <x:c r="W289" s="209" t="n">
        <x:f>IFERROR(U289/M289,0)</x:f>
        <x:v>0</x:v>
      </x:c>
      <x:c r="X289" s="201" t="str">
        <x:f>IF(U289=0,"Não iniciado",IF(U289&gt;=M289,"Concluído","Parcial"))</x:f>
        <x:v>Não iniciado</x:v>
      </x:c>
      <x:c r="Y289" s="199" t="str"/>
      <x:c r="Z289" s="188" t="str">
        <x:v>Normal</x:v>
      </x:c>
    </x:row>
    <x:row r="290" ht="22" customHeight="1">
      <x:c r="A290" s="219" t="n">
        <x:v>286</x:v>
      </x:c>
      <x:c r="B290" s="220" t="str">
        <x:v>26744</x:v>
      </x:c>
      <x:c r="C290" s="220" t="str">
        <x:v>7</x:v>
      </x:c>
      <x:c r="D290" s="220" t="str">
        <x:v>610025</x:v>
      </x:c>
      <x:c r="E290" s="220" t="str">
        <x:v>962729</x:v>
      </x:c>
      <x:c r="F290" s="220" t="str">
        <x:v>OUTROS</x:v>
      </x:c>
      <x:c r="G290" s="190" t="str">
        <x:v>PE AL 2200X50X9 RTO RL35 REC PET BCO(ULT</x:v>
      </x:c>
      <x:c r="H290" s="190" t="str">
        <x:v>REG 2L(MAIOR 35mm)</x:v>
      </x:c>
      <x:c r="I290" s="190" t="str"/>
      <x:c r="J290" s="190" t="str"/>
      <x:c r="K290" s="190" t="str">
        <x:v>RECOBERTO PET</x:v>
      </x:c>
      <x:c r="L290" s="190" t="str">
        <x:v>BRANCO CARRARA</x:v>
      </x:c>
      <x:c r="M290" s="210" t="n">
        <x:v>4</x:v>
      </x:c>
      <x:c r="N290" s="210" t="n">
        <x:v>2200</x:v>
      </x:c>
      <x:c r="O290" s="210" t="n">
        <x:v>50</x:v>
      </x:c>
      <x:c r="P290" s="210" t="n">
        <x:v>9</x:v>
      </x:c>
      <x:c r="Q290" s="211" t="n">
        <x:v>0</x:v>
      </x:c>
      <x:c r="R290" s="207" t="str"/>
      <x:c r="S290" s="207" t="str"/>
      <x:c r="T290" s="207" t="str"/>
      <x:c r="U290" s="207" t="n">
        <x:v>0</x:v>
      </x:c>
      <x:c r="V290" s="208" t="n">
        <x:f>MAX(0,M290-U290)</x:f>
        <x:v>4</x:v>
      </x:c>
      <x:c r="W290" s="209" t="n">
        <x:f>IFERROR(U290/M290,0)</x:f>
        <x:v>0</x:v>
      </x:c>
      <x:c r="X290" s="201" t="str">
        <x:f>IF(U290=0,"Não iniciado",IF(U290&gt;=M290,"Concluído","Parcial"))</x:f>
        <x:v>Não iniciado</x:v>
      </x:c>
      <x:c r="Y290" s="199" t="str"/>
      <x:c r="Z290" s="188" t="str">
        <x:v>Normal</x:v>
      </x:c>
    </x:row>
    <x:row r="291" ht="22" customHeight="1">
      <x:c r="A291" s="217" t="n">
        <x:v>287</x:v>
      </x:c>
      <x:c r="B291" s="218" t="str">
        <x:v>26796</x:v>
      </x:c>
      <x:c r="C291" s="218" t="str">
        <x:v>1</x:v>
      </x:c>
      <x:c r="D291" s="218" t="str">
        <x:v>609286</x:v>
      </x:c>
      <x:c r="E291" s="218" t="str">
        <x:v>986855</x:v>
      </x:c>
      <x:c r="F291" s="218" t="str">
        <x:v>OUTROS</x:v>
      </x:c>
      <x:c r="G291" s="184" t="str">
        <x:v>P.A. 2200X50X9 RT RL35 PET TXT BCO STD</x:v>
      </x:c>
      <x:c r="H291" s="184" t="str"/>
      <x:c r="I291" s="184" t="str"/>
      <x:c r="J291" s="184" t="str"/>
      <x:c r="K291" s="184" t="str">
        <x:v>ESMALTE</x:v>
      </x:c>
      <x:c r="L291" s="184" t="str">
        <x:v>BRANCO CARRARA</x:v>
      </x:c>
      <x:c r="M291" s="205" t="n">
        <x:v>432</x:v>
      </x:c>
      <x:c r="N291" s="205" t="n">
        <x:v>2200</x:v>
      </x:c>
      <x:c r="O291" s="205" t="n">
        <x:v>50</x:v>
      </x:c>
      <x:c r="P291" s="205" t="n">
        <x:v>9</x:v>
      </x:c>
      <x:c r="Q291" s="206" t="n">
        <x:v>0.428</x:v>
      </x:c>
      <x:c r="R291" s="207" t="str"/>
      <x:c r="S291" s="207" t="str"/>
      <x:c r="T291" s="207" t="str"/>
      <x:c r="U291" s="207" t="n">
        <x:v>0</x:v>
      </x:c>
      <x:c r="V291" s="208" t="n">
        <x:f>MAX(0,M291-U291)</x:f>
        <x:v>432</x:v>
      </x:c>
      <x:c r="W291" s="209" t="n">
        <x:f>IFERROR(U291/M291,0)</x:f>
        <x:v>0</x:v>
      </x:c>
      <x:c r="X291" s="201" t="str">
        <x:f>IF(U291=0,"Não iniciado",IF(U291&gt;=M291,"Concluído","Parcial"))</x:f>
        <x:v>Não iniciado</x:v>
      </x:c>
      <x:c r="Y291" s="199" t="str"/>
      <x:c r="Z291" s="188" t="str">
        <x:v>Normal</x:v>
      </x:c>
    </x:row>
    <x:row r="292" ht="22" customHeight="1">
      <x:c r="A292" s="219" t="n">
        <x:v>288</x:v>
      </x:c>
      <x:c r="B292" s="220" t="str">
        <x:v>26796</x:v>
      </x:c>
      <x:c r="C292" s="220" t="str">
        <x:v>3</x:v>
      </x:c>
      <x:c r="D292" s="220" t="str">
        <x:v>609302</x:v>
      </x:c>
      <x:c r="E292" s="220" t="str">
        <x:v>988573</x:v>
      </x:c>
      <x:c r="F292" s="220" t="str">
        <x:v>OUTROS</x:v>
      </x:c>
      <x:c r="G292" s="190" t="str">
        <x:v>P.A. 2200X50X9 RT RL45 PET TXT BCO STD</x:v>
      </x:c>
      <x:c r="H292" s="190" t="str"/>
      <x:c r="I292" s="190" t="str"/>
      <x:c r="J292" s="190" t="str"/>
      <x:c r="K292" s="190" t="str">
        <x:v>ESMALTE</x:v>
      </x:c>
      <x:c r="L292" s="190" t="str">
        <x:v>BRANCO CARRARA</x:v>
      </x:c>
      <x:c r="M292" s="210" t="n">
        <x:v>384</x:v>
      </x:c>
      <x:c r="N292" s="210" t="n">
        <x:v>2200</x:v>
      </x:c>
      <x:c r="O292" s="210" t="n">
        <x:v>50</x:v>
      </x:c>
      <x:c r="P292" s="210" t="n">
        <x:v>9</x:v>
      </x:c>
      <x:c r="Q292" s="211" t="n">
        <x:v>0.38</x:v>
      </x:c>
      <x:c r="R292" s="207" t="str"/>
      <x:c r="S292" s="207" t="str"/>
      <x:c r="T292" s="207" t="str"/>
      <x:c r="U292" s="207" t="n">
        <x:v>0</x:v>
      </x:c>
      <x:c r="V292" s="208" t="n">
        <x:f>MAX(0,M292-U292)</x:f>
        <x:v>384</x:v>
      </x:c>
      <x:c r="W292" s="209" t="n">
        <x:f>IFERROR(U292/M292,0)</x:f>
        <x:v>0</x:v>
      </x:c>
      <x:c r="X292" s="201" t="str">
        <x:f>IF(U292=0,"Não iniciado",IF(U292&gt;=M292,"Concluído","Parcial"))</x:f>
        <x:v>Não iniciado</x:v>
      </x:c>
      <x:c r="Y292" s="199" t="str"/>
      <x:c r="Z292" s="188" t="str">
        <x:v>Normal</x:v>
      </x:c>
    </x:row>
    <x:row r="293" ht="22" customHeight="1">
      <x:c r="A293" s="217" t="n">
        <x:v>289</x:v>
      </x:c>
      <x:c r="B293" s="218" t="str">
        <x:v>26799</x:v>
      </x:c>
      <x:c r="C293" s="218" t="str">
        <x:v>1</x:v>
      </x:c>
      <x:c r="D293" s="218" t="str">
        <x:v>609391</x:v>
      </x:c>
      <x:c r="E293" s="218" t="str">
        <x:v>986855</x:v>
      </x:c>
      <x:c r="F293" s="218" t="str">
        <x:v>OUTROS</x:v>
      </x:c>
      <x:c r="G293" s="184" t="str">
        <x:v>P.A. 2200X50X9 RT RL35 PET TXT BCO STD</x:v>
      </x:c>
      <x:c r="H293" s="184" t="str"/>
      <x:c r="I293" s="184" t="str"/>
      <x:c r="J293" s="184" t="str"/>
      <x:c r="K293" s="184" t="str">
        <x:v>ESMALTE</x:v>
      </x:c>
      <x:c r="L293" s="184" t="str">
        <x:v>BRANCO CARRARA</x:v>
      </x:c>
      <x:c r="M293" s="205" t="n">
        <x:v>144</x:v>
      </x:c>
      <x:c r="N293" s="205" t="n">
        <x:v>2200</x:v>
      </x:c>
      <x:c r="O293" s="205" t="n">
        <x:v>50</x:v>
      </x:c>
      <x:c r="P293" s="205" t="n">
        <x:v>9</x:v>
      </x:c>
      <x:c r="Q293" s="206" t="n">
        <x:v>0.143</x:v>
      </x:c>
      <x:c r="R293" s="207" t="str"/>
      <x:c r="S293" s="207" t="str"/>
      <x:c r="T293" s="207" t="str"/>
      <x:c r="U293" s="207" t="n">
        <x:v>0</x:v>
      </x:c>
      <x:c r="V293" s="208" t="n">
        <x:f>MAX(0,M293-U293)</x:f>
        <x:v>144</x:v>
      </x:c>
      <x:c r="W293" s="209" t="n">
        <x:f>IFERROR(U293/M293,0)</x:f>
        <x:v>0</x:v>
      </x:c>
      <x:c r="X293" s="201" t="str">
        <x:f>IF(U293=0,"Não iniciado",IF(U293&gt;=M293,"Concluído","Parcial"))</x:f>
        <x:v>Não iniciado</x:v>
      </x:c>
      <x:c r="Y293" s="199" t="str"/>
      <x:c r="Z293" s="188" t="str">
        <x:v>Normal</x:v>
      </x:c>
    </x:row>
    <x:row r="294" ht="22" customHeight="1">
      <x:c r="A294" s="219" t="n">
        <x:v>290</x:v>
      </x:c>
      <x:c r="B294" s="220" t="str">
        <x:v>26799</x:v>
      </x:c>
      <x:c r="C294" s="220" t="str">
        <x:v>3</x:v>
      </x:c>
      <x:c r="D294" s="220" t="str">
        <x:v>609407</x:v>
      </x:c>
      <x:c r="E294" s="220" t="str">
        <x:v>988573</x:v>
      </x:c>
      <x:c r="F294" s="220" t="str">
        <x:v>OUTROS</x:v>
      </x:c>
      <x:c r="G294" s="190" t="str">
        <x:v>P.A. 2200X50X9 RT RL45 PET TXT BCO STD</x:v>
      </x:c>
      <x:c r="H294" s="190" t="str"/>
      <x:c r="I294" s="190" t="str"/>
      <x:c r="J294" s="190" t="str"/>
      <x:c r="K294" s="190" t="str">
        <x:v>ESMALTE</x:v>
      </x:c>
      <x:c r="L294" s="190" t="str">
        <x:v>BRANCO CARRARA</x:v>
      </x:c>
      <x:c r="M294" s="210" t="n">
        <x:v>128</x:v>
      </x:c>
      <x:c r="N294" s="210" t="n">
        <x:v>2200</x:v>
      </x:c>
      <x:c r="O294" s="210" t="n">
        <x:v>50</x:v>
      </x:c>
      <x:c r="P294" s="210" t="n">
        <x:v>9</x:v>
      </x:c>
      <x:c r="Q294" s="211" t="n">
        <x:v>0.127</x:v>
      </x:c>
      <x:c r="R294" s="207" t="str"/>
      <x:c r="S294" s="207" t="str"/>
      <x:c r="T294" s="207" t="str"/>
      <x:c r="U294" s="207" t="n">
        <x:v>0</x:v>
      </x:c>
      <x:c r="V294" s="208" t="n">
        <x:f>MAX(0,M294-U294)</x:f>
        <x:v>128</x:v>
      </x:c>
      <x:c r="W294" s="209" t="n">
        <x:f>IFERROR(U294/M294,0)</x:f>
        <x:v>0</x:v>
      </x:c>
      <x:c r="X294" s="201" t="str">
        <x:f>IF(U294=0,"Não iniciado",IF(U294&gt;=M294,"Concluído","Parcial"))</x:f>
        <x:v>Não iniciado</x:v>
      </x:c>
      <x:c r="Y294" s="199" t="str"/>
      <x:c r="Z294" s="188" t="str">
        <x:v>Normal</x:v>
      </x:c>
    </x:row>
    <x:row r="295" ht="22" customHeight="1">
      <x:c r="A295" s="217" t="n">
        <x:v>291</x:v>
      </x:c>
      <x:c r="B295" s="218" t="str">
        <x:v>26807</x:v>
      </x:c>
      <x:c r="C295" s="218" t="str">
        <x:v>2</x:v>
      </x:c>
      <x:c r="D295" s="218" t="str">
        <x:v>610046</x:v>
      </x:c>
      <x:c r="E295" s="218" t="str">
        <x:v>2020700631</x:v>
      </x:c>
      <x:c r="F295" s="218" t="str">
        <x:v>OUTROS</x:v>
      </x:c>
      <x:c r="G295" s="184" t="str">
        <x:v>A ULTRA PET CA PE 2200X50X9 RG(55) RTO</x:v>
      </x:c>
      <x:c r="H295" s="184" t="str">
        <x:v>REG 2L(MAIOR 55MM)</x:v>
      </x:c>
      <x:c r="I295" s="184" t="str"/>
      <x:c r="J295" s="184" t="str"/>
      <x:c r="K295" s="184" t="str">
        <x:v>RECOBERTO PET</x:v>
      </x:c>
      <x:c r="L295" s="184" t="str">
        <x:v>CARVALHO PESCARA</x:v>
      </x:c>
      <x:c r="M295" s="205" t="n">
        <x:v>40</x:v>
      </x:c>
      <x:c r="N295" s="205" t="n">
        <x:v>2200</x:v>
      </x:c>
      <x:c r="O295" s="205" t="n">
        <x:v>50</x:v>
      </x:c>
      <x:c r="P295" s="205" t="n">
        <x:v>9</x:v>
      </x:c>
      <x:c r="Q295" s="206" t="n">
        <x:v>0</x:v>
      </x:c>
      <x:c r="R295" s="207" t="str"/>
      <x:c r="S295" s="207" t="str"/>
      <x:c r="T295" s="207" t="str"/>
      <x:c r="U295" s="207" t="n">
        <x:v>0</x:v>
      </x:c>
      <x:c r="V295" s="208" t="n">
        <x:f>MAX(0,M295-U295)</x:f>
        <x:v>40</x:v>
      </x:c>
      <x:c r="W295" s="209" t="n">
        <x:f>IFERROR(U295/M295,0)</x:f>
        <x:v>0</x:v>
      </x:c>
      <x:c r="X295" s="201" t="str">
        <x:f>IF(U295=0,"Não iniciado",IF(U295&gt;=M295,"Concluído","Parcial"))</x:f>
        <x:v>Não iniciado</x:v>
      </x:c>
      <x:c r="Y295" s="199" t="str"/>
      <x:c r="Z295" s="188" t="str">
        <x:v>Normal</x:v>
      </x:c>
    </x:row>
    <x:row r="296" ht="22" customHeight="1">
      <x:c r="A296" s="219" t="n">
        <x:v>292</x:v>
      </x:c>
      <x:c r="B296" s="220" t="str">
        <x:v>26807</x:v>
      </x:c>
      <x:c r="C296" s="220" t="str">
        <x:v>2</x:v>
      </x:c>
      <x:c r="D296" s="220" t="str">
        <x:v>610047</x:v>
      </x:c>
      <x:c r="E296" s="220" t="str">
        <x:v>2020700632</x:v>
      </x:c>
      <x:c r="F296" s="220" t="str">
        <x:v>OUTROS</x:v>
      </x:c>
      <x:c r="G296" s="190" t="str">
        <x:v>A ULTRA PET CA PE 2200X50X9 RG(ME) RTO</x:v>
      </x:c>
      <x:c r="H296" s="190" t="str">
        <x:v>REG 2L(MAIOR 55MM)</x:v>
      </x:c>
      <x:c r="I296" s="190" t="str"/>
      <x:c r="J296" s="190" t="str"/>
      <x:c r="K296" s="190" t="str">
        <x:v>RECOBERTO PET</x:v>
      </x:c>
      <x:c r="L296" s="190" t="str">
        <x:v>CARVALHO PESCARA</x:v>
      </x:c>
      <x:c r="M296" s="210" t="n">
        <x:v>40</x:v>
      </x:c>
      <x:c r="N296" s="210" t="n">
        <x:v>2200</x:v>
      </x:c>
      <x:c r="O296" s="210" t="n">
        <x:v>50</x:v>
      </x:c>
      <x:c r="P296" s="210" t="n">
        <x:v>9</x:v>
      </x:c>
      <x:c r="Q296" s="211" t="n">
        <x:v>0</x:v>
      </x:c>
      <x:c r="R296" s="207" t="str"/>
      <x:c r="S296" s="207" t="str"/>
      <x:c r="T296" s="207" t="str"/>
      <x:c r="U296" s="207" t="n">
        <x:v>0</x:v>
      </x:c>
      <x:c r="V296" s="208" t="n">
        <x:f>MAX(0,M296-U296)</x:f>
        <x:v>40</x:v>
      </x:c>
      <x:c r="W296" s="209" t="n">
        <x:f>IFERROR(U296/M296,0)</x:f>
        <x:v>0</x:v>
      </x:c>
      <x:c r="X296" s="201" t="str">
        <x:f>IF(U296=0,"Não iniciado",IF(U296&gt;=M296,"Concluído","Parcial"))</x:f>
        <x:v>Não iniciado</x:v>
      </x:c>
      <x:c r="Y296" s="199" t="str"/>
      <x:c r="Z296" s="188" t="str">
        <x:v>Normal</x:v>
      </x:c>
    </x:row>
    <x:row r="297" ht="22" customHeight="1">
      <x:c r="A297" s="217" t="n">
        <x:v>293</x:v>
      </x:c>
      <x:c r="B297" s="218" t="str">
        <x:v>26520</x:v>
      </x:c>
      <x:c r="C297" s="218" t="str">
        <x:v>9</x:v>
      </x:c>
      <x:c r="D297" s="218" t="str">
        <x:v>610115</x:v>
      </x:c>
      <x:c r="E297" s="218" t="str">
        <x:v>975915</x:v>
      </x:c>
      <x:c r="F297" s="218" t="str">
        <x:v>OUTROS</x:v>
      </x:c>
      <x:c r="G297" s="184" t="str">
        <x:v>PE AL 2200X50X9 RTO RL55 REC PET CURUP(U</x:v>
      </x:c>
      <x:c r="H297" s="184" t="str">
        <x:v>REG 1L(MAIOR 55MM)</x:v>
      </x:c>
      <x:c r="I297" s="184" t="str"/>
      <x:c r="J297" s="184" t="str"/>
      <x:c r="K297" s="184" t="str">
        <x:v>RECOBERTO PET</x:v>
      </x:c>
      <x:c r="L297" s="184" t="str">
        <x:v>CURUPIXA RAVENNA</x:v>
      </x:c>
      <x:c r="M297" s="205" t="n">
        <x:v>2</x:v>
      </x:c>
      <x:c r="N297" s="205" t="n">
        <x:v>2200</x:v>
      </x:c>
      <x:c r="O297" s="205" t="n">
        <x:v>50</x:v>
      </x:c>
      <x:c r="P297" s="205" t="n">
        <x:v>9</x:v>
      </x:c>
      <x:c r="Q297" s="206" t="n">
        <x:v>0</x:v>
      </x:c>
      <x:c r="R297" s="207" t="str"/>
      <x:c r="S297" s="207" t="str"/>
      <x:c r="T297" s="207" t="str"/>
      <x:c r="U297" s="207" t="n">
        <x:v>0</x:v>
      </x:c>
      <x:c r="V297" s="208" t="n">
        <x:f>MAX(0,M297-U297)</x:f>
        <x:v>2</x:v>
      </x:c>
      <x:c r="W297" s="209" t="n">
        <x:f>IFERROR(U297/M297,0)</x:f>
        <x:v>0</x:v>
      </x:c>
      <x:c r="X297" s="201" t="str">
        <x:f>IF(U297=0,"Não iniciado",IF(U297&gt;=M297,"Concluído","Parcial"))</x:f>
        <x:v>Não iniciado</x:v>
      </x:c>
      <x:c r="Y297" s="199" t="str"/>
      <x:c r="Z297" s="188" t="str">
        <x:v>Normal</x:v>
      </x:c>
    </x:row>
    <x:row r="298" ht="22" customHeight="1">
      <x:c r="A298" s="219" t="n">
        <x:v>294</x:v>
      </x:c>
      <x:c r="B298" s="220" t="str">
        <x:v>26520</x:v>
      </x:c>
      <x:c r="C298" s="220" t="str">
        <x:v>11</x:v>
      </x:c>
      <x:c r="D298" s="220" t="str">
        <x:v>610124</x:v>
      </x:c>
      <x:c r="E298" s="220" t="str">
        <x:v>975915</x:v>
      </x:c>
      <x:c r="F298" s="220" t="str">
        <x:v>OUTROS</x:v>
      </x:c>
      <x:c r="G298" s="190" t="str">
        <x:v>PE AL 2200X50X9 RTO RL55 REC PET CURUP(U</x:v>
      </x:c>
      <x:c r="H298" s="190" t="str"/>
      <x:c r="I298" s="190" t="str"/>
      <x:c r="J298" s="190" t="str"/>
      <x:c r="K298" s="190" t="str">
        <x:v>RECOBERTO PET</x:v>
      </x:c>
      <x:c r="L298" s="190" t="str">
        <x:v>CURUPIXA RAVENNA</x:v>
      </x:c>
      <x:c r="M298" s="210" t="n">
        <x:v>6</x:v>
      </x:c>
      <x:c r="N298" s="210" t="n">
        <x:v>2200</x:v>
      </x:c>
      <x:c r="O298" s="210" t="n">
        <x:v>50</x:v>
      </x:c>
      <x:c r="P298" s="210" t="n">
        <x:v>9</x:v>
      </x:c>
      <x:c r="Q298" s="211" t="n">
        <x:v>0</x:v>
      </x:c>
      <x:c r="R298" s="207" t="str"/>
      <x:c r="S298" s="207" t="str"/>
      <x:c r="T298" s="207" t="str"/>
      <x:c r="U298" s="207" t="n">
        <x:v>0</x:v>
      </x:c>
      <x:c r="V298" s="208" t="n">
        <x:f>MAX(0,M298-U298)</x:f>
        <x:v>6</x:v>
      </x:c>
      <x:c r="W298" s="209" t="n">
        <x:f>IFERROR(U298/M298,0)</x:f>
        <x:v>0</x:v>
      </x:c>
      <x:c r="X298" s="201" t="str">
        <x:f>IF(U298=0,"Não iniciado",IF(U298&gt;=M298,"Concluído","Parcial"))</x:f>
        <x:v>Não iniciado</x:v>
      </x:c>
      <x:c r="Y298" s="199" t="str"/>
      <x:c r="Z298" s="188" t="str">
        <x:v>Normal</x:v>
      </x:c>
    </x:row>
    <x:row r="299" ht="22" customHeight="1">
      <x:c r="A299" s="217" t="n">
        <x:v>295</x:v>
      </x:c>
      <x:c r="B299" s="218" t="str">
        <x:v>26520</x:v>
      </x:c>
      <x:c r="C299" s="218" t="str">
        <x:v>11</x:v>
      </x:c>
      <x:c r="D299" s="218" t="str">
        <x:v>610126</x:v>
      </x:c>
      <x:c r="E299" s="218" t="str">
        <x:v>975918</x:v>
      </x:c>
      <x:c r="F299" s="218" t="str">
        <x:v>OUTROS</x:v>
      </x:c>
      <x:c r="G299" s="184" t="str">
        <x:v>PE AL 2200X50X9 RTO LME REC PET CURUP(UL</x:v>
      </x:c>
      <x:c r="H299" s="184" t="str"/>
      <x:c r="I299" s="184" t="str"/>
      <x:c r="J299" s="184" t="str"/>
      <x:c r="K299" s="184" t="str">
        <x:v>RECOBERTO PET</x:v>
      </x:c>
      <x:c r="L299" s="184" t="str">
        <x:v>CURUPIXA RAVENNA</x:v>
      </x:c>
      <x:c r="M299" s="205" t="n">
        <x:v>6</x:v>
      </x:c>
      <x:c r="N299" s="205" t="n">
        <x:v>2200</x:v>
      </x:c>
      <x:c r="O299" s="205" t="n">
        <x:v>50</x:v>
      </x:c>
      <x:c r="P299" s="205" t="n">
        <x:v>9</x:v>
      </x:c>
      <x:c r="Q299" s="206" t="n">
        <x:v>0</x:v>
      </x:c>
      <x:c r="R299" s="207" t="str"/>
      <x:c r="S299" s="207" t="str"/>
      <x:c r="T299" s="207" t="str"/>
      <x:c r="U299" s="207" t="n">
        <x:v>0</x:v>
      </x:c>
      <x:c r="V299" s="208" t="n">
        <x:f>MAX(0,M299-U299)</x:f>
        <x:v>6</x:v>
      </x:c>
      <x:c r="W299" s="209" t="n">
        <x:f>IFERROR(U299/M299,0)</x:f>
        <x:v>0</x:v>
      </x:c>
      <x:c r="X299" s="201" t="str">
        <x:f>IF(U299=0,"Não iniciado",IF(U299&gt;=M299,"Concluído","Parcial"))</x:f>
        <x:v>Não iniciado</x:v>
      </x:c>
      <x:c r="Y299" s="199" t="str"/>
      <x:c r="Z299" s="188" t="str">
        <x:v>Normal</x:v>
      </x:c>
    </x:row>
    <x:row r="300" ht="22" customHeight="1">
      <x:c r="A300" s="219" t="n">
        <x:v>296</x:v>
      </x:c>
      <x:c r="B300" s="220" t="str">
        <x:v>26520</x:v>
      </x:c>
      <x:c r="C300" s="220" t="str">
        <x:v>12</x:v>
      </x:c>
      <x:c r="D300" s="220" t="str">
        <x:v>610132</x:v>
      </x:c>
      <x:c r="E300" s="220" t="str">
        <x:v>975915</x:v>
      </x:c>
      <x:c r="F300" s="220" t="str">
        <x:v>OUTROS</x:v>
      </x:c>
      <x:c r="G300" s="190" t="str">
        <x:v>PE AL 2200X50X9 RTO RL55 REC PET CURUP(U</x:v>
      </x:c>
      <x:c r="H300" s="190" t="str"/>
      <x:c r="I300" s="190" t="str"/>
      <x:c r="J300" s="190" t="str"/>
      <x:c r="K300" s="190" t="str">
        <x:v>RECOBERTO PET</x:v>
      </x:c>
      <x:c r="L300" s="190" t="str">
        <x:v>CURUPIXA RAVENNA</x:v>
      </x:c>
      <x:c r="M300" s="210" t="n">
        <x:v>2</x:v>
      </x:c>
      <x:c r="N300" s="210" t="n">
        <x:v>2200</x:v>
      </x:c>
      <x:c r="O300" s="210" t="n">
        <x:v>50</x:v>
      </x:c>
      <x:c r="P300" s="210" t="n">
        <x:v>9</x:v>
      </x:c>
      <x:c r="Q300" s="211" t="n">
        <x:v>0</x:v>
      </x:c>
      <x:c r="R300" s="207" t="str"/>
      <x:c r="S300" s="207" t="str"/>
      <x:c r="T300" s="207" t="str"/>
      <x:c r="U300" s="207" t="n">
        <x:v>0</x:v>
      </x:c>
      <x:c r="V300" s="208" t="n">
        <x:f>MAX(0,M300-U300)</x:f>
        <x:v>2</x:v>
      </x:c>
      <x:c r="W300" s="209" t="n">
        <x:f>IFERROR(U300/M300,0)</x:f>
        <x:v>0</x:v>
      </x:c>
      <x:c r="X300" s="201" t="str">
        <x:f>IF(U300=0,"Não iniciado",IF(U300&gt;=M300,"Concluído","Parcial"))</x:f>
        <x:v>Não iniciado</x:v>
      </x:c>
      <x:c r="Y300" s="199" t="str"/>
      <x:c r="Z300" s="188" t="str">
        <x:v>Normal</x:v>
      </x:c>
    </x:row>
    <x:row r="301" ht="22" customHeight="1">
      <x:c r="A301" s="217" t="n">
        <x:v>297</x:v>
      </x:c>
      <x:c r="B301" s="218" t="str">
        <x:v>26520</x:v>
      </x:c>
      <x:c r="C301" s="218" t="str">
        <x:v>12</x:v>
      </x:c>
      <x:c r="D301" s="218" t="str">
        <x:v>610134</x:v>
      </x:c>
      <x:c r="E301" s="218" t="str">
        <x:v>975918</x:v>
      </x:c>
      <x:c r="F301" s="218" t="str">
        <x:v>OUTROS</x:v>
      </x:c>
      <x:c r="G301" s="184" t="str">
        <x:v>PE AL 2200X50X9 RTO LME REC PET CURUP(UL</x:v>
      </x:c>
      <x:c r="H301" s="184" t="str"/>
      <x:c r="I301" s="184" t="str"/>
      <x:c r="J301" s="184" t="str"/>
      <x:c r="K301" s="184" t="str">
        <x:v>RECOBERTO PET</x:v>
      </x:c>
      <x:c r="L301" s="184" t="str">
        <x:v>CURUPIXA RAVENNA</x:v>
      </x:c>
      <x:c r="M301" s="205" t="n">
        <x:v>2</x:v>
      </x:c>
      <x:c r="N301" s="205" t="n">
        <x:v>2200</x:v>
      </x:c>
      <x:c r="O301" s="205" t="n">
        <x:v>50</x:v>
      </x:c>
      <x:c r="P301" s="205" t="n">
        <x:v>9</x:v>
      </x:c>
      <x:c r="Q301" s="206" t="n">
        <x:v>0</x:v>
      </x:c>
      <x:c r="R301" s="207" t="str"/>
      <x:c r="S301" s="207" t="str"/>
      <x:c r="T301" s="207" t="str"/>
      <x:c r="U301" s="207" t="n">
        <x:v>0</x:v>
      </x:c>
      <x:c r="V301" s="208" t="n">
        <x:f>MAX(0,M301-U301)</x:f>
        <x:v>2</x:v>
      </x:c>
      <x:c r="W301" s="209" t="n">
        <x:f>IFERROR(U301/M301,0)</x:f>
        <x:v>0</x:v>
      </x:c>
      <x:c r="X301" s="201" t="str">
        <x:f>IF(U301=0,"Não iniciado",IF(U301&gt;=M301,"Concluído","Parcial"))</x:f>
        <x:v>Não iniciado</x:v>
      </x:c>
      <x:c r="Y301" s="199" t="str"/>
      <x:c r="Z301" s="188" t="str">
        <x:v>Normal</x:v>
      </x:c>
    </x:row>
    <x:row r="302" ht="22" customHeight="1">
      <x:c r="A302" s="219" t="n">
        <x:v>298</x:v>
      </x:c>
      <x:c r="B302" s="220" t="str">
        <x:v>26796</x:v>
      </x:c>
      <x:c r="C302" s="220" t="str">
        <x:v>2</x:v>
      </x:c>
      <x:c r="D302" s="220" t="str">
        <x:v>609293</x:v>
      </x:c>
      <x:c r="E302" s="220" t="str">
        <x:v>985577</x:v>
      </x:c>
      <x:c r="F302" s="220" t="str">
        <x:v>ALIZAR</x:v>
      </x:c>
      <x:c r="G302" s="190" t="str">
        <x:v>T A 1100X50X9 RTO LME PET BCO TXT (STD)</x:v>
      </x:c>
      <x:c r="H302" s="190" t="str"/>
      <x:c r="I302" s="190" t="str"/>
      <x:c r="J302" s="190" t="str"/>
      <x:c r="K302" s="190" t="str">
        <x:v>ESMALTE</x:v>
      </x:c>
      <x:c r="L302" s="190" t="str">
        <x:v>BRANCO</x:v>
      </x:c>
      <x:c r="M302" s="210" t="n">
        <x:v>48</x:v>
      </x:c>
      <x:c r="N302" s="210" t="n">
        <x:v>1100</x:v>
      </x:c>
      <x:c r="O302" s="210" t="n">
        <x:v>50</x:v>
      </x:c>
      <x:c r="P302" s="210" t="n">
        <x:v>9</x:v>
      </x:c>
      <x:c r="Q302" s="211" t="n">
        <x:v>0</x:v>
      </x:c>
      <x:c r="R302" s="207" t="str"/>
      <x:c r="S302" s="207" t="str"/>
      <x:c r="T302" s="207" t="str"/>
      <x:c r="U302" s="207" t="n">
        <x:v>0</x:v>
      </x:c>
      <x:c r="V302" s="208" t="n">
        <x:f>MAX(0,M302-U302)</x:f>
        <x:v>48</x:v>
      </x:c>
      <x:c r="W302" s="209" t="n">
        <x:f>IFERROR(U302/M302,0)</x:f>
        <x:v>0</x:v>
      </x:c>
      <x:c r="X302" s="201" t="str">
        <x:f>IF(U302=0,"Não iniciado",IF(U302&gt;=M302,"Concluído","Parcial"))</x:f>
        <x:v>Não iniciado</x:v>
      </x:c>
      <x:c r="Y302" s="199" t="str"/>
      <x:c r="Z302" s="188" t="str">
        <x:v>Normal</x:v>
      </x:c>
    </x:row>
    <x:row r="303" ht="22" customHeight="1">
      <x:c r="A303" s="217" t="n">
        <x:v>299</x:v>
      </x:c>
      <x:c r="B303" s="218" t="str">
        <x:v>26799</x:v>
      </x:c>
      <x:c r="C303" s="218" t="str">
        <x:v>2</x:v>
      </x:c>
      <x:c r="D303" s="218" t="str">
        <x:v>609398</x:v>
      </x:c>
      <x:c r="E303" s="218" t="str">
        <x:v>985577</x:v>
      </x:c>
      <x:c r="F303" s="218" t="str">
        <x:v>ALIZAR</x:v>
      </x:c>
      <x:c r="G303" s="184" t="str">
        <x:v>T A 1100X50X9 RTO LME PET BCO TXT (STD)</x:v>
      </x:c>
      <x:c r="H303" s="184" t="str"/>
      <x:c r="I303" s="184" t="str"/>
      <x:c r="J303" s="184" t="str"/>
      <x:c r="K303" s="184" t="str">
        <x:v>ESMALTE</x:v>
      </x:c>
      <x:c r="L303" s="184" t="str">
        <x:v>BRANCO</x:v>
      </x:c>
      <x:c r="M303" s="205" t="n">
        <x:v>16</x:v>
      </x:c>
      <x:c r="N303" s="205" t="n">
        <x:v>1100</x:v>
      </x:c>
      <x:c r="O303" s="205" t="n">
        <x:v>50</x:v>
      </x:c>
      <x:c r="P303" s="205" t="n">
        <x:v>9</x:v>
      </x:c>
      <x:c r="Q303" s="206" t="n">
        <x:v>0</x:v>
      </x:c>
      <x:c r="R303" s="207" t="str"/>
      <x:c r="S303" s="207" t="str"/>
      <x:c r="T303" s="207" t="str"/>
      <x:c r="U303" s="207" t="n">
        <x:v>0</x:v>
      </x:c>
      <x:c r="V303" s="208" t="n">
        <x:f>MAX(0,M303-U303)</x:f>
        <x:v>16</x:v>
      </x:c>
      <x:c r="W303" s="209" t="n">
        <x:f>IFERROR(U303/M303,0)</x:f>
        <x:v>0</x:v>
      </x:c>
      <x:c r="X303" s="201" t="str">
        <x:f>IF(U303=0,"Não iniciado",IF(U303&gt;=M303,"Concluído","Parcial"))</x:f>
        <x:v>Não iniciado</x:v>
      </x:c>
      <x:c r="Y303" s="199" t="str"/>
      <x:c r="Z303" s="188" t="str">
        <x:v>Normal</x:v>
      </x:c>
    </x:row>
    <x:row r="304" ht="22" customHeight="1">
      <x:c r="A304" s="219" t="n">
        <x:v>300</x:v>
      </x:c>
      <x:c r="B304" s="220" t="str">
        <x:v>26824</x:v>
      </x:c>
      <x:c r="C304" s="220" t="str">
        <x:v>2</x:v>
      </x:c>
      <x:c r="D304" s="220" t="str">
        <x:v>609589</x:v>
      </x:c>
      <x:c r="E304" s="220" t="str">
        <x:v>985577</x:v>
      </x:c>
      <x:c r="F304" s="220" t="str">
        <x:v>ALIZAR</x:v>
      </x:c>
      <x:c r="G304" s="190" t="str">
        <x:v>T A 1100X50X9 RTO LME PET BCO TXT (STD)</x:v>
      </x:c>
      <x:c r="H304" s="190" t="str"/>
      <x:c r="I304" s="190" t="str"/>
      <x:c r="J304" s="190" t="str"/>
      <x:c r="K304" s="190" t="str">
        <x:v>ESMALTE</x:v>
      </x:c>
      <x:c r="L304" s="190" t="str">
        <x:v>BRANCO</x:v>
      </x:c>
      <x:c r="M304" s="210" t="n">
        <x:v>181</x:v>
      </x:c>
      <x:c r="N304" s="210" t="n">
        <x:v>1100</x:v>
      </x:c>
      <x:c r="O304" s="210" t="n">
        <x:v>50</x:v>
      </x:c>
      <x:c r="P304" s="210" t="n">
        <x:v>9</x:v>
      </x:c>
      <x:c r="Q304" s="211" t="n">
        <x:v>0</x:v>
      </x:c>
      <x:c r="R304" s="207" t="str"/>
      <x:c r="S304" s="207" t="str"/>
      <x:c r="T304" s="207" t="str"/>
      <x:c r="U304" s="207" t="n">
        <x:v>0</x:v>
      </x:c>
      <x:c r="V304" s="208" t="n">
        <x:f>MAX(0,M304-U304)</x:f>
        <x:v>181</x:v>
      </x:c>
      <x:c r="W304" s="209" t="n">
        <x:f>IFERROR(U304/M304,0)</x:f>
        <x:v>0</x:v>
      </x:c>
      <x:c r="X304" s="201" t="str">
        <x:f>IF(U304=0,"Não iniciado",IF(U304&gt;=M304,"Concluído","Parcial"))</x:f>
        <x:v>Não iniciado</x:v>
      </x:c>
      <x:c r="Y304" s="199" t="str"/>
      <x:c r="Z304" s="188" t="str">
        <x:v>Normal</x:v>
      </x:c>
    </x:row>
    <x:row r="305" ht="22" customHeight="1">
      <x:c r="A305" s="217" t="n">
        <x:v>301</x:v>
      </x:c>
      <x:c r="B305" s="218" t="str">
        <x:v>26824</x:v>
      </x:c>
      <x:c r="C305" s="218" t="str">
        <x:v>2</x:v>
      </x:c>
      <x:c r="D305" s="218" t="str">
        <x:v>609590</x:v>
      </x:c>
      <x:c r="E305" s="218" t="str">
        <x:v>986505</x:v>
      </x:c>
      <x:c r="F305" s="218" t="str">
        <x:v>ALIZAR</x:v>
      </x:c>
      <x:c r="G305" s="184" t="str">
        <x:v>T A 1100X50X9 RT RL55 PET BCO TXT (STD)</x:v>
      </x:c>
      <x:c r="H305" s="184" t="str"/>
      <x:c r="I305" s="184" t="str"/>
      <x:c r="J305" s="184" t="str"/>
      <x:c r="K305" s="184" t="str">
        <x:v>ESMALTE</x:v>
      </x:c>
      <x:c r="L305" s="184" t="str">
        <x:v>BRANCO</x:v>
      </x:c>
      <x:c r="M305" s="205" t="n">
        <x:v>181</x:v>
      </x:c>
      <x:c r="N305" s="205" t="n">
        <x:v>1100</x:v>
      </x:c>
      <x:c r="O305" s="205" t="n">
        <x:v>50</x:v>
      </x:c>
      <x:c r="P305" s="205" t="n">
        <x:v>9</x:v>
      </x:c>
      <x:c r="Q305" s="206" t="n">
        <x:v>0</x:v>
      </x:c>
      <x:c r="R305" s="207" t="str"/>
      <x:c r="S305" s="207" t="str"/>
      <x:c r="T305" s="207" t="str"/>
      <x:c r="U305" s="207" t="n">
        <x:v>0</x:v>
      </x:c>
      <x:c r="V305" s="208" t="n">
        <x:f>MAX(0,M305-U305)</x:f>
        <x:v>181</x:v>
      </x:c>
      <x:c r="W305" s="209" t="n">
        <x:f>IFERROR(U305/M305,0)</x:f>
        <x:v>0</x:v>
      </x:c>
      <x:c r="X305" s="201" t="str">
        <x:f>IF(U305=0,"Não iniciado",IF(U305&gt;=M305,"Concluído","Parcial"))</x:f>
        <x:v>Não iniciado</x:v>
      </x:c>
      <x:c r="Y305" s="199" t="str"/>
      <x:c r="Z305" s="188" t="str">
        <x:v>Normal</x:v>
      </x:c>
    </x:row>
    <x:row r="306" ht="22" customHeight="1">
      <x:c r="A306" s="219" t="n">
        <x:v>302</x:v>
      </x:c>
      <x:c r="B306" s="220" t="str">
        <x:v>26824</x:v>
      </x:c>
      <x:c r="C306" s="220" t="str">
        <x:v>4</x:v>
      </x:c>
      <x:c r="D306" s="220" t="str">
        <x:v>609605</x:v>
      </x:c>
      <x:c r="E306" s="220" t="str">
        <x:v>985576</x:v>
      </x:c>
      <x:c r="F306" s="220" t="str">
        <x:v>ALIZAR</x:v>
      </x:c>
      <x:c r="G306" s="190" t="str">
        <x:v>T A 1100X50X9 RT RL80 PET BCO TXT (STD)</x:v>
      </x:c>
      <x:c r="H306" s="190" t="str"/>
      <x:c r="I306" s="190" t="str"/>
      <x:c r="J306" s="190" t="str"/>
      <x:c r="K306" s="190" t="str">
        <x:v>ESMALTE</x:v>
      </x:c>
      <x:c r="L306" s="190" t="str">
        <x:v>BRANCO</x:v>
      </x:c>
      <x:c r="M306" s="210" t="n">
        <x:v>42</x:v>
      </x:c>
      <x:c r="N306" s="210" t="n">
        <x:v>1100</x:v>
      </x:c>
      <x:c r="O306" s="210" t="n">
        <x:v>50</x:v>
      </x:c>
      <x:c r="P306" s="210" t="n">
        <x:v>9</x:v>
      </x:c>
      <x:c r="Q306" s="211" t="n">
        <x:v>0</x:v>
      </x:c>
      <x:c r="R306" s="207" t="str"/>
      <x:c r="S306" s="207" t="str"/>
      <x:c r="T306" s="207" t="str"/>
      <x:c r="U306" s="207" t="n">
        <x:v>0</x:v>
      </x:c>
      <x:c r="V306" s="208" t="n">
        <x:f>MAX(0,M306-U306)</x:f>
        <x:v>42</x:v>
      </x:c>
      <x:c r="W306" s="209" t="n">
        <x:f>IFERROR(U306/M306,0)</x:f>
        <x:v>0</x:v>
      </x:c>
      <x:c r="X306" s="201" t="str">
        <x:f>IF(U306=0,"Não iniciado",IF(U306&gt;=M306,"Concluído","Parcial"))</x:f>
        <x:v>Não iniciado</x:v>
      </x:c>
      <x:c r="Y306" s="199" t="str"/>
      <x:c r="Z306" s="188" t="str">
        <x:v>Normal</x:v>
      </x:c>
    </x:row>
    <x:row r="307" ht="22" customHeight="1">
      <x:c r="A307" s="217" t="n">
        <x:v>303</x:v>
      </x:c>
      <x:c r="B307" s="218" t="str">
        <x:v>26824</x:v>
      </x:c>
      <x:c r="C307" s="218" t="str">
        <x:v>4</x:v>
      </x:c>
      <x:c r="D307" s="218" t="str">
        <x:v>609606</x:v>
      </x:c>
      <x:c r="E307" s="218" t="str">
        <x:v>985577</x:v>
      </x:c>
      <x:c r="F307" s="218" t="str">
        <x:v>ALIZAR</x:v>
      </x:c>
      <x:c r="G307" s="184" t="str">
        <x:v>T A 1100X50X9 RTO LME PET BCO TXT (STD)</x:v>
      </x:c>
      <x:c r="H307" s="184" t="str"/>
      <x:c r="I307" s="184" t="str"/>
      <x:c r="J307" s="184" t="str"/>
      <x:c r="K307" s="184" t="str">
        <x:v>ESMALTE</x:v>
      </x:c>
      <x:c r="L307" s="184" t="str">
        <x:v>BRANCO</x:v>
      </x:c>
      <x:c r="M307" s="205" t="n">
        <x:v>42</x:v>
      </x:c>
      <x:c r="N307" s="205" t="n">
        <x:v>1100</x:v>
      </x:c>
      <x:c r="O307" s="205" t="n">
        <x:v>50</x:v>
      </x:c>
      <x:c r="P307" s="205" t="n">
        <x:v>9</x:v>
      </x:c>
      <x:c r="Q307" s="206" t="n">
        <x:v>0</x:v>
      </x:c>
      <x:c r="R307" s="207" t="str"/>
      <x:c r="S307" s="207" t="str"/>
      <x:c r="T307" s="207" t="str"/>
      <x:c r="U307" s="207" t="n">
        <x:v>0</x:v>
      </x:c>
      <x:c r="V307" s="208" t="n">
        <x:f>MAX(0,M307-U307)</x:f>
        <x:v>42</x:v>
      </x:c>
      <x:c r="W307" s="209" t="n">
        <x:f>IFERROR(U307/M307,0)</x:f>
        <x:v>0</x:v>
      </x:c>
      <x:c r="X307" s="201" t="str">
        <x:f>IF(U307=0,"Não iniciado",IF(U307&gt;=M307,"Concluído","Parcial"))</x:f>
        <x:v>Não iniciado</x:v>
      </x:c>
      <x:c r="Y307" s="199" t="str"/>
      <x:c r="Z307" s="188" t="str">
        <x:v>Normal</x:v>
      </x:c>
    </x:row>
    <x:row r="308" ht="22" customHeight="1">
      <x:c r="A308" s="219" t="n">
        <x:v>304</x:v>
      </x:c>
      <x:c r="B308" s="220" t="str">
        <x:v>26824</x:v>
      </x:c>
      <x:c r="C308" s="220" t="str">
        <x:v>5</x:v>
      </x:c>
      <x:c r="D308" s="220" t="str">
        <x:v>609613</x:v>
      </x:c>
      <x:c r="E308" s="220" t="str">
        <x:v>985577</x:v>
      </x:c>
      <x:c r="F308" s="220" t="str">
        <x:v>ALIZAR</x:v>
      </x:c>
      <x:c r="G308" s="190" t="str">
        <x:v>T A 1100X50X9 RTO LME PET BCO TXT (STD)</x:v>
      </x:c>
      <x:c r="H308" s="190" t="str"/>
      <x:c r="I308" s="190" t="str"/>
      <x:c r="J308" s="190" t="str"/>
      <x:c r="K308" s="190" t="str">
        <x:v>ESMALTE</x:v>
      </x:c>
      <x:c r="L308" s="190" t="str">
        <x:v>BRANCO</x:v>
      </x:c>
      <x:c r="M308" s="210" t="n">
        <x:v>21</x:v>
      </x:c>
      <x:c r="N308" s="210" t="n">
        <x:v>1100</x:v>
      </x:c>
      <x:c r="O308" s="210" t="n">
        <x:v>50</x:v>
      </x:c>
      <x:c r="P308" s="210" t="n">
        <x:v>9</x:v>
      </x:c>
      <x:c r="Q308" s="211" t="n">
        <x:v>0</x:v>
      </x:c>
      <x:c r="R308" s="207" t="str"/>
      <x:c r="S308" s="207" t="str"/>
      <x:c r="T308" s="207" t="str"/>
      <x:c r="U308" s="207" t="n">
        <x:v>0</x:v>
      </x:c>
      <x:c r="V308" s="208" t="n">
        <x:f>MAX(0,M308-U308)</x:f>
        <x:v>21</x:v>
      </x:c>
      <x:c r="W308" s="209" t="n">
        <x:f>IFERROR(U308/M308,0)</x:f>
        <x:v>0</x:v>
      </x:c>
      <x:c r="X308" s="201" t="str">
        <x:f>IF(U308=0,"Não iniciado",IF(U308&gt;=M308,"Concluído","Parcial"))</x:f>
        <x:v>Não iniciado</x:v>
      </x:c>
      <x:c r="Y308" s="199" t="str"/>
      <x:c r="Z308" s="188" t="str">
        <x:v>Normal</x:v>
      </x:c>
    </x:row>
    <x:row r="309" ht="22" customHeight="1">
      <x:c r="A309" s="217" t="n">
        <x:v>305</x:v>
      </x:c>
      <x:c r="B309" s="218" t="str">
        <x:v>26824</x:v>
      </x:c>
      <x:c r="C309" s="218" t="str">
        <x:v>5</x:v>
      </x:c>
      <x:c r="D309" s="218" t="str">
        <x:v>609614</x:v>
      </x:c>
      <x:c r="E309" s="218" t="str">
        <x:v>986505</x:v>
      </x:c>
      <x:c r="F309" s="218" t="str">
        <x:v>ALIZAR</x:v>
      </x:c>
      <x:c r="G309" s="184" t="str">
        <x:v>T A 1100X50X9 RT RL55 PET BCO TXT (STD)</x:v>
      </x:c>
      <x:c r="H309" s="184" t="str"/>
      <x:c r="I309" s="184" t="str"/>
      <x:c r="J309" s="184" t="str"/>
      <x:c r="K309" s="184" t="str">
        <x:v>ESMALTE</x:v>
      </x:c>
      <x:c r="L309" s="184" t="str">
        <x:v>BRANCO</x:v>
      </x:c>
      <x:c r="M309" s="205" t="n">
        <x:v>21</x:v>
      </x:c>
      <x:c r="N309" s="205" t="n">
        <x:v>1100</x:v>
      </x:c>
      <x:c r="O309" s="205" t="n">
        <x:v>50</x:v>
      </x:c>
      <x:c r="P309" s="205" t="n">
        <x:v>9</x:v>
      </x:c>
      <x:c r="Q309" s="206" t="n">
        <x:v>0</x:v>
      </x:c>
      <x:c r="R309" s="207" t="str"/>
      <x:c r="S309" s="207" t="str"/>
      <x:c r="T309" s="207" t="str"/>
      <x:c r="U309" s="207" t="n">
        <x:v>0</x:v>
      </x:c>
      <x:c r="V309" s="208" t="n">
        <x:f>MAX(0,M309-U309)</x:f>
        <x:v>21</x:v>
      </x:c>
      <x:c r="W309" s="209" t="n">
        <x:f>IFERROR(U309/M309,0)</x:f>
        <x:v>0</x:v>
      </x:c>
      <x:c r="X309" s="201" t="str">
        <x:f>IF(U309=0,"Não iniciado",IF(U309&gt;=M309,"Concluído","Parcial"))</x:f>
        <x:v>Não iniciado</x:v>
      </x:c>
      <x:c r="Y309" s="199" t="str"/>
      <x:c r="Z309" s="188" t="str">
        <x:v>Normal</x:v>
      </x:c>
    </x:row>
    <x:row r="310" ht="22" customHeight="1">
      <x:c r="A310" s="219" t="n">
        <x:v>306</x:v>
      </x:c>
      <x:c r="B310" s="220" t="str">
        <x:v>26824</x:v>
      </x:c>
      <x:c r="C310" s="220" t="str">
        <x:v>6</x:v>
      </x:c>
      <x:c r="D310" s="220" t="str">
        <x:v>609621</x:v>
      </x:c>
      <x:c r="E310" s="220" t="str">
        <x:v>985576</x:v>
      </x:c>
      <x:c r="F310" s="220" t="str">
        <x:v>ALIZAR</x:v>
      </x:c>
      <x:c r="G310" s="190" t="str">
        <x:v>T A 1100X50X9 RT RL80 PET BCO TXT (STD)</x:v>
      </x:c>
      <x:c r="H310" s="190" t="str"/>
      <x:c r="I310" s="190" t="str"/>
      <x:c r="J310" s="190" t="str"/>
      <x:c r="K310" s="190" t="str">
        <x:v>ESMALTE</x:v>
      </x:c>
      <x:c r="L310" s="190" t="str">
        <x:v>BRANCO</x:v>
      </x:c>
      <x:c r="M310" s="210" t="n">
        <x:v>2</x:v>
      </x:c>
      <x:c r="N310" s="210" t="n">
        <x:v>1100</x:v>
      </x:c>
      <x:c r="O310" s="210" t="n">
        <x:v>50</x:v>
      </x:c>
      <x:c r="P310" s="210" t="n">
        <x:v>9</x:v>
      </x:c>
      <x:c r="Q310" s="211" t="n">
        <x:v>0</x:v>
      </x:c>
      <x:c r="R310" s="207" t="str"/>
      <x:c r="S310" s="207" t="str"/>
      <x:c r="T310" s="207" t="str"/>
      <x:c r="U310" s="207" t="n">
        <x:v>0</x:v>
      </x:c>
      <x:c r="V310" s="208" t="n">
        <x:f>MAX(0,M310-U310)</x:f>
        <x:v>2</x:v>
      </x:c>
      <x:c r="W310" s="209" t="n">
        <x:f>IFERROR(U310/M310,0)</x:f>
        <x:v>0</x:v>
      </x:c>
      <x:c r="X310" s="201" t="str">
        <x:f>IF(U310=0,"Não iniciado",IF(U310&gt;=M310,"Concluído","Parcial"))</x:f>
        <x:v>Não iniciado</x:v>
      </x:c>
      <x:c r="Y310" s="199" t="str"/>
      <x:c r="Z310" s="188" t="str">
        <x:v>Normal</x:v>
      </x:c>
    </x:row>
    <x:row r="311" ht="22" customHeight="1">
      <x:c r="A311" s="217" t="n">
        <x:v>307</x:v>
      </x:c>
      <x:c r="B311" s="218" t="str">
        <x:v>26824</x:v>
      </x:c>
      <x:c r="C311" s="218" t="str">
        <x:v>6</x:v>
      </x:c>
      <x:c r="D311" s="218" t="str">
        <x:v>609622</x:v>
      </x:c>
      <x:c r="E311" s="218" t="str">
        <x:v>985577</x:v>
      </x:c>
      <x:c r="F311" s="218" t="str">
        <x:v>ALIZAR</x:v>
      </x:c>
      <x:c r="G311" s="184" t="str">
        <x:v>T A 1100X50X9 RTO LME PET BCO TXT (STD)</x:v>
      </x:c>
      <x:c r="H311" s="184" t="str"/>
      <x:c r="I311" s="184" t="str"/>
      <x:c r="J311" s="184" t="str"/>
      <x:c r="K311" s="184" t="str">
        <x:v>ESMALTE</x:v>
      </x:c>
      <x:c r="L311" s="184" t="str">
        <x:v>BRANCO</x:v>
      </x:c>
      <x:c r="M311" s="205" t="n">
        <x:v>2</x:v>
      </x:c>
      <x:c r="N311" s="205" t="n">
        <x:v>1100</x:v>
      </x:c>
      <x:c r="O311" s="205" t="n">
        <x:v>50</x:v>
      </x:c>
      <x:c r="P311" s="205" t="n">
        <x:v>9</x:v>
      </x:c>
      <x:c r="Q311" s="206" t="n">
        <x:v>0</x:v>
      </x:c>
      <x:c r="R311" s="207" t="str"/>
      <x:c r="S311" s="207" t="str"/>
      <x:c r="T311" s="207" t="str"/>
      <x:c r="U311" s="207" t="n">
        <x:v>0</x:v>
      </x:c>
      <x:c r="V311" s="208" t="n">
        <x:f>MAX(0,M311-U311)</x:f>
        <x:v>2</x:v>
      </x:c>
      <x:c r="W311" s="209" t="n">
        <x:f>IFERROR(U311/M311,0)</x:f>
        <x:v>0</x:v>
      </x:c>
      <x:c r="X311" s="201" t="str">
        <x:f>IF(U311=0,"Não iniciado",IF(U311&gt;=M311,"Concluído","Parcial"))</x:f>
        <x:v>Não iniciado</x:v>
      </x:c>
      <x:c r="Y311" s="199" t="str"/>
      <x:c r="Z311" s="188" t="str">
        <x:v>Normal</x:v>
      </x:c>
    </x:row>
    <x:row r="312" ht="22" customHeight="1">
      <x:c r="A312" s="219" t="n">
        <x:v>308</x:v>
      </x:c>
      <x:c r="B312" s="220" t="str">
        <x:v>26826</x:v>
      </x:c>
      <x:c r="C312" s="220" t="str">
        <x:v>6</x:v>
      </x:c>
      <x:c r="D312" s="220" t="str">
        <x:v>609074</x:v>
      </x:c>
      <x:c r="E312" s="220" t="str">
        <x:v>985577</x:v>
      </x:c>
      <x:c r="F312" s="220" t="str">
        <x:v>ALIZAR</x:v>
      </x:c>
      <x:c r="G312" s="190" t="str">
        <x:v>T A 1100X50X9 RTO LME PET BCO TXT (STD)</x:v>
      </x:c>
      <x:c r="H312" s="190" t="str">
        <x:v>REG 2L(MAIOR 55MM)</x:v>
      </x:c>
      <x:c r="I312" s="190" t="str"/>
      <x:c r="J312" s="190" t="str"/>
      <x:c r="K312" s="190" t="str">
        <x:v>RECOBERTO PET TXT</x:v>
      </x:c>
      <x:c r="L312" s="190" t="str">
        <x:v>BRANCO</x:v>
      </x:c>
      <x:c r="M312" s="210" t="n">
        <x:v>115</x:v>
      </x:c>
      <x:c r="N312" s="210" t="n">
        <x:v>1100</x:v>
      </x:c>
      <x:c r="O312" s="210" t="n">
        <x:v>50</x:v>
      </x:c>
      <x:c r="P312" s="210" t="n">
        <x:v>9</x:v>
      </x:c>
      <x:c r="Q312" s="211" t="n">
        <x:v>0</x:v>
      </x:c>
      <x:c r="R312" s="207" t="str"/>
      <x:c r="S312" s="207" t="str"/>
      <x:c r="T312" s="207" t="str"/>
      <x:c r="U312" s="207" t="n">
        <x:v>0</x:v>
      </x:c>
      <x:c r="V312" s="208" t="n">
        <x:f>MAX(0,M312-U312)</x:f>
        <x:v>115</x:v>
      </x:c>
      <x:c r="W312" s="209" t="n">
        <x:f>IFERROR(U312/M312,0)</x:f>
        <x:v>0</x:v>
      </x:c>
      <x:c r="X312" s="201" t="str">
        <x:f>IF(U312=0,"Não iniciado",IF(U312&gt;=M312,"Concluído","Parcial"))</x:f>
        <x:v>Não iniciado</x:v>
      </x:c>
      <x:c r="Y312" s="199" t="str"/>
      <x:c r="Z312" s="188" t="str">
        <x:v>Normal</x:v>
      </x:c>
    </x:row>
    <x:row r="313" ht="22" customHeight="1">
      <x:c r="A313" s="217" t="n">
        <x:v>309</x:v>
      </x:c>
      <x:c r="B313" s="218" t="str">
        <x:v>26826</x:v>
      </x:c>
      <x:c r="C313" s="218" t="str">
        <x:v>6</x:v>
      </x:c>
      <x:c r="D313" s="218" t="str">
        <x:v>609075</x:v>
      </x:c>
      <x:c r="E313" s="218" t="str">
        <x:v>986505</x:v>
      </x:c>
      <x:c r="F313" s="218" t="str">
        <x:v>ALIZAR</x:v>
      </x:c>
      <x:c r="G313" s="184" t="str">
        <x:v>T A 1100X50X9 RT RL55 PET BCO TXT (STD)</x:v>
      </x:c>
      <x:c r="H313" s="184" t="str">
        <x:v>REG 2L(MAIOR 55MM)</x:v>
      </x:c>
      <x:c r="I313" s="184" t="str"/>
      <x:c r="J313" s="184" t="str"/>
      <x:c r="K313" s="184" t="str">
        <x:v>RECOBERTO PET TXT</x:v>
      </x:c>
      <x:c r="L313" s="184" t="str">
        <x:v>BRANCO</x:v>
      </x:c>
      <x:c r="M313" s="205" t="n">
        <x:v>115</x:v>
      </x:c>
      <x:c r="N313" s="205" t="n">
        <x:v>1100</x:v>
      </x:c>
      <x:c r="O313" s="205" t="n">
        <x:v>50</x:v>
      </x:c>
      <x:c r="P313" s="205" t="n">
        <x:v>9</x:v>
      </x:c>
      <x:c r="Q313" s="206" t="n">
        <x:v>0</x:v>
      </x:c>
      <x:c r="R313" s="207" t="str"/>
      <x:c r="S313" s="207" t="str"/>
      <x:c r="T313" s="207" t="str"/>
      <x:c r="U313" s="207" t="n">
        <x:v>0</x:v>
      </x:c>
      <x:c r="V313" s="208" t="n">
        <x:f>MAX(0,M313-U313)</x:f>
        <x:v>115</x:v>
      </x:c>
      <x:c r="W313" s="209" t="n">
        <x:f>IFERROR(U313/M313,0)</x:f>
        <x:v>0</x:v>
      </x:c>
      <x:c r="X313" s="201" t="str">
        <x:f>IF(U313=0,"Não iniciado",IF(U313&gt;=M313,"Concluído","Parcial"))</x:f>
        <x:v>Não iniciado</x:v>
      </x:c>
      <x:c r="Y313" s="199" t="str"/>
      <x:c r="Z313" s="188" t="str">
        <x:v>Normal</x:v>
      </x:c>
    </x:row>
    <x:row r="314" ht="22" customHeight="1">
      <x:c r="A314" s="219" t="n">
        <x:v>310</x:v>
      </x:c>
      <x:c r="B314" s="220" t="str">
        <x:v>26796</x:v>
      </x:c>
      <x:c r="C314" s="220" t="str">
        <x:v>1</x:v>
      </x:c>
      <x:c r="D314" s="220" t="str">
        <x:v>609285</x:v>
      </x:c>
      <x:c r="E314" s="220" t="str">
        <x:v>985577</x:v>
      </x:c>
      <x:c r="F314" s="220" t="str">
        <x:v>ALIZAR</x:v>
      </x:c>
      <x:c r="G314" s="190" t="str">
        <x:v>T A 1100X50X9 RTO LME PET BCO TXT (STD)</x:v>
      </x:c>
      <x:c r="H314" s="190" t="str"/>
      <x:c r="I314" s="190" t="str"/>
      <x:c r="J314" s="190" t="str"/>
      <x:c r="K314" s="190" t="str">
        <x:v>ESMALTE</x:v>
      </x:c>
      <x:c r="L314" s="190" t="str">
        <x:v>BRANCO CARRARA</x:v>
      </x:c>
      <x:c r="M314" s="210" t="n">
        <x:v>216</x:v>
      </x:c>
      <x:c r="N314" s="210" t="n">
        <x:v>1100</x:v>
      </x:c>
      <x:c r="O314" s="210" t="n">
        <x:v>50</x:v>
      </x:c>
      <x:c r="P314" s="210" t="n">
        <x:v>9</x:v>
      </x:c>
      <x:c r="Q314" s="211" t="n">
        <x:v>0</x:v>
      </x:c>
      <x:c r="R314" s="207" t="str"/>
      <x:c r="S314" s="207" t="str"/>
      <x:c r="T314" s="207" t="str"/>
      <x:c r="U314" s="207" t="n">
        <x:v>0</x:v>
      </x:c>
      <x:c r="V314" s="208" t="n">
        <x:f>MAX(0,M314-U314)</x:f>
        <x:v>216</x:v>
      </x:c>
      <x:c r="W314" s="209" t="n">
        <x:f>IFERROR(U314/M314,0)</x:f>
        <x:v>0</x:v>
      </x:c>
      <x:c r="X314" s="201" t="str">
        <x:f>IF(U314=0,"Não iniciado",IF(U314&gt;=M314,"Concluído","Parcial"))</x:f>
        <x:v>Não iniciado</x:v>
      </x:c>
      <x:c r="Y314" s="199" t="str"/>
      <x:c r="Z314" s="188" t="str">
        <x:v>Normal</x:v>
      </x:c>
    </x:row>
    <x:row r="315" ht="22" customHeight="1">
      <x:c r="A315" s="217" t="n">
        <x:v>311</x:v>
      </x:c>
      <x:c r="B315" s="218" t="str">
        <x:v>26796</x:v>
      </x:c>
      <x:c r="C315" s="218" t="str">
        <x:v>3</x:v>
      </x:c>
      <x:c r="D315" s="218" t="str">
        <x:v>609301</x:v>
      </x:c>
      <x:c r="E315" s="218" t="str">
        <x:v>985577</x:v>
      </x:c>
      <x:c r="F315" s="218" t="str">
        <x:v>ALIZAR</x:v>
      </x:c>
      <x:c r="G315" s="184" t="str">
        <x:v>T A 1100X50X9 RTO LME PET BCO TXT (STD)</x:v>
      </x:c>
      <x:c r="H315" s="184" t="str"/>
      <x:c r="I315" s="184" t="str"/>
      <x:c r="J315" s="184" t="str"/>
      <x:c r="K315" s="184" t="str">
        <x:v>ESMALTE</x:v>
      </x:c>
      <x:c r="L315" s="184" t="str">
        <x:v>BRANCO CARRARA</x:v>
      </x:c>
      <x:c r="M315" s="205" t="n">
        <x:v>192</x:v>
      </x:c>
      <x:c r="N315" s="205" t="n">
        <x:v>1100</x:v>
      </x:c>
      <x:c r="O315" s="205" t="n">
        <x:v>50</x:v>
      </x:c>
      <x:c r="P315" s="205" t="n">
        <x:v>9</x:v>
      </x:c>
      <x:c r="Q315" s="206" t="n">
        <x:v>0</x:v>
      </x:c>
      <x:c r="R315" s="207" t="str"/>
      <x:c r="S315" s="207" t="str"/>
      <x:c r="T315" s="207" t="str"/>
      <x:c r="U315" s="207" t="n">
        <x:v>0</x:v>
      </x:c>
      <x:c r="V315" s="208" t="n">
        <x:f>MAX(0,M315-U315)</x:f>
        <x:v>192</x:v>
      </x:c>
      <x:c r="W315" s="209" t="n">
        <x:f>IFERROR(U315/M315,0)</x:f>
        <x:v>0</x:v>
      </x:c>
      <x:c r="X315" s="201" t="str">
        <x:f>IF(U315=0,"Não iniciado",IF(U315&gt;=M315,"Concluído","Parcial"))</x:f>
        <x:v>Não iniciado</x:v>
      </x:c>
      <x:c r="Y315" s="199" t="str"/>
      <x:c r="Z315" s="188" t="str">
        <x:v>Normal</x:v>
      </x:c>
    </x:row>
    <x:row r="316" ht="22" customHeight="1">
      <x:c r="A316" s="219" t="n">
        <x:v>312</x:v>
      </x:c>
      <x:c r="B316" s="220" t="str">
        <x:v>26799</x:v>
      </x:c>
      <x:c r="C316" s="220" t="str">
        <x:v>1</x:v>
      </x:c>
      <x:c r="D316" s="220" t="str">
        <x:v>609390</x:v>
      </x:c>
      <x:c r="E316" s="220" t="str">
        <x:v>985577</x:v>
      </x:c>
      <x:c r="F316" s="220" t="str">
        <x:v>ALIZAR</x:v>
      </x:c>
      <x:c r="G316" s="190" t="str">
        <x:v>T A 1100X50X9 RTO LME PET BCO TXT (STD)</x:v>
      </x:c>
      <x:c r="H316" s="190" t="str"/>
      <x:c r="I316" s="190" t="str"/>
      <x:c r="J316" s="190" t="str"/>
      <x:c r="K316" s="190" t="str">
        <x:v>ESMALTE</x:v>
      </x:c>
      <x:c r="L316" s="190" t="str">
        <x:v>BRANCO CARRARA</x:v>
      </x:c>
      <x:c r="M316" s="210" t="n">
        <x:v>72</x:v>
      </x:c>
      <x:c r="N316" s="210" t="n">
        <x:v>1100</x:v>
      </x:c>
      <x:c r="O316" s="210" t="n">
        <x:v>50</x:v>
      </x:c>
      <x:c r="P316" s="210" t="n">
        <x:v>9</x:v>
      </x:c>
      <x:c r="Q316" s="211" t="n">
        <x:v>0</x:v>
      </x:c>
      <x:c r="R316" s="207" t="str"/>
      <x:c r="S316" s="207" t="str"/>
      <x:c r="T316" s="207" t="str"/>
      <x:c r="U316" s="207" t="n">
        <x:v>0</x:v>
      </x:c>
      <x:c r="V316" s="208" t="n">
        <x:f>MAX(0,M316-U316)</x:f>
        <x:v>72</x:v>
      </x:c>
      <x:c r="W316" s="209" t="n">
        <x:f>IFERROR(U316/M316,0)</x:f>
        <x:v>0</x:v>
      </x:c>
      <x:c r="X316" s="201" t="str">
        <x:f>IF(U316=0,"Não iniciado",IF(U316&gt;=M316,"Concluído","Parcial"))</x:f>
        <x:v>Não iniciado</x:v>
      </x:c>
      <x:c r="Y316" s="199" t="str"/>
      <x:c r="Z316" s="188" t="str">
        <x:v>Normal</x:v>
      </x:c>
    </x:row>
    <x:row r="317" ht="22" customHeight="1">
      <x:c r="A317" s="217" t="n">
        <x:v>313</x:v>
      </x:c>
      <x:c r="B317" s="218" t="str">
        <x:v>26799</x:v>
      </x:c>
      <x:c r="C317" s="218" t="str">
        <x:v>3</x:v>
      </x:c>
      <x:c r="D317" s="218" t="str">
        <x:v>609406</x:v>
      </x:c>
      <x:c r="E317" s="218" t="str">
        <x:v>985577</x:v>
      </x:c>
      <x:c r="F317" s="218" t="str">
        <x:v>ALIZAR</x:v>
      </x:c>
      <x:c r="G317" s="184" t="str">
        <x:v>T A 1100X50X9 RTO LME PET BCO TXT (STD)</x:v>
      </x:c>
      <x:c r="H317" s="184" t="str"/>
      <x:c r="I317" s="184" t="str"/>
      <x:c r="J317" s="184" t="str"/>
      <x:c r="K317" s="184" t="str">
        <x:v>ESMALTE</x:v>
      </x:c>
      <x:c r="L317" s="184" t="str">
        <x:v>BRANCO CARRARA</x:v>
      </x:c>
      <x:c r="M317" s="205" t="n">
        <x:v>64</x:v>
      </x:c>
      <x:c r="N317" s="205" t="n">
        <x:v>1100</x:v>
      </x:c>
      <x:c r="O317" s="205" t="n">
        <x:v>50</x:v>
      </x:c>
      <x:c r="P317" s="205" t="n">
        <x:v>9</x:v>
      </x:c>
      <x:c r="Q317" s="206" t="n">
        <x:v>0</x:v>
      </x:c>
      <x:c r="R317" s="207" t="str"/>
      <x:c r="S317" s="207" t="str"/>
      <x:c r="T317" s="207" t="str"/>
      <x:c r="U317" s="207" t="n">
        <x:v>0</x:v>
      </x:c>
      <x:c r="V317" s="208" t="n">
        <x:f>MAX(0,M317-U317)</x:f>
        <x:v>64</x:v>
      </x:c>
      <x:c r="W317" s="209" t="n">
        <x:f>IFERROR(U317/M317,0)</x:f>
        <x:v>0</x:v>
      </x:c>
      <x:c r="X317" s="201" t="str">
        <x:f>IF(U317=0,"Não iniciado",IF(U317&gt;=M317,"Concluído","Parcial"))</x:f>
        <x:v>Não iniciado</x:v>
      </x:c>
      <x:c r="Y317" s="199" t="str"/>
      <x:c r="Z317" s="188" t="str">
        <x:v>Normal</x:v>
      </x:c>
    </x:row>
    <x:row r="318" ht="22" customHeight="1">
      <x:c r="A318" s="219" t="n">
        <x:v>314</x:v>
      </x:c>
      <x:c r="B318" s="220" t="str">
        <x:v>26824</x:v>
      </x:c>
      <x:c r="C318" s="220" t="str">
        <x:v>1</x:v>
      </x:c>
      <x:c r="D318" s="220" t="str">
        <x:v>609581</x:v>
      </x:c>
      <x:c r="E318" s="220" t="str">
        <x:v>985577</x:v>
      </x:c>
      <x:c r="F318" s="220" t="str">
        <x:v>ALIZAR</x:v>
      </x:c>
      <x:c r="G318" s="190" t="str">
        <x:v>T A 1100X50X9 RTO LME PET BCO TXT (STD)</x:v>
      </x:c>
      <x:c r="H318" s="190" t="str"/>
      <x:c r="I318" s="190" t="str"/>
      <x:c r="J318" s="190" t="str"/>
      <x:c r="K318" s="190" t="str">
        <x:v>ESMALTE</x:v>
      </x:c>
      <x:c r="L318" s="190" t="str">
        <x:v>BRANCO CARRARA</x:v>
      </x:c>
      <x:c r="M318" s="210" t="n">
        <x:v>123</x:v>
      </x:c>
      <x:c r="N318" s="210" t="n">
        <x:v>1100</x:v>
      </x:c>
      <x:c r="O318" s="210" t="n">
        <x:v>50</x:v>
      </x:c>
      <x:c r="P318" s="210" t="n">
        <x:v>9</x:v>
      </x:c>
      <x:c r="Q318" s="211" t="n">
        <x:v>0</x:v>
      </x:c>
      <x:c r="R318" s="207" t="str"/>
      <x:c r="S318" s="207" t="str"/>
      <x:c r="T318" s="207" t="str"/>
      <x:c r="U318" s="207" t="n">
        <x:v>0</x:v>
      </x:c>
      <x:c r="V318" s="208" t="n">
        <x:f>MAX(0,M318-U318)</x:f>
        <x:v>123</x:v>
      </x:c>
      <x:c r="W318" s="209" t="n">
        <x:f>IFERROR(U318/M318,0)</x:f>
        <x:v>0</x:v>
      </x:c>
      <x:c r="X318" s="201" t="str">
        <x:f>IF(U318=0,"Não iniciado",IF(U318&gt;=M318,"Concluído","Parcial"))</x:f>
        <x:v>Não iniciado</x:v>
      </x:c>
      <x:c r="Y318" s="199" t="str"/>
      <x:c r="Z318" s="188" t="str">
        <x:v>Normal</x:v>
      </x:c>
    </x:row>
    <x:row r="319" ht="22" customHeight="1">
      <x:c r="A319" s="217" t="n">
        <x:v>315</x:v>
      </x:c>
      <x:c r="B319" s="218" t="str">
        <x:v>26824</x:v>
      </x:c>
      <x:c r="C319" s="218" t="str">
        <x:v>1</x:v>
      </x:c>
      <x:c r="D319" s="218" t="str">
        <x:v>609582</x:v>
      </x:c>
      <x:c r="E319" s="218" t="str">
        <x:v>986505</x:v>
      </x:c>
      <x:c r="F319" s="218" t="str">
        <x:v>ALIZAR</x:v>
      </x:c>
      <x:c r="G319" s="184" t="str">
        <x:v>T A 1100X50X9 RT RL55 PET BCO TXT (STD)</x:v>
      </x:c>
      <x:c r="H319" s="184" t="str"/>
      <x:c r="I319" s="184" t="str"/>
      <x:c r="J319" s="184" t="str"/>
      <x:c r="K319" s="184" t="str">
        <x:v>ESMALTE</x:v>
      </x:c>
      <x:c r="L319" s="184" t="str">
        <x:v>BRANCO CARRARA</x:v>
      </x:c>
      <x:c r="M319" s="205" t="n">
        <x:v>123</x:v>
      </x:c>
      <x:c r="N319" s="205" t="n">
        <x:v>1100</x:v>
      </x:c>
      <x:c r="O319" s="205" t="n">
        <x:v>50</x:v>
      </x:c>
      <x:c r="P319" s="205" t="n">
        <x:v>9</x:v>
      </x:c>
      <x:c r="Q319" s="206" t="n">
        <x:v>0</x:v>
      </x:c>
      <x:c r="R319" s="207" t="str"/>
      <x:c r="S319" s="207" t="str"/>
      <x:c r="T319" s="207" t="str"/>
      <x:c r="U319" s="207" t="n">
        <x:v>0</x:v>
      </x:c>
      <x:c r="V319" s="208" t="n">
        <x:f>MAX(0,M319-U319)</x:f>
        <x:v>123</x:v>
      </x:c>
      <x:c r="W319" s="209" t="n">
        <x:f>IFERROR(U319/M319,0)</x:f>
        <x:v>0</x:v>
      </x:c>
      <x:c r="X319" s="201" t="str">
        <x:f>IF(U319=0,"Não iniciado",IF(U319&gt;=M319,"Concluído","Parcial"))</x:f>
        <x:v>Não iniciado</x:v>
      </x:c>
      <x:c r="Y319" s="199" t="str"/>
      <x:c r="Z319" s="188" t="str">
        <x:v>Normal</x:v>
      </x:c>
    </x:row>
    <x:row r="320" ht="22" customHeight="1">
      <x:c r="A320" s="219" t="n">
        <x:v>316</x:v>
      </x:c>
      <x:c r="B320" s="220" t="str">
        <x:v>26824</x:v>
      </x:c>
      <x:c r="C320" s="220" t="str">
        <x:v>3</x:v>
      </x:c>
      <x:c r="D320" s="220" t="str">
        <x:v>609597</x:v>
      </x:c>
      <x:c r="E320" s="220" t="str">
        <x:v>985576</x:v>
      </x:c>
      <x:c r="F320" s="220" t="str">
        <x:v>ALIZAR</x:v>
      </x:c>
      <x:c r="G320" s="190" t="str">
        <x:v>T A 1100X50X9 RT RL80 PET BCO TXT (STD)</x:v>
      </x:c>
      <x:c r="H320" s="190" t="str"/>
      <x:c r="I320" s="190" t="str"/>
      <x:c r="J320" s="190" t="str"/>
      <x:c r="K320" s="190" t="str">
        <x:v>ESMALTE</x:v>
      </x:c>
      <x:c r="L320" s="190" t="str">
        <x:v>BRANCO CARRARA</x:v>
      </x:c>
      <x:c r="M320" s="210" t="n">
        <x:v>5</x:v>
      </x:c>
      <x:c r="N320" s="210" t="n">
        <x:v>1100</x:v>
      </x:c>
      <x:c r="O320" s="210" t="n">
        <x:v>50</x:v>
      </x:c>
      <x:c r="P320" s="210" t="n">
        <x:v>9</x:v>
      </x:c>
      <x:c r="Q320" s="211" t="n">
        <x:v>0</x:v>
      </x:c>
      <x:c r="R320" s="207" t="str"/>
      <x:c r="S320" s="207" t="str"/>
      <x:c r="T320" s="207" t="str"/>
      <x:c r="U320" s="207" t="n">
        <x:v>0</x:v>
      </x:c>
      <x:c r="V320" s="208" t="n">
        <x:f>MAX(0,M320-U320)</x:f>
        <x:v>5</x:v>
      </x:c>
      <x:c r="W320" s="209" t="n">
        <x:f>IFERROR(U320/M320,0)</x:f>
        <x:v>0</x:v>
      </x:c>
      <x:c r="X320" s="201" t="str">
        <x:f>IF(U320=0,"Não iniciado",IF(U320&gt;=M320,"Concluído","Parcial"))</x:f>
        <x:v>Não iniciado</x:v>
      </x:c>
      <x:c r="Y320" s="199" t="str"/>
      <x:c r="Z320" s="188" t="str">
        <x:v>Normal</x:v>
      </x:c>
    </x:row>
    <x:row r="321" ht="22" customHeight="1">
      <x:c r="A321" s="217" t="n">
        <x:v>317</x:v>
      </x:c>
      <x:c r="B321" s="218" t="str">
        <x:v>26824</x:v>
      </x:c>
      <x:c r="C321" s="218" t="str">
        <x:v>3</x:v>
      </x:c>
      <x:c r="D321" s="218" t="str">
        <x:v>609598</x:v>
      </x:c>
      <x:c r="E321" s="218" t="str">
        <x:v>985577</x:v>
      </x:c>
      <x:c r="F321" s="218" t="str">
        <x:v>ALIZAR</x:v>
      </x:c>
      <x:c r="G321" s="184" t="str">
        <x:v>T A 1100X50X9 RTO LME PET BCO TXT (STD)</x:v>
      </x:c>
      <x:c r="H321" s="184" t="str"/>
      <x:c r="I321" s="184" t="str"/>
      <x:c r="J321" s="184" t="str"/>
      <x:c r="K321" s="184" t="str">
        <x:v>ESMALTE</x:v>
      </x:c>
      <x:c r="L321" s="184" t="str">
        <x:v>BRANCO CARRARA</x:v>
      </x:c>
      <x:c r="M321" s="205" t="n">
        <x:v>5</x:v>
      </x:c>
      <x:c r="N321" s="205" t="n">
        <x:v>1100</x:v>
      </x:c>
      <x:c r="O321" s="205" t="n">
        <x:v>50</x:v>
      </x:c>
      <x:c r="P321" s="205" t="n">
        <x:v>9</x:v>
      </x:c>
      <x:c r="Q321" s="206" t="n">
        <x:v>0</x:v>
      </x:c>
      <x:c r="R321" s="207" t="str"/>
      <x:c r="S321" s="207" t="str"/>
      <x:c r="T321" s="207" t="str"/>
      <x:c r="U321" s="207" t="n">
        <x:v>0</x:v>
      </x:c>
      <x:c r="V321" s="208" t="n">
        <x:f>MAX(0,M321-U321)</x:f>
        <x:v>5</x:v>
      </x:c>
      <x:c r="W321" s="209" t="n">
        <x:f>IFERROR(U321/M321,0)</x:f>
        <x:v>0</x:v>
      </x:c>
      <x:c r="X321" s="201" t="str">
        <x:f>IF(U321=0,"Não iniciado",IF(U321&gt;=M321,"Concluído","Parcial"))</x:f>
        <x:v>Não iniciado</x:v>
      </x:c>
      <x:c r="Y321" s="199" t="str"/>
      <x:c r="Z321" s="188" t="str">
        <x:v>Normal</x:v>
      </x:c>
    </x:row>
    <x:row r="322" ht="22" customHeight="1">
      <x:c r="A322" s="219" t="n">
        <x:v>318</x:v>
      </x:c>
      <x:c r="B322" s="220" t="str">
        <x:v>26739</x:v>
      </x:c>
      <x:c r="C322" s="220" t="str">
        <x:v>8</x:v>
      </x:c>
      <x:c r="D322" s="220" t="str">
        <x:v>609639</x:v>
      </x:c>
      <x:c r="E322" s="220" t="str">
        <x:v>919640</x:v>
      </x:c>
      <x:c r="F322" s="220" t="str">
        <x:v>OUTROS</x:v>
      </x:c>
      <x:c r="G322" s="190" t="str">
        <x:v>TR AL 1100X50X9 RTO LME REC PET BCO (ULT</x:v>
      </x:c>
      <x:c r="H322" s="190" t="str"/>
      <x:c r="I322" s="190" t="str"/>
      <x:c r="J322" s="190" t="str"/>
      <x:c r="K322" s="190" t="str">
        <x:v>ESMALTE</x:v>
      </x:c>
      <x:c r="L322" s="190" t="str">
        <x:v>BRANCO CARRARA</x:v>
      </x:c>
      <x:c r="M322" s="210" t="n">
        <x:v>18</x:v>
      </x:c>
      <x:c r="N322" s="210" t="n">
        <x:v>1100</x:v>
      </x:c>
      <x:c r="O322" s="210" t="n">
        <x:v>50</x:v>
      </x:c>
      <x:c r="P322" s="210" t="n">
        <x:v>9</x:v>
      </x:c>
      <x:c r="Q322" s="211" t="n">
        <x:v>0</x:v>
      </x:c>
      <x:c r="R322" s="207" t="str"/>
      <x:c r="S322" s="207" t="str"/>
      <x:c r="T322" s="207" t="str"/>
      <x:c r="U322" s="207" t="n">
        <x:v>0</x:v>
      </x:c>
      <x:c r="V322" s="208" t="n">
        <x:f>MAX(0,M322-U322)</x:f>
        <x:v>18</x:v>
      </x:c>
      <x:c r="W322" s="209" t="n">
        <x:f>IFERROR(U322/M322,0)</x:f>
        <x:v>0</x:v>
      </x:c>
      <x:c r="X322" s="201" t="str">
        <x:f>IF(U322=0,"Não iniciado",IF(U322&gt;=M322,"Concluído","Parcial"))</x:f>
        <x:v>Não iniciado</x:v>
      </x:c>
      <x:c r="Y322" s="199" t="str"/>
      <x:c r="Z322" s="188" t="str">
        <x:v>Normal</x:v>
      </x:c>
    </x:row>
    <x:row r="323" ht="22" customHeight="1">
      <x:c r="A323" s="217" t="n">
        <x:v>319</x:v>
      </x:c>
      <x:c r="B323" s="218" t="str">
        <x:v>26739</x:v>
      </x:c>
      <x:c r="C323" s="218" t="str">
        <x:v>8</x:v>
      </x:c>
      <x:c r="D323" s="218" t="str">
        <x:v>609641</x:v>
      </x:c>
      <x:c r="E323" s="218" t="str">
        <x:v>966149</x:v>
      </x:c>
      <x:c r="F323" s="218" t="str">
        <x:v>OUTROS</x:v>
      </x:c>
      <x:c r="G323" s="184" t="str">
        <x:v>TR AL 1100X50X9 RTO RL80 REC PET BCO (UL</x:v>
      </x:c>
      <x:c r="H323" s="184" t="str"/>
      <x:c r="I323" s="184" t="str"/>
      <x:c r="J323" s="184" t="str"/>
      <x:c r="K323" s="184" t="str">
        <x:v>ESMALTE</x:v>
      </x:c>
      <x:c r="L323" s="184" t="str">
        <x:v>BRANCO CARRARA</x:v>
      </x:c>
      <x:c r="M323" s="205" t="n">
        <x:v>18</x:v>
      </x:c>
      <x:c r="N323" s="205" t="n">
        <x:v>1100</x:v>
      </x:c>
      <x:c r="O323" s="205" t="n">
        <x:v>50</x:v>
      </x:c>
      <x:c r="P323" s="205" t="n">
        <x:v>9</x:v>
      </x:c>
      <x:c r="Q323" s="206" t="n">
        <x:v>0</x:v>
      </x:c>
      <x:c r="R323" s="207" t="str"/>
      <x:c r="S323" s="207" t="str"/>
      <x:c r="T323" s="207" t="str"/>
      <x:c r="U323" s="207" t="n">
        <x:v>0</x:v>
      </x:c>
      <x:c r="V323" s="208" t="n">
        <x:f>MAX(0,M323-U323)</x:f>
        <x:v>18</x:v>
      </x:c>
      <x:c r="W323" s="209" t="n">
        <x:f>IFERROR(U323/M323,0)</x:f>
        <x:v>0</x:v>
      </x:c>
      <x:c r="X323" s="201" t="str">
        <x:f>IF(U323=0,"Não iniciado",IF(U323&gt;=M323,"Concluído","Parcial"))</x:f>
        <x:v>Não iniciado</x:v>
      </x:c>
      <x:c r="Y323" s="199" t="str"/>
      <x:c r="Z323" s="188" t="str">
        <x:v>Normal</x:v>
      </x:c>
    </x:row>
    <x:row r="324" ht="22" customHeight="1">
      <x:c r="A324" s="219" t="n">
        <x:v>320</x:v>
      </x:c>
      <x:c r="B324" s="220" t="str">
        <x:v>26739</x:v>
      </x:c>
      <x:c r="C324" s="220" t="str">
        <x:v>9</x:v>
      </x:c>
      <x:c r="D324" s="220" t="str">
        <x:v>609648</x:v>
      </x:c>
      <x:c r="E324" s="220" t="str">
        <x:v>919640</x:v>
      </x:c>
      <x:c r="F324" s="220" t="str">
        <x:v>OUTROS</x:v>
      </x:c>
      <x:c r="G324" s="190" t="str">
        <x:v>TR AL 1100X50X9 RTO LME REC PET BCO (ULT</x:v>
      </x:c>
      <x:c r="H324" s="190" t="str"/>
      <x:c r="I324" s="190" t="str"/>
      <x:c r="J324" s="190" t="str"/>
      <x:c r="K324" s="190" t="str">
        <x:v>ESMALTE</x:v>
      </x:c>
      <x:c r="L324" s="190" t="str">
        <x:v>BRANCO CARRARA</x:v>
      </x:c>
      <x:c r="M324" s="210" t="n">
        <x:v>6</x:v>
      </x:c>
      <x:c r="N324" s="210" t="n">
        <x:v>1100</x:v>
      </x:c>
      <x:c r="O324" s="210" t="n">
        <x:v>50</x:v>
      </x:c>
      <x:c r="P324" s="210" t="n">
        <x:v>9</x:v>
      </x:c>
      <x:c r="Q324" s="211" t="n">
        <x:v>0</x:v>
      </x:c>
      <x:c r="R324" s="207" t="str"/>
      <x:c r="S324" s="207" t="str"/>
      <x:c r="T324" s="207" t="str"/>
      <x:c r="U324" s="207" t="n">
        <x:v>0</x:v>
      </x:c>
      <x:c r="V324" s="208" t="n">
        <x:f>MAX(0,M324-U324)</x:f>
        <x:v>6</x:v>
      </x:c>
      <x:c r="W324" s="209" t="n">
        <x:f>IFERROR(U324/M324,0)</x:f>
        <x:v>0</x:v>
      </x:c>
      <x:c r="X324" s="201" t="str">
        <x:f>IF(U324=0,"Não iniciado",IF(U324&gt;=M324,"Concluído","Parcial"))</x:f>
        <x:v>Não iniciado</x:v>
      </x:c>
      <x:c r="Y324" s="199" t="str"/>
      <x:c r="Z324" s="188" t="str">
        <x:v>Normal</x:v>
      </x:c>
    </x:row>
    <x:row r="325" ht="22" customHeight="1">
      <x:c r="A325" s="217" t="n">
        <x:v>321</x:v>
      </x:c>
      <x:c r="B325" s="218" t="str">
        <x:v>26739</x:v>
      </x:c>
      <x:c r="C325" s="218" t="str">
        <x:v>9</x:v>
      </x:c>
      <x:c r="D325" s="218" t="str">
        <x:v>609650</x:v>
      </x:c>
      <x:c r="E325" s="218" t="str">
        <x:v>966149</x:v>
      </x:c>
      <x:c r="F325" s="218" t="str">
        <x:v>OUTROS</x:v>
      </x:c>
      <x:c r="G325" s="184" t="str">
        <x:v>TR AL 1100X50X9 RTO RL80 REC PET BCO (UL</x:v>
      </x:c>
      <x:c r="H325" s="184" t="str"/>
      <x:c r="I325" s="184" t="str"/>
      <x:c r="J325" s="184" t="str"/>
      <x:c r="K325" s="184" t="str">
        <x:v>ESMALTE</x:v>
      </x:c>
      <x:c r="L325" s="184" t="str">
        <x:v>BRANCO CARRARA</x:v>
      </x:c>
      <x:c r="M325" s="205" t="n">
        <x:v>6</x:v>
      </x:c>
      <x:c r="N325" s="205" t="n">
        <x:v>1100</x:v>
      </x:c>
      <x:c r="O325" s="205" t="n">
        <x:v>50</x:v>
      </x:c>
      <x:c r="P325" s="205" t="n">
        <x:v>9</x:v>
      </x:c>
      <x:c r="Q325" s="206" t="n">
        <x:v>0</x:v>
      </x:c>
      <x:c r="R325" s="207" t="str"/>
      <x:c r="S325" s="207" t="str"/>
      <x:c r="T325" s="207" t="str"/>
      <x:c r="U325" s="207" t="n">
        <x:v>0</x:v>
      </x:c>
      <x:c r="V325" s="208" t="n">
        <x:f>MAX(0,M325-U325)</x:f>
        <x:v>6</x:v>
      </x:c>
      <x:c r="W325" s="209" t="n">
        <x:f>IFERROR(U325/M325,0)</x:f>
        <x:v>0</x:v>
      </x:c>
      <x:c r="X325" s="201" t="str">
        <x:f>IF(U325=0,"Não iniciado",IF(U325&gt;=M325,"Concluído","Parcial"))</x:f>
        <x:v>Não iniciado</x:v>
      </x:c>
      <x:c r="Y325" s="199" t="str"/>
      <x:c r="Z325" s="188" t="str">
        <x:v>Normal</x:v>
      </x:c>
    </x:row>
    <x:row r="326" ht="22" customHeight="1">
      <x:c r="A326" s="219" t="n">
        <x:v>322</x:v>
      </x:c>
      <x:c r="B326" s="220" t="str">
        <x:v>26739</x:v>
      </x:c>
      <x:c r="C326" s="220" t="str">
        <x:v>10</x:v>
      </x:c>
      <x:c r="D326" s="220" t="str">
        <x:v>609655</x:v>
      </x:c>
      <x:c r="E326" s="220" t="str">
        <x:v>919640</x:v>
      </x:c>
      <x:c r="F326" s="220" t="str">
        <x:v>OUTROS</x:v>
      </x:c>
      <x:c r="G326" s="190" t="str">
        <x:v>TR AL 1100X50X9 RTO LME REC PET BCO (ULT</x:v>
      </x:c>
      <x:c r="H326" s="190" t="str"/>
      <x:c r="I326" s="190" t="str"/>
      <x:c r="J326" s="190" t="str"/>
      <x:c r="K326" s="190" t="str">
        <x:v>ESMALTE</x:v>
      </x:c>
      <x:c r="L326" s="190" t="str">
        <x:v>BRANCO CARRARA</x:v>
      </x:c>
      <x:c r="M326" s="210" t="n">
        <x:v>22</x:v>
      </x:c>
      <x:c r="N326" s="210" t="n">
        <x:v>1100</x:v>
      </x:c>
      <x:c r="O326" s="210" t="n">
        <x:v>50</x:v>
      </x:c>
      <x:c r="P326" s="210" t="n">
        <x:v>9</x:v>
      </x:c>
      <x:c r="Q326" s="211" t="n">
        <x:v>0</x:v>
      </x:c>
      <x:c r="R326" s="207" t="str"/>
      <x:c r="S326" s="207" t="str"/>
      <x:c r="T326" s="207" t="str"/>
      <x:c r="U326" s="207" t="n">
        <x:v>0</x:v>
      </x:c>
      <x:c r="V326" s="208" t="n">
        <x:f>MAX(0,M326-U326)</x:f>
        <x:v>22</x:v>
      </x:c>
      <x:c r="W326" s="209" t="n">
        <x:f>IFERROR(U326/M326,0)</x:f>
        <x:v>0</x:v>
      </x:c>
      <x:c r="X326" s="201" t="str">
        <x:f>IF(U326=0,"Não iniciado",IF(U326&gt;=M326,"Concluído","Parcial"))</x:f>
        <x:v>Não iniciado</x:v>
      </x:c>
      <x:c r="Y326" s="199" t="str"/>
      <x:c r="Z326" s="188" t="str">
        <x:v>Normal</x:v>
      </x:c>
    </x:row>
    <x:row r="327" ht="22" customHeight="1">
      <x:c r="A327" s="217" t="n">
        <x:v>323</x:v>
      </x:c>
      <x:c r="B327" s="218" t="str">
        <x:v>26739</x:v>
      </x:c>
      <x:c r="C327" s="218" t="str">
        <x:v>10</x:v>
      </x:c>
      <x:c r="D327" s="218" t="str">
        <x:v>609657</x:v>
      </x:c>
      <x:c r="E327" s="218" t="str">
        <x:v>966149</x:v>
      </x:c>
      <x:c r="F327" s="218" t="str">
        <x:v>OUTROS</x:v>
      </x:c>
      <x:c r="G327" s="184" t="str">
        <x:v>TR AL 1100X50X9 RTO RL80 REC PET BCO (UL</x:v>
      </x:c>
      <x:c r="H327" s="184" t="str"/>
      <x:c r="I327" s="184" t="str"/>
      <x:c r="J327" s="184" t="str"/>
      <x:c r="K327" s="184" t="str">
        <x:v>ESMALTE</x:v>
      </x:c>
      <x:c r="L327" s="184" t="str">
        <x:v>BRANCO CARRARA</x:v>
      </x:c>
      <x:c r="M327" s="205" t="n">
        <x:v>22</x:v>
      </x:c>
      <x:c r="N327" s="205" t="n">
        <x:v>1100</x:v>
      </x:c>
      <x:c r="O327" s="205" t="n">
        <x:v>50</x:v>
      </x:c>
      <x:c r="P327" s="205" t="n">
        <x:v>9</x:v>
      </x:c>
      <x:c r="Q327" s="206" t="n">
        <x:v>0</x:v>
      </x:c>
      <x:c r="R327" s="207" t="str"/>
      <x:c r="S327" s="207" t="str"/>
      <x:c r="T327" s="207" t="str"/>
      <x:c r="U327" s="207" t="n">
        <x:v>0</x:v>
      </x:c>
      <x:c r="V327" s="208" t="n">
        <x:f>MAX(0,M327-U327)</x:f>
        <x:v>22</x:v>
      </x:c>
      <x:c r="W327" s="209" t="n">
        <x:f>IFERROR(U327/M327,0)</x:f>
        <x:v>0</x:v>
      </x:c>
      <x:c r="X327" s="201" t="str">
        <x:f>IF(U327=0,"Não iniciado",IF(U327&gt;=M327,"Concluído","Parcial"))</x:f>
        <x:v>Não iniciado</x:v>
      </x:c>
      <x:c r="Y327" s="199" t="str"/>
      <x:c r="Z327" s="188" t="str">
        <x:v>Normal</x:v>
      </x:c>
    </x:row>
    <x:row r="328" ht="22" customHeight="1">
      <x:c r="A328" s="219" t="n">
        <x:v>324</x:v>
      </x:c>
      <x:c r="B328" s="220" t="str">
        <x:v>26739</x:v>
      </x:c>
      <x:c r="C328" s="220" t="str">
        <x:v>11</x:v>
      </x:c>
      <x:c r="D328" s="220" t="str">
        <x:v>609663</x:v>
      </x:c>
      <x:c r="E328" s="220" t="str">
        <x:v>919640</x:v>
      </x:c>
      <x:c r="F328" s="220" t="str">
        <x:v>OUTROS</x:v>
      </x:c>
      <x:c r="G328" s="190" t="str">
        <x:v>TR AL 1100X50X9 RTO LME REC PET BCO (ULT</x:v>
      </x:c>
      <x:c r="H328" s="190" t="str"/>
      <x:c r="I328" s="190" t="str"/>
      <x:c r="J328" s="190" t="str"/>
      <x:c r="K328" s="190" t="str">
        <x:v>ESMALTE</x:v>
      </x:c>
      <x:c r="L328" s="190" t="str">
        <x:v>BRANCO CARRARA</x:v>
      </x:c>
      <x:c r="M328" s="210" t="n">
        <x:v>16</x:v>
      </x:c>
      <x:c r="N328" s="210" t="n">
        <x:v>1100</x:v>
      </x:c>
      <x:c r="O328" s="210" t="n">
        <x:v>50</x:v>
      </x:c>
      <x:c r="P328" s="210" t="n">
        <x:v>9</x:v>
      </x:c>
      <x:c r="Q328" s="211" t="n">
        <x:v>0</x:v>
      </x:c>
      <x:c r="R328" s="207" t="str"/>
      <x:c r="S328" s="207" t="str"/>
      <x:c r="T328" s="207" t="str"/>
      <x:c r="U328" s="207" t="n">
        <x:v>0</x:v>
      </x:c>
      <x:c r="V328" s="208" t="n">
        <x:f>MAX(0,M328-U328)</x:f>
        <x:v>16</x:v>
      </x:c>
      <x:c r="W328" s="209" t="n">
        <x:f>IFERROR(U328/M328,0)</x:f>
        <x:v>0</x:v>
      </x:c>
      <x:c r="X328" s="201" t="str">
        <x:f>IF(U328=0,"Não iniciado",IF(U328&gt;=M328,"Concluído","Parcial"))</x:f>
        <x:v>Não iniciado</x:v>
      </x:c>
      <x:c r="Y328" s="199" t="str"/>
      <x:c r="Z328" s="188" t="str">
        <x:v>Normal</x:v>
      </x:c>
    </x:row>
    <x:row r="329" ht="22" customHeight="1">
      <x:c r="A329" s="217" t="n">
        <x:v>325</x:v>
      </x:c>
      <x:c r="B329" s="218" t="str">
        <x:v>26739</x:v>
      </x:c>
      <x:c r="C329" s="218" t="str">
        <x:v>11</x:v>
      </x:c>
      <x:c r="D329" s="218" t="str">
        <x:v>609667</x:v>
      </x:c>
      <x:c r="E329" s="218" t="str">
        <x:v>966149</x:v>
      </x:c>
      <x:c r="F329" s="218" t="str">
        <x:v>OUTROS</x:v>
      </x:c>
      <x:c r="G329" s="184" t="str">
        <x:v>TR AL 1100X50X9 RTO RL80 REC PET BCO (UL</x:v>
      </x:c>
      <x:c r="H329" s="184" t="str"/>
      <x:c r="I329" s="184" t="str"/>
      <x:c r="J329" s="184" t="str"/>
      <x:c r="K329" s="184" t="str">
        <x:v>ESMALTE</x:v>
      </x:c>
      <x:c r="L329" s="184" t="str">
        <x:v>BRANCO CARRARA</x:v>
      </x:c>
      <x:c r="M329" s="205" t="n">
        <x:v>16</x:v>
      </x:c>
      <x:c r="N329" s="205" t="n">
        <x:v>1100</x:v>
      </x:c>
      <x:c r="O329" s="205" t="n">
        <x:v>50</x:v>
      </x:c>
      <x:c r="P329" s="205" t="n">
        <x:v>9</x:v>
      </x:c>
      <x:c r="Q329" s="206" t="n">
        <x:v>0</x:v>
      </x:c>
      <x:c r="R329" s="207" t="str"/>
      <x:c r="S329" s="207" t="str"/>
      <x:c r="T329" s="207" t="str"/>
      <x:c r="U329" s="207" t="n">
        <x:v>0</x:v>
      </x:c>
      <x:c r="V329" s="208" t="n">
        <x:f>MAX(0,M329-U329)</x:f>
        <x:v>16</x:v>
      </x:c>
      <x:c r="W329" s="209" t="n">
        <x:f>IFERROR(U329/M329,0)</x:f>
        <x:v>0</x:v>
      </x:c>
      <x:c r="X329" s="201" t="str">
        <x:f>IF(U329=0,"Não iniciado",IF(U329&gt;=M329,"Concluído","Parcial"))</x:f>
        <x:v>Não iniciado</x:v>
      </x:c>
      <x:c r="Y329" s="199" t="str"/>
      <x:c r="Z329" s="188" t="str">
        <x:v>Normal</x:v>
      </x:c>
    </x:row>
    <x:row r="330" ht="22" customHeight="1">
      <x:c r="A330" s="219" t="n">
        <x:v>326</x:v>
      </x:c>
      <x:c r="B330" s="220" t="str">
        <x:v>26739</x:v>
      </x:c>
      <x:c r="C330" s="220" t="str">
        <x:v>12</x:v>
      </x:c>
      <x:c r="D330" s="220" t="str">
        <x:v>609672</x:v>
      </x:c>
      <x:c r="E330" s="220" t="str">
        <x:v>919640</x:v>
      </x:c>
      <x:c r="F330" s="220" t="str">
        <x:v>OUTROS</x:v>
      </x:c>
      <x:c r="G330" s="190" t="str">
        <x:v>TR AL 1100X50X9 RTO LME REC PET BCO (ULT</x:v>
      </x:c>
      <x:c r="H330" s="190" t="str"/>
      <x:c r="I330" s="190" t="str"/>
      <x:c r="J330" s="190" t="str"/>
      <x:c r="K330" s="190" t="str">
        <x:v>ESMALTE</x:v>
      </x:c>
      <x:c r="L330" s="190" t="str">
        <x:v>BRANCO CARRARA</x:v>
      </x:c>
      <x:c r="M330" s="210" t="n">
        <x:v>1</x:v>
      </x:c>
      <x:c r="N330" s="210" t="n">
        <x:v>1100</x:v>
      </x:c>
      <x:c r="O330" s="210" t="n">
        <x:v>50</x:v>
      </x:c>
      <x:c r="P330" s="210" t="n">
        <x:v>9</x:v>
      </x:c>
      <x:c r="Q330" s="211" t="n">
        <x:v>0</x:v>
      </x:c>
      <x:c r="R330" s="207" t="str"/>
      <x:c r="S330" s="207" t="str"/>
      <x:c r="T330" s="207" t="str"/>
      <x:c r="U330" s="207" t="n">
        <x:v>0</x:v>
      </x:c>
      <x:c r="V330" s="208" t="n">
        <x:f>MAX(0,M330-U330)</x:f>
        <x:v>1</x:v>
      </x:c>
      <x:c r="W330" s="209" t="n">
        <x:f>IFERROR(U330/M330,0)</x:f>
        <x:v>0</x:v>
      </x:c>
      <x:c r="X330" s="201" t="str">
        <x:f>IF(U330=0,"Não iniciado",IF(U330&gt;=M330,"Concluído","Parcial"))</x:f>
        <x:v>Não iniciado</x:v>
      </x:c>
      <x:c r="Y330" s="199" t="str"/>
      <x:c r="Z330" s="188" t="str">
        <x:v>Normal</x:v>
      </x:c>
    </x:row>
    <x:row r="331" ht="22" customHeight="1">
      <x:c r="A331" s="217" t="n">
        <x:v>327</x:v>
      </x:c>
      <x:c r="B331" s="218" t="str">
        <x:v>26739</x:v>
      </x:c>
      <x:c r="C331" s="218" t="str">
        <x:v>12</x:v>
      </x:c>
      <x:c r="D331" s="218" t="str">
        <x:v>609674</x:v>
      </x:c>
      <x:c r="E331" s="218" t="str">
        <x:v>966149</x:v>
      </x:c>
      <x:c r="F331" s="218" t="str">
        <x:v>OUTROS</x:v>
      </x:c>
      <x:c r="G331" s="184" t="str">
        <x:v>TR AL 1100X50X9 RTO RL80 REC PET BCO (UL</x:v>
      </x:c>
      <x:c r="H331" s="184" t="str"/>
      <x:c r="I331" s="184" t="str"/>
      <x:c r="J331" s="184" t="str"/>
      <x:c r="K331" s="184" t="str">
        <x:v>ESMALTE</x:v>
      </x:c>
      <x:c r="L331" s="184" t="str">
        <x:v>BRANCO CARRARA</x:v>
      </x:c>
      <x:c r="M331" s="205" t="n">
        <x:v>1</x:v>
      </x:c>
      <x:c r="N331" s="205" t="n">
        <x:v>1100</x:v>
      </x:c>
      <x:c r="O331" s="205" t="n">
        <x:v>50</x:v>
      </x:c>
      <x:c r="P331" s="205" t="n">
        <x:v>9</x:v>
      </x:c>
      <x:c r="Q331" s="206" t="n">
        <x:v>0</x:v>
      </x:c>
      <x:c r="R331" s="207" t="str"/>
      <x:c r="S331" s="207" t="str"/>
      <x:c r="T331" s="207" t="str"/>
      <x:c r="U331" s="207" t="n">
        <x:v>0</x:v>
      </x:c>
      <x:c r="V331" s="208" t="n">
        <x:f>MAX(0,M331-U331)</x:f>
        <x:v>1</x:v>
      </x:c>
      <x:c r="W331" s="209" t="n">
        <x:f>IFERROR(U331/M331,0)</x:f>
        <x:v>0</x:v>
      </x:c>
      <x:c r="X331" s="201" t="str">
        <x:f>IF(U331=0,"Não iniciado",IF(U331&gt;=M331,"Concluído","Parcial"))</x:f>
        <x:v>Não iniciado</x:v>
      </x:c>
      <x:c r="Y331" s="199" t="str"/>
      <x:c r="Z331" s="188" t="str">
        <x:v>Normal</x:v>
      </x:c>
    </x:row>
    <x:row r="332" ht="22" customHeight="1">
      <x:c r="A332" s="219" t="n">
        <x:v>328</x:v>
      </x:c>
      <x:c r="B332" s="220" t="str">
        <x:v>26739</x:v>
      </x:c>
      <x:c r="C332" s="220" t="str">
        <x:v>15</x:v>
      </x:c>
      <x:c r="D332" s="220" t="str">
        <x:v>609683</x:v>
      </x:c>
      <x:c r="E332" s="220" t="str">
        <x:v>919640</x:v>
      </x:c>
      <x:c r="F332" s="220" t="str">
        <x:v>OUTROS</x:v>
      </x:c>
      <x:c r="G332" s="190" t="str">
        <x:v>TR AL 1100X50X9 RTO LME REC PET BCO (ULT</x:v>
      </x:c>
      <x:c r="H332" s="190" t="str">
        <x:v>REG 2L(MAIOR 80MM)</x:v>
      </x:c>
      <x:c r="I332" s="190" t="str"/>
      <x:c r="J332" s="190" t="str"/>
      <x:c r="K332" s="190" t="str">
        <x:v>RECOBERTO PET</x:v>
      </x:c>
      <x:c r="L332" s="190" t="str">
        <x:v>BRANCO CARRARA</x:v>
      </x:c>
      <x:c r="M332" s="210" t="n">
        <x:v>7</x:v>
      </x:c>
      <x:c r="N332" s="210" t="n">
        <x:v>1100</x:v>
      </x:c>
      <x:c r="O332" s="210" t="n">
        <x:v>50</x:v>
      </x:c>
      <x:c r="P332" s="210" t="n">
        <x:v>9</x:v>
      </x:c>
      <x:c r="Q332" s="211" t="n">
        <x:v>0</x:v>
      </x:c>
      <x:c r="R332" s="207" t="str"/>
      <x:c r="S332" s="207" t="str"/>
      <x:c r="T332" s="207" t="str"/>
      <x:c r="U332" s="207" t="n">
        <x:v>0</x:v>
      </x:c>
      <x:c r="V332" s="208" t="n">
        <x:f>MAX(0,M332-U332)</x:f>
        <x:v>7</x:v>
      </x:c>
      <x:c r="W332" s="209" t="n">
        <x:f>IFERROR(U332/M332,0)</x:f>
        <x:v>0</x:v>
      </x:c>
      <x:c r="X332" s="201" t="str">
        <x:f>IF(U332=0,"Não iniciado",IF(U332&gt;=M332,"Concluído","Parcial"))</x:f>
        <x:v>Não iniciado</x:v>
      </x:c>
      <x:c r="Y332" s="199" t="str"/>
      <x:c r="Z332" s="188" t="str">
        <x:v>Normal</x:v>
      </x:c>
    </x:row>
    <x:row r="333" ht="22" customHeight="1">
      <x:c r="A333" s="217" t="n">
        <x:v>329</x:v>
      </x:c>
      <x:c r="B333" s="218" t="str">
        <x:v>26739</x:v>
      </x:c>
      <x:c r="C333" s="218" t="str">
        <x:v>15</x:v>
      </x:c>
      <x:c r="D333" s="218" t="str">
        <x:v>609685</x:v>
      </x:c>
      <x:c r="E333" s="218" t="str">
        <x:v>966149</x:v>
      </x:c>
      <x:c r="F333" s="218" t="str">
        <x:v>OUTROS</x:v>
      </x:c>
      <x:c r="G333" s="184" t="str">
        <x:v>TR AL 1100X50X9 RTO RL80 REC PET BCO (UL</x:v>
      </x:c>
      <x:c r="H333" s="184" t="str">
        <x:v>REG 2L(MAIOR 80MM)</x:v>
      </x:c>
      <x:c r="I333" s="184" t="str"/>
      <x:c r="J333" s="184" t="str"/>
      <x:c r="K333" s="184" t="str">
        <x:v>RECOBERTO PET</x:v>
      </x:c>
      <x:c r="L333" s="184" t="str">
        <x:v>BRANCO CARRARA</x:v>
      </x:c>
      <x:c r="M333" s="205" t="n">
        <x:v>7</x:v>
      </x:c>
      <x:c r="N333" s="205" t="n">
        <x:v>1100</x:v>
      </x:c>
      <x:c r="O333" s="205" t="n">
        <x:v>50</x:v>
      </x:c>
      <x:c r="P333" s="205" t="n">
        <x:v>9</x:v>
      </x:c>
      <x:c r="Q333" s="206" t="n">
        <x:v>0</x:v>
      </x:c>
      <x:c r="R333" s="207" t="str"/>
      <x:c r="S333" s="207" t="str"/>
      <x:c r="T333" s="207" t="str"/>
      <x:c r="U333" s="207" t="n">
        <x:v>0</x:v>
      </x:c>
      <x:c r="V333" s="208" t="n">
        <x:f>MAX(0,M333-U333)</x:f>
        <x:v>7</x:v>
      </x:c>
      <x:c r="W333" s="209" t="n">
        <x:f>IFERROR(U333/M333,0)</x:f>
        <x:v>0</x:v>
      </x:c>
      <x:c r="X333" s="201" t="str">
        <x:f>IF(U333=0,"Não iniciado",IF(U333&gt;=M333,"Concluído","Parcial"))</x:f>
        <x:v>Não iniciado</x:v>
      </x:c>
      <x:c r="Y333" s="199" t="str"/>
      <x:c r="Z333" s="188" t="str">
        <x:v>Normal</x:v>
      </x:c>
    </x:row>
    <x:row r="334" ht="22" customHeight="1">
      <x:c r="A334" s="219" t="n">
        <x:v>330</x:v>
      </x:c>
      <x:c r="B334" s="220" t="str">
        <x:v>26739</x:v>
      </x:c>
      <x:c r="C334" s="220" t="str">
        <x:v>17</x:v>
      </x:c>
      <x:c r="D334" s="220" t="str">
        <x:v>609694</x:v>
      </x:c>
      <x:c r="E334" s="220" t="str">
        <x:v>919640</x:v>
      </x:c>
      <x:c r="F334" s="220" t="str">
        <x:v>OUTROS</x:v>
      </x:c>
      <x:c r="G334" s="190" t="str">
        <x:v>TR AL 1100X50X9 RTO LME REC PET BCO (ULT</x:v>
      </x:c>
      <x:c r="H334" s="190" t="str"/>
      <x:c r="I334" s="190" t="str"/>
      <x:c r="J334" s="190" t="str"/>
      <x:c r="K334" s="190" t="str">
        <x:v>ESMALTE</x:v>
      </x:c>
      <x:c r="L334" s="190" t="str">
        <x:v>BRANCO CARRARA</x:v>
      </x:c>
      <x:c r="M334" s="210" t="n">
        <x:v>9</x:v>
      </x:c>
      <x:c r="N334" s="210" t="n">
        <x:v>1100</x:v>
      </x:c>
      <x:c r="O334" s="210" t="n">
        <x:v>50</x:v>
      </x:c>
      <x:c r="P334" s="210" t="n">
        <x:v>9</x:v>
      </x:c>
      <x:c r="Q334" s="211" t="n">
        <x:v>0</x:v>
      </x:c>
      <x:c r="R334" s="207" t="str"/>
      <x:c r="S334" s="207" t="str"/>
      <x:c r="T334" s="207" t="str"/>
      <x:c r="U334" s="207" t="n">
        <x:v>0</x:v>
      </x:c>
      <x:c r="V334" s="208" t="n">
        <x:f>MAX(0,M334-U334)</x:f>
        <x:v>9</x:v>
      </x:c>
      <x:c r="W334" s="209" t="n">
        <x:f>IFERROR(U334/M334,0)</x:f>
        <x:v>0</x:v>
      </x:c>
      <x:c r="X334" s="201" t="str">
        <x:f>IF(U334=0,"Não iniciado",IF(U334&gt;=M334,"Concluído","Parcial"))</x:f>
        <x:v>Não iniciado</x:v>
      </x:c>
      <x:c r="Y334" s="199" t="str"/>
      <x:c r="Z334" s="188" t="str">
        <x:v>Normal</x:v>
      </x:c>
    </x:row>
    <x:row r="335" ht="22" customHeight="1">
      <x:c r="A335" s="217" t="n">
        <x:v>331</x:v>
      </x:c>
      <x:c r="B335" s="218" t="str">
        <x:v>26739</x:v>
      </x:c>
      <x:c r="C335" s="218" t="str">
        <x:v>17</x:v>
      </x:c>
      <x:c r="D335" s="218" t="str">
        <x:v>609696</x:v>
      </x:c>
      <x:c r="E335" s="218" t="str">
        <x:v>966149</x:v>
      </x:c>
      <x:c r="F335" s="218" t="str">
        <x:v>OUTROS</x:v>
      </x:c>
      <x:c r="G335" s="184" t="str">
        <x:v>TR AL 1100X50X9 RTO RL80 REC PET BCO (UL</x:v>
      </x:c>
      <x:c r="H335" s="184" t="str"/>
      <x:c r="I335" s="184" t="str"/>
      <x:c r="J335" s="184" t="str"/>
      <x:c r="K335" s="184" t="str">
        <x:v>ESMALTE</x:v>
      </x:c>
      <x:c r="L335" s="184" t="str">
        <x:v>BRANCO CARRARA</x:v>
      </x:c>
      <x:c r="M335" s="205" t="n">
        <x:v>9</x:v>
      </x:c>
      <x:c r="N335" s="205" t="n">
        <x:v>1100</x:v>
      </x:c>
      <x:c r="O335" s="205" t="n">
        <x:v>50</x:v>
      </x:c>
      <x:c r="P335" s="205" t="n">
        <x:v>9</x:v>
      </x:c>
      <x:c r="Q335" s="206" t="n">
        <x:v>0</x:v>
      </x:c>
      <x:c r="R335" s="207" t="str"/>
      <x:c r="S335" s="207" t="str"/>
      <x:c r="T335" s="207" t="str"/>
      <x:c r="U335" s="207" t="n">
        <x:v>0</x:v>
      </x:c>
      <x:c r="V335" s="208" t="n">
        <x:f>MAX(0,M335-U335)</x:f>
        <x:v>9</x:v>
      </x:c>
      <x:c r="W335" s="209" t="n">
        <x:f>IFERROR(U335/M335,0)</x:f>
        <x:v>0</x:v>
      </x:c>
      <x:c r="X335" s="201" t="str">
        <x:f>IF(U335=0,"Não iniciado",IF(U335&gt;=M335,"Concluído","Parcial"))</x:f>
        <x:v>Não iniciado</x:v>
      </x:c>
      <x:c r="Y335" s="199" t="str"/>
      <x:c r="Z335" s="188" t="str">
        <x:v>Normal</x:v>
      </x:c>
    </x:row>
    <x:row r="336" ht="22" customHeight="1">
      <x:c r="A336" s="219" t="n">
        <x:v>332</x:v>
      </x:c>
      <x:c r="B336" s="220" t="str">
        <x:v>26739</x:v>
      </x:c>
      <x:c r="C336" s="220" t="str">
        <x:v>18</x:v>
      </x:c>
      <x:c r="D336" s="220" t="str">
        <x:v>609702</x:v>
      </x:c>
      <x:c r="E336" s="220" t="str">
        <x:v>919640</x:v>
      </x:c>
      <x:c r="F336" s="220" t="str">
        <x:v>OUTROS</x:v>
      </x:c>
      <x:c r="G336" s="190" t="str">
        <x:v>TR AL 1100X50X9 RTO LME REC PET BCO (ULT</x:v>
      </x:c>
      <x:c r="H336" s="190" t="str"/>
      <x:c r="I336" s="190" t="str"/>
      <x:c r="J336" s="190" t="str"/>
      <x:c r="K336" s="190" t="str">
        <x:v>ESMALTE</x:v>
      </x:c>
      <x:c r="L336" s="190" t="str">
        <x:v>BRANCO CARRARA</x:v>
      </x:c>
      <x:c r="M336" s="210" t="n">
        <x:v>5</x:v>
      </x:c>
      <x:c r="N336" s="210" t="n">
        <x:v>1100</x:v>
      </x:c>
      <x:c r="O336" s="210" t="n">
        <x:v>50</x:v>
      </x:c>
      <x:c r="P336" s="210" t="n">
        <x:v>9</x:v>
      </x:c>
      <x:c r="Q336" s="211" t="n">
        <x:v>0</x:v>
      </x:c>
      <x:c r="R336" s="207" t="str"/>
      <x:c r="S336" s="207" t="str"/>
      <x:c r="T336" s="207" t="str"/>
      <x:c r="U336" s="207" t="n">
        <x:v>0</x:v>
      </x:c>
      <x:c r="V336" s="208" t="n">
        <x:f>MAX(0,M336-U336)</x:f>
        <x:v>5</x:v>
      </x:c>
      <x:c r="W336" s="209" t="n">
        <x:f>IFERROR(U336/M336,0)</x:f>
        <x:v>0</x:v>
      </x:c>
      <x:c r="X336" s="201" t="str">
        <x:f>IF(U336=0,"Não iniciado",IF(U336&gt;=M336,"Concluído","Parcial"))</x:f>
        <x:v>Não iniciado</x:v>
      </x:c>
      <x:c r="Y336" s="199" t="str"/>
      <x:c r="Z336" s="188" t="str">
        <x:v>Normal</x:v>
      </x:c>
    </x:row>
    <x:row r="337" ht="22" customHeight="1">
      <x:c r="A337" s="217" t="n">
        <x:v>333</x:v>
      </x:c>
      <x:c r="B337" s="218" t="str">
        <x:v>26739</x:v>
      </x:c>
      <x:c r="C337" s="218" t="str">
        <x:v>18</x:v>
      </x:c>
      <x:c r="D337" s="218" t="str">
        <x:v>609704</x:v>
      </x:c>
      <x:c r="E337" s="218" t="str">
        <x:v>966149</x:v>
      </x:c>
      <x:c r="F337" s="218" t="str">
        <x:v>OUTROS</x:v>
      </x:c>
      <x:c r="G337" s="184" t="str">
        <x:v>TR AL 1100X50X9 RTO RL80 REC PET BCO (UL</x:v>
      </x:c>
      <x:c r="H337" s="184" t="str"/>
      <x:c r="I337" s="184" t="str"/>
      <x:c r="J337" s="184" t="str"/>
      <x:c r="K337" s="184" t="str">
        <x:v>ESMALTE</x:v>
      </x:c>
      <x:c r="L337" s="184" t="str">
        <x:v>BRANCO CARRARA</x:v>
      </x:c>
      <x:c r="M337" s="205" t="n">
        <x:v>5</x:v>
      </x:c>
      <x:c r="N337" s="205" t="n">
        <x:v>1100</x:v>
      </x:c>
      <x:c r="O337" s="205" t="n">
        <x:v>50</x:v>
      </x:c>
      <x:c r="P337" s="205" t="n">
        <x:v>9</x:v>
      </x:c>
      <x:c r="Q337" s="206" t="n">
        <x:v>0</x:v>
      </x:c>
      <x:c r="R337" s="207" t="str"/>
      <x:c r="S337" s="207" t="str"/>
      <x:c r="T337" s="207" t="str"/>
      <x:c r="U337" s="207" t="n">
        <x:v>0</x:v>
      </x:c>
      <x:c r="V337" s="208" t="n">
        <x:f>MAX(0,M337-U337)</x:f>
        <x:v>5</x:v>
      </x:c>
      <x:c r="W337" s="209" t="n">
        <x:f>IFERROR(U337/M337,0)</x:f>
        <x:v>0</x:v>
      </x:c>
      <x:c r="X337" s="201" t="str">
        <x:f>IF(U337=0,"Não iniciado",IF(U337&gt;=M337,"Concluído","Parcial"))</x:f>
        <x:v>Não iniciado</x:v>
      </x:c>
      <x:c r="Y337" s="199" t="str"/>
      <x:c r="Z337" s="188" t="str">
        <x:v>Normal</x:v>
      </x:c>
    </x:row>
    <x:row r="338" ht="22" customHeight="1">
      <x:c r="A338" s="219" t="n">
        <x:v>334</x:v>
      </x:c>
      <x:c r="B338" s="220" t="str">
        <x:v>26739</x:v>
      </x:c>
      <x:c r="C338" s="220" t="str">
        <x:v>19</x:v>
      </x:c>
      <x:c r="D338" s="220" t="str">
        <x:v>609710</x:v>
      </x:c>
      <x:c r="E338" s="220" t="str">
        <x:v>919640</x:v>
      </x:c>
      <x:c r="F338" s="220" t="str">
        <x:v>OUTROS</x:v>
      </x:c>
      <x:c r="G338" s="190" t="str">
        <x:v>TR AL 1100X50X9 RTO LME REC PET BCO (ULT</x:v>
      </x:c>
      <x:c r="H338" s="190" t="str"/>
      <x:c r="I338" s="190" t="str"/>
      <x:c r="J338" s="190" t="str"/>
      <x:c r="K338" s="190" t="str">
        <x:v>ESMALTE</x:v>
      </x:c>
      <x:c r="L338" s="190" t="str">
        <x:v>BRANCO CARRARA</x:v>
      </x:c>
      <x:c r="M338" s="210" t="n">
        <x:v>27</x:v>
      </x:c>
      <x:c r="N338" s="210" t="n">
        <x:v>1100</x:v>
      </x:c>
      <x:c r="O338" s="210" t="n">
        <x:v>50</x:v>
      </x:c>
      <x:c r="P338" s="210" t="n">
        <x:v>9</x:v>
      </x:c>
      <x:c r="Q338" s="211" t="n">
        <x:v>0</x:v>
      </x:c>
      <x:c r="R338" s="207" t="str"/>
      <x:c r="S338" s="207" t="str"/>
      <x:c r="T338" s="207" t="str"/>
      <x:c r="U338" s="207" t="n">
        <x:v>0</x:v>
      </x:c>
      <x:c r="V338" s="208" t="n">
        <x:f>MAX(0,M338-U338)</x:f>
        <x:v>27</x:v>
      </x:c>
      <x:c r="W338" s="209" t="n">
        <x:f>IFERROR(U338/M338,0)</x:f>
        <x:v>0</x:v>
      </x:c>
      <x:c r="X338" s="201" t="str">
        <x:f>IF(U338=0,"Não iniciado",IF(U338&gt;=M338,"Concluído","Parcial"))</x:f>
        <x:v>Não iniciado</x:v>
      </x:c>
      <x:c r="Y338" s="199" t="str"/>
      <x:c r="Z338" s="188" t="str">
        <x:v>Normal</x:v>
      </x:c>
    </x:row>
    <x:row r="339" ht="22" customHeight="1">
      <x:c r="A339" s="217" t="n">
        <x:v>335</x:v>
      </x:c>
      <x:c r="B339" s="218" t="str">
        <x:v>26739</x:v>
      </x:c>
      <x:c r="C339" s="218" t="str">
        <x:v>19</x:v>
      </x:c>
      <x:c r="D339" s="218" t="str">
        <x:v>609713</x:v>
      </x:c>
      <x:c r="E339" s="218" t="str">
        <x:v>966149</x:v>
      </x:c>
      <x:c r="F339" s="218" t="str">
        <x:v>OUTROS</x:v>
      </x:c>
      <x:c r="G339" s="184" t="str">
        <x:v>TR AL 1100X50X9 RTO RL80 REC PET BCO (UL</x:v>
      </x:c>
      <x:c r="H339" s="184" t="str"/>
      <x:c r="I339" s="184" t="str"/>
      <x:c r="J339" s="184" t="str"/>
      <x:c r="K339" s="184" t="str">
        <x:v>ESMALTE</x:v>
      </x:c>
      <x:c r="L339" s="184" t="str">
        <x:v>BRANCO CARRARA</x:v>
      </x:c>
      <x:c r="M339" s="205" t="n">
        <x:v>27</x:v>
      </x:c>
      <x:c r="N339" s="205" t="n">
        <x:v>1100</x:v>
      </x:c>
      <x:c r="O339" s="205" t="n">
        <x:v>50</x:v>
      </x:c>
      <x:c r="P339" s="205" t="n">
        <x:v>9</x:v>
      </x:c>
      <x:c r="Q339" s="206" t="n">
        <x:v>0</x:v>
      </x:c>
      <x:c r="R339" s="207" t="str"/>
      <x:c r="S339" s="207" t="str"/>
      <x:c r="T339" s="207" t="str"/>
      <x:c r="U339" s="207" t="n">
        <x:v>0</x:v>
      </x:c>
      <x:c r="V339" s="208" t="n">
        <x:f>MAX(0,M339-U339)</x:f>
        <x:v>27</x:v>
      </x:c>
      <x:c r="W339" s="209" t="n">
        <x:f>IFERROR(U339/M339,0)</x:f>
        <x:v>0</x:v>
      </x:c>
      <x:c r="X339" s="201" t="str">
        <x:f>IF(U339=0,"Não iniciado",IF(U339&gt;=M339,"Concluído","Parcial"))</x:f>
        <x:v>Não iniciado</x:v>
      </x:c>
      <x:c r="Y339" s="199" t="str"/>
      <x:c r="Z339" s="188" t="str">
        <x:v>Normal</x:v>
      </x:c>
    </x:row>
    <x:row r="340" ht="22" customHeight="1">
      <x:c r="A340" s="219" t="n">
        <x:v>336</x:v>
      </x:c>
      <x:c r="B340" s="220" t="str">
        <x:v>26739</x:v>
      </x:c>
      <x:c r="C340" s="220" t="str">
        <x:v>20</x:v>
      </x:c>
      <x:c r="D340" s="220" t="str">
        <x:v>609718</x:v>
      </x:c>
      <x:c r="E340" s="220" t="str">
        <x:v>919640</x:v>
      </x:c>
      <x:c r="F340" s="220" t="str">
        <x:v>OUTROS</x:v>
      </x:c>
      <x:c r="G340" s="190" t="str">
        <x:v>TR AL 1100X50X9 RTO LME REC PET BCO (ULT</x:v>
      </x:c>
      <x:c r="H340" s="190" t="str"/>
      <x:c r="I340" s="190" t="str"/>
      <x:c r="J340" s="190" t="str"/>
      <x:c r="K340" s="190" t="str">
        <x:v>ESMALTE</x:v>
      </x:c>
      <x:c r="L340" s="190" t="str">
        <x:v>BRANCO CARRARA</x:v>
      </x:c>
      <x:c r="M340" s="210" t="n">
        <x:v>3</x:v>
      </x:c>
      <x:c r="N340" s="210" t="n">
        <x:v>1100</x:v>
      </x:c>
      <x:c r="O340" s="210" t="n">
        <x:v>50</x:v>
      </x:c>
      <x:c r="P340" s="210" t="n">
        <x:v>9</x:v>
      </x:c>
      <x:c r="Q340" s="211" t="n">
        <x:v>0</x:v>
      </x:c>
      <x:c r="R340" s="207" t="str"/>
      <x:c r="S340" s="207" t="str"/>
      <x:c r="T340" s="207" t="str"/>
      <x:c r="U340" s="207" t="n">
        <x:v>0</x:v>
      </x:c>
      <x:c r="V340" s="208" t="n">
        <x:f>MAX(0,M340-U340)</x:f>
        <x:v>3</x:v>
      </x:c>
      <x:c r="W340" s="209" t="n">
        <x:f>IFERROR(U340/M340,0)</x:f>
        <x:v>0</x:v>
      </x:c>
      <x:c r="X340" s="201" t="str">
        <x:f>IF(U340=0,"Não iniciado",IF(U340&gt;=M340,"Concluído","Parcial"))</x:f>
        <x:v>Não iniciado</x:v>
      </x:c>
      <x:c r="Y340" s="199" t="str"/>
      <x:c r="Z340" s="188" t="str">
        <x:v>Normal</x:v>
      </x:c>
    </x:row>
    <x:row r="341" ht="22" customHeight="1">
      <x:c r="A341" s="217" t="n">
        <x:v>337</x:v>
      </x:c>
      <x:c r="B341" s="218" t="str">
        <x:v>26739</x:v>
      </x:c>
      <x:c r="C341" s="218" t="str">
        <x:v>20</x:v>
      </x:c>
      <x:c r="D341" s="218" t="str">
        <x:v>609721</x:v>
      </x:c>
      <x:c r="E341" s="218" t="str">
        <x:v>966149</x:v>
      </x:c>
      <x:c r="F341" s="218" t="str">
        <x:v>OUTROS</x:v>
      </x:c>
      <x:c r="G341" s="184" t="str">
        <x:v>TR AL 1100X50X9 RTO RL80 REC PET BCO (UL</x:v>
      </x:c>
      <x:c r="H341" s="184" t="str"/>
      <x:c r="I341" s="184" t="str"/>
      <x:c r="J341" s="184" t="str"/>
      <x:c r="K341" s="184" t="str">
        <x:v>ESMALTE</x:v>
      </x:c>
      <x:c r="L341" s="184" t="str">
        <x:v>BRANCO CARRARA</x:v>
      </x:c>
      <x:c r="M341" s="205" t="n">
        <x:v>3</x:v>
      </x:c>
      <x:c r="N341" s="205" t="n">
        <x:v>1100</x:v>
      </x:c>
      <x:c r="O341" s="205" t="n">
        <x:v>50</x:v>
      </x:c>
      <x:c r="P341" s="205" t="n">
        <x:v>9</x:v>
      </x:c>
      <x:c r="Q341" s="206" t="n">
        <x:v>0</x:v>
      </x:c>
      <x:c r="R341" s="207" t="str"/>
      <x:c r="S341" s="207" t="str"/>
      <x:c r="T341" s="207" t="str"/>
      <x:c r="U341" s="207" t="n">
        <x:v>0</x:v>
      </x:c>
      <x:c r="V341" s="208" t="n">
        <x:f>MAX(0,M341-U341)</x:f>
        <x:v>3</x:v>
      </x:c>
      <x:c r="W341" s="209" t="n">
        <x:f>IFERROR(U341/M341,0)</x:f>
        <x:v>0</x:v>
      </x:c>
      <x:c r="X341" s="201" t="str">
        <x:f>IF(U341=0,"Não iniciado",IF(U341&gt;=M341,"Concluído","Parcial"))</x:f>
        <x:v>Não iniciado</x:v>
      </x:c>
      <x:c r="Y341" s="199" t="str"/>
      <x:c r="Z341" s="188" t="str">
        <x:v>Normal</x:v>
      </x:c>
    </x:row>
    <x:row r="342" ht="22" customHeight="1">
      <x:c r="A342" s="219" t="n">
        <x:v>338</x:v>
      </x:c>
      <x:c r="B342" s="220" t="str">
        <x:v>26739</x:v>
      </x:c>
      <x:c r="C342" s="220" t="str">
        <x:v>21</x:v>
      </x:c>
      <x:c r="D342" s="220" t="str">
        <x:v>609727</x:v>
      </x:c>
      <x:c r="E342" s="220" t="str">
        <x:v>919640</x:v>
      </x:c>
      <x:c r="F342" s="220" t="str">
        <x:v>OUTROS</x:v>
      </x:c>
      <x:c r="G342" s="190" t="str">
        <x:v>TR AL 1100X50X9 RTO LME REC PET BCO (ULT</x:v>
      </x:c>
      <x:c r="H342" s="190" t="str"/>
      <x:c r="I342" s="190" t="str"/>
      <x:c r="J342" s="190" t="str"/>
      <x:c r="K342" s="190" t="str">
        <x:v>ESMALTE</x:v>
      </x:c>
      <x:c r="L342" s="190" t="str">
        <x:v>BRANCO CARRARA</x:v>
      </x:c>
      <x:c r="M342" s="210" t="n">
        <x:v>10</x:v>
      </x:c>
      <x:c r="N342" s="210" t="n">
        <x:v>1100</x:v>
      </x:c>
      <x:c r="O342" s="210" t="n">
        <x:v>50</x:v>
      </x:c>
      <x:c r="P342" s="210" t="n">
        <x:v>9</x:v>
      </x:c>
      <x:c r="Q342" s="211" t="n">
        <x:v>0</x:v>
      </x:c>
      <x:c r="R342" s="207" t="str"/>
      <x:c r="S342" s="207" t="str"/>
      <x:c r="T342" s="207" t="str"/>
      <x:c r="U342" s="207" t="n">
        <x:v>0</x:v>
      </x:c>
      <x:c r="V342" s="208" t="n">
        <x:f>MAX(0,M342-U342)</x:f>
        <x:v>10</x:v>
      </x:c>
      <x:c r="W342" s="209" t="n">
        <x:f>IFERROR(U342/M342,0)</x:f>
        <x:v>0</x:v>
      </x:c>
      <x:c r="X342" s="201" t="str">
        <x:f>IF(U342=0,"Não iniciado",IF(U342&gt;=M342,"Concluído","Parcial"))</x:f>
        <x:v>Não iniciado</x:v>
      </x:c>
      <x:c r="Y342" s="199" t="str"/>
      <x:c r="Z342" s="188" t="str">
        <x:v>Normal</x:v>
      </x:c>
    </x:row>
    <x:row r="343" ht="22" customHeight="1">
      <x:c r="A343" s="217" t="n">
        <x:v>339</x:v>
      </x:c>
      <x:c r="B343" s="218" t="str">
        <x:v>26739</x:v>
      </x:c>
      <x:c r="C343" s="218" t="str">
        <x:v>21</x:v>
      </x:c>
      <x:c r="D343" s="218" t="str">
        <x:v>609730</x:v>
      </x:c>
      <x:c r="E343" s="218" t="str">
        <x:v>966149</x:v>
      </x:c>
      <x:c r="F343" s="218" t="str">
        <x:v>OUTROS</x:v>
      </x:c>
      <x:c r="G343" s="184" t="str">
        <x:v>TR AL 1100X50X9 RTO RL80 REC PET BCO (UL</x:v>
      </x:c>
      <x:c r="H343" s="184" t="str"/>
      <x:c r="I343" s="184" t="str"/>
      <x:c r="J343" s="184" t="str"/>
      <x:c r="K343" s="184" t="str">
        <x:v>ESMALTE</x:v>
      </x:c>
      <x:c r="L343" s="184" t="str">
        <x:v>BRANCO CARRARA</x:v>
      </x:c>
      <x:c r="M343" s="205" t="n">
        <x:v>10</x:v>
      </x:c>
      <x:c r="N343" s="205" t="n">
        <x:v>1100</x:v>
      </x:c>
      <x:c r="O343" s="205" t="n">
        <x:v>50</x:v>
      </x:c>
      <x:c r="P343" s="205" t="n">
        <x:v>9</x:v>
      </x:c>
      <x:c r="Q343" s="206" t="n">
        <x:v>0</x:v>
      </x:c>
      <x:c r="R343" s="207" t="str"/>
      <x:c r="S343" s="207" t="str"/>
      <x:c r="T343" s="207" t="str"/>
      <x:c r="U343" s="207" t="n">
        <x:v>0</x:v>
      </x:c>
      <x:c r="V343" s="208" t="n">
        <x:f>MAX(0,M343-U343)</x:f>
        <x:v>10</x:v>
      </x:c>
      <x:c r="W343" s="209" t="n">
        <x:f>IFERROR(U343/M343,0)</x:f>
        <x:v>0</x:v>
      </x:c>
      <x:c r="X343" s="201" t="str">
        <x:f>IF(U343=0,"Não iniciado",IF(U343&gt;=M343,"Concluído","Parcial"))</x:f>
        <x:v>Não iniciado</x:v>
      </x:c>
      <x:c r="Y343" s="199" t="str"/>
      <x:c r="Z343" s="188" t="str">
        <x:v>Normal</x:v>
      </x:c>
    </x:row>
    <x:row r="344" ht="22" customHeight="1">
      <x:c r="A344" s="219" t="n">
        <x:v>340</x:v>
      </x:c>
      <x:c r="B344" s="220" t="str">
        <x:v>26739</x:v>
      </x:c>
      <x:c r="C344" s="220" t="str">
        <x:v>22</x:v>
      </x:c>
      <x:c r="D344" s="220" t="str">
        <x:v>609734</x:v>
      </x:c>
      <x:c r="E344" s="220" t="str">
        <x:v>919640</x:v>
      </x:c>
      <x:c r="F344" s="220" t="str">
        <x:v>OUTROS</x:v>
      </x:c>
      <x:c r="G344" s="190" t="str">
        <x:v>TR AL 1100X50X9 RTO LME REC PET BCO (ULT</x:v>
      </x:c>
      <x:c r="H344" s="190" t="str"/>
      <x:c r="I344" s="190" t="str"/>
      <x:c r="J344" s="190" t="str"/>
      <x:c r="K344" s="190" t="str">
        <x:v>ESMALTE</x:v>
      </x:c>
      <x:c r="L344" s="190" t="str">
        <x:v>BRANCO CARRARA</x:v>
      </x:c>
      <x:c r="M344" s="210" t="n">
        <x:v>1</x:v>
      </x:c>
      <x:c r="N344" s="210" t="n">
        <x:v>1100</x:v>
      </x:c>
      <x:c r="O344" s="210" t="n">
        <x:v>50</x:v>
      </x:c>
      <x:c r="P344" s="210" t="n">
        <x:v>9</x:v>
      </x:c>
      <x:c r="Q344" s="211" t="n">
        <x:v>0</x:v>
      </x:c>
      <x:c r="R344" s="207" t="str"/>
      <x:c r="S344" s="207" t="str"/>
      <x:c r="T344" s="207" t="str"/>
      <x:c r="U344" s="207" t="n">
        <x:v>0</x:v>
      </x:c>
      <x:c r="V344" s="208" t="n">
        <x:f>MAX(0,M344-U344)</x:f>
        <x:v>1</x:v>
      </x:c>
      <x:c r="W344" s="209" t="n">
        <x:f>IFERROR(U344/M344,0)</x:f>
        <x:v>0</x:v>
      </x:c>
      <x:c r="X344" s="201" t="str">
        <x:f>IF(U344=0,"Não iniciado",IF(U344&gt;=M344,"Concluído","Parcial"))</x:f>
        <x:v>Não iniciado</x:v>
      </x:c>
      <x:c r="Y344" s="199" t="str"/>
      <x:c r="Z344" s="188" t="str">
        <x:v>Normal</x:v>
      </x:c>
    </x:row>
    <x:row r="345" ht="22" customHeight="1">
      <x:c r="A345" s="217" t="n">
        <x:v>341</x:v>
      </x:c>
      <x:c r="B345" s="218" t="str">
        <x:v>26739</x:v>
      </x:c>
      <x:c r="C345" s="218" t="str">
        <x:v>22</x:v>
      </x:c>
      <x:c r="D345" s="218" t="str">
        <x:v>609736</x:v>
      </x:c>
      <x:c r="E345" s="218" t="str">
        <x:v>966149</x:v>
      </x:c>
      <x:c r="F345" s="218" t="str">
        <x:v>OUTROS</x:v>
      </x:c>
      <x:c r="G345" s="184" t="str">
        <x:v>TR AL 1100X50X9 RTO RL80 REC PET BCO (UL</x:v>
      </x:c>
      <x:c r="H345" s="184" t="str"/>
      <x:c r="I345" s="184" t="str"/>
      <x:c r="J345" s="184" t="str"/>
      <x:c r="K345" s="184" t="str">
        <x:v>ESMALTE</x:v>
      </x:c>
      <x:c r="L345" s="184" t="str">
        <x:v>BRANCO CARRARA</x:v>
      </x:c>
      <x:c r="M345" s="205" t="n">
        <x:v>1</x:v>
      </x:c>
      <x:c r="N345" s="205" t="n">
        <x:v>1100</x:v>
      </x:c>
      <x:c r="O345" s="205" t="n">
        <x:v>50</x:v>
      </x:c>
      <x:c r="P345" s="205" t="n">
        <x:v>9</x:v>
      </x:c>
      <x:c r="Q345" s="206" t="n">
        <x:v>0</x:v>
      </x:c>
      <x:c r="R345" s="207" t="str"/>
      <x:c r="S345" s="207" t="str"/>
      <x:c r="T345" s="207" t="str"/>
      <x:c r="U345" s="207" t="n">
        <x:v>0</x:v>
      </x:c>
      <x:c r="V345" s="208" t="n">
        <x:f>MAX(0,M345-U345)</x:f>
        <x:v>1</x:v>
      </x:c>
      <x:c r="W345" s="209" t="n">
        <x:f>IFERROR(U345/M345,0)</x:f>
        <x:v>0</x:v>
      </x:c>
      <x:c r="X345" s="201" t="str">
        <x:f>IF(U345=0,"Não iniciado",IF(U345&gt;=M345,"Concluído","Parcial"))</x:f>
        <x:v>Não iniciado</x:v>
      </x:c>
      <x:c r="Y345" s="199" t="str"/>
      <x:c r="Z345" s="188" t="str">
        <x:v>Normal</x:v>
      </x:c>
    </x:row>
    <x:row r="346" ht="22" customHeight="1">
      <x:c r="A346" s="219" t="n">
        <x:v>342</x:v>
      </x:c>
      <x:c r="B346" s="220" t="str">
        <x:v>26739</x:v>
      </x:c>
      <x:c r="C346" s="220" t="str">
        <x:v>23</x:v>
      </x:c>
      <x:c r="D346" s="220" t="str">
        <x:v>609742</x:v>
      </x:c>
      <x:c r="E346" s="220" t="str">
        <x:v>919640</x:v>
      </x:c>
      <x:c r="F346" s="220" t="str">
        <x:v>OUTROS</x:v>
      </x:c>
      <x:c r="G346" s="190" t="str">
        <x:v>TR AL 1100X50X9 RTO LME REC PET BCO (ULT</x:v>
      </x:c>
      <x:c r="H346" s="190" t="str"/>
      <x:c r="I346" s="190" t="str"/>
      <x:c r="J346" s="190" t="str"/>
      <x:c r="K346" s="190" t="str">
        <x:v>ESMALTE</x:v>
      </x:c>
      <x:c r="L346" s="190" t="str">
        <x:v>BRANCO CARRARA</x:v>
      </x:c>
      <x:c r="M346" s="210" t="n">
        <x:v>1</x:v>
      </x:c>
      <x:c r="N346" s="210" t="n">
        <x:v>1100</x:v>
      </x:c>
      <x:c r="O346" s="210" t="n">
        <x:v>50</x:v>
      </x:c>
      <x:c r="P346" s="210" t="n">
        <x:v>9</x:v>
      </x:c>
      <x:c r="Q346" s="211" t="n">
        <x:v>0</x:v>
      </x:c>
      <x:c r="R346" s="207" t="str"/>
      <x:c r="S346" s="207" t="str"/>
      <x:c r="T346" s="207" t="str"/>
      <x:c r="U346" s="207" t="n">
        <x:v>0</x:v>
      </x:c>
      <x:c r="V346" s="208" t="n">
        <x:f>MAX(0,M346-U346)</x:f>
        <x:v>1</x:v>
      </x:c>
      <x:c r="W346" s="209" t="n">
        <x:f>IFERROR(U346/M346,0)</x:f>
        <x:v>0</x:v>
      </x:c>
      <x:c r="X346" s="201" t="str">
        <x:f>IF(U346=0,"Não iniciado",IF(U346&gt;=M346,"Concluído","Parcial"))</x:f>
        <x:v>Não iniciado</x:v>
      </x:c>
      <x:c r="Y346" s="199" t="str"/>
      <x:c r="Z346" s="188" t="str">
        <x:v>Normal</x:v>
      </x:c>
    </x:row>
    <x:row r="347" ht="22" customHeight="1">
      <x:c r="A347" s="217" t="n">
        <x:v>343</x:v>
      </x:c>
      <x:c r="B347" s="218" t="str">
        <x:v>26739</x:v>
      </x:c>
      <x:c r="C347" s="218" t="str">
        <x:v>23</x:v>
      </x:c>
      <x:c r="D347" s="218" t="str">
        <x:v>609747</x:v>
      </x:c>
      <x:c r="E347" s="218" t="str">
        <x:v>966149</x:v>
      </x:c>
      <x:c r="F347" s="218" t="str">
        <x:v>OUTROS</x:v>
      </x:c>
      <x:c r="G347" s="184" t="str">
        <x:v>TR AL 1100X50X9 RTO RL80 REC PET BCO (UL</x:v>
      </x:c>
      <x:c r="H347" s="184" t="str"/>
      <x:c r="I347" s="184" t="str"/>
      <x:c r="J347" s="184" t="str"/>
      <x:c r="K347" s="184" t="str">
        <x:v>ESMALTE</x:v>
      </x:c>
      <x:c r="L347" s="184" t="str">
        <x:v>BRANCO CARRARA</x:v>
      </x:c>
      <x:c r="M347" s="205" t="n">
        <x:v>1</x:v>
      </x:c>
      <x:c r="N347" s="205" t="n">
        <x:v>1100</x:v>
      </x:c>
      <x:c r="O347" s="205" t="n">
        <x:v>50</x:v>
      </x:c>
      <x:c r="P347" s="205" t="n">
        <x:v>9</x:v>
      </x:c>
      <x:c r="Q347" s="206" t="n">
        <x:v>0</x:v>
      </x:c>
      <x:c r="R347" s="207" t="str"/>
      <x:c r="S347" s="207" t="str"/>
      <x:c r="T347" s="207" t="str"/>
      <x:c r="U347" s="207" t="n">
        <x:v>0</x:v>
      </x:c>
      <x:c r="V347" s="208" t="n">
        <x:f>MAX(0,M347-U347)</x:f>
        <x:v>1</x:v>
      </x:c>
      <x:c r="W347" s="209" t="n">
        <x:f>IFERROR(U347/M347,0)</x:f>
        <x:v>0</x:v>
      </x:c>
      <x:c r="X347" s="201" t="str">
        <x:f>IF(U347=0,"Não iniciado",IF(U347&gt;=M347,"Concluído","Parcial"))</x:f>
        <x:v>Não iniciado</x:v>
      </x:c>
      <x:c r="Y347" s="199" t="str"/>
      <x:c r="Z347" s="188" t="str">
        <x:v>Normal</x:v>
      </x:c>
    </x:row>
    <x:row r="348" ht="22" customHeight="1">
      <x:c r="A348" s="219" t="n">
        <x:v>344</x:v>
      </x:c>
      <x:c r="B348" s="220" t="str">
        <x:v>26739</x:v>
      </x:c>
      <x:c r="C348" s="220" t="str">
        <x:v>24</x:v>
      </x:c>
      <x:c r="D348" s="220" t="str">
        <x:v>609755</x:v>
      </x:c>
      <x:c r="E348" s="220" t="str">
        <x:v>919640</x:v>
      </x:c>
      <x:c r="F348" s="220" t="str">
        <x:v>OUTROS</x:v>
      </x:c>
      <x:c r="G348" s="190" t="str">
        <x:v>TR AL 1100X50X9 RTO LME REC PET BCO (ULT</x:v>
      </x:c>
      <x:c r="H348" s="190" t="str"/>
      <x:c r="I348" s="190" t="str"/>
      <x:c r="J348" s="190" t="str"/>
      <x:c r="K348" s="190" t="str">
        <x:v>ESMALTE</x:v>
      </x:c>
      <x:c r="L348" s="190" t="str">
        <x:v>BRANCO CARRARA</x:v>
      </x:c>
      <x:c r="M348" s="210" t="n">
        <x:v>2</x:v>
      </x:c>
      <x:c r="N348" s="210" t="n">
        <x:v>1100</x:v>
      </x:c>
      <x:c r="O348" s="210" t="n">
        <x:v>50</x:v>
      </x:c>
      <x:c r="P348" s="210" t="n">
        <x:v>9</x:v>
      </x:c>
      <x:c r="Q348" s="211" t="n">
        <x:v>0</x:v>
      </x:c>
      <x:c r="R348" s="207" t="str"/>
      <x:c r="S348" s="207" t="str"/>
      <x:c r="T348" s="207" t="str"/>
      <x:c r="U348" s="207" t="n">
        <x:v>0</x:v>
      </x:c>
      <x:c r="V348" s="208" t="n">
        <x:f>MAX(0,M348-U348)</x:f>
        <x:v>2</x:v>
      </x:c>
      <x:c r="W348" s="209" t="n">
        <x:f>IFERROR(U348/M348,0)</x:f>
        <x:v>0</x:v>
      </x:c>
      <x:c r="X348" s="201" t="str">
        <x:f>IF(U348=0,"Não iniciado",IF(U348&gt;=M348,"Concluído","Parcial"))</x:f>
        <x:v>Não iniciado</x:v>
      </x:c>
      <x:c r="Y348" s="199" t="str"/>
      <x:c r="Z348" s="188" t="str">
        <x:v>Normal</x:v>
      </x:c>
    </x:row>
    <x:row r="349" ht="22" customHeight="1">
      <x:c r="A349" s="217" t="n">
        <x:v>345</x:v>
      </x:c>
      <x:c r="B349" s="218" t="str">
        <x:v>26739</x:v>
      </x:c>
      <x:c r="C349" s="218" t="str">
        <x:v>24</x:v>
      </x:c>
      <x:c r="D349" s="218" t="str">
        <x:v>609761</x:v>
      </x:c>
      <x:c r="E349" s="218" t="str">
        <x:v>966149</x:v>
      </x:c>
      <x:c r="F349" s="218" t="str">
        <x:v>OUTROS</x:v>
      </x:c>
      <x:c r="G349" s="184" t="str">
        <x:v>TR AL 1100X50X9 RTO RL80 REC PET BCO (UL</x:v>
      </x:c>
      <x:c r="H349" s="184" t="str"/>
      <x:c r="I349" s="184" t="str"/>
      <x:c r="J349" s="184" t="str"/>
      <x:c r="K349" s="184" t="str">
        <x:v>ESMALTE</x:v>
      </x:c>
      <x:c r="L349" s="184" t="str">
        <x:v>BRANCO CARRARA</x:v>
      </x:c>
      <x:c r="M349" s="205" t="n">
        <x:v>2</x:v>
      </x:c>
      <x:c r="N349" s="205" t="n">
        <x:v>1100</x:v>
      </x:c>
      <x:c r="O349" s="205" t="n">
        <x:v>50</x:v>
      </x:c>
      <x:c r="P349" s="205" t="n">
        <x:v>9</x:v>
      </x:c>
      <x:c r="Q349" s="206" t="n">
        <x:v>0</x:v>
      </x:c>
      <x:c r="R349" s="207" t="str"/>
      <x:c r="S349" s="207" t="str"/>
      <x:c r="T349" s="207" t="str"/>
      <x:c r="U349" s="207" t="n">
        <x:v>0</x:v>
      </x:c>
      <x:c r="V349" s="208" t="n">
        <x:f>MAX(0,M349-U349)</x:f>
        <x:v>2</x:v>
      </x:c>
      <x:c r="W349" s="209" t="n">
        <x:f>IFERROR(U349/M349,0)</x:f>
        <x:v>0</x:v>
      </x:c>
      <x:c r="X349" s="201" t="str">
        <x:f>IF(U349=0,"Não iniciado",IF(U349&gt;=M349,"Concluído","Parcial"))</x:f>
        <x:v>Não iniciado</x:v>
      </x:c>
      <x:c r="Y349" s="199" t="str"/>
      <x:c r="Z349" s="188" t="str">
        <x:v>Normal</x:v>
      </x:c>
    </x:row>
    <x:row r="350" ht="22" customHeight="1">
      <x:c r="A350" s="219" t="n">
        <x:v>346</x:v>
      </x:c>
      <x:c r="B350" s="220" t="str">
        <x:v>26739</x:v>
      </x:c>
      <x:c r="C350" s="220" t="str">
        <x:v>25</x:v>
      </x:c>
      <x:c r="D350" s="220" t="str">
        <x:v>609769</x:v>
      </x:c>
      <x:c r="E350" s="220" t="str">
        <x:v>919640</x:v>
      </x:c>
      <x:c r="F350" s="220" t="str">
        <x:v>OUTROS</x:v>
      </x:c>
      <x:c r="G350" s="190" t="str">
        <x:v>TR AL 1100X50X9 RTO LME REC PET BCO (ULT</x:v>
      </x:c>
      <x:c r="H350" s="190" t="str"/>
      <x:c r="I350" s="190" t="str"/>
      <x:c r="J350" s="190" t="str"/>
      <x:c r="K350" s="190" t="str">
        <x:v>ESMALTE</x:v>
      </x:c>
      <x:c r="L350" s="190" t="str">
        <x:v>BRANCO CARRARA</x:v>
      </x:c>
      <x:c r="M350" s="210" t="n">
        <x:v>1</x:v>
      </x:c>
      <x:c r="N350" s="210" t="n">
        <x:v>1100</x:v>
      </x:c>
      <x:c r="O350" s="210" t="n">
        <x:v>50</x:v>
      </x:c>
      <x:c r="P350" s="210" t="n">
        <x:v>9</x:v>
      </x:c>
      <x:c r="Q350" s="211" t="n">
        <x:v>0</x:v>
      </x:c>
      <x:c r="R350" s="207" t="str"/>
      <x:c r="S350" s="207" t="str"/>
      <x:c r="T350" s="207" t="str"/>
      <x:c r="U350" s="207" t="n">
        <x:v>0</x:v>
      </x:c>
      <x:c r="V350" s="208" t="n">
        <x:f>MAX(0,M350-U350)</x:f>
        <x:v>1</x:v>
      </x:c>
      <x:c r="W350" s="209" t="n">
        <x:f>IFERROR(U350/M350,0)</x:f>
        <x:v>0</x:v>
      </x:c>
      <x:c r="X350" s="201" t="str">
        <x:f>IF(U350=0,"Não iniciado",IF(U350&gt;=M350,"Concluído","Parcial"))</x:f>
        <x:v>Não iniciado</x:v>
      </x:c>
      <x:c r="Y350" s="199" t="str"/>
      <x:c r="Z350" s="188" t="str">
        <x:v>Normal</x:v>
      </x:c>
    </x:row>
    <x:row r="351" ht="22" customHeight="1">
      <x:c r="A351" s="217" t="n">
        <x:v>347</x:v>
      </x:c>
      <x:c r="B351" s="218" t="str">
        <x:v>26739</x:v>
      </x:c>
      <x:c r="C351" s="218" t="str">
        <x:v>25</x:v>
      </x:c>
      <x:c r="D351" s="218" t="str">
        <x:v>609775</x:v>
      </x:c>
      <x:c r="E351" s="218" t="str">
        <x:v>966149</x:v>
      </x:c>
      <x:c r="F351" s="218" t="str">
        <x:v>OUTROS</x:v>
      </x:c>
      <x:c r="G351" s="184" t="str">
        <x:v>TR AL 1100X50X9 RTO RL80 REC PET BCO (UL</x:v>
      </x:c>
      <x:c r="H351" s="184" t="str"/>
      <x:c r="I351" s="184" t="str"/>
      <x:c r="J351" s="184" t="str"/>
      <x:c r="K351" s="184" t="str">
        <x:v>ESMALTE</x:v>
      </x:c>
      <x:c r="L351" s="184" t="str">
        <x:v>BRANCO CARRARA</x:v>
      </x:c>
      <x:c r="M351" s="205" t="n">
        <x:v>1</x:v>
      </x:c>
      <x:c r="N351" s="205" t="n">
        <x:v>1100</x:v>
      </x:c>
      <x:c r="O351" s="205" t="n">
        <x:v>50</x:v>
      </x:c>
      <x:c r="P351" s="205" t="n">
        <x:v>9</x:v>
      </x:c>
      <x:c r="Q351" s="206" t="n">
        <x:v>0</x:v>
      </x:c>
      <x:c r="R351" s="207" t="str"/>
      <x:c r="S351" s="207" t="str"/>
      <x:c r="T351" s="207" t="str"/>
      <x:c r="U351" s="207" t="n">
        <x:v>0</x:v>
      </x:c>
      <x:c r="V351" s="208" t="n">
        <x:f>MAX(0,M351-U351)</x:f>
        <x:v>1</x:v>
      </x:c>
      <x:c r="W351" s="209" t="n">
        <x:f>IFERROR(U351/M351,0)</x:f>
        <x:v>0</x:v>
      </x:c>
      <x:c r="X351" s="201" t="str">
        <x:f>IF(U351=0,"Não iniciado",IF(U351&gt;=M351,"Concluído","Parcial"))</x:f>
        <x:v>Não iniciado</x:v>
      </x:c>
      <x:c r="Y351" s="199" t="str"/>
      <x:c r="Z351" s="188" t="str">
        <x:v>Normal</x:v>
      </x:c>
    </x:row>
    <x:row r="352" ht="22" customHeight="1">
      <x:c r="A352" s="219" t="n">
        <x:v>348</x:v>
      </x:c>
      <x:c r="B352" s="220" t="str">
        <x:v>26744</x:v>
      </x:c>
      <x:c r="C352" s="220" t="str">
        <x:v>1</x:v>
      </x:c>
      <x:c r="D352" s="220" t="str">
        <x:v>609989</x:v>
      </x:c>
      <x:c r="E352" s="220" t="str">
        <x:v>919640</x:v>
      </x:c>
      <x:c r="F352" s="220" t="str">
        <x:v>OUTROS</x:v>
      </x:c>
      <x:c r="G352" s="190" t="str">
        <x:v>TR AL 1100X50X9 RTO LME REC PET BCO (ULT</x:v>
      </x:c>
      <x:c r="H352" s="190" t="str"/>
      <x:c r="I352" s="190" t="str"/>
      <x:c r="J352" s="190" t="str"/>
      <x:c r="K352" s="190" t="str">
        <x:v>RECOBERTO PET</x:v>
      </x:c>
      <x:c r="L352" s="190" t="str">
        <x:v>BRANCO CARRARA</x:v>
      </x:c>
      <x:c r="M352" s="210" t="n">
        <x:v>4</x:v>
      </x:c>
      <x:c r="N352" s="210" t="n">
        <x:v>1100</x:v>
      </x:c>
      <x:c r="O352" s="210" t="n">
        <x:v>50</x:v>
      </x:c>
      <x:c r="P352" s="210" t="n">
        <x:v>9</x:v>
      </x:c>
      <x:c r="Q352" s="211" t="n">
        <x:v>0</x:v>
      </x:c>
      <x:c r="R352" s="207" t="str"/>
      <x:c r="S352" s="207" t="str"/>
      <x:c r="T352" s="207" t="str"/>
      <x:c r="U352" s="207" t="n">
        <x:v>0</x:v>
      </x:c>
      <x:c r="V352" s="208" t="n">
        <x:f>MAX(0,M352-U352)</x:f>
        <x:v>4</x:v>
      </x:c>
      <x:c r="W352" s="209" t="n">
        <x:f>IFERROR(U352/M352,0)</x:f>
        <x:v>0</x:v>
      </x:c>
      <x:c r="X352" s="201" t="str">
        <x:f>IF(U352=0,"Não iniciado",IF(U352&gt;=M352,"Concluído","Parcial"))</x:f>
        <x:v>Não iniciado</x:v>
      </x:c>
      <x:c r="Y352" s="199" t="str"/>
      <x:c r="Z352" s="188" t="str">
        <x:v>Normal</x:v>
      </x:c>
    </x:row>
    <x:row r="353" ht="22" customHeight="1">
      <x:c r="A353" s="217" t="n">
        <x:v>349</x:v>
      </x:c>
      <x:c r="B353" s="218" t="str">
        <x:v>26744</x:v>
      </x:c>
      <x:c r="C353" s="218" t="str">
        <x:v>2</x:v>
      </x:c>
      <x:c r="D353" s="218" t="str">
        <x:v>609998</x:v>
      </x:c>
      <x:c r="E353" s="218" t="str">
        <x:v>919640</x:v>
      </x:c>
      <x:c r="F353" s="218" t="str">
        <x:v>OUTROS</x:v>
      </x:c>
      <x:c r="G353" s="184" t="str">
        <x:v>TR AL 1100X50X9 RTO LME REC PET BCO (ULT</x:v>
      </x:c>
      <x:c r="H353" s="184" t="str"/>
      <x:c r="I353" s="184" t="str"/>
      <x:c r="J353" s="184" t="str"/>
      <x:c r="K353" s="184" t="str">
        <x:v>RECOBERTO PET</x:v>
      </x:c>
      <x:c r="L353" s="184" t="str">
        <x:v>BRANCO CARRARA</x:v>
      </x:c>
      <x:c r="M353" s="205" t="n">
        <x:v>5</x:v>
      </x:c>
      <x:c r="N353" s="205" t="n">
        <x:v>1100</x:v>
      </x:c>
      <x:c r="O353" s="205" t="n">
        <x:v>50</x:v>
      </x:c>
      <x:c r="P353" s="205" t="n">
        <x:v>9</x:v>
      </x:c>
      <x:c r="Q353" s="206" t="n">
        <x:v>0</x:v>
      </x:c>
      <x:c r="R353" s="207" t="str"/>
      <x:c r="S353" s="207" t="str"/>
      <x:c r="T353" s="207" t="str"/>
      <x:c r="U353" s="207" t="n">
        <x:v>0</x:v>
      </x:c>
      <x:c r="V353" s="208" t="n">
        <x:f>MAX(0,M353-U353)</x:f>
        <x:v>5</x:v>
      </x:c>
      <x:c r="W353" s="209" t="n">
        <x:f>IFERROR(U353/M353,0)</x:f>
        <x:v>0</x:v>
      </x:c>
      <x:c r="X353" s="201" t="str">
        <x:f>IF(U353=0,"Não iniciado",IF(U353&gt;=M353,"Concluído","Parcial"))</x:f>
        <x:v>Não iniciado</x:v>
      </x:c>
      <x:c r="Y353" s="199" t="str"/>
      <x:c r="Z353" s="188" t="str">
        <x:v>Normal</x:v>
      </x:c>
    </x:row>
    <x:row r="354" ht="22" customHeight="1">
      <x:c r="A354" s="219" t="n">
        <x:v>350</x:v>
      </x:c>
      <x:c r="B354" s="220" t="str">
        <x:v>26744</x:v>
      </x:c>
      <x:c r="C354" s="220" t="str">
        <x:v>3</x:v>
      </x:c>
      <x:c r="D354" s="220" t="str">
        <x:v>610007</x:v>
      </x:c>
      <x:c r="E354" s="220" t="str">
        <x:v>919639</x:v>
      </x:c>
      <x:c r="F354" s="220" t="str">
        <x:v>OUTROS</x:v>
      </x:c>
      <x:c r="G354" s="190" t="str">
        <x:v>TR AL 1100X50X9 RTO RL55 REC PET BCO (UL</x:v>
      </x:c>
      <x:c r="H354" s="190" t="str"/>
      <x:c r="I354" s="190" t="str"/>
      <x:c r="J354" s="190" t="str"/>
      <x:c r="K354" s="190" t="str">
        <x:v>RECOBERTO PET</x:v>
      </x:c>
      <x:c r="L354" s="190" t="str">
        <x:v>BRANCO CARRARA</x:v>
      </x:c>
      <x:c r="M354" s="210" t="n">
        <x:v>1</x:v>
      </x:c>
      <x:c r="N354" s="210" t="n">
        <x:v>1100</x:v>
      </x:c>
      <x:c r="O354" s="210" t="n">
        <x:v>50</x:v>
      </x:c>
      <x:c r="P354" s="210" t="n">
        <x:v>9</x:v>
      </x:c>
      <x:c r="Q354" s="211" t="n">
        <x:v>0</x:v>
      </x:c>
      <x:c r="R354" s="207" t="str"/>
      <x:c r="S354" s="207" t="str"/>
      <x:c r="T354" s="207" t="str"/>
      <x:c r="U354" s="207" t="n">
        <x:v>0</x:v>
      </x:c>
      <x:c r="V354" s="208" t="n">
        <x:f>MAX(0,M354-U354)</x:f>
        <x:v>1</x:v>
      </x:c>
      <x:c r="W354" s="209" t="n">
        <x:f>IFERROR(U354/M354,0)</x:f>
        <x:v>0</x:v>
      </x:c>
      <x:c r="X354" s="201" t="str">
        <x:f>IF(U354=0,"Não iniciado",IF(U354&gt;=M354,"Concluído","Parcial"))</x:f>
        <x:v>Não iniciado</x:v>
      </x:c>
      <x:c r="Y354" s="199" t="str"/>
      <x:c r="Z354" s="188" t="str">
        <x:v>Normal</x:v>
      </x:c>
    </x:row>
    <x:row r="355" ht="22" customHeight="1">
      <x:c r="A355" s="217" t="n">
        <x:v>351</x:v>
      </x:c>
      <x:c r="B355" s="218" t="str">
        <x:v>26744</x:v>
      </x:c>
      <x:c r="C355" s="218" t="str">
        <x:v>3</x:v>
      </x:c>
      <x:c r="D355" s="218" t="str">
        <x:v>610008</x:v>
      </x:c>
      <x:c r="E355" s="218" t="str">
        <x:v>919640</x:v>
      </x:c>
      <x:c r="F355" s="218" t="str">
        <x:v>OUTROS</x:v>
      </x:c>
      <x:c r="G355" s="184" t="str">
        <x:v>TR AL 1100X50X9 RTO LME REC PET BCO (ULT</x:v>
      </x:c>
      <x:c r="H355" s="184" t="str"/>
      <x:c r="I355" s="184" t="str"/>
      <x:c r="J355" s="184" t="str"/>
      <x:c r="K355" s="184" t="str">
        <x:v>RECOBERTO PET</x:v>
      </x:c>
      <x:c r="L355" s="184" t="str">
        <x:v>BRANCO CARRARA</x:v>
      </x:c>
      <x:c r="M355" s="205" t="n">
        <x:v>1</x:v>
      </x:c>
      <x:c r="N355" s="205" t="n">
        <x:v>1100</x:v>
      </x:c>
      <x:c r="O355" s="205" t="n">
        <x:v>50</x:v>
      </x:c>
      <x:c r="P355" s="205" t="n">
        <x:v>9</x:v>
      </x:c>
      <x:c r="Q355" s="206" t="n">
        <x:v>0</x:v>
      </x:c>
      <x:c r="R355" s="207" t="str"/>
      <x:c r="S355" s="207" t="str"/>
      <x:c r="T355" s="207" t="str"/>
      <x:c r="U355" s="207" t="n">
        <x:v>0</x:v>
      </x:c>
      <x:c r="V355" s="208" t="n">
        <x:f>MAX(0,M355-U355)</x:f>
        <x:v>1</x:v>
      </x:c>
      <x:c r="W355" s="209" t="n">
        <x:f>IFERROR(U355/M355,0)</x:f>
        <x:v>0</x:v>
      </x:c>
      <x:c r="X355" s="201" t="str">
        <x:f>IF(U355=0,"Não iniciado",IF(U355&gt;=M355,"Concluído","Parcial"))</x:f>
        <x:v>Não iniciado</x:v>
      </x:c>
      <x:c r="Y355" s="199" t="str"/>
      <x:c r="Z355" s="188" t="str">
        <x:v>Normal</x:v>
      </x:c>
    </x:row>
    <x:row r="356" ht="22" customHeight="1">
      <x:c r="A356" s="219" t="n">
        <x:v>352</x:v>
      </x:c>
      <x:c r="B356" s="220" t="str">
        <x:v>26744</x:v>
      </x:c>
      <x:c r="C356" s="220" t="str">
        <x:v>7</x:v>
      </x:c>
      <x:c r="D356" s="220" t="str">
        <x:v>610024</x:v>
      </x:c>
      <x:c r="E356" s="220" t="str">
        <x:v>919640</x:v>
      </x:c>
      <x:c r="F356" s="220" t="str">
        <x:v>OUTROS</x:v>
      </x:c>
      <x:c r="G356" s="190" t="str">
        <x:v>TR AL 1100X50X9 RTO LME REC PET BCO (ULT</x:v>
      </x:c>
      <x:c r="H356" s="190" t="str">
        <x:v>REG 2L(MAIOR 35mm)</x:v>
      </x:c>
      <x:c r="I356" s="190" t="str"/>
      <x:c r="J356" s="190" t="str"/>
      <x:c r="K356" s="190" t="str">
        <x:v>RECOBERTO PET</x:v>
      </x:c>
      <x:c r="L356" s="190" t="str">
        <x:v>BRANCO CARRARA</x:v>
      </x:c>
      <x:c r="M356" s="210" t="n">
        <x:v>2</x:v>
      </x:c>
      <x:c r="N356" s="210" t="n">
        <x:v>1100</x:v>
      </x:c>
      <x:c r="O356" s="210" t="n">
        <x:v>50</x:v>
      </x:c>
      <x:c r="P356" s="210" t="n">
        <x:v>9</x:v>
      </x:c>
      <x:c r="Q356" s="211" t="n">
        <x:v>0</x:v>
      </x:c>
      <x:c r="R356" s="207" t="str"/>
      <x:c r="S356" s="207" t="str"/>
      <x:c r="T356" s="207" t="str"/>
      <x:c r="U356" s="207" t="n">
        <x:v>0</x:v>
      </x:c>
      <x:c r="V356" s="208" t="n">
        <x:f>MAX(0,M356-U356)</x:f>
        <x:v>2</x:v>
      </x:c>
      <x:c r="W356" s="209" t="n">
        <x:f>IFERROR(U356/M356,0)</x:f>
        <x:v>0</x:v>
      </x:c>
      <x:c r="X356" s="201" t="str">
        <x:f>IF(U356=0,"Não iniciado",IF(U356&gt;=M356,"Concluído","Parcial"))</x:f>
        <x:v>Não iniciado</x:v>
      </x:c>
      <x:c r="Y356" s="199" t="str"/>
      <x:c r="Z356" s="188" t="str">
        <x:v>Normal</x:v>
      </x:c>
    </x:row>
    <x:row r="357" ht="22" customHeight="1">
      <x:c r="A357" s="217" t="n">
        <x:v>353</x:v>
      </x:c>
      <x:c r="B357" s="218" t="str">
        <x:v>26750</x:v>
      </x:c>
      <x:c r="C357" s="218" t="str">
        <x:v>10</x:v>
      </x:c>
      <x:c r="D357" s="218" t="str">
        <x:v>609804</x:v>
      </x:c>
      <x:c r="E357" s="218" t="str">
        <x:v>919640</x:v>
      </x:c>
      <x:c r="F357" s="218" t="str">
        <x:v>OUTROS</x:v>
      </x:c>
      <x:c r="G357" s="184" t="str">
        <x:v>TR AL 1100X50X9 RTO LME REC PET BCO (ULT</x:v>
      </x:c>
      <x:c r="H357" s="184" t="str"/>
      <x:c r="I357" s="184" t="str"/>
      <x:c r="J357" s="184" t="str"/>
      <x:c r="K357" s="184" t="str">
        <x:v>ESMALTE</x:v>
      </x:c>
      <x:c r="L357" s="184" t="str">
        <x:v>BRANCO CARRARA</x:v>
      </x:c>
      <x:c r="M357" s="205" t="n">
        <x:v>2</x:v>
      </x:c>
      <x:c r="N357" s="205" t="n">
        <x:v>1100</x:v>
      </x:c>
      <x:c r="O357" s="205" t="n">
        <x:v>50</x:v>
      </x:c>
      <x:c r="P357" s="205" t="n">
        <x:v>9</x:v>
      </x:c>
      <x:c r="Q357" s="206" t="n">
        <x:v>0</x:v>
      </x:c>
      <x:c r="R357" s="207" t="str"/>
      <x:c r="S357" s="207" t="str"/>
      <x:c r="T357" s="207" t="str"/>
      <x:c r="U357" s="207" t="n">
        <x:v>0</x:v>
      </x:c>
      <x:c r="V357" s="208" t="n">
        <x:f>MAX(0,M357-U357)</x:f>
        <x:v>2</x:v>
      </x:c>
      <x:c r="W357" s="209" t="n">
        <x:f>IFERROR(U357/M357,0)</x:f>
        <x:v>0</x:v>
      </x:c>
      <x:c r="X357" s="201" t="str">
        <x:f>IF(U357=0,"Não iniciado",IF(U357&gt;=M357,"Concluído","Parcial"))</x:f>
        <x:v>Não iniciado</x:v>
      </x:c>
      <x:c r="Y357" s="199" t="str"/>
      <x:c r="Z357" s="188" t="str">
        <x:v>Normal</x:v>
      </x:c>
    </x:row>
    <x:row r="358" ht="22" customHeight="1">
      <x:c r="A358" s="219" t="n">
        <x:v>354</x:v>
      </x:c>
      <x:c r="B358" s="220" t="str">
        <x:v>26750</x:v>
      </x:c>
      <x:c r="C358" s="220" t="str">
        <x:v>10</x:v>
      </x:c>
      <x:c r="D358" s="220" t="str">
        <x:v>609807</x:v>
      </x:c>
      <x:c r="E358" s="220" t="str">
        <x:v>966149</x:v>
      </x:c>
      <x:c r="F358" s="220" t="str">
        <x:v>OUTROS</x:v>
      </x:c>
      <x:c r="G358" s="190" t="str">
        <x:v>TR AL 1100X50X9 RTO RL80 REC PET BCO (UL</x:v>
      </x:c>
      <x:c r="H358" s="190" t="str"/>
      <x:c r="I358" s="190" t="str"/>
      <x:c r="J358" s="190" t="str"/>
      <x:c r="K358" s="190" t="str">
        <x:v>ESMALTE</x:v>
      </x:c>
      <x:c r="L358" s="190" t="str">
        <x:v>BRANCO CARRARA</x:v>
      </x:c>
      <x:c r="M358" s="210" t="n">
        <x:v>2</x:v>
      </x:c>
      <x:c r="N358" s="210" t="n">
        <x:v>1100</x:v>
      </x:c>
      <x:c r="O358" s="210" t="n">
        <x:v>50</x:v>
      </x:c>
      <x:c r="P358" s="210" t="n">
        <x:v>9</x:v>
      </x:c>
      <x:c r="Q358" s="211" t="n">
        <x:v>0</x:v>
      </x:c>
      <x:c r="R358" s="207" t="str"/>
      <x:c r="S358" s="207" t="str"/>
      <x:c r="T358" s="207" t="str"/>
      <x:c r="U358" s="207" t="n">
        <x:v>0</x:v>
      </x:c>
      <x:c r="V358" s="208" t="n">
        <x:f>MAX(0,M358-U358)</x:f>
        <x:v>2</x:v>
      </x:c>
      <x:c r="W358" s="209" t="n">
        <x:f>IFERROR(U358/M358,0)</x:f>
        <x:v>0</x:v>
      </x:c>
      <x:c r="X358" s="201" t="str">
        <x:f>IF(U358=0,"Não iniciado",IF(U358&gt;=M358,"Concluído","Parcial"))</x:f>
        <x:v>Não iniciado</x:v>
      </x:c>
      <x:c r="Y358" s="199" t="str"/>
      <x:c r="Z358" s="188" t="str">
        <x:v>Normal</x:v>
      </x:c>
    </x:row>
    <x:row r="359" ht="22" customHeight="1">
      <x:c r="A359" s="217" t="n">
        <x:v>355</x:v>
      </x:c>
      <x:c r="B359" s="218" t="str">
        <x:v>26750</x:v>
      </x:c>
      <x:c r="C359" s="218" t="str">
        <x:v>11</x:v>
      </x:c>
      <x:c r="D359" s="218" t="str">
        <x:v>609812</x:v>
      </x:c>
      <x:c r="E359" s="218" t="str">
        <x:v>919640</x:v>
      </x:c>
      <x:c r="F359" s="218" t="str">
        <x:v>OUTROS</x:v>
      </x:c>
      <x:c r="G359" s="184" t="str">
        <x:v>TR AL 1100X50X9 RTO LME REC PET BCO (ULT</x:v>
      </x:c>
      <x:c r="H359" s="184" t="str"/>
      <x:c r="I359" s="184" t="str"/>
      <x:c r="J359" s="184" t="str"/>
      <x:c r="K359" s="184" t="str">
        <x:v>ESMALTE</x:v>
      </x:c>
      <x:c r="L359" s="184" t="str">
        <x:v>BRANCO CARRARA</x:v>
      </x:c>
      <x:c r="M359" s="205" t="n">
        <x:v>12</x:v>
      </x:c>
      <x:c r="N359" s="205" t="n">
        <x:v>1100</x:v>
      </x:c>
      <x:c r="O359" s="205" t="n">
        <x:v>50</x:v>
      </x:c>
      <x:c r="P359" s="205" t="n">
        <x:v>9</x:v>
      </x:c>
      <x:c r="Q359" s="206" t="n">
        <x:v>0</x:v>
      </x:c>
      <x:c r="R359" s="207" t="str"/>
      <x:c r="S359" s="207" t="str"/>
      <x:c r="T359" s="207" t="str"/>
      <x:c r="U359" s="207" t="n">
        <x:v>0</x:v>
      </x:c>
      <x:c r="V359" s="208" t="n">
        <x:f>MAX(0,M359-U359)</x:f>
        <x:v>12</x:v>
      </x:c>
      <x:c r="W359" s="209" t="n">
        <x:f>IFERROR(U359/M359,0)</x:f>
        <x:v>0</x:v>
      </x:c>
      <x:c r="X359" s="201" t="str">
        <x:f>IF(U359=0,"Não iniciado",IF(U359&gt;=M359,"Concluído","Parcial"))</x:f>
        <x:v>Não iniciado</x:v>
      </x:c>
      <x:c r="Y359" s="199" t="str"/>
      <x:c r="Z359" s="188" t="str">
        <x:v>Normal</x:v>
      </x:c>
    </x:row>
    <x:row r="360" ht="22" customHeight="1">
      <x:c r="A360" s="219" t="n">
        <x:v>356</x:v>
      </x:c>
      <x:c r="B360" s="220" t="str">
        <x:v>26750</x:v>
      </x:c>
      <x:c r="C360" s="220" t="str">
        <x:v>11</x:v>
      </x:c>
      <x:c r="D360" s="220" t="str">
        <x:v>609814</x:v>
      </x:c>
      <x:c r="E360" s="220" t="str">
        <x:v>966149</x:v>
      </x:c>
      <x:c r="F360" s="220" t="str">
        <x:v>OUTROS</x:v>
      </x:c>
      <x:c r="G360" s="190" t="str">
        <x:v>TR AL 1100X50X9 RTO RL80 REC PET BCO (UL</x:v>
      </x:c>
      <x:c r="H360" s="190" t="str"/>
      <x:c r="I360" s="190" t="str"/>
      <x:c r="J360" s="190" t="str"/>
      <x:c r="K360" s="190" t="str">
        <x:v>ESMALTE</x:v>
      </x:c>
      <x:c r="L360" s="190" t="str">
        <x:v>BRANCO CARRARA</x:v>
      </x:c>
      <x:c r="M360" s="210" t="n">
        <x:v>12</x:v>
      </x:c>
      <x:c r="N360" s="210" t="n">
        <x:v>1100</x:v>
      </x:c>
      <x:c r="O360" s="210" t="n">
        <x:v>50</x:v>
      </x:c>
      <x:c r="P360" s="210" t="n">
        <x:v>9</x:v>
      </x:c>
      <x:c r="Q360" s="211" t="n">
        <x:v>0</x:v>
      </x:c>
      <x:c r="R360" s="207" t="str"/>
      <x:c r="S360" s="207" t="str"/>
      <x:c r="T360" s="207" t="str"/>
      <x:c r="U360" s="207" t="n">
        <x:v>0</x:v>
      </x:c>
      <x:c r="V360" s="208" t="n">
        <x:f>MAX(0,M360-U360)</x:f>
        <x:v>12</x:v>
      </x:c>
      <x:c r="W360" s="209" t="n">
        <x:f>IFERROR(U360/M360,0)</x:f>
        <x:v>0</x:v>
      </x:c>
      <x:c r="X360" s="201" t="str">
        <x:f>IF(U360=0,"Não iniciado",IF(U360&gt;=M360,"Concluído","Parcial"))</x:f>
        <x:v>Não iniciado</x:v>
      </x:c>
      <x:c r="Y360" s="199" t="str"/>
      <x:c r="Z360" s="188" t="str">
        <x:v>Normal</x:v>
      </x:c>
    </x:row>
    <x:row r="361" ht="22" customHeight="1">
      <x:c r="A361" s="217" t="n">
        <x:v>357</x:v>
      </x:c>
      <x:c r="B361" s="218" t="str">
        <x:v>26750</x:v>
      </x:c>
      <x:c r="C361" s="218" t="str">
        <x:v>12</x:v>
      </x:c>
      <x:c r="D361" s="218" t="str">
        <x:v>609821</x:v>
      </x:c>
      <x:c r="E361" s="218" t="str">
        <x:v>919640</x:v>
      </x:c>
      <x:c r="F361" s="218" t="str">
        <x:v>OUTROS</x:v>
      </x:c>
      <x:c r="G361" s="184" t="str">
        <x:v>TR AL 1100X50X9 RTO LME REC PET BCO (ULT</x:v>
      </x:c>
      <x:c r="H361" s="184" t="str"/>
      <x:c r="I361" s="184" t="str"/>
      <x:c r="J361" s="184" t="str"/>
      <x:c r="K361" s="184" t="str">
        <x:v>ESMALTE</x:v>
      </x:c>
      <x:c r="L361" s="184" t="str">
        <x:v>BRANCO CARRARA</x:v>
      </x:c>
      <x:c r="M361" s="205" t="n">
        <x:v>4</x:v>
      </x:c>
      <x:c r="N361" s="205" t="n">
        <x:v>1100</x:v>
      </x:c>
      <x:c r="O361" s="205" t="n">
        <x:v>50</x:v>
      </x:c>
      <x:c r="P361" s="205" t="n">
        <x:v>9</x:v>
      </x:c>
      <x:c r="Q361" s="206" t="n">
        <x:v>0</x:v>
      </x:c>
      <x:c r="R361" s="207" t="str"/>
      <x:c r="S361" s="207" t="str"/>
      <x:c r="T361" s="207" t="str"/>
      <x:c r="U361" s="207" t="n">
        <x:v>0</x:v>
      </x:c>
      <x:c r="V361" s="208" t="n">
        <x:f>MAX(0,M361-U361)</x:f>
        <x:v>4</x:v>
      </x:c>
      <x:c r="W361" s="209" t="n">
        <x:f>IFERROR(U361/M361,0)</x:f>
        <x:v>0</x:v>
      </x:c>
      <x:c r="X361" s="201" t="str">
        <x:f>IF(U361=0,"Não iniciado",IF(U361&gt;=M361,"Concluído","Parcial"))</x:f>
        <x:v>Não iniciado</x:v>
      </x:c>
      <x:c r="Y361" s="199" t="str"/>
      <x:c r="Z361" s="188" t="str">
        <x:v>Normal</x:v>
      </x:c>
    </x:row>
    <x:row r="362" ht="22" customHeight="1">
      <x:c r="A362" s="219" t="n">
        <x:v>358</x:v>
      </x:c>
      <x:c r="B362" s="220" t="str">
        <x:v>26750</x:v>
      </x:c>
      <x:c r="C362" s="220" t="str">
        <x:v>12</x:v>
      </x:c>
      <x:c r="D362" s="220" t="str">
        <x:v>609823</x:v>
      </x:c>
      <x:c r="E362" s="220" t="str">
        <x:v>966149</x:v>
      </x:c>
      <x:c r="F362" s="220" t="str">
        <x:v>OUTROS</x:v>
      </x:c>
      <x:c r="G362" s="190" t="str">
        <x:v>TR AL 1100X50X9 RTO RL80 REC PET BCO (UL</x:v>
      </x:c>
      <x:c r="H362" s="190" t="str"/>
      <x:c r="I362" s="190" t="str"/>
      <x:c r="J362" s="190" t="str"/>
      <x:c r="K362" s="190" t="str">
        <x:v>ESMALTE</x:v>
      </x:c>
      <x:c r="L362" s="190" t="str">
        <x:v>BRANCO CARRARA</x:v>
      </x:c>
      <x:c r="M362" s="210" t="n">
        <x:v>4</x:v>
      </x:c>
      <x:c r="N362" s="210" t="n">
        <x:v>1100</x:v>
      </x:c>
      <x:c r="O362" s="210" t="n">
        <x:v>50</x:v>
      </x:c>
      <x:c r="P362" s="210" t="n">
        <x:v>9</x:v>
      </x:c>
      <x:c r="Q362" s="211" t="n">
        <x:v>0</x:v>
      </x:c>
      <x:c r="R362" s="207" t="str"/>
      <x:c r="S362" s="207" t="str"/>
      <x:c r="T362" s="207" t="str"/>
      <x:c r="U362" s="207" t="n">
        <x:v>0</x:v>
      </x:c>
      <x:c r="V362" s="208" t="n">
        <x:f>MAX(0,M362-U362)</x:f>
        <x:v>4</x:v>
      </x:c>
      <x:c r="W362" s="209" t="n">
        <x:f>IFERROR(U362/M362,0)</x:f>
        <x:v>0</x:v>
      </x:c>
      <x:c r="X362" s="201" t="str">
        <x:f>IF(U362=0,"Não iniciado",IF(U362&gt;=M362,"Concluído","Parcial"))</x:f>
        <x:v>Não iniciado</x:v>
      </x:c>
      <x:c r="Y362" s="199" t="str"/>
      <x:c r="Z362" s="188" t="str">
        <x:v>Normal</x:v>
      </x:c>
    </x:row>
    <x:row r="363" ht="22" customHeight="1">
      <x:c r="A363" s="217" t="n">
        <x:v>359</x:v>
      </x:c>
      <x:c r="B363" s="218" t="str">
        <x:v>26750</x:v>
      </x:c>
      <x:c r="C363" s="218" t="str">
        <x:v>13</x:v>
      </x:c>
      <x:c r="D363" s="218" t="str">
        <x:v>609828</x:v>
      </x:c>
      <x:c r="E363" s="218" t="str">
        <x:v>919640</x:v>
      </x:c>
      <x:c r="F363" s="218" t="str">
        <x:v>OUTROS</x:v>
      </x:c>
      <x:c r="G363" s="184" t="str">
        <x:v>TR AL 1100X50X9 RTO LME REC PET BCO (ULT</x:v>
      </x:c>
      <x:c r="H363" s="184" t="str"/>
      <x:c r="I363" s="184" t="str"/>
      <x:c r="J363" s="184" t="str"/>
      <x:c r="K363" s="184" t="str">
        <x:v>ESMALTE</x:v>
      </x:c>
      <x:c r="L363" s="184" t="str">
        <x:v>BRANCO CARRARA</x:v>
      </x:c>
      <x:c r="M363" s="205" t="n">
        <x:v>28</x:v>
      </x:c>
      <x:c r="N363" s="205" t="n">
        <x:v>1100</x:v>
      </x:c>
      <x:c r="O363" s="205" t="n">
        <x:v>50</x:v>
      </x:c>
      <x:c r="P363" s="205" t="n">
        <x:v>9</x:v>
      </x:c>
      <x:c r="Q363" s="206" t="n">
        <x:v>0</x:v>
      </x:c>
      <x:c r="R363" s="207" t="str"/>
      <x:c r="S363" s="207" t="str"/>
      <x:c r="T363" s="207" t="str"/>
      <x:c r="U363" s="207" t="n">
        <x:v>0</x:v>
      </x:c>
      <x:c r="V363" s="208" t="n">
        <x:f>MAX(0,M363-U363)</x:f>
        <x:v>28</x:v>
      </x:c>
      <x:c r="W363" s="209" t="n">
        <x:f>IFERROR(U363/M363,0)</x:f>
        <x:v>0</x:v>
      </x:c>
      <x:c r="X363" s="201" t="str">
        <x:f>IF(U363=0,"Não iniciado",IF(U363&gt;=M363,"Concluído","Parcial"))</x:f>
        <x:v>Não iniciado</x:v>
      </x:c>
      <x:c r="Y363" s="199" t="str"/>
      <x:c r="Z363" s="188" t="str">
        <x:v>Normal</x:v>
      </x:c>
    </x:row>
    <x:row r="364" ht="22" customHeight="1">
      <x:c r="A364" s="219" t="n">
        <x:v>360</x:v>
      </x:c>
      <x:c r="B364" s="220" t="str">
        <x:v>26750</x:v>
      </x:c>
      <x:c r="C364" s="220" t="str">
        <x:v>13</x:v>
      </x:c>
      <x:c r="D364" s="220" t="str">
        <x:v>609830</x:v>
      </x:c>
      <x:c r="E364" s="220" t="str">
        <x:v>966149</x:v>
      </x:c>
      <x:c r="F364" s="220" t="str">
        <x:v>OUTROS</x:v>
      </x:c>
      <x:c r="G364" s="190" t="str">
        <x:v>TR AL 1100X50X9 RTO RL80 REC PET BCO (UL</x:v>
      </x:c>
      <x:c r="H364" s="190" t="str"/>
      <x:c r="I364" s="190" t="str"/>
      <x:c r="J364" s="190" t="str"/>
      <x:c r="K364" s="190" t="str">
        <x:v>ESMALTE</x:v>
      </x:c>
      <x:c r="L364" s="190" t="str">
        <x:v>BRANCO CARRARA</x:v>
      </x:c>
      <x:c r="M364" s="210" t="n">
        <x:v>28</x:v>
      </x:c>
      <x:c r="N364" s="210" t="n">
        <x:v>1100</x:v>
      </x:c>
      <x:c r="O364" s="210" t="n">
        <x:v>50</x:v>
      </x:c>
      <x:c r="P364" s="210" t="n">
        <x:v>9</x:v>
      </x:c>
      <x:c r="Q364" s="211" t="n">
        <x:v>0</x:v>
      </x:c>
      <x:c r="R364" s="207" t="str"/>
      <x:c r="S364" s="207" t="str"/>
      <x:c r="T364" s="207" t="str"/>
      <x:c r="U364" s="207" t="n">
        <x:v>0</x:v>
      </x:c>
      <x:c r="V364" s="208" t="n">
        <x:f>MAX(0,M364-U364)</x:f>
        <x:v>28</x:v>
      </x:c>
      <x:c r="W364" s="209" t="n">
        <x:f>IFERROR(U364/M364,0)</x:f>
        <x:v>0</x:v>
      </x:c>
      <x:c r="X364" s="201" t="str">
        <x:f>IF(U364=0,"Não iniciado",IF(U364&gt;=M364,"Concluído","Parcial"))</x:f>
        <x:v>Não iniciado</x:v>
      </x:c>
      <x:c r="Y364" s="199" t="str"/>
      <x:c r="Z364" s="188" t="str">
        <x:v>Normal</x:v>
      </x:c>
    </x:row>
    <x:row r="365" ht="22" customHeight="1">
      <x:c r="A365" s="217" t="n">
        <x:v>361</x:v>
      </x:c>
      <x:c r="B365" s="218" t="str">
        <x:v>26750</x:v>
      </x:c>
      <x:c r="C365" s="218" t="str">
        <x:v>14</x:v>
      </x:c>
      <x:c r="D365" s="218" t="str">
        <x:v>609836</x:v>
      </x:c>
      <x:c r="E365" s="218" t="str">
        <x:v>919640</x:v>
      </x:c>
      <x:c r="F365" s="218" t="str">
        <x:v>OUTROS</x:v>
      </x:c>
      <x:c r="G365" s="184" t="str">
        <x:v>TR AL 1100X50X9 RTO LME REC PET BCO (ULT</x:v>
      </x:c>
      <x:c r="H365" s="184" t="str"/>
      <x:c r="I365" s="184" t="str"/>
      <x:c r="J365" s="184" t="str"/>
      <x:c r="K365" s="184" t="str">
        <x:v>ESMALTE</x:v>
      </x:c>
      <x:c r="L365" s="184" t="str">
        <x:v>BRANCO CARRARA</x:v>
      </x:c>
      <x:c r="M365" s="205" t="n">
        <x:v>19</x:v>
      </x:c>
      <x:c r="N365" s="205" t="n">
        <x:v>1100</x:v>
      </x:c>
      <x:c r="O365" s="205" t="n">
        <x:v>50</x:v>
      </x:c>
      <x:c r="P365" s="205" t="n">
        <x:v>9</x:v>
      </x:c>
      <x:c r="Q365" s="206" t="n">
        <x:v>0</x:v>
      </x:c>
      <x:c r="R365" s="207" t="str"/>
      <x:c r="S365" s="207" t="str"/>
      <x:c r="T365" s="207" t="str"/>
      <x:c r="U365" s="207" t="n">
        <x:v>0</x:v>
      </x:c>
      <x:c r="V365" s="208" t="n">
        <x:f>MAX(0,M365-U365)</x:f>
        <x:v>19</x:v>
      </x:c>
      <x:c r="W365" s="209" t="n">
        <x:f>IFERROR(U365/M365,0)</x:f>
        <x:v>0</x:v>
      </x:c>
      <x:c r="X365" s="201" t="str">
        <x:f>IF(U365=0,"Não iniciado",IF(U365&gt;=M365,"Concluído","Parcial"))</x:f>
        <x:v>Não iniciado</x:v>
      </x:c>
      <x:c r="Y365" s="199" t="str"/>
      <x:c r="Z365" s="188" t="str">
        <x:v>Normal</x:v>
      </x:c>
    </x:row>
    <x:row r="366" ht="22" customHeight="1">
      <x:c r="A366" s="219" t="n">
        <x:v>362</x:v>
      </x:c>
      <x:c r="B366" s="220" t="str">
        <x:v>26750</x:v>
      </x:c>
      <x:c r="C366" s="220" t="str">
        <x:v>14</x:v>
      </x:c>
      <x:c r="D366" s="220" t="str">
        <x:v>609840</x:v>
      </x:c>
      <x:c r="E366" s="220" t="str">
        <x:v>966149</x:v>
      </x:c>
      <x:c r="F366" s="220" t="str">
        <x:v>OUTROS</x:v>
      </x:c>
      <x:c r="G366" s="190" t="str">
        <x:v>TR AL 1100X50X9 RTO RL80 REC PET BCO (UL</x:v>
      </x:c>
      <x:c r="H366" s="190" t="str"/>
      <x:c r="I366" s="190" t="str"/>
      <x:c r="J366" s="190" t="str"/>
      <x:c r="K366" s="190" t="str">
        <x:v>ESMALTE</x:v>
      </x:c>
      <x:c r="L366" s="190" t="str">
        <x:v>BRANCO CARRARA</x:v>
      </x:c>
      <x:c r="M366" s="210" t="n">
        <x:v>19</x:v>
      </x:c>
      <x:c r="N366" s="210" t="n">
        <x:v>1100</x:v>
      </x:c>
      <x:c r="O366" s="210" t="n">
        <x:v>50</x:v>
      </x:c>
      <x:c r="P366" s="210" t="n">
        <x:v>9</x:v>
      </x:c>
      <x:c r="Q366" s="211" t="n">
        <x:v>0</x:v>
      </x:c>
      <x:c r="R366" s="207" t="str"/>
      <x:c r="S366" s="207" t="str"/>
      <x:c r="T366" s="207" t="str"/>
      <x:c r="U366" s="207" t="n">
        <x:v>0</x:v>
      </x:c>
      <x:c r="V366" s="208" t="n">
        <x:f>MAX(0,M366-U366)</x:f>
        <x:v>19</x:v>
      </x:c>
      <x:c r="W366" s="209" t="n">
        <x:f>IFERROR(U366/M366,0)</x:f>
        <x:v>0</x:v>
      </x:c>
      <x:c r="X366" s="201" t="str">
        <x:f>IF(U366=0,"Não iniciado",IF(U366&gt;=M366,"Concluído","Parcial"))</x:f>
        <x:v>Não iniciado</x:v>
      </x:c>
      <x:c r="Y366" s="199" t="str"/>
      <x:c r="Z366" s="188" t="str">
        <x:v>Normal</x:v>
      </x:c>
    </x:row>
    <x:row r="367" ht="22" customHeight="1">
      <x:c r="A367" s="217" t="n">
        <x:v>363</x:v>
      </x:c>
      <x:c r="B367" s="218" t="str">
        <x:v>26750</x:v>
      </x:c>
      <x:c r="C367" s="218" t="str">
        <x:v>15</x:v>
      </x:c>
      <x:c r="D367" s="218" t="str">
        <x:v>609845</x:v>
      </x:c>
      <x:c r="E367" s="218" t="str">
        <x:v>919640</x:v>
      </x:c>
      <x:c r="F367" s="218" t="str">
        <x:v>OUTROS</x:v>
      </x:c>
      <x:c r="G367" s="184" t="str">
        <x:v>TR AL 1100X50X9 RTO LME REC PET BCO (ULT</x:v>
      </x:c>
      <x:c r="H367" s="184" t="str"/>
      <x:c r="I367" s="184" t="str"/>
      <x:c r="J367" s="184" t="str"/>
      <x:c r="K367" s="184" t="str">
        <x:v>ESMALTE</x:v>
      </x:c>
      <x:c r="L367" s="184" t="str">
        <x:v>BRANCO CARRARA</x:v>
      </x:c>
      <x:c r="M367" s="205" t="n">
        <x:v>4</x:v>
      </x:c>
      <x:c r="N367" s="205" t="n">
        <x:v>1100</x:v>
      </x:c>
      <x:c r="O367" s="205" t="n">
        <x:v>50</x:v>
      </x:c>
      <x:c r="P367" s="205" t="n">
        <x:v>9</x:v>
      </x:c>
      <x:c r="Q367" s="206" t="n">
        <x:v>0</x:v>
      </x:c>
      <x:c r="R367" s="207" t="str"/>
      <x:c r="S367" s="207" t="str"/>
      <x:c r="T367" s="207" t="str"/>
      <x:c r="U367" s="207" t="n">
        <x:v>0</x:v>
      </x:c>
      <x:c r="V367" s="208" t="n">
        <x:f>MAX(0,M367-U367)</x:f>
        <x:v>4</x:v>
      </x:c>
      <x:c r="W367" s="209" t="n">
        <x:f>IFERROR(U367/M367,0)</x:f>
        <x:v>0</x:v>
      </x:c>
      <x:c r="X367" s="201" t="str">
        <x:f>IF(U367=0,"Não iniciado",IF(U367&gt;=M367,"Concluído","Parcial"))</x:f>
        <x:v>Não iniciado</x:v>
      </x:c>
      <x:c r="Y367" s="199" t="str"/>
      <x:c r="Z367" s="188" t="str">
        <x:v>Normal</x:v>
      </x:c>
    </x:row>
    <x:row r="368" ht="22" customHeight="1">
      <x:c r="A368" s="219" t="n">
        <x:v>364</x:v>
      </x:c>
      <x:c r="B368" s="220" t="str">
        <x:v>26750</x:v>
      </x:c>
      <x:c r="C368" s="220" t="str">
        <x:v>15</x:v>
      </x:c>
      <x:c r="D368" s="220" t="str">
        <x:v>609847</x:v>
      </x:c>
      <x:c r="E368" s="220" t="str">
        <x:v>966149</x:v>
      </x:c>
      <x:c r="F368" s="220" t="str">
        <x:v>OUTROS</x:v>
      </x:c>
      <x:c r="G368" s="190" t="str">
        <x:v>TR AL 1100X50X9 RTO RL80 REC PET BCO (UL</x:v>
      </x:c>
      <x:c r="H368" s="190" t="str"/>
      <x:c r="I368" s="190" t="str"/>
      <x:c r="J368" s="190" t="str"/>
      <x:c r="K368" s="190" t="str">
        <x:v>ESMALTE</x:v>
      </x:c>
      <x:c r="L368" s="190" t="str">
        <x:v>BRANCO CARRARA</x:v>
      </x:c>
      <x:c r="M368" s="210" t="n">
        <x:v>4</x:v>
      </x:c>
      <x:c r="N368" s="210" t="n">
        <x:v>1100</x:v>
      </x:c>
      <x:c r="O368" s="210" t="n">
        <x:v>50</x:v>
      </x:c>
      <x:c r="P368" s="210" t="n">
        <x:v>9</x:v>
      </x:c>
      <x:c r="Q368" s="211" t="n">
        <x:v>0</x:v>
      </x:c>
      <x:c r="R368" s="207" t="str"/>
      <x:c r="S368" s="207" t="str"/>
      <x:c r="T368" s="207" t="str"/>
      <x:c r="U368" s="207" t="n">
        <x:v>0</x:v>
      </x:c>
      <x:c r="V368" s="208" t="n">
        <x:f>MAX(0,M368-U368)</x:f>
        <x:v>4</x:v>
      </x:c>
      <x:c r="W368" s="209" t="n">
        <x:f>IFERROR(U368/M368,0)</x:f>
        <x:v>0</x:v>
      </x:c>
      <x:c r="X368" s="201" t="str">
        <x:f>IF(U368=0,"Não iniciado",IF(U368&gt;=M368,"Concluído","Parcial"))</x:f>
        <x:v>Não iniciado</x:v>
      </x:c>
      <x:c r="Y368" s="199" t="str"/>
      <x:c r="Z368" s="188" t="str">
        <x:v>Normal</x:v>
      </x:c>
    </x:row>
    <x:row r="369" ht="22" customHeight="1">
      <x:c r="A369" s="217" t="n">
        <x:v>365</x:v>
      </x:c>
      <x:c r="B369" s="218" t="str">
        <x:v>26750</x:v>
      </x:c>
      <x:c r="C369" s="218" t="str">
        <x:v>18</x:v>
      </x:c>
      <x:c r="D369" s="218" t="str">
        <x:v>609856</x:v>
      </x:c>
      <x:c r="E369" s="218" t="str">
        <x:v>919640</x:v>
      </x:c>
      <x:c r="F369" s="218" t="str">
        <x:v>OUTROS</x:v>
      </x:c>
      <x:c r="G369" s="184" t="str">
        <x:v>TR AL 1100X50X9 RTO LME REC PET BCO (ULT</x:v>
      </x:c>
      <x:c r="H369" s="184" t="str">
        <x:v>REG 2L(MAIOR 80MM)</x:v>
      </x:c>
      <x:c r="I369" s="184" t="str"/>
      <x:c r="J369" s="184" t="str"/>
      <x:c r="K369" s="184" t="str">
        <x:v>RECOBERTO PET</x:v>
      </x:c>
      <x:c r="L369" s="184" t="str">
        <x:v>BRANCO CARRARA</x:v>
      </x:c>
      <x:c r="M369" s="205" t="n">
        <x:v>7</x:v>
      </x:c>
      <x:c r="N369" s="205" t="n">
        <x:v>1100</x:v>
      </x:c>
      <x:c r="O369" s="205" t="n">
        <x:v>50</x:v>
      </x:c>
      <x:c r="P369" s="205" t="n">
        <x:v>9</x:v>
      </x:c>
      <x:c r="Q369" s="206" t="n">
        <x:v>0</x:v>
      </x:c>
      <x:c r="R369" s="207" t="str"/>
      <x:c r="S369" s="207" t="str"/>
      <x:c r="T369" s="207" t="str"/>
      <x:c r="U369" s="207" t="n">
        <x:v>0</x:v>
      </x:c>
      <x:c r="V369" s="208" t="n">
        <x:f>MAX(0,M369-U369)</x:f>
        <x:v>7</x:v>
      </x:c>
      <x:c r="W369" s="209" t="n">
        <x:f>IFERROR(U369/M369,0)</x:f>
        <x:v>0</x:v>
      </x:c>
      <x:c r="X369" s="201" t="str">
        <x:f>IF(U369=0,"Não iniciado",IF(U369&gt;=M369,"Concluído","Parcial"))</x:f>
        <x:v>Não iniciado</x:v>
      </x:c>
      <x:c r="Y369" s="199" t="str"/>
      <x:c r="Z369" s="188" t="str">
        <x:v>Normal</x:v>
      </x:c>
    </x:row>
    <x:row r="370" ht="22" customHeight="1">
      <x:c r="A370" s="219" t="n">
        <x:v>366</x:v>
      </x:c>
      <x:c r="B370" s="220" t="str">
        <x:v>26750</x:v>
      </x:c>
      <x:c r="C370" s="220" t="str">
        <x:v>18</x:v>
      </x:c>
      <x:c r="D370" s="220" t="str">
        <x:v>609858</x:v>
      </x:c>
      <x:c r="E370" s="220" t="str">
        <x:v>966149</x:v>
      </x:c>
      <x:c r="F370" s="220" t="str">
        <x:v>OUTROS</x:v>
      </x:c>
      <x:c r="G370" s="190" t="str">
        <x:v>TR AL 1100X50X9 RTO RL80 REC PET BCO (UL</x:v>
      </x:c>
      <x:c r="H370" s="190" t="str">
        <x:v>REG 2L(MAIOR 80MM)</x:v>
      </x:c>
      <x:c r="I370" s="190" t="str"/>
      <x:c r="J370" s="190" t="str"/>
      <x:c r="K370" s="190" t="str">
        <x:v>RECOBERTO PET</x:v>
      </x:c>
      <x:c r="L370" s="190" t="str">
        <x:v>BRANCO CARRARA</x:v>
      </x:c>
      <x:c r="M370" s="210" t="n">
        <x:v>7</x:v>
      </x:c>
      <x:c r="N370" s="210" t="n">
        <x:v>1100</x:v>
      </x:c>
      <x:c r="O370" s="210" t="n">
        <x:v>50</x:v>
      </x:c>
      <x:c r="P370" s="210" t="n">
        <x:v>9</x:v>
      </x:c>
      <x:c r="Q370" s="211" t="n">
        <x:v>0</x:v>
      </x:c>
      <x:c r="R370" s="207" t="str"/>
      <x:c r="S370" s="207" t="str"/>
      <x:c r="T370" s="207" t="str"/>
      <x:c r="U370" s="207" t="n">
        <x:v>0</x:v>
      </x:c>
      <x:c r="V370" s="208" t="n">
        <x:f>MAX(0,M370-U370)</x:f>
        <x:v>7</x:v>
      </x:c>
      <x:c r="W370" s="209" t="n">
        <x:f>IFERROR(U370/M370,0)</x:f>
        <x:v>0</x:v>
      </x:c>
      <x:c r="X370" s="201" t="str">
        <x:f>IF(U370=0,"Não iniciado",IF(U370&gt;=M370,"Concluído","Parcial"))</x:f>
        <x:v>Não iniciado</x:v>
      </x:c>
      <x:c r="Y370" s="199" t="str"/>
      <x:c r="Z370" s="188" t="str">
        <x:v>Normal</x:v>
      </x:c>
    </x:row>
    <x:row r="371" ht="22" customHeight="1">
      <x:c r="A371" s="217" t="n">
        <x:v>367</x:v>
      </x:c>
      <x:c r="B371" s="218" t="str">
        <x:v>26750</x:v>
      </x:c>
      <x:c r="C371" s="218" t="str">
        <x:v>20</x:v>
      </x:c>
      <x:c r="D371" s="218" t="str">
        <x:v>609867</x:v>
      </x:c>
      <x:c r="E371" s="218" t="str">
        <x:v>919640</x:v>
      </x:c>
      <x:c r="F371" s="218" t="str">
        <x:v>OUTROS</x:v>
      </x:c>
      <x:c r="G371" s="184" t="str">
        <x:v>TR AL 1100X50X9 RTO LME REC PET BCO (ULT</x:v>
      </x:c>
      <x:c r="H371" s="184" t="str"/>
      <x:c r="I371" s="184" t="str"/>
      <x:c r="J371" s="184" t="str"/>
      <x:c r="K371" s="184" t="str">
        <x:v>ESMALTE</x:v>
      </x:c>
      <x:c r="L371" s="184" t="str">
        <x:v>BRANCO CARRARA</x:v>
      </x:c>
      <x:c r="M371" s="205" t="n">
        <x:v>9</x:v>
      </x:c>
      <x:c r="N371" s="205" t="n">
        <x:v>1100</x:v>
      </x:c>
      <x:c r="O371" s="205" t="n">
        <x:v>50</x:v>
      </x:c>
      <x:c r="P371" s="205" t="n">
        <x:v>9</x:v>
      </x:c>
      <x:c r="Q371" s="206" t="n">
        <x:v>0</x:v>
      </x:c>
      <x:c r="R371" s="207" t="str"/>
      <x:c r="S371" s="207" t="str"/>
      <x:c r="T371" s="207" t="str"/>
      <x:c r="U371" s="207" t="n">
        <x:v>0</x:v>
      </x:c>
      <x:c r="V371" s="208" t="n">
        <x:f>MAX(0,M371-U371)</x:f>
        <x:v>9</x:v>
      </x:c>
      <x:c r="W371" s="209" t="n">
        <x:f>IFERROR(U371/M371,0)</x:f>
        <x:v>0</x:v>
      </x:c>
      <x:c r="X371" s="201" t="str">
        <x:f>IF(U371=0,"Não iniciado",IF(U371&gt;=M371,"Concluído","Parcial"))</x:f>
        <x:v>Não iniciado</x:v>
      </x:c>
      <x:c r="Y371" s="199" t="str"/>
      <x:c r="Z371" s="188" t="str">
        <x:v>Normal</x:v>
      </x:c>
    </x:row>
    <x:row r="372" ht="22" customHeight="1">
      <x:c r="A372" s="219" t="n">
        <x:v>368</x:v>
      </x:c>
      <x:c r="B372" s="220" t="str">
        <x:v>26750</x:v>
      </x:c>
      <x:c r="C372" s="220" t="str">
        <x:v>20</x:v>
      </x:c>
      <x:c r="D372" s="220" t="str">
        <x:v>609869</x:v>
      </x:c>
      <x:c r="E372" s="220" t="str">
        <x:v>966149</x:v>
      </x:c>
      <x:c r="F372" s="220" t="str">
        <x:v>OUTROS</x:v>
      </x:c>
      <x:c r="G372" s="190" t="str">
        <x:v>TR AL 1100X50X9 RTO RL80 REC PET BCO (UL</x:v>
      </x:c>
      <x:c r="H372" s="190" t="str"/>
      <x:c r="I372" s="190" t="str"/>
      <x:c r="J372" s="190" t="str"/>
      <x:c r="K372" s="190" t="str">
        <x:v>ESMALTE</x:v>
      </x:c>
      <x:c r="L372" s="190" t="str">
        <x:v>BRANCO CARRARA</x:v>
      </x:c>
      <x:c r="M372" s="210" t="n">
        <x:v>9</x:v>
      </x:c>
      <x:c r="N372" s="210" t="n">
        <x:v>1100</x:v>
      </x:c>
      <x:c r="O372" s="210" t="n">
        <x:v>50</x:v>
      </x:c>
      <x:c r="P372" s="210" t="n">
        <x:v>9</x:v>
      </x:c>
      <x:c r="Q372" s="211" t="n">
        <x:v>0</x:v>
      </x:c>
      <x:c r="R372" s="207" t="str"/>
      <x:c r="S372" s="207" t="str"/>
      <x:c r="T372" s="207" t="str"/>
      <x:c r="U372" s="207" t="n">
        <x:v>0</x:v>
      </x:c>
      <x:c r="V372" s="208" t="n">
        <x:f>MAX(0,M372-U372)</x:f>
        <x:v>9</x:v>
      </x:c>
      <x:c r="W372" s="209" t="n">
        <x:f>IFERROR(U372/M372,0)</x:f>
        <x:v>0</x:v>
      </x:c>
      <x:c r="X372" s="201" t="str">
        <x:f>IF(U372=0,"Não iniciado",IF(U372&gt;=M372,"Concluído","Parcial"))</x:f>
        <x:v>Não iniciado</x:v>
      </x:c>
      <x:c r="Y372" s="199" t="str"/>
      <x:c r="Z372" s="188" t="str">
        <x:v>Normal</x:v>
      </x:c>
    </x:row>
    <x:row r="373" ht="22" customHeight="1">
      <x:c r="A373" s="217" t="n">
        <x:v>369</x:v>
      </x:c>
      <x:c r="B373" s="218" t="str">
        <x:v>26750</x:v>
      </x:c>
      <x:c r="C373" s="218" t="str">
        <x:v>21</x:v>
      </x:c>
      <x:c r="D373" s="218" t="str">
        <x:v>609875</x:v>
      </x:c>
      <x:c r="E373" s="218" t="str">
        <x:v>919640</x:v>
      </x:c>
      <x:c r="F373" s="218" t="str">
        <x:v>OUTROS</x:v>
      </x:c>
      <x:c r="G373" s="184" t="str">
        <x:v>TR AL 1100X50X9 RTO LME REC PET BCO (ULT</x:v>
      </x:c>
      <x:c r="H373" s="184" t="str"/>
      <x:c r="I373" s="184" t="str"/>
      <x:c r="J373" s="184" t="str"/>
      <x:c r="K373" s="184" t="str">
        <x:v>ESMALTE</x:v>
      </x:c>
      <x:c r="L373" s="184" t="str">
        <x:v>BRANCO CARRARA</x:v>
      </x:c>
      <x:c r="M373" s="205" t="n">
        <x:v>5</x:v>
      </x:c>
      <x:c r="N373" s="205" t="n">
        <x:v>1100</x:v>
      </x:c>
      <x:c r="O373" s="205" t="n">
        <x:v>50</x:v>
      </x:c>
      <x:c r="P373" s="205" t="n">
        <x:v>9</x:v>
      </x:c>
      <x:c r="Q373" s="206" t="n">
        <x:v>0</x:v>
      </x:c>
      <x:c r="R373" s="207" t="str"/>
      <x:c r="S373" s="207" t="str"/>
      <x:c r="T373" s="207" t="str"/>
      <x:c r="U373" s="207" t="n">
        <x:v>0</x:v>
      </x:c>
      <x:c r="V373" s="208" t="n">
        <x:f>MAX(0,M373-U373)</x:f>
        <x:v>5</x:v>
      </x:c>
      <x:c r="W373" s="209" t="n">
        <x:f>IFERROR(U373/M373,0)</x:f>
        <x:v>0</x:v>
      </x:c>
      <x:c r="X373" s="201" t="str">
        <x:f>IF(U373=0,"Não iniciado",IF(U373&gt;=M373,"Concluído","Parcial"))</x:f>
        <x:v>Não iniciado</x:v>
      </x:c>
      <x:c r="Y373" s="199" t="str"/>
      <x:c r="Z373" s="188" t="str">
        <x:v>Normal</x:v>
      </x:c>
    </x:row>
    <x:row r="374" ht="22" customHeight="1">
      <x:c r="A374" s="219" t="n">
        <x:v>370</x:v>
      </x:c>
      <x:c r="B374" s="220" t="str">
        <x:v>26750</x:v>
      </x:c>
      <x:c r="C374" s="220" t="str">
        <x:v>21</x:v>
      </x:c>
      <x:c r="D374" s="220" t="str">
        <x:v>609877</x:v>
      </x:c>
      <x:c r="E374" s="220" t="str">
        <x:v>966149</x:v>
      </x:c>
      <x:c r="F374" s="220" t="str">
        <x:v>OUTROS</x:v>
      </x:c>
      <x:c r="G374" s="190" t="str">
        <x:v>TR AL 1100X50X9 RTO RL80 REC PET BCO (UL</x:v>
      </x:c>
      <x:c r="H374" s="190" t="str"/>
      <x:c r="I374" s="190" t="str"/>
      <x:c r="J374" s="190" t="str"/>
      <x:c r="K374" s="190" t="str">
        <x:v>ESMALTE</x:v>
      </x:c>
      <x:c r="L374" s="190" t="str">
        <x:v>BRANCO CARRARA</x:v>
      </x:c>
      <x:c r="M374" s="210" t="n">
        <x:v>5</x:v>
      </x:c>
      <x:c r="N374" s="210" t="n">
        <x:v>1100</x:v>
      </x:c>
      <x:c r="O374" s="210" t="n">
        <x:v>50</x:v>
      </x:c>
      <x:c r="P374" s="210" t="n">
        <x:v>9</x:v>
      </x:c>
      <x:c r="Q374" s="211" t="n">
        <x:v>0</x:v>
      </x:c>
      <x:c r="R374" s="207" t="str"/>
      <x:c r="S374" s="207" t="str"/>
      <x:c r="T374" s="207" t="str"/>
      <x:c r="U374" s="207" t="n">
        <x:v>0</x:v>
      </x:c>
      <x:c r="V374" s="208" t="n">
        <x:f>MAX(0,M374-U374)</x:f>
        <x:v>5</x:v>
      </x:c>
      <x:c r="W374" s="209" t="n">
        <x:f>IFERROR(U374/M374,0)</x:f>
        <x:v>0</x:v>
      </x:c>
      <x:c r="X374" s="201" t="str">
        <x:f>IF(U374=0,"Não iniciado",IF(U374&gt;=M374,"Concluído","Parcial"))</x:f>
        <x:v>Não iniciado</x:v>
      </x:c>
      <x:c r="Y374" s="199" t="str"/>
      <x:c r="Z374" s="188" t="str">
        <x:v>Normal</x:v>
      </x:c>
    </x:row>
    <x:row r="375" ht="22" customHeight="1">
      <x:c r="A375" s="217" t="n">
        <x:v>371</x:v>
      </x:c>
      <x:c r="B375" s="218" t="str">
        <x:v>26750</x:v>
      </x:c>
      <x:c r="C375" s="218" t="str">
        <x:v>22</x:v>
      </x:c>
      <x:c r="D375" s="218" t="str">
        <x:v>609883</x:v>
      </x:c>
      <x:c r="E375" s="218" t="str">
        <x:v>919640</x:v>
      </x:c>
      <x:c r="F375" s="218" t="str">
        <x:v>OUTROS</x:v>
      </x:c>
      <x:c r="G375" s="184" t="str">
        <x:v>TR AL 1100X50X9 RTO LME REC PET BCO (ULT</x:v>
      </x:c>
      <x:c r="H375" s="184" t="str"/>
      <x:c r="I375" s="184" t="str"/>
      <x:c r="J375" s="184" t="str"/>
      <x:c r="K375" s="184" t="str">
        <x:v>ESMALTE</x:v>
      </x:c>
      <x:c r="L375" s="184" t="str">
        <x:v>BRANCO CARRARA</x:v>
      </x:c>
      <x:c r="M375" s="205" t="n">
        <x:v>19</x:v>
      </x:c>
      <x:c r="N375" s="205" t="n">
        <x:v>1100</x:v>
      </x:c>
      <x:c r="O375" s="205" t="n">
        <x:v>50</x:v>
      </x:c>
      <x:c r="P375" s="205" t="n">
        <x:v>9</x:v>
      </x:c>
      <x:c r="Q375" s="206" t="n">
        <x:v>0</x:v>
      </x:c>
      <x:c r="R375" s="207" t="str"/>
      <x:c r="S375" s="207" t="str"/>
      <x:c r="T375" s="207" t="str"/>
      <x:c r="U375" s="207" t="n">
        <x:v>0</x:v>
      </x:c>
      <x:c r="V375" s="208" t="n">
        <x:f>MAX(0,M375-U375)</x:f>
        <x:v>19</x:v>
      </x:c>
      <x:c r="W375" s="209" t="n">
        <x:f>IFERROR(U375/M375,0)</x:f>
        <x:v>0</x:v>
      </x:c>
      <x:c r="X375" s="201" t="str">
        <x:f>IF(U375=0,"Não iniciado",IF(U375&gt;=M375,"Concluído","Parcial"))</x:f>
        <x:v>Não iniciado</x:v>
      </x:c>
      <x:c r="Y375" s="199" t="str"/>
      <x:c r="Z375" s="188" t="str">
        <x:v>Normal</x:v>
      </x:c>
    </x:row>
    <x:row r="376" ht="22" customHeight="1">
      <x:c r="A376" s="219" t="n">
        <x:v>372</x:v>
      </x:c>
      <x:c r="B376" s="220" t="str">
        <x:v>26750</x:v>
      </x:c>
      <x:c r="C376" s="220" t="str">
        <x:v>22</x:v>
      </x:c>
      <x:c r="D376" s="220" t="str">
        <x:v>609886</x:v>
      </x:c>
      <x:c r="E376" s="220" t="str">
        <x:v>966149</x:v>
      </x:c>
      <x:c r="F376" s="220" t="str">
        <x:v>OUTROS</x:v>
      </x:c>
      <x:c r="G376" s="190" t="str">
        <x:v>TR AL 1100X50X9 RTO RL80 REC PET BCO (UL</x:v>
      </x:c>
      <x:c r="H376" s="190" t="str"/>
      <x:c r="I376" s="190" t="str"/>
      <x:c r="J376" s="190" t="str"/>
      <x:c r="K376" s="190" t="str">
        <x:v>ESMALTE</x:v>
      </x:c>
      <x:c r="L376" s="190" t="str">
        <x:v>BRANCO CARRARA</x:v>
      </x:c>
      <x:c r="M376" s="210" t="n">
        <x:v>19</x:v>
      </x:c>
      <x:c r="N376" s="210" t="n">
        <x:v>1100</x:v>
      </x:c>
      <x:c r="O376" s="210" t="n">
        <x:v>50</x:v>
      </x:c>
      <x:c r="P376" s="210" t="n">
        <x:v>9</x:v>
      </x:c>
      <x:c r="Q376" s="211" t="n">
        <x:v>0</x:v>
      </x:c>
      <x:c r="R376" s="207" t="str"/>
      <x:c r="S376" s="207" t="str"/>
      <x:c r="T376" s="207" t="str"/>
      <x:c r="U376" s="207" t="n">
        <x:v>0</x:v>
      </x:c>
      <x:c r="V376" s="208" t="n">
        <x:f>MAX(0,M376-U376)</x:f>
        <x:v>19</x:v>
      </x:c>
      <x:c r="W376" s="209" t="n">
        <x:f>IFERROR(U376/M376,0)</x:f>
        <x:v>0</x:v>
      </x:c>
      <x:c r="X376" s="201" t="str">
        <x:f>IF(U376=0,"Não iniciado",IF(U376&gt;=M376,"Concluído","Parcial"))</x:f>
        <x:v>Não iniciado</x:v>
      </x:c>
      <x:c r="Y376" s="199" t="str"/>
      <x:c r="Z376" s="188" t="str">
        <x:v>Normal</x:v>
      </x:c>
    </x:row>
    <x:row r="377" ht="22" customHeight="1">
      <x:c r="A377" s="217" t="n">
        <x:v>373</x:v>
      </x:c>
      <x:c r="B377" s="218" t="str">
        <x:v>26750</x:v>
      </x:c>
      <x:c r="C377" s="218" t="str">
        <x:v>23</x:v>
      </x:c>
      <x:c r="D377" s="218" t="str">
        <x:v>609891</x:v>
      </x:c>
      <x:c r="E377" s="218" t="str">
        <x:v>919640</x:v>
      </x:c>
      <x:c r="F377" s="218" t="str">
        <x:v>OUTROS</x:v>
      </x:c>
      <x:c r="G377" s="184" t="str">
        <x:v>TR AL 1100X50X9 RTO LME REC PET BCO (ULT</x:v>
      </x:c>
      <x:c r="H377" s="184" t="str"/>
      <x:c r="I377" s="184" t="str"/>
      <x:c r="J377" s="184" t="str"/>
      <x:c r="K377" s="184" t="str">
        <x:v>ESMALTE</x:v>
      </x:c>
      <x:c r="L377" s="184" t="str">
        <x:v>BRANCO CARRARA</x:v>
      </x:c>
      <x:c r="M377" s="205" t="n">
        <x:v>4</x:v>
      </x:c>
      <x:c r="N377" s="205" t="n">
        <x:v>1100</x:v>
      </x:c>
      <x:c r="O377" s="205" t="n">
        <x:v>50</x:v>
      </x:c>
      <x:c r="P377" s="205" t="n">
        <x:v>9</x:v>
      </x:c>
      <x:c r="Q377" s="206" t="n">
        <x:v>0</x:v>
      </x:c>
      <x:c r="R377" s="207" t="str"/>
      <x:c r="S377" s="207" t="str"/>
      <x:c r="T377" s="207" t="str"/>
      <x:c r="U377" s="207" t="n">
        <x:v>0</x:v>
      </x:c>
      <x:c r="V377" s="208" t="n">
        <x:f>MAX(0,M377-U377)</x:f>
        <x:v>4</x:v>
      </x:c>
      <x:c r="W377" s="209" t="n">
        <x:f>IFERROR(U377/M377,0)</x:f>
        <x:v>0</x:v>
      </x:c>
      <x:c r="X377" s="201" t="str">
        <x:f>IF(U377=0,"Não iniciado",IF(U377&gt;=M377,"Concluído","Parcial"))</x:f>
        <x:v>Não iniciado</x:v>
      </x:c>
      <x:c r="Y377" s="199" t="str"/>
      <x:c r="Z377" s="188" t="str">
        <x:v>Normal</x:v>
      </x:c>
    </x:row>
    <x:row r="378" ht="22" customHeight="1">
      <x:c r="A378" s="219" t="n">
        <x:v>374</x:v>
      </x:c>
      <x:c r="B378" s="220" t="str">
        <x:v>26750</x:v>
      </x:c>
      <x:c r="C378" s="220" t="str">
        <x:v>23</x:v>
      </x:c>
      <x:c r="D378" s="220" t="str">
        <x:v>609894</x:v>
      </x:c>
      <x:c r="E378" s="220" t="str">
        <x:v>966149</x:v>
      </x:c>
      <x:c r="F378" s="220" t="str">
        <x:v>OUTROS</x:v>
      </x:c>
      <x:c r="G378" s="190" t="str">
        <x:v>TR AL 1100X50X9 RTO RL80 REC PET BCO (UL</x:v>
      </x:c>
      <x:c r="H378" s="190" t="str"/>
      <x:c r="I378" s="190" t="str"/>
      <x:c r="J378" s="190" t="str"/>
      <x:c r="K378" s="190" t="str">
        <x:v>ESMALTE</x:v>
      </x:c>
      <x:c r="L378" s="190" t="str">
        <x:v>BRANCO CARRARA</x:v>
      </x:c>
      <x:c r="M378" s="210" t="n">
        <x:v>4</x:v>
      </x:c>
      <x:c r="N378" s="210" t="n">
        <x:v>1100</x:v>
      </x:c>
      <x:c r="O378" s="210" t="n">
        <x:v>50</x:v>
      </x:c>
      <x:c r="P378" s="210" t="n">
        <x:v>9</x:v>
      </x:c>
      <x:c r="Q378" s="211" t="n">
        <x:v>0</x:v>
      </x:c>
      <x:c r="R378" s="207" t="str"/>
      <x:c r="S378" s="207" t="str"/>
      <x:c r="T378" s="207" t="str"/>
      <x:c r="U378" s="207" t="n">
        <x:v>0</x:v>
      </x:c>
      <x:c r="V378" s="208" t="n">
        <x:f>MAX(0,M378-U378)</x:f>
        <x:v>4</x:v>
      </x:c>
      <x:c r="W378" s="209" t="n">
        <x:f>IFERROR(U378/M378,0)</x:f>
        <x:v>0</x:v>
      </x:c>
      <x:c r="X378" s="201" t="str">
        <x:f>IF(U378=0,"Não iniciado",IF(U378&gt;=M378,"Concluído","Parcial"))</x:f>
        <x:v>Não iniciado</x:v>
      </x:c>
      <x:c r="Y378" s="199" t="str"/>
      <x:c r="Z378" s="188" t="str">
        <x:v>Normal</x:v>
      </x:c>
    </x:row>
    <x:row r="379" ht="22" customHeight="1">
      <x:c r="A379" s="217" t="n">
        <x:v>375</x:v>
      </x:c>
      <x:c r="B379" s="218" t="str">
        <x:v>26750</x:v>
      </x:c>
      <x:c r="C379" s="218" t="str">
        <x:v>24</x:v>
      </x:c>
      <x:c r="D379" s="218" t="str">
        <x:v>609900</x:v>
      </x:c>
      <x:c r="E379" s="218" t="str">
        <x:v>919640</x:v>
      </x:c>
      <x:c r="F379" s="218" t="str">
        <x:v>OUTROS</x:v>
      </x:c>
      <x:c r="G379" s="184" t="str">
        <x:v>TR AL 1100X50X9 RTO LME REC PET BCO (ULT</x:v>
      </x:c>
      <x:c r="H379" s="184" t="str"/>
      <x:c r="I379" s="184" t="str"/>
      <x:c r="J379" s="184" t="str"/>
      <x:c r="K379" s="184" t="str">
        <x:v>ESMALTE</x:v>
      </x:c>
      <x:c r="L379" s="184" t="str">
        <x:v>BRANCO CARRARA</x:v>
      </x:c>
      <x:c r="M379" s="205" t="n">
        <x:v>10</x:v>
      </x:c>
      <x:c r="N379" s="205" t="n">
        <x:v>1100</x:v>
      </x:c>
      <x:c r="O379" s="205" t="n">
        <x:v>50</x:v>
      </x:c>
      <x:c r="P379" s="205" t="n">
        <x:v>9</x:v>
      </x:c>
      <x:c r="Q379" s="206" t="n">
        <x:v>0</x:v>
      </x:c>
      <x:c r="R379" s="207" t="str"/>
      <x:c r="S379" s="207" t="str"/>
      <x:c r="T379" s="207" t="str"/>
      <x:c r="U379" s="207" t="n">
        <x:v>0</x:v>
      </x:c>
      <x:c r="V379" s="208" t="n">
        <x:f>MAX(0,M379-U379)</x:f>
        <x:v>10</x:v>
      </x:c>
      <x:c r="W379" s="209" t="n">
        <x:f>IFERROR(U379/M379,0)</x:f>
        <x:v>0</x:v>
      </x:c>
      <x:c r="X379" s="201" t="str">
        <x:f>IF(U379=0,"Não iniciado",IF(U379&gt;=M379,"Concluído","Parcial"))</x:f>
        <x:v>Não iniciado</x:v>
      </x:c>
      <x:c r="Y379" s="199" t="str"/>
      <x:c r="Z379" s="188" t="str">
        <x:v>Normal</x:v>
      </x:c>
    </x:row>
    <x:row r="380" ht="22" customHeight="1">
      <x:c r="A380" s="219" t="n">
        <x:v>376</x:v>
      </x:c>
      <x:c r="B380" s="220" t="str">
        <x:v>26750</x:v>
      </x:c>
      <x:c r="C380" s="220" t="str">
        <x:v>24</x:v>
      </x:c>
      <x:c r="D380" s="220" t="str">
        <x:v>609903</x:v>
      </x:c>
      <x:c r="E380" s="220" t="str">
        <x:v>966149</x:v>
      </x:c>
      <x:c r="F380" s="220" t="str">
        <x:v>OUTROS</x:v>
      </x:c>
      <x:c r="G380" s="190" t="str">
        <x:v>TR AL 1100X50X9 RTO RL80 REC PET BCO (UL</x:v>
      </x:c>
      <x:c r="H380" s="190" t="str"/>
      <x:c r="I380" s="190" t="str"/>
      <x:c r="J380" s="190" t="str"/>
      <x:c r="K380" s="190" t="str">
        <x:v>ESMALTE</x:v>
      </x:c>
      <x:c r="L380" s="190" t="str">
        <x:v>BRANCO CARRARA</x:v>
      </x:c>
      <x:c r="M380" s="210" t="n">
        <x:v>10</x:v>
      </x:c>
      <x:c r="N380" s="210" t="n">
        <x:v>1100</x:v>
      </x:c>
      <x:c r="O380" s="210" t="n">
        <x:v>50</x:v>
      </x:c>
      <x:c r="P380" s="210" t="n">
        <x:v>9</x:v>
      </x:c>
      <x:c r="Q380" s="211" t="n">
        <x:v>0</x:v>
      </x:c>
      <x:c r="R380" s="207" t="str"/>
      <x:c r="S380" s="207" t="str"/>
      <x:c r="T380" s="207" t="str"/>
      <x:c r="U380" s="207" t="n">
        <x:v>0</x:v>
      </x:c>
      <x:c r="V380" s="208" t="n">
        <x:f>MAX(0,M380-U380)</x:f>
        <x:v>10</x:v>
      </x:c>
      <x:c r="W380" s="209" t="n">
        <x:f>IFERROR(U380/M380,0)</x:f>
        <x:v>0</x:v>
      </x:c>
      <x:c r="X380" s="201" t="str">
        <x:f>IF(U380=0,"Não iniciado",IF(U380&gt;=M380,"Concluído","Parcial"))</x:f>
        <x:v>Não iniciado</x:v>
      </x:c>
      <x:c r="Y380" s="199" t="str"/>
      <x:c r="Z380" s="188" t="str">
        <x:v>Normal</x:v>
      </x:c>
    </x:row>
    <x:row r="381" ht="22" customHeight="1">
      <x:c r="A381" s="217" t="n">
        <x:v>377</x:v>
      </x:c>
      <x:c r="B381" s="218" t="str">
        <x:v>26750</x:v>
      </x:c>
      <x:c r="C381" s="218" t="str">
        <x:v>25</x:v>
      </x:c>
      <x:c r="D381" s="218" t="str">
        <x:v>609907</x:v>
      </x:c>
      <x:c r="E381" s="218" t="str">
        <x:v>919640</x:v>
      </x:c>
      <x:c r="F381" s="218" t="str">
        <x:v>OUTROS</x:v>
      </x:c>
      <x:c r="G381" s="184" t="str">
        <x:v>TR AL 1100X50X9 RTO LME REC PET BCO (ULT</x:v>
      </x:c>
      <x:c r="H381" s="184" t="str"/>
      <x:c r="I381" s="184" t="str"/>
      <x:c r="J381" s="184" t="str"/>
      <x:c r="K381" s="184" t="str">
        <x:v>ESMALTE</x:v>
      </x:c>
      <x:c r="L381" s="184" t="str">
        <x:v>BRANCO CARRARA</x:v>
      </x:c>
      <x:c r="M381" s="205" t="n">
        <x:v>3</x:v>
      </x:c>
      <x:c r="N381" s="205" t="n">
        <x:v>1100</x:v>
      </x:c>
      <x:c r="O381" s="205" t="n">
        <x:v>50</x:v>
      </x:c>
      <x:c r="P381" s="205" t="n">
        <x:v>9</x:v>
      </x:c>
      <x:c r="Q381" s="206" t="n">
        <x:v>0</x:v>
      </x:c>
      <x:c r="R381" s="207" t="str"/>
      <x:c r="S381" s="207" t="str"/>
      <x:c r="T381" s="207" t="str"/>
      <x:c r="U381" s="207" t="n">
        <x:v>0</x:v>
      </x:c>
      <x:c r="V381" s="208" t="n">
        <x:f>MAX(0,M381-U381)</x:f>
        <x:v>3</x:v>
      </x:c>
      <x:c r="W381" s="209" t="n">
        <x:f>IFERROR(U381/M381,0)</x:f>
        <x:v>0</x:v>
      </x:c>
      <x:c r="X381" s="201" t="str">
        <x:f>IF(U381=0,"Não iniciado",IF(U381&gt;=M381,"Concluído","Parcial"))</x:f>
        <x:v>Não iniciado</x:v>
      </x:c>
      <x:c r="Y381" s="199" t="str"/>
      <x:c r="Z381" s="188" t="str">
        <x:v>Normal</x:v>
      </x:c>
    </x:row>
    <x:row r="382" ht="22" customHeight="1">
      <x:c r="A382" s="219" t="n">
        <x:v>378</x:v>
      </x:c>
      <x:c r="B382" s="220" t="str">
        <x:v>26750</x:v>
      </x:c>
      <x:c r="C382" s="220" t="str">
        <x:v>25</x:v>
      </x:c>
      <x:c r="D382" s="220" t="str">
        <x:v>609909</x:v>
      </x:c>
      <x:c r="E382" s="220" t="str">
        <x:v>966149</x:v>
      </x:c>
      <x:c r="F382" s="220" t="str">
        <x:v>OUTROS</x:v>
      </x:c>
      <x:c r="G382" s="190" t="str">
        <x:v>TR AL 1100X50X9 RTO RL80 REC PET BCO (UL</x:v>
      </x:c>
      <x:c r="H382" s="190" t="str"/>
      <x:c r="I382" s="190" t="str"/>
      <x:c r="J382" s="190" t="str"/>
      <x:c r="K382" s="190" t="str">
        <x:v>ESMALTE</x:v>
      </x:c>
      <x:c r="L382" s="190" t="str">
        <x:v>BRANCO CARRARA</x:v>
      </x:c>
      <x:c r="M382" s="210" t="n">
        <x:v>3</x:v>
      </x:c>
      <x:c r="N382" s="210" t="n">
        <x:v>1100</x:v>
      </x:c>
      <x:c r="O382" s="210" t="n">
        <x:v>50</x:v>
      </x:c>
      <x:c r="P382" s="210" t="n">
        <x:v>9</x:v>
      </x:c>
      <x:c r="Q382" s="211" t="n">
        <x:v>0</x:v>
      </x:c>
      <x:c r="R382" s="207" t="str"/>
      <x:c r="S382" s="207" t="str"/>
      <x:c r="T382" s="207" t="str"/>
      <x:c r="U382" s="207" t="n">
        <x:v>0</x:v>
      </x:c>
      <x:c r="V382" s="208" t="n">
        <x:f>MAX(0,M382-U382)</x:f>
        <x:v>3</x:v>
      </x:c>
      <x:c r="W382" s="209" t="n">
        <x:f>IFERROR(U382/M382,0)</x:f>
        <x:v>0</x:v>
      </x:c>
      <x:c r="X382" s="201" t="str">
        <x:f>IF(U382=0,"Não iniciado",IF(U382&gt;=M382,"Concluído","Parcial"))</x:f>
        <x:v>Não iniciado</x:v>
      </x:c>
      <x:c r="Y382" s="199" t="str"/>
      <x:c r="Z382" s="188" t="str">
        <x:v>Normal</x:v>
      </x:c>
    </x:row>
    <x:row r="383" ht="22" customHeight="1">
      <x:c r="A383" s="217" t="n">
        <x:v>379</x:v>
      </x:c>
      <x:c r="B383" s="218" t="str">
        <x:v>26750</x:v>
      </x:c>
      <x:c r="C383" s="218" t="str">
        <x:v>26</x:v>
      </x:c>
      <x:c r="D383" s="218" t="str">
        <x:v>609916</x:v>
      </x:c>
      <x:c r="E383" s="218" t="str">
        <x:v>919640</x:v>
      </x:c>
      <x:c r="F383" s="218" t="str">
        <x:v>OUTROS</x:v>
      </x:c>
      <x:c r="G383" s="184" t="str">
        <x:v>TR AL 1100X50X9 RTO LME REC PET BCO (ULT</x:v>
      </x:c>
      <x:c r="H383" s="184" t="str"/>
      <x:c r="I383" s="184" t="str"/>
      <x:c r="J383" s="184" t="str"/>
      <x:c r="K383" s="184" t="str">
        <x:v>ESMALTE</x:v>
      </x:c>
      <x:c r="L383" s="184" t="str">
        <x:v>BRANCO CARRARA</x:v>
      </x:c>
      <x:c r="M383" s="205" t="n">
        <x:v>2</x:v>
      </x:c>
      <x:c r="N383" s="205" t="n">
        <x:v>1100</x:v>
      </x:c>
      <x:c r="O383" s="205" t="n">
        <x:v>50</x:v>
      </x:c>
      <x:c r="P383" s="205" t="n">
        <x:v>9</x:v>
      </x:c>
      <x:c r="Q383" s="206" t="n">
        <x:v>0</x:v>
      </x:c>
      <x:c r="R383" s="207" t="str"/>
      <x:c r="S383" s="207" t="str"/>
      <x:c r="T383" s="207" t="str"/>
      <x:c r="U383" s="207" t="n">
        <x:v>0</x:v>
      </x:c>
      <x:c r="V383" s="208" t="n">
        <x:f>MAX(0,M383-U383)</x:f>
        <x:v>2</x:v>
      </x:c>
      <x:c r="W383" s="209" t="n">
        <x:f>IFERROR(U383/M383,0)</x:f>
        <x:v>0</x:v>
      </x:c>
      <x:c r="X383" s="201" t="str">
        <x:f>IF(U383=0,"Não iniciado",IF(U383&gt;=M383,"Concluído","Parcial"))</x:f>
        <x:v>Não iniciado</x:v>
      </x:c>
      <x:c r="Y383" s="199" t="str"/>
      <x:c r="Z383" s="188" t="str">
        <x:v>Normal</x:v>
      </x:c>
    </x:row>
    <x:row r="384" ht="22" customHeight="1">
      <x:c r="A384" s="219" t="n">
        <x:v>380</x:v>
      </x:c>
      <x:c r="B384" s="220" t="str">
        <x:v>26750</x:v>
      </x:c>
      <x:c r="C384" s="220" t="str">
        <x:v>26</x:v>
      </x:c>
      <x:c r="D384" s="220" t="str">
        <x:v>609922</x:v>
      </x:c>
      <x:c r="E384" s="220" t="str">
        <x:v>966149</x:v>
      </x:c>
      <x:c r="F384" s="220" t="str">
        <x:v>OUTROS</x:v>
      </x:c>
      <x:c r="G384" s="190" t="str">
        <x:v>TR AL 1100X50X9 RTO RL80 REC PET BCO (UL</x:v>
      </x:c>
      <x:c r="H384" s="190" t="str"/>
      <x:c r="I384" s="190" t="str"/>
      <x:c r="J384" s="190" t="str"/>
      <x:c r="K384" s="190" t="str">
        <x:v>ESMALTE</x:v>
      </x:c>
      <x:c r="L384" s="190" t="str">
        <x:v>BRANCO CARRARA</x:v>
      </x:c>
      <x:c r="M384" s="210" t="n">
        <x:v>2</x:v>
      </x:c>
      <x:c r="N384" s="210" t="n">
        <x:v>1100</x:v>
      </x:c>
      <x:c r="O384" s="210" t="n">
        <x:v>50</x:v>
      </x:c>
      <x:c r="P384" s="210" t="n">
        <x:v>9</x:v>
      </x:c>
      <x:c r="Q384" s="211" t="n">
        <x:v>0</x:v>
      </x:c>
      <x:c r="R384" s="207" t="str"/>
      <x:c r="S384" s="207" t="str"/>
      <x:c r="T384" s="207" t="str"/>
      <x:c r="U384" s="207" t="n">
        <x:v>0</x:v>
      </x:c>
      <x:c r="V384" s="208" t="n">
        <x:f>MAX(0,M384-U384)</x:f>
        <x:v>2</x:v>
      </x:c>
      <x:c r="W384" s="209" t="n">
        <x:f>IFERROR(U384/M384,0)</x:f>
        <x:v>0</x:v>
      </x:c>
      <x:c r="X384" s="201" t="str">
        <x:f>IF(U384=0,"Não iniciado",IF(U384&gt;=M384,"Concluído","Parcial"))</x:f>
        <x:v>Não iniciado</x:v>
      </x:c>
      <x:c r="Y384" s="199" t="str"/>
      <x:c r="Z384" s="188" t="str">
        <x:v>Normal</x:v>
      </x:c>
    </x:row>
    <x:row r="385" ht="22" customHeight="1">
      <x:c r="A385" s="217" t="n">
        <x:v>381</x:v>
      </x:c>
      <x:c r="B385" s="218" t="str">
        <x:v>26796</x:v>
      </x:c>
      <x:c r="C385" s="218" t="str">
        <x:v>3</x:v>
      </x:c>
      <x:c r="D385" s="218" t="str">
        <x:v>609303</x:v>
      </x:c>
      <x:c r="E385" s="218" t="str">
        <x:v>988577</x:v>
      </x:c>
      <x:c r="F385" s="218" t="str">
        <x:v>OUTROS</x:v>
      </x:c>
      <x:c r="G385" s="184" t="str">
        <x:v>T.A 1100X50X9 RT RL45 PET TXT BCO STD</x:v>
      </x:c>
      <x:c r="H385" s="184" t="str"/>
      <x:c r="I385" s="184" t="str"/>
      <x:c r="J385" s="184" t="str"/>
      <x:c r="K385" s="184" t="str">
        <x:v>ESMALTE</x:v>
      </x:c>
      <x:c r="L385" s="184" t="str">
        <x:v>BRANCO CARRARA</x:v>
      </x:c>
      <x:c r="M385" s="205" t="n">
        <x:v>192</x:v>
      </x:c>
      <x:c r="N385" s="205" t="n">
        <x:v>1100</x:v>
      </x:c>
      <x:c r="O385" s="205" t="n">
        <x:v>50</x:v>
      </x:c>
      <x:c r="P385" s="205" t="n">
        <x:v>9</x:v>
      </x:c>
      <x:c r="Q385" s="206" t="n">
        <x:v>0.095</x:v>
      </x:c>
      <x:c r="R385" s="207" t="str"/>
      <x:c r="S385" s="207" t="str"/>
      <x:c r="T385" s="207" t="str"/>
      <x:c r="U385" s="207" t="n">
        <x:v>0</x:v>
      </x:c>
      <x:c r="V385" s="208" t="n">
        <x:f>MAX(0,M385-U385)</x:f>
        <x:v>192</x:v>
      </x:c>
      <x:c r="W385" s="209" t="n">
        <x:f>IFERROR(U385/M385,0)</x:f>
        <x:v>0</x:v>
      </x:c>
      <x:c r="X385" s="201" t="str">
        <x:f>IF(U385=0,"Não iniciado",IF(U385&gt;=M385,"Concluído","Parcial"))</x:f>
        <x:v>Não iniciado</x:v>
      </x:c>
      <x:c r="Y385" s="199" t="str"/>
      <x:c r="Z385" s="188" t="str">
        <x:v>Normal</x:v>
      </x:c>
    </x:row>
    <x:row r="386" ht="22" customHeight="1">
      <x:c r="A386" s="219" t="n">
        <x:v>382</x:v>
      </x:c>
      <x:c r="B386" s="220" t="str">
        <x:v>26799</x:v>
      </x:c>
      <x:c r="C386" s="220" t="str">
        <x:v>3</x:v>
      </x:c>
      <x:c r="D386" s="220" t="str">
        <x:v>609408</x:v>
      </x:c>
      <x:c r="E386" s="220" t="str">
        <x:v>988577</x:v>
      </x:c>
      <x:c r="F386" s="220" t="str">
        <x:v>OUTROS</x:v>
      </x:c>
      <x:c r="G386" s="190" t="str">
        <x:v>T.A 1100X50X9 RT RL45 PET TXT BCO STD</x:v>
      </x:c>
      <x:c r="H386" s="190" t="str"/>
      <x:c r="I386" s="190" t="str"/>
      <x:c r="J386" s="190" t="str"/>
      <x:c r="K386" s="190" t="str">
        <x:v>ESMALTE</x:v>
      </x:c>
      <x:c r="L386" s="190" t="str">
        <x:v>BRANCO CARRARA</x:v>
      </x:c>
      <x:c r="M386" s="210" t="n">
        <x:v>64</x:v>
      </x:c>
      <x:c r="N386" s="210" t="n">
        <x:v>1100</x:v>
      </x:c>
      <x:c r="O386" s="210" t="n">
        <x:v>50</x:v>
      </x:c>
      <x:c r="P386" s="210" t="n">
        <x:v>9</x:v>
      </x:c>
      <x:c r="Q386" s="211" t="n">
        <x:v>0.032</x:v>
      </x:c>
      <x:c r="R386" s="207" t="str"/>
      <x:c r="S386" s="207" t="str"/>
      <x:c r="T386" s="207" t="str"/>
      <x:c r="U386" s="207" t="n">
        <x:v>0</x:v>
      </x:c>
      <x:c r="V386" s="208" t="n">
        <x:f>MAX(0,M386-U386)</x:f>
        <x:v>64</x:v>
      </x:c>
      <x:c r="W386" s="209" t="n">
        <x:f>IFERROR(U386/M386,0)</x:f>
        <x:v>0</x:v>
      </x:c>
      <x:c r="X386" s="201" t="str">
        <x:f>IF(U386=0,"Não iniciado",IF(U386&gt;=M386,"Concluído","Parcial"))</x:f>
        <x:v>Não iniciado</x:v>
      </x:c>
      <x:c r="Y386" s="199" t="str"/>
      <x:c r="Z386" s="188" t="str">
        <x:v>Normal</x:v>
      </x:c>
    </x:row>
    <x:row r="387" ht="22" customHeight="1">
      <x:c r="A387" s="217" t="n">
        <x:v>383</x:v>
      </x:c>
      <x:c r="B387" s="218" t="str">
        <x:v>26520</x:v>
      </x:c>
      <x:c r="C387" s="218" t="str">
        <x:v>3</x:v>
      </x:c>
      <x:c r="D387" s="218" t="str">
        <x:v>610080</x:v>
      </x:c>
      <x:c r="E387" s="218" t="str">
        <x:v>969663</x:v>
      </x:c>
      <x:c r="F387" s="218" t="str">
        <x:v>ALIZAR</x:v>
      </x:c>
      <x:c r="G387" s="184" t="str">
        <x:v>T A 1000X50X9 RTO RL55 PET CIN VER ULT)</x:v>
      </x:c>
      <x:c r="H387" s="184" t="str"/>
      <x:c r="I387" s="184" t="str"/>
      <x:c r="J387" s="184" t="str"/>
      <x:c r="K387" s="184" t="str">
        <x:v>RECOBERTO PET</x:v>
      </x:c>
      <x:c r="L387" s="184" t="str">
        <x:v>CINZA VERONA</x:v>
      </x:c>
      <x:c r="M387" s="205" t="n">
        <x:v>4</x:v>
      </x:c>
      <x:c r="N387" s="205" t="n">
        <x:v>1000</x:v>
      </x:c>
      <x:c r="O387" s="205" t="n">
        <x:v>50</x:v>
      </x:c>
      <x:c r="P387" s="205" t="n">
        <x:v>9</x:v>
      </x:c>
      <x:c r="Q387" s="206" t="n">
        <x:v>0</x:v>
      </x:c>
      <x:c r="R387" s="207" t="str"/>
      <x:c r="S387" s="207" t="str"/>
      <x:c r="T387" s="207" t="str"/>
      <x:c r="U387" s="207" t="n">
        <x:v>0</x:v>
      </x:c>
      <x:c r="V387" s="208" t="n">
        <x:f>MAX(0,M387-U387)</x:f>
        <x:v>4</x:v>
      </x:c>
      <x:c r="W387" s="209" t="n">
        <x:f>IFERROR(U387/M387,0)</x:f>
        <x:v>0</x:v>
      </x:c>
      <x:c r="X387" s="201" t="str">
        <x:f>IF(U387=0,"Não iniciado",IF(U387&gt;=M387,"Concluído","Parcial"))</x:f>
        <x:v>Não iniciado</x:v>
      </x:c>
      <x:c r="Y387" s="199" t="str"/>
      <x:c r="Z387" s="188" t="str">
        <x:v>Normal</x:v>
      </x:c>
    </x:row>
    <x:row r="388" ht="22" customHeight="1">
      <x:c r="A388" s="219" t="n">
        <x:v>384</x:v>
      </x:c>
      <x:c r="B388" s="220" t="str">
        <x:v>26520</x:v>
      </x:c>
      <x:c r="C388" s="220" t="str">
        <x:v>3</x:v>
      </x:c>
      <x:c r="D388" s="220" t="str">
        <x:v>610082</x:v>
      </x:c>
      <x:c r="E388" s="220" t="str">
        <x:v>969665</x:v>
      </x:c>
      <x:c r="F388" s="220" t="str">
        <x:v>ALIZAR</x:v>
      </x:c>
      <x:c r="G388" s="190" t="str">
        <x:v>T A 1000X50X9 RTO LME PET CIN VER ULTRA</x:v>
      </x:c>
      <x:c r="H388" s="190" t="str"/>
      <x:c r="I388" s="190" t="str"/>
      <x:c r="J388" s="190" t="str"/>
      <x:c r="K388" s="190" t="str">
        <x:v>RECOBERTO PET</x:v>
      </x:c>
      <x:c r="L388" s="190" t="str">
        <x:v>CINZA VERONA</x:v>
      </x:c>
      <x:c r="M388" s="210" t="n">
        <x:v>4</x:v>
      </x:c>
      <x:c r="N388" s="210" t="n">
        <x:v>1000</x:v>
      </x:c>
      <x:c r="O388" s="210" t="n">
        <x:v>50</x:v>
      </x:c>
      <x:c r="P388" s="210" t="n">
        <x:v>9</x:v>
      </x:c>
      <x:c r="Q388" s="211" t="n">
        <x:v>0</x:v>
      </x:c>
      <x:c r="R388" s="207" t="str"/>
      <x:c r="S388" s="207" t="str"/>
      <x:c r="T388" s="207" t="str"/>
      <x:c r="U388" s="207" t="n">
        <x:v>0</x:v>
      </x:c>
      <x:c r="V388" s="208" t="n">
        <x:f>MAX(0,M388-U388)</x:f>
        <x:v>4</x:v>
      </x:c>
      <x:c r="W388" s="209" t="n">
        <x:f>IFERROR(U388/M388,0)</x:f>
        <x:v>0</x:v>
      </x:c>
      <x:c r="X388" s="201" t="str">
        <x:f>IF(U388=0,"Não iniciado",IF(U388&gt;=M388,"Concluído","Parcial"))</x:f>
        <x:v>Não iniciado</x:v>
      </x:c>
      <x:c r="Y388" s="199" t="str"/>
      <x:c r="Z388" s="188" t="str">
        <x:v>Normal</x:v>
      </x:c>
    </x:row>
    <x:row r="389" ht="22" customHeight="1">
      <x:c r="A389" s="217" t="n">
        <x:v>385</x:v>
      </x:c>
      <x:c r="B389" s="218" t="str">
        <x:v>26520</x:v>
      </x:c>
      <x:c r="C389" s="218" t="str">
        <x:v>4</x:v>
      </x:c>
      <x:c r="D389" s="218" t="str">
        <x:v>610088</x:v>
      </x:c>
      <x:c r="E389" s="218" t="str">
        <x:v>969663</x:v>
      </x:c>
      <x:c r="F389" s="218" t="str">
        <x:v>ALIZAR</x:v>
      </x:c>
      <x:c r="G389" s="184" t="str">
        <x:v>T A 1000X50X9 RTO RL55 PET CIN VER ULT)</x:v>
      </x:c>
      <x:c r="H389" s="184" t="str"/>
      <x:c r="I389" s="184" t="str"/>
      <x:c r="J389" s="184" t="str"/>
      <x:c r="K389" s="184" t="str">
        <x:v>RECOBERTO PET</x:v>
      </x:c>
      <x:c r="L389" s="184" t="str">
        <x:v>CINZA VERONA</x:v>
      </x:c>
      <x:c r="M389" s="205" t="n">
        <x:v>4</x:v>
      </x:c>
      <x:c r="N389" s="205" t="n">
        <x:v>1000</x:v>
      </x:c>
      <x:c r="O389" s="205" t="n">
        <x:v>50</x:v>
      </x:c>
      <x:c r="P389" s="205" t="n">
        <x:v>9</x:v>
      </x:c>
      <x:c r="Q389" s="206" t="n">
        <x:v>0</x:v>
      </x:c>
      <x:c r="R389" s="207" t="str"/>
      <x:c r="S389" s="207" t="str"/>
      <x:c r="T389" s="207" t="str"/>
      <x:c r="U389" s="207" t="n">
        <x:v>0</x:v>
      </x:c>
      <x:c r="V389" s="208" t="n">
        <x:f>MAX(0,M389-U389)</x:f>
        <x:v>4</x:v>
      </x:c>
      <x:c r="W389" s="209" t="n">
        <x:f>IFERROR(U389/M389,0)</x:f>
        <x:v>0</x:v>
      </x:c>
      <x:c r="X389" s="201" t="str">
        <x:f>IF(U389=0,"Não iniciado",IF(U389&gt;=M389,"Concluído","Parcial"))</x:f>
        <x:v>Não iniciado</x:v>
      </x:c>
      <x:c r="Y389" s="199" t="str"/>
      <x:c r="Z389" s="188" t="str">
        <x:v>Normal</x:v>
      </x:c>
    </x:row>
    <x:row r="390" ht="22" customHeight="1">
      <x:c r="A390" s="219" t="n">
        <x:v>386</x:v>
      </x:c>
      <x:c r="B390" s="220" t="str">
        <x:v>26520</x:v>
      </x:c>
      <x:c r="C390" s="220" t="str">
        <x:v>4</x:v>
      </x:c>
      <x:c r="D390" s="220" t="str">
        <x:v>610090</x:v>
      </x:c>
      <x:c r="E390" s="220" t="str">
        <x:v>969665</x:v>
      </x:c>
      <x:c r="F390" s="220" t="str">
        <x:v>ALIZAR</x:v>
      </x:c>
      <x:c r="G390" s="190" t="str">
        <x:v>T A 1000X50X9 RTO LME PET CIN VER ULTRA</x:v>
      </x:c>
      <x:c r="H390" s="190" t="str"/>
      <x:c r="I390" s="190" t="str"/>
      <x:c r="J390" s="190" t="str"/>
      <x:c r="K390" s="190" t="str">
        <x:v>RECOBERTO PET</x:v>
      </x:c>
      <x:c r="L390" s="190" t="str">
        <x:v>CINZA VERONA</x:v>
      </x:c>
      <x:c r="M390" s="210" t="n">
        <x:v>4</x:v>
      </x:c>
      <x:c r="N390" s="210" t="n">
        <x:v>1000</x:v>
      </x:c>
      <x:c r="O390" s="210" t="n">
        <x:v>50</x:v>
      </x:c>
      <x:c r="P390" s="210" t="n">
        <x:v>9</x:v>
      </x:c>
      <x:c r="Q390" s="211" t="n">
        <x:v>0</x:v>
      </x:c>
      <x:c r="R390" s="207" t="str"/>
      <x:c r="S390" s="207" t="str"/>
      <x:c r="T390" s="207" t="str"/>
      <x:c r="U390" s="207" t="n">
        <x:v>0</x:v>
      </x:c>
      <x:c r="V390" s="208" t="n">
        <x:f>MAX(0,M390-U390)</x:f>
        <x:v>4</x:v>
      </x:c>
      <x:c r="W390" s="209" t="n">
        <x:f>IFERROR(U390/M390,0)</x:f>
        <x:v>0</x:v>
      </x:c>
      <x:c r="X390" s="201" t="str">
        <x:f>IF(U390=0,"Não iniciado",IF(U390&gt;=M390,"Concluído","Parcial"))</x:f>
        <x:v>Não iniciado</x:v>
      </x:c>
      <x:c r="Y390" s="199" t="str"/>
      <x:c r="Z390" s="188" t="str">
        <x:v>Normal</x:v>
      </x:c>
    </x:row>
    <x:row r="391" ht="22" customHeight="1">
      <x:c r="A391" s="217" t="n">
        <x:v>387</x:v>
      </x:c>
      <x:c r="B391" s="218" t="str">
        <x:v>26520</x:v>
      </x:c>
      <x:c r="C391" s="218" t="str">
        <x:v>5</x:v>
      </x:c>
      <x:c r="D391" s="218" t="str">
        <x:v>610096</x:v>
      </x:c>
      <x:c r="E391" s="218" t="str">
        <x:v>969663</x:v>
      </x:c>
      <x:c r="F391" s="218" t="str">
        <x:v>ALIZAR</x:v>
      </x:c>
      <x:c r="G391" s="184" t="str">
        <x:v>T A 1000X50X9 RTO RL55 PET CIN VER ULT)</x:v>
      </x:c>
      <x:c r="H391" s="184" t="str"/>
      <x:c r="I391" s="184" t="str"/>
      <x:c r="J391" s="184" t="str"/>
      <x:c r="K391" s="184" t="str">
        <x:v>RECOBERTO PET</x:v>
      </x:c>
      <x:c r="L391" s="184" t="str">
        <x:v>CINZA VERONA</x:v>
      </x:c>
      <x:c r="M391" s="205" t="n">
        <x:v>1</x:v>
      </x:c>
      <x:c r="N391" s="205" t="n">
        <x:v>1000</x:v>
      </x:c>
      <x:c r="O391" s="205" t="n">
        <x:v>50</x:v>
      </x:c>
      <x:c r="P391" s="205" t="n">
        <x:v>9</x:v>
      </x:c>
      <x:c r="Q391" s="206" t="n">
        <x:v>0</x:v>
      </x:c>
      <x:c r="R391" s="207" t="str"/>
      <x:c r="S391" s="207" t="str"/>
      <x:c r="T391" s="207" t="str"/>
      <x:c r="U391" s="207" t="n">
        <x:v>0</x:v>
      </x:c>
      <x:c r="V391" s="208" t="n">
        <x:f>MAX(0,M391-U391)</x:f>
        <x:v>1</x:v>
      </x:c>
      <x:c r="W391" s="209" t="n">
        <x:f>IFERROR(U391/M391,0)</x:f>
        <x:v>0</x:v>
      </x:c>
      <x:c r="X391" s="201" t="str">
        <x:f>IF(U391=0,"Não iniciado",IF(U391&gt;=M391,"Concluído","Parcial"))</x:f>
        <x:v>Não iniciado</x:v>
      </x:c>
      <x:c r="Y391" s="199" t="str"/>
      <x:c r="Z391" s="188" t="str">
        <x:v>Normal</x:v>
      </x:c>
    </x:row>
    <x:row r="392" ht="22" customHeight="1">
      <x:c r="A392" s="219" t="n">
        <x:v>388</x:v>
      </x:c>
      <x:c r="B392" s="220" t="str">
        <x:v>26520</x:v>
      </x:c>
      <x:c r="C392" s="220" t="str">
        <x:v>5</x:v>
      </x:c>
      <x:c r="D392" s="220" t="str">
        <x:v>610098</x:v>
      </x:c>
      <x:c r="E392" s="220" t="str">
        <x:v>969665</x:v>
      </x:c>
      <x:c r="F392" s="220" t="str">
        <x:v>ALIZAR</x:v>
      </x:c>
      <x:c r="G392" s="190" t="str">
        <x:v>T A 1000X50X9 RTO LME PET CIN VER ULTRA</x:v>
      </x:c>
      <x:c r="H392" s="190" t="str"/>
      <x:c r="I392" s="190" t="str"/>
      <x:c r="J392" s="190" t="str"/>
      <x:c r="K392" s="190" t="str">
        <x:v>RECOBERTO PET</x:v>
      </x:c>
      <x:c r="L392" s="190" t="str">
        <x:v>CINZA VERONA</x:v>
      </x:c>
      <x:c r="M392" s="210" t="n">
        <x:v>1</x:v>
      </x:c>
      <x:c r="N392" s="210" t="n">
        <x:v>1000</x:v>
      </x:c>
      <x:c r="O392" s="210" t="n">
        <x:v>50</x:v>
      </x:c>
      <x:c r="P392" s="210" t="n">
        <x:v>9</x:v>
      </x:c>
      <x:c r="Q392" s="211" t="n">
        <x:v>0</x:v>
      </x:c>
      <x:c r="R392" s="207" t="str"/>
      <x:c r="S392" s="207" t="str"/>
      <x:c r="T392" s="207" t="str"/>
      <x:c r="U392" s="207" t="n">
        <x:v>0</x:v>
      </x:c>
      <x:c r="V392" s="208" t="n">
        <x:f>MAX(0,M392-U392)</x:f>
        <x:v>1</x:v>
      </x:c>
      <x:c r="W392" s="209" t="n">
        <x:f>IFERROR(U392/M392,0)</x:f>
        <x:v>0</x:v>
      </x:c>
      <x:c r="X392" s="201" t="str">
        <x:f>IF(U392=0,"Não iniciado",IF(U392&gt;=M392,"Concluído","Parcial"))</x:f>
        <x:v>Não iniciado</x:v>
      </x:c>
      <x:c r="Y392" s="199" t="str"/>
      <x:c r="Z392" s="188" t="str">
        <x:v>Normal</x:v>
      </x:c>
    </x:row>
    <x:row r="393" ht="22" customHeight="1">
      <x:c r="A393" s="217" t="n">
        <x:v>389</x:v>
      </x:c>
      <x:c r="B393" s="218" t="str">
        <x:v>26520</x:v>
      </x:c>
      <x:c r="C393" s="218" t="str">
        <x:v>6</x:v>
      </x:c>
      <x:c r="D393" s="218" t="str">
        <x:v>610104</x:v>
      </x:c>
      <x:c r="E393" s="218" t="str">
        <x:v>969663</x:v>
      </x:c>
      <x:c r="F393" s="218" t="str">
        <x:v>ALIZAR</x:v>
      </x:c>
      <x:c r="G393" s="184" t="str">
        <x:v>T A 1000X50X9 RTO RL55 PET CIN VER ULT)</x:v>
      </x:c>
      <x:c r="H393" s="184" t="str"/>
      <x:c r="I393" s="184" t="str"/>
      <x:c r="J393" s="184" t="str"/>
      <x:c r="K393" s="184" t="str">
        <x:v>RECOBERTO PET</x:v>
      </x:c>
      <x:c r="L393" s="184" t="str">
        <x:v>CINZA VERONA</x:v>
      </x:c>
      <x:c r="M393" s="205" t="n">
        <x:v>1</x:v>
      </x:c>
      <x:c r="N393" s="205" t="n">
        <x:v>1000</x:v>
      </x:c>
      <x:c r="O393" s="205" t="n">
        <x:v>50</x:v>
      </x:c>
      <x:c r="P393" s="205" t="n">
        <x:v>9</x:v>
      </x:c>
      <x:c r="Q393" s="206" t="n">
        <x:v>0</x:v>
      </x:c>
      <x:c r="R393" s="207" t="str"/>
      <x:c r="S393" s="207" t="str"/>
      <x:c r="T393" s="207" t="str"/>
      <x:c r="U393" s="207" t="n">
        <x:v>0</x:v>
      </x:c>
      <x:c r="V393" s="208" t="n">
        <x:f>MAX(0,M393-U393)</x:f>
        <x:v>1</x:v>
      </x:c>
      <x:c r="W393" s="209" t="n">
        <x:f>IFERROR(U393/M393,0)</x:f>
        <x:v>0</x:v>
      </x:c>
      <x:c r="X393" s="201" t="str">
        <x:f>IF(U393=0,"Não iniciado",IF(U393&gt;=M393,"Concluído","Parcial"))</x:f>
        <x:v>Não iniciado</x:v>
      </x:c>
      <x:c r="Y393" s="199" t="str"/>
      <x:c r="Z393" s="188" t="str">
        <x:v>Normal</x:v>
      </x:c>
    </x:row>
    <x:row r="394" ht="22" customHeight="1">
      <x:c r="A394" s="219" t="n">
        <x:v>390</x:v>
      </x:c>
      <x:c r="B394" s="220" t="str">
        <x:v>26520</x:v>
      </x:c>
      <x:c r="C394" s="220" t="str">
        <x:v>6</x:v>
      </x:c>
      <x:c r="D394" s="220" t="str">
        <x:v>610106</x:v>
      </x:c>
      <x:c r="E394" s="220" t="str">
        <x:v>969665</x:v>
      </x:c>
      <x:c r="F394" s="220" t="str">
        <x:v>ALIZAR</x:v>
      </x:c>
      <x:c r="G394" s="190" t="str">
        <x:v>T A 1000X50X9 RTO LME PET CIN VER ULTRA</x:v>
      </x:c>
      <x:c r="H394" s="190" t="str"/>
      <x:c r="I394" s="190" t="str"/>
      <x:c r="J394" s="190" t="str"/>
      <x:c r="K394" s="190" t="str">
        <x:v>RECOBERTO PET</x:v>
      </x:c>
      <x:c r="L394" s="190" t="str">
        <x:v>CINZA VERONA</x:v>
      </x:c>
      <x:c r="M394" s="210" t="n">
        <x:v>1</x:v>
      </x:c>
      <x:c r="N394" s="210" t="n">
        <x:v>1000</x:v>
      </x:c>
      <x:c r="O394" s="210" t="n">
        <x:v>50</x:v>
      </x:c>
      <x:c r="P394" s="210" t="n">
        <x:v>9</x:v>
      </x:c>
      <x:c r="Q394" s="211" t="n">
        <x:v>0</x:v>
      </x:c>
      <x:c r="R394" s="207" t="str"/>
      <x:c r="S394" s="207" t="str"/>
      <x:c r="T394" s="207" t="str"/>
      <x:c r="U394" s="207" t="n">
        <x:v>0</x:v>
      </x:c>
      <x:c r="V394" s="208" t="n">
        <x:f>MAX(0,M394-U394)</x:f>
        <x:v>1</x:v>
      </x:c>
      <x:c r="W394" s="209" t="n">
        <x:f>IFERROR(U394/M394,0)</x:f>
        <x:v>0</x:v>
      </x:c>
      <x:c r="X394" s="201" t="str">
        <x:f>IF(U394=0,"Não iniciado",IF(U394&gt;=M394,"Concluído","Parcial"))</x:f>
        <x:v>Não iniciado</x:v>
      </x:c>
      <x:c r="Y394" s="199" t="str"/>
      <x:c r="Z394" s="188" t="str">
        <x:v>Normal</x:v>
      </x:c>
    </x:row>
    <x:row r="395" ht="22" customHeight="1">
      <x:c r="A395" s="217" t="n">
        <x:v>391</x:v>
      </x:c>
      <x:c r="B395" s="218" t="str">
        <x:v>26796</x:v>
      </x:c>
      <x:c r="C395" s="218" t="str">
        <x:v>2</x:v>
      </x:c>
      <x:c r="D395" s="218" t="str">
        <x:v>609295</x:v>
      </x:c>
      <x:c r="E395" s="218" t="str">
        <x:v>986856</x:v>
      </x:c>
      <x:c r="F395" s="218" t="str">
        <x:v>OUTROS</x:v>
      </x:c>
      <x:c r="G395" s="184" t="str">
        <x:v>T.A 1000X50X9 RT RL35 PET TXT BCO STD</x:v>
      </x:c>
      <x:c r="H395" s="184" t="str"/>
      <x:c r="I395" s="184" t="str"/>
      <x:c r="J395" s="184" t="str"/>
      <x:c r="K395" s="184" t="str">
        <x:v>ESMALTE</x:v>
      </x:c>
      <x:c r="L395" s="184" t="str">
        <x:v>BRANCO</x:v>
      </x:c>
      <x:c r="M395" s="205" t="n">
        <x:v>48</x:v>
      </x:c>
      <x:c r="N395" s="205" t="n">
        <x:v>1000</x:v>
      </x:c>
      <x:c r="O395" s="205" t="n">
        <x:v>50</x:v>
      </x:c>
      <x:c r="P395" s="205" t="n">
        <x:v>9</x:v>
      </x:c>
      <x:c r="Q395" s="206" t="n">
        <x:v>0.022</x:v>
      </x:c>
      <x:c r="R395" s="207" t="str"/>
      <x:c r="S395" s="207" t="str"/>
      <x:c r="T395" s="207" t="str"/>
      <x:c r="U395" s="207" t="n">
        <x:v>0</x:v>
      </x:c>
      <x:c r="V395" s="208" t="n">
        <x:f>MAX(0,M395-U395)</x:f>
        <x:v>48</x:v>
      </x:c>
      <x:c r="W395" s="209" t="n">
        <x:f>IFERROR(U395/M395,0)</x:f>
        <x:v>0</x:v>
      </x:c>
      <x:c r="X395" s="201" t="str">
        <x:f>IF(U395=0,"Não iniciado",IF(U395&gt;=M395,"Concluído","Parcial"))</x:f>
        <x:v>Não iniciado</x:v>
      </x:c>
      <x:c r="Y395" s="199" t="str"/>
      <x:c r="Z395" s="188" t="str">
        <x:v>Normal</x:v>
      </x:c>
    </x:row>
    <x:row r="396" ht="22" customHeight="1">
      <x:c r="A396" s="219" t="n">
        <x:v>392</x:v>
      </x:c>
      <x:c r="B396" s="220" t="str">
        <x:v>26799</x:v>
      </x:c>
      <x:c r="C396" s="220" t="str">
        <x:v>2</x:v>
      </x:c>
      <x:c r="D396" s="220" t="str">
        <x:v>609400</x:v>
      </x:c>
      <x:c r="E396" s="220" t="str">
        <x:v>986856</x:v>
      </x:c>
      <x:c r="F396" s="220" t="str">
        <x:v>OUTROS</x:v>
      </x:c>
      <x:c r="G396" s="190" t="str">
        <x:v>T.A 1000X50X9 RT RL35 PET TXT BCO STD</x:v>
      </x:c>
      <x:c r="H396" s="190" t="str"/>
      <x:c r="I396" s="190" t="str"/>
      <x:c r="J396" s="190" t="str"/>
      <x:c r="K396" s="190" t="str">
        <x:v>ESMALTE</x:v>
      </x:c>
      <x:c r="L396" s="190" t="str">
        <x:v>BRANCO</x:v>
      </x:c>
      <x:c r="M396" s="210" t="n">
        <x:v>16</x:v>
      </x:c>
      <x:c r="N396" s="210" t="n">
        <x:v>1000</x:v>
      </x:c>
      <x:c r="O396" s="210" t="n">
        <x:v>50</x:v>
      </x:c>
      <x:c r="P396" s="210" t="n">
        <x:v>9</x:v>
      </x:c>
      <x:c r="Q396" s="211" t="n">
        <x:v>0.007</x:v>
      </x:c>
      <x:c r="R396" s="207" t="str"/>
      <x:c r="S396" s="207" t="str"/>
      <x:c r="T396" s="207" t="str"/>
      <x:c r="U396" s="207" t="n">
        <x:v>0</x:v>
      </x:c>
      <x:c r="V396" s="208" t="n">
        <x:f>MAX(0,M396-U396)</x:f>
        <x:v>16</x:v>
      </x:c>
      <x:c r="W396" s="209" t="n">
        <x:f>IFERROR(U396/M396,0)</x:f>
        <x:v>0</x:v>
      </x:c>
      <x:c r="X396" s="201" t="str">
        <x:f>IF(U396=0,"Não iniciado",IF(U396&gt;=M396,"Concluído","Parcial"))</x:f>
        <x:v>Não iniciado</x:v>
      </x:c>
      <x:c r="Y396" s="199" t="str"/>
      <x:c r="Z396" s="188" t="str">
        <x:v>Normal</x:v>
      </x:c>
    </x:row>
    <x:row r="397" ht="22" customHeight="1">
      <x:c r="A397" s="217" t="n">
        <x:v>393</x:v>
      </x:c>
      <x:c r="B397" s="218" t="str">
        <x:v>26744</x:v>
      </x:c>
      <x:c r="C397" s="218" t="str">
        <x:v>1</x:v>
      </x:c>
      <x:c r="D397" s="218" t="str">
        <x:v>609991</x:v>
      </x:c>
      <x:c r="E397" s="218" t="str">
        <x:v>962730</x:v>
      </x:c>
      <x:c r="F397" s="218" t="str">
        <x:v>OUTROS</x:v>
      </x:c>
      <x:c r="G397" s="184" t="str">
        <x:v>TR AL 1000X50X9 RTO RL35 REC PET BCO (UL</x:v>
      </x:c>
      <x:c r="H397" s="184" t="str"/>
      <x:c r="I397" s="184" t="str"/>
      <x:c r="J397" s="184" t="str"/>
      <x:c r="K397" s="184" t="str">
        <x:v>RECOBERTO PET</x:v>
      </x:c>
      <x:c r="L397" s="184" t="str">
        <x:v>BRANCO CARRARA</x:v>
      </x:c>
      <x:c r="M397" s="205" t="n">
        <x:v>4</x:v>
      </x:c>
      <x:c r="N397" s="205" t="n">
        <x:v>1000</x:v>
      </x:c>
      <x:c r="O397" s="205" t="n">
        <x:v>50</x:v>
      </x:c>
      <x:c r="P397" s="205" t="n">
        <x:v>9</x:v>
      </x:c>
      <x:c r="Q397" s="206" t="n">
        <x:v>0</x:v>
      </x:c>
      <x:c r="R397" s="207" t="str"/>
      <x:c r="S397" s="207" t="str"/>
      <x:c r="T397" s="207" t="str"/>
      <x:c r="U397" s="207" t="n">
        <x:v>0</x:v>
      </x:c>
      <x:c r="V397" s="208" t="n">
        <x:f>MAX(0,M397-U397)</x:f>
        <x:v>4</x:v>
      </x:c>
      <x:c r="W397" s="209" t="n">
        <x:f>IFERROR(U397/M397,0)</x:f>
        <x:v>0</x:v>
      </x:c>
      <x:c r="X397" s="201" t="str">
        <x:f>IF(U397=0,"Não iniciado",IF(U397&gt;=M397,"Concluído","Parcial"))</x:f>
        <x:v>Não iniciado</x:v>
      </x:c>
      <x:c r="Y397" s="199" t="str"/>
      <x:c r="Z397" s="188" t="str">
        <x:v>Normal</x:v>
      </x:c>
    </x:row>
    <x:row r="398" ht="22" customHeight="1">
      <x:c r="A398" s="219" t="n">
        <x:v>394</x:v>
      </x:c>
      <x:c r="B398" s="220" t="str">
        <x:v>26744</x:v>
      </x:c>
      <x:c r="C398" s="220" t="str">
        <x:v>2</x:v>
      </x:c>
      <x:c r="D398" s="220" t="str">
        <x:v>610000</x:v>
      </x:c>
      <x:c r="E398" s="220" t="str">
        <x:v>962730</x:v>
      </x:c>
      <x:c r="F398" s="220" t="str">
        <x:v>OUTROS</x:v>
      </x:c>
      <x:c r="G398" s="190" t="str">
        <x:v>TR AL 1000X50X9 RTO RL35 REC PET BCO (UL</x:v>
      </x:c>
      <x:c r="H398" s="190" t="str"/>
      <x:c r="I398" s="190" t="str"/>
      <x:c r="J398" s="190" t="str"/>
      <x:c r="K398" s="190" t="str">
        <x:v>RECOBERTO PET</x:v>
      </x:c>
      <x:c r="L398" s="190" t="str">
        <x:v>BRANCO CARRARA</x:v>
      </x:c>
      <x:c r="M398" s="210" t="n">
        <x:v>5</x:v>
      </x:c>
      <x:c r="N398" s="210" t="n">
        <x:v>1000</x:v>
      </x:c>
      <x:c r="O398" s="210" t="n">
        <x:v>50</x:v>
      </x:c>
      <x:c r="P398" s="210" t="n">
        <x:v>9</x:v>
      </x:c>
      <x:c r="Q398" s="211" t="n">
        <x:v>0</x:v>
      </x:c>
      <x:c r="R398" s="207" t="str"/>
      <x:c r="S398" s="207" t="str"/>
      <x:c r="T398" s="207" t="str"/>
      <x:c r="U398" s="207" t="n">
        <x:v>0</x:v>
      </x:c>
      <x:c r="V398" s="208" t="n">
        <x:f>MAX(0,M398-U398)</x:f>
        <x:v>5</x:v>
      </x:c>
      <x:c r="W398" s="209" t="n">
        <x:f>IFERROR(U398/M398,0)</x:f>
        <x:v>0</x:v>
      </x:c>
      <x:c r="X398" s="201" t="str">
        <x:f>IF(U398=0,"Não iniciado",IF(U398&gt;=M398,"Concluído","Parcial"))</x:f>
        <x:v>Não iniciado</x:v>
      </x:c>
      <x:c r="Y398" s="199" t="str"/>
      <x:c r="Z398" s="188" t="str">
        <x:v>Normal</x:v>
      </x:c>
    </x:row>
    <x:row r="399" ht="22" customHeight="1">
      <x:c r="A399" s="217" t="n">
        <x:v>395</x:v>
      </x:c>
      <x:c r="B399" s="218" t="str">
        <x:v>26744</x:v>
      </x:c>
      <x:c r="C399" s="218" t="str">
        <x:v>7</x:v>
      </x:c>
      <x:c r="D399" s="218" t="str">
        <x:v>610026</x:v>
      </x:c>
      <x:c r="E399" s="218" t="str">
        <x:v>962730</x:v>
      </x:c>
      <x:c r="F399" s="218" t="str">
        <x:v>OUTROS</x:v>
      </x:c>
      <x:c r="G399" s="184" t="str">
        <x:v>TR AL 1000X50X9 RTO RL35 REC PET BCO (UL</x:v>
      </x:c>
      <x:c r="H399" s="184" t="str">
        <x:v>REG 2L(MAIOR 35mm)</x:v>
      </x:c>
      <x:c r="I399" s="184" t="str"/>
      <x:c r="J399" s="184" t="str"/>
      <x:c r="K399" s="184" t="str">
        <x:v>RECOBERTO PET</x:v>
      </x:c>
      <x:c r="L399" s="184" t="str">
        <x:v>BRANCO CARRARA</x:v>
      </x:c>
      <x:c r="M399" s="205" t="n">
        <x:v>2</x:v>
      </x:c>
      <x:c r="N399" s="205" t="n">
        <x:v>1000</x:v>
      </x:c>
      <x:c r="O399" s="205" t="n">
        <x:v>50</x:v>
      </x:c>
      <x:c r="P399" s="205" t="n">
        <x:v>9</x:v>
      </x:c>
      <x:c r="Q399" s="206" t="n">
        <x:v>0</x:v>
      </x:c>
      <x:c r="R399" s="207" t="str"/>
      <x:c r="S399" s="207" t="str"/>
      <x:c r="T399" s="207" t="str"/>
      <x:c r="U399" s="207" t="n">
        <x:v>0</x:v>
      </x:c>
      <x:c r="V399" s="208" t="n">
        <x:f>MAX(0,M399-U399)</x:f>
        <x:v>2</x:v>
      </x:c>
      <x:c r="W399" s="209" t="n">
        <x:f>IFERROR(U399/M399,0)</x:f>
        <x:v>0</x:v>
      </x:c>
      <x:c r="X399" s="201" t="str">
        <x:f>IF(U399=0,"Não iniciado",IF(U399&gt;=M399,"Concluído","Parcial"))</x:f>
        <x:v>Não iniciado</x:v>
      </x:c>
      <x:c r="Y399" s="199" t="str"/>
      <x:c r="Z399" s="188" t="str">
        <x:v>Normal</x:v>
      </x:c>
    </x:row>
    <x:row r="400" ht="22" customHeight="1">
      <x:c r="A400" s="219" t="n">
        <x:v>396</x:v>
      </x:c>
      <x:c r="B400" s="220" t="str">
        <x:v>26796</x:v>
      </x:c>
      <x:c r="C400" s="220" t="str">
        <x:v>1</x:v>
      </x:c>
      <x:c r="D400" s="220" t="str">
        <x:v>609287</x:v>
      </x:c>
      <x:c r="E400" s="220" t="str">
        <x:v>986856</x:v>
      </x:c>
      <x:c r="F400" s="220" t="str">
        <x:v>OUTROS</x:v>
      </x:c>
      <x:c r="G400" s="190" t="str">
        <x:v>T.A 1000X50X9 RT RL35 PET TXT BCO STD</x:v>
      </x:c>
      <x:c r="H400" s="190" t="str"/>
      <x:c r="I400" s="190" t="str"/>
      <x:c r="J400" s="190" t="str"/>
      <x:c r="K400" s="190" t="str">
        <x:v>ESMALTE</x:v>
      </x:c>
      <x:c r="L400" s="190" t="str">
        <x:v>BRANCO CARRARA</x:v>
      </x:c>
      <x:c r="M400" s="210" t="n">
        <x:v>216</x:v>
      </x:c>
      <x:c r="N400" s="210" t="n">
        <x:v>1000</x:v>
      </x:c>
      <x:c r="O400" s="210" t="n">
        <x:v>50</x:v>
      </x:c>
      <x:c r="P400" s="210" t="n">
        <x:v>9</x:v>
      </x:c>
      <x:c r="Q400" s="211" t="n">
        <x:v>0.097</x:v>
      </x:c>
      <x:c r="R400" s="207" t="str"/>
      <x:c r="S400" s="207" t="str"/>
      <x:c r="T400" s="207" t="str"/>
      <x:c r="U400" s="207" t="n">
        <x:v>0</x:v>
      </x:c>
      <x:c r="V400" s="208" t="n">
        <x:f>MAX(0,M400-U400)</x:f>
        <x:v>216</x:v>
      </x:c>
      <x:c r="W400" s="209" t="n">
        <x:f>IFERROR(U400/M400,0)</x:f>
        <x:v>0</x:v>
      </x:c>
      <x:c r="X400" s="201" t="str">
        <x:f>IF(U400=0,"Não iniciado",IF(U400&gt;=M400,"Concluído","Parcial"))</x:f>
        <x:v>Não iniciado</x:v>
      </x:c>
      <x:c r="Y400" s="199" t="str"/>
      <x:c r="Z400" s="188" t="str">
        <x:v>Normal</x:v>
      </x:c>
    </x:row>
    <x:row r="401" ht="22" customHeight="1">
      <x:c r="A401" s="217" t="n">
        <x:v>397</x:v>
      </x:c>
      <x:c r="B401" s="218" t="str">
        <x:v>26799</x:v>
      </x:c>
      <x:c r="C401" s="218" t="str">
        <x:v>1</x:v>
      </x:c>
      <x:c r="D401" s="218" t="str">
        <x:v>609392</x:v>
      </x:c>
      <x:c r="E401" s="218" t="str">
        <x:v>986856</x:v>
      </x:c>
      <x:c r="F401" s="218" t="str">
        <x:v>OUTROS</x:v>
      </x:c>
      <x:c r="G401" s="184" t="str">
        <x:v>T.A 1000X50X9 RT RL35 PET TXT BCO STD</x:v>
      </x:c>
      <x:c r="H401" s="184" t="str"/>
      <x:c r="I401" s="184" t="str"/>
      <x:c r="J401" s="184" t="str"/>
      <x:c r="K401" s="184" t="str">
        <x:v>ESMALTE</x:v>
      </x:c>
      <x:c r="L401" s="184" t="str">
        <x:v>BRANCO CARRARA</x:v>
      </x:c>
      <x:c r="M401" s="205" t="n">
        <x:v>72</x:v>
      </x:c>
      <x:c r="N401" s="205" t="n">
        <x:v>1000</x:v>
      </x:c>
      <x:c r="O401" s="205" t="n">
        <x:v>50</x:v>
      </x:c>
      <x:c r="P401" s="205" t="n">
        <x:v>9</x:v>
      </x:c>
      <x:c r="Q401" s="206" t="n">
        <x:v>0.032</x:v>
      </x:c>
      <x:c r="R401" s="207" t="str"/>
      <x:c r="S401" s="207" t="str"/>
      <x:c r="T401" s="207" t="str"/>
      <x:c r="U401" s="207" t="n">
        <x:v>0</x:v>
      </x:c>
      <x:c r="V401" s="208" t="n">
        <x:f>MAX(0,M401-U401)</x:f>
        <x:v>72</x:v>
      </x:c>
      <x:c r="W401" s="209" t="n">
        <x:f>IFERROR(U401/M401,0)</x:f>
        <x:v>0</x:v>
      </x:c>
      <x:c r="X401" s="201" t="str">
        <x:f>IF(U401=0,"Não iniciado",IF(U401&gt;=M401,"Concluído","Parcial"))</x:f>
        <x:v>Não iniciado</x:v>
      </x:c>
      <x:c r="Y401" s="199" t="str"/>
      <x:c r="Z401" s="188" t="str">
        <x:v>Normal</x:v>
      </x:c>
    </x:row>
    <x:row r="402" ht="22" customHeight="1">
      <x:c r="A402" s="219" t="n">
        <x:v>398</x:v>
      </x:c>
      <x:c r="B402" s="220" t="str">
        <x:v>26520</x:v>
      </x:c>
      <x:c r="C402" s="220" t="str">
        <x:v>9</x:v>
      </x:c>
      <x:c r="D402" s="220" t="str">
        <x:v>610116</x:v>
      </x:c>
      <x:c r="E402" s="220" t="str">
        <x:v>975916</x:v>
      </x:c>
      <x:c r="F402" s="220" t="str">
        <x:v>OUTROS</x:v>
      </x:c>
      <x:c r="G402" s="190" t="str">
        <x:v>TR AL 1000X50X9 RTO RL55 REC PET CURUP(U</x:v>
      </x:c>
      <x:c r="H402" s="190" t="str">
        <x:v>REG 1L(MAIOR 55MM)</x:v>
      </x:c>
      <x:c r="I402" s="190" t="str"/>
      <x:c r="J402" s="190" t="str"/>
      <x:c r="K402" s="190" t="str">
        <x:v>RECOBERTO PET</x:v>
      </x:c>
      <x:c r="L402" s="190" t="str">
        <x:v>CURUPIXA RAVENNA</x:v>
      </x:c>
      <x:c r="M402" s="210" t="n">
        <x:v>1</x:v>
      </x:c>
      <x:c r="N402" s="210" t="n">
        <x:v>1000</x:v>
      </x:c>
      <x:c r="O402" s="210" t="n">
        <x:v>50</x:v>
      </x:c>
      <x:c r="P402" s="210" t="n">
        <x:v>9</x:v>
      </x:c>
      <x:c r="Q402" s="211" t="n">
        <x:v>0</x:v>
      </x:c>
      <x:c r="R402" s="207" t="str"/>
      <x:c r="S402" s="207" t="str"/>
      <x:c r="T402" s="207" t="str"/>
      <x:c r="U402" s="207" t="n">
        <x:v>0</x:v>
      </x:c>
      <x:c r="V402" s="208" t="n">
        <x:f>MAX(0,M402-U402)</x:f>
        <x:v>1</x:v>
      </x:c>
      <x:c r="W402" s="209" t="n">
        <x:f>IFERROR(U402/M402,0)</x:f>
        <x:v>0</x:v>
      </x:c>
      <x:c r="X402" s="201" t="str">
        <x:f>IF(U402=0,"Não iniciado",IF(U402&gt;=M402,"Concluído","Parcial"))</x:f>
        <x:v>Não iniciado</x:v>
      </x:c>
      <x:c r="Y402" s="199" t="str"/>
      <x:c r="Z402" s="188" t="str">
        <x:v>Normal</x:v>
      </x:c>
    </x:row>
    <x:row r="403" ht="22" customHeight="1">
      <x:c r="A403" s="217" t="n">
        <x:v>399</x:v>
      </x:c>
      <x:c r="B403" s="218" t="str">
        <x:v>26520</x:v>
      </x:c>
      <x:c r="C403" s="218" t="str">
        <x:v>11</x:v>
      </x:c>
      <x:c r="D403" s="218" t="str">
        <x:v>610125</x:v>
      </x:c>
      <x:c r="E403" s="218" t="str">
        <x:v>975916</x:v>
      </x:c>
      <x:c r="F403" s="218" t="str">
        <x:v>OUTROS</x:v>
      </x:c>
      <x:c r="G403" s="184" t="str">
        <x:v>TR AL 1000X50X9 RTO RL55 REC PET CURUP(U</x:v>
      </x:c>
      <x:c r="H403" s="184" t="str"/>
      <x:c r="I403" s="184" t="str"/>
      <x:c r="J403" s="184" t="str"/>
      <x:c r="K403" s="184" t="str">
        <x:v>RECOBERTO PET</x:v>
      </x:c>
      <x:c r="L403" s="184" t="str">
        <x:v>CURUPIXA RAVENNA</x:v>
      </x:c>
      <x:c r="M403" s="205" t="n">
        <x:v>3</x:v>
      </x:c>
      <x:c r="N403" s="205" t="n">
        <x:v>1000</x:v>
      </x:c>
      <x:c r="O403" s="205" t="n">
        <x:v>50</x:v>
      </x:c>
      <x:c r="P403" s="205" t="n">
        <x:v>9</x:v>
      </x:c>
      <x:c r="Q403" s="206" t="n">
        <x:v>0</x:v>
      </x:c>
      <x:c r="R403" s="207" t="str"/>
      <x:c r="S403" s="207" t="str"/>
      <x:c r="T403" s="207" t="str"/>
      <x:c r="U403" s="207" t="n">
        <x:v>0</x:v>
      </x:c>
      <x:c r="V403" s="208" t="n">
        <x:f>MAX(0,M403-U403)</x:f>
        <x:v>3</x:v>
      </x:c>
      <x:c r="W403" s="209" t="n">
        <x:f>IFERROR(U403/M403,0)</x:f>
        <x:v>0</x:v>
      </x:c>
      <x:c r="X403" s="201" t="str">
        <x:f>IF(U403=0,"Não iniciado",IF(U403&gt;=M403,"Concluído","Parcial"))</x:f>
        <x:v>Não iniciado</x:v>
      </x:c>
      <x:c r="Y403" s="199" t="str"/>
      <x:c r="Z403" s="188" t="str">
        <x:v>Normal</x:v>
      </x:c>
    </x:row>
    <x:row r="404" ht="22" customHeight="1">
      <x:c r="A404" s="219" t="n">
        <x:v>400</x:v>
      </x:c>
      <x:c r="B404" s="220" t="str">
        <x:v>26520</x:v>
      </x:c>
      <x:c r="C404" s="220" t="str">
        <x:v>11</x:v>
      </x:c>
      <x:c r="D404" s="220" t="str">
        <x:v>610127</x:v>
      </x:c>
      <x:c r="E404" s="220" t="str">
        <x:v>975919</x:v>
      </x:c>
      <x:c r="F404" s="220" t="str">
        <x:v>OUTROS</x:v>
      </x:c>
      <x:c r="G404" s="190" t="str">
        <x:v>TR AL 1000X50X9 RTO LME REC PET CURUP(UL</x:v>
      </x:c>
      <x:c r="H404" s="190" t="str"/>
      <x:c r="I404" s="190" t="str"/>
      <x:c r="J404" s="190" t="str"/>
      <x:c r="K404" s="190" t="str">
        <x:v>RECOBERTO PET</x:v>
      </x:c>
      <x:c r="L404" s="190" t="str">
        <x:v>CURUPIXA RAVENNA</x:v>
      </x:c>
      <x:c r="M404" s="210" t="n">
        <x:v>3</x:v>
      </x:c>
      <x:c r="N404" s="210" t="n">
        <x:v>1000</x:v>
      </x:c>
      <x:c r="O404" s="210" t="n">
        <x:v>50</x:v>
      </x:c>
      <x:c r="P404" s="210" t="n">
        <x:v>9</x:v>
      </x:c>
      <x:c r="Q404" s="211" t="n">
        <x:v>0</x:v>
      </x:c>
      <x:c r="R404" s="207" t="str"/>
      <x:c r="S404" s="207" t="str"/>
      <x:c r="T404" s="207" t="str"/>
      <x:c r="U404" s="207" t="n">
        <x:v>0</x:v>
      </x:c>
      <x:c r="V404" s="208" t="n">
        <x:f>MAX(0,M404-U404)</x:f>
        <x:v>3</x:v>
      </x:c>
      <x:c r="W404" s="209" t="n">
        <x:f>IFERROR(U404/M404,0)</x:f>
        <x:v>0</x:v>
      </x:c>
      <x:c r="X404" s="201" t="str">
        <x:f>IF(U404=0,"Não iniciado",IF(U404&gt;=M404,"Concluído","Parcial"))</x:f>
        <x:v>Não iniciado</x:v>
      </x:c>
      <x:c r="Y404" s="199" t="str"/>
      <x:c r="Z404" s="188" t="str">
        <x:v>Normal</x:v>
      </x:c>
    </x:row>
    <x:row r="405" ht="22" customHeight="1">
      <x:c r="A405" s="217" t="n">
        <x:v>401</x:v>
      </x:c>
      <x:c r="B405" s="218" t="str">
        <x:v>26520</x:v>
      </x:c>
      <x:c r="C405" s="218" t="str">
        <x:v>12</x:v>
      </x:c>
      <x:c r="D405" s="218" t="str">
        <x:v>610133</x:v>
      </x:c>
      <x:c r="E405" s="218" t="str">
        <x:v>975916</x:v>
      </x:c>
      <x:c r="F405" s="218" t="str">
        <x:v>OUTROS</x:v>
      </x:c>
      <x:c r="G405" s="184" t="str">
        <x:v>TR AL 1000X50X9 RTO RL55 REC PET CURUP(U</x:v>
      </x:c>
      <x:c r="H405" s="184" t="str"/>
      <x:c r="I405" s="184" t="str"/>
      <x:c r="J405" s="184" t="str"/>
      <x:c r="K405" s="184" t="str">
        <x:v>RECOBERTO PET</x:v>
      </x:c>
      <x:c r="L405" s="184" t="str">
        <x:v>CURUPIXA RAVENNA</x:v>
      </x:c>
      <x:c r="M405" s="205" t="n">
        <x:v>1</x:v>
      </x:c>
      <x:c r="N405" s="205" t="n">
        <x:v>1000</x:v>
      </x:c>
      <x:c r="O405" s="205" t="n">
        <x:v>50</x:v>
      </x:c>
      <x:c r="P405" s="205" t="n">
        <x:v>9</x:v>
      </x:c>
      <x:c r="Q405" s="206" t="n">
        <x:v>0</x:v>
      </x:c>
      <x:c r="R405" s="207" t="str"/>
      <x:c r="S405" s="207" t="str"/>
      <x:c r="T405" s="207" t="str"/>
      <x:c r="U405" s="207" t="n">
        <x:v>0</x:v>
      </x:c>
      <x:c r="V405" s="208" t="n">
        <x:f>MAX(0,M405-U405)</x:f>
        <x:v>1</x:v>
      </x:c>
      <x:c r="W405" s="209" t="n">
        <x:f>IFERROR(U405/M405,0)</x:f>
        <x:v>0</x:v>
      </x:c>
      <x:c r="X405" s="201" t="str">
        <x:f>IF(U405=0,"Não iniciado",IF(U405&gt;=M405,"Concluído","Parcial"))</x:f>
        <x:v>Não iniciado</x:v>
      </x:c>
      <x:c r="Y405" s="199" t="str"/>
      <x:c r="Z405" s="188" t="str">
        <x:v>Normal</x:v>
      </x:c>
    </x:row>
    <x:row r="406" ht="22" customHeight="1">
      <x:c r="A406" s="219" t="n">
        <x:v>402</x:v>
      </x:c>
      <x:c r="B406" s="220" t="str">
        <x:v>26520</x:v>
      </x:c>
      <x:c r="C406" s="220" t="str">
        <x:v>12</x:v>
      </x:c>
      <x:c r="D406" s="220" t="str">
        <x:v>610135</x:v>
      </x:c>
      <x:c r="E406" s="220" t="str">
        <x:v>975919</x:v>
      </x:c>
      <x:c r="F406" s="220" t="str">
        <x:v>OUTROS</x:v>
      </x:c>
      <x:c r="G406" s="190" t="str">
        <x:v>TR AL 1000X50X9 RTO LME REC PET CURUP(UL</x:v>
      </x:c>
      <x:c r="H406" s="190" t="str"/>
      <x:c r="I406" s="190" t="str"/>
      <x:c r="J406" s="190" t="str"/>
      <x:c r="K406" s="190" t="str">
        <x:v>RECOBERTO PET</x:v>
      </x:c>
      <x:c r="L406" s="190" t="str">
        <x:v>CURUPIXA RAVENNA</x:v>
      </x:c>
      <x:c r="M406" s="210" t="n">
        <x:v>1</x:v>
      </x:c>
      <x:c r="N406" s="210" t="n">
        <x:v>1000</x:v>
      </x:c>
      <x:c r="O406" s="210" t="n">
        <x:v>50</x:v>
      </x:c>
      <x:c r="P406" s="210" t="n">
        <x:v>9</x:v>
      </x:c>
      <x:c r="Q406" s="211" t="n">
        <x:v>0</x:v>
      </x:c>
      <x:c r="R406" s="207" t="str"/>
      <x:c r="S406" s="207" t="str"/>
      <x:c r="T406" s="207" t="str"/>
      <x:c r="U406" s="207" t="n">
        <x:v>0</x:v>
      </x:c>
      <x:c r="V406" s="208" t="n">
        <x:f>MAX(0,M406-U406)</x:f>
        <x:v>1</x:v>
      </x:c>
      <x:c r="W406" s="209" t="n">
        <x:f>IFERROR(U406/M406,0)</x:f>
        <x:v>0</x:v>
      </x:c>
      <x:c r="X406" s="201" t="str">
        <x:f>IF(U406=0,"Não iniciado",IF(U406&gt;=M406,"Concluído","Parcial"))</x:f>
        <x:v>Não iniciado</x:v>
      </x:c>
      <x:c r="Y406" s="199" t="str"/>
      <x:c r="Z406" s="188" t="str">
        <x:v>Normal</x:v>
      </x:c>
    </x:row>
    <x:row r="407" ht="22" customHeight="1">
      <x:c r="A407" s="217" t="n">
        <x:v>403</x:v>
      </x:c>
      <x:c r="B407" s="218" t="str">
        <x:v>26820</x:v>
      </x:c>
      <x:c r="C407" s="218" t="str">
        <x:v>1</x:v>
      </x:c>
      <x:c r="D407" s="218" t="str">
        <x:v>610051</x:v>
      </x:c>
      <x:c r="E407" s="218" t="str">
        <x:v>2020700637</x:v>
      </x:c>
      <x:c r="F407" s="218" t="str">
        <x:v>OUTROS</x:v>
      </x:c>
      <x:c r="G407" s="184" t="str">
        <x:v>A ULTRA PET BCO CAR 2250X40X9 RG(ME) RTO</x:v>
      </x:c>
      <x:c r="H407" s="184" t="str">
        <x:v>REG 2L(MAIOR 80MM)</x:v>
      </x:c>
      <x:c r="I407" s="184" t="str"/>
      <x:c r="J407" s="184" t="str"/>
      <x:c r="K407" s="184" t="str">
        <x:v>RECOBERTO PET</x:v>
      </x:c>
      <x:c r="L407" s="184" t="str">
        <x:v>BRANCO CARRARA</x:v>
      </x:c>
      <x:c r="M407" s="205" t="n">
        <x:v>60</x:v>
      </x:c>
      <x:c r="N407" s="205" t="n">
        <x:v>2250</x:v>
      </x:c>
      <x:c r="O407" s="205" t="n">
        <x:v>40</x:v>
      </x:c>
      <x:c r="P407" s="205" t="n">
        <x:v>9</x:v>
      </x:c>
      <x:c r="Q407" s="206" t="n">
        <x:v>0</x:v>
      </x:c>
      <x:c r="R407" s="207" t="str"/>
      <x:c r="S407" s="207" t="str"/>
      <x:c r="T407" s="207" t="str"/>
      <x:c r="U407" s="207" t="n">
        <x:v>0</x:v>
      </x:c>
      <x:c r="V407" s="208" t="n">
        <x:f>MAX(0,M407-U407)</x:f>
        <x:v>60</x:v>
      </x:c>
      <x:c r="W407" s="209" t="n">
        <x:f>IFERROR(U407/M407,0)</x:f>
        <x:v>0</x:v>
      </x:c>
      <x:c r="X407" s="201" t="str">
        <x:f>IF(U407=0,"Não iniciado",IF(U407&gt;=M407,"Concluído","Parcial"))</x:f>
        <x:v>Não iniciado</x:v>
      </x:c>
      <x:c r="Y407" s="199" t="str"/>
      <x:c r="Z407" s="188" t="str">
        <x:v>Normal</x:v>
      </x:c>
    </x:row>
    <x:row r="408" ht="22" customHeight="1">
      <x:c r="A408" s="219" t="n">
        <x:v>404</x:v>
      </x:c>
      <x:c r="B408" s="220" t="str">
        <x:v>26820</x:v>
      </x:c>
      <x:c r="C408" s="220" t="str">
        <x:v>1</x:v>
      </x:c>
      <x:c r="D408" s="220" t="str">
        <x:v>610052</x:v>
      </x:c>
      <x:c r="E408" s="220" t="str">
        <x:v>2020700638</x:v>
      </x:c>
      <x:c r="F408" s="220" t="str">
        <x:v>OUTROS</x:v>
      </x:c>
      <x:c r="G408" s="190" t="str">
        <x:v>A ULTRA PET BCO CAR 2250X40X9 RG(80) RTO</x:v>
      </x:c>
      <x:c r="H408" s="190" t="str">
        <x:v>REG 2L(MAIOR 80MM)</x:v>
      </x:c>
      <x:c r="I408" s="190" t="str"/>
      <x:c r="J408" s="190" t="str"/>
      <x:c r="K408" s="190" t="str">
        <x:v>RECOBERTO PET</x:v>
      </x:c>
      <x:c r="L408" s="190" t="str">
        <x:v>BRANCO CARRARA</x:v>
      </x:c>
      <x:c r="M408" s="210" t="n">
        <x:v>60</x:v>
      </x:c>
      <x:c r="N408" s="210" t="n">
        <x:v>2250</x:v>
      </x:c>
      <x:c r="O408" s="210" t="n">
        <x:v>40</x:v>
      </x:c>
      <x:c r="P408" s="210" t="n">
        <x:v>9</x:v>
      </x:c>
      <x:c r="Q408" s="211" t="n">
        <x:v>0</x:v>
      </x:c>
      <x:c r="R408" s="207" t="str"/>
      <x:c r="S408" s="207" t="str"/>
      <x:c r="T408" s="207" t="str"/>
      <x:c r="U408" s="207" t="n">
        <x:v>0</x:v>
      </x:c>
      <x:c r="V408" s="208" t="n">
        <x:f>MAX(0,M408-U408)</x:f>
        <x:v>60</x:v>
      </x:c>
      <x:c r="W408" s="209" t="n">
        <x:f>IFERROR(U408/M408,0)</x:f>
        <x:v>0</x:v>
      </x:c>
      <x:c r="X408" s="201" t="str">
        <x:f>IF(U408=0,"Não iniciado",IF(U408&gt;=M408,"Concluído","Parcial"))</x:f>
        <x:v>Não iniciado</x:v>
      </x:c>
      <x:c r="Y408" s="199" t="str"/>
      <x:c r="Z408" s="188" t="str">
        <x:v>Normal</x:v>
      </x:c>
    </x:row>
    <x:row r="409" ht="22" customHeight="1">
      <x:c r="A409" s="217" t="n">
        <x:v>405</x:v>
      </x:c>
      <x:c r="B409" s="218" t="str">
        <x:v>26750</x:v>
      </x:c>
      <x:c r="C409" s="218" t="str">
        <x:v>9</x:v>
      </x:c>
      <x:c r="D409" s="218" t="str">
        <x:v>609802</x:v>
      </x:c>
      <x:c r="E409" s="218" t="str">
        <x:v>961470</x:v>
      </x:c>
      <x:c r="F409" s="218" t="str">
        <x:v>BAGUETE</x:v>
      </x:c>
      <x:c r="G409" s="184" t="str">
        <x:v>BAG 2200X40X14 RTO BTA. PVC REN BCO</x:v>
      </x:c>
      <x:c r="H409" s="184" t="str"/>
      <x:c r="I409" s="184" t="str"/>
      <x:c r="J409" s="184" t="str"/>
      <x:c r="K409" s="184" t="str">
        <x:v>RECOBERTO PVC RENOLIT</x:v>
      </x:c>
      <x:c r="L409" s="184" t="str">
        <x:v>BRANCO</x:v>
      </x:c>
      <x:c r="M409" s="205" t="n">
        <x:v>25</x:v>
      </x:c>
      <x:c r="N409" s="205" t="n">
        <x:v>2200</x:v>
      </x:c>
      <x:c r="O409" s="205" t="n">
        <x:v>40</x:v>
      </x:c>
      <x:c r="P409" s="205" t="n">
        <x:v>14</x:v>
      </x:c>
      <x:c r="Q409" s="206" t="n">
        <x:v>0.031</x:v>
      </x:c>
      <x:c r="R409" s="207" t="str"/>
      <x:c r="S409" s="207" t="str"/>
      <x:c r="T409" s="207" t="str"/>
      <x:c r="U409" s="207" t="n">
        <x:v>0</x:v>
      </x:c>
      <x:c r="V409" s="208" t="n">
        <x:f>MAX(0,M409-U409)</x:f>
        <x:v>25</x:v>
      </x:c>
      <x:c r="W409" s="209" t="n">
        <x:f>IFERROR(U409/M409,0)</x:f>
        <x:v>0</x:v>
      </x:c>
      <x:c r="X409" s="201" t="str">
        <x:f>IF(U409=0,"Não iniciado",IF(U409&gt;=M409,"Concluído","Parcial"))</x:f>
        <x:v>Não iniciado</x:v>
      </x:c>
      <x:c r="Y409" s="199" t="str"/>
      <x:c r="Z409" s="188" t="str">
        <x:v>Normal</x:v>
      </x:c>
    </x:row>
    <x:row r="410" ht="22" customHeight="1">
      <x:c r="A410" s="219" t="n">
        <x:v>406</x:v>
      </x:c>
      <x:c r="B410" s="220" t="str">
        <x:v>26739</x:v>
      </x:c>
      <x:c r="C410" s="220" t="str">
        <x:v>26</x:v>
      </x:c>
      <x:c r="D410" s="220" t="str">
        <x:v>609782</x:v>
      </x:c>
      <x:c r="E410" s="220" t="str">
        <x:v>675659</x:v>
      </x:c>
      <x:c r="F410" s="220" t="str">
        <x:v>BAGUETE</x:v>
      </x:c>
      <x:c r="G410" s="190" t="str">
        <x:v>BAGUETE 2200X40X14 RTO BTA. REC PET BRC</x:v>
      </x:c>
      <x:c r="H410" s="190" t="str"/>
      <x:c r="I410" s="190" t="str"/>
      <x:c r="J410" s="190" t="str"/>
      <x:c r="K410" s="190" t="str">
        <x:v>RECOBERTO PET</x:v>
      </x:c>
      <x:c r="L410" s="190" t="str">
        <x:v>BRANCO CARRARA</x:v>
      </x:c>
      <x:c r="M410" s="210" t="n">
        <x:v>35</x:v>
      </x:c>
      <x:c r="N410" s="210" t="n">
        <x:v>2200</x:v>
      </x:c>
      <x:c r="O410" s="210" t="n">
        <x:v>40</x:v>
      </x:c>
      <x:c r="P410" s="210" t="n">
        <x:v>14</x:v>
      </x:c>
      <x:c r="Q410" s="211" t="n">
        <x:v>0.043</x:v>
      </x:c>
      <x:c r="R410" s="207" t="str"/>
      <x:c r="S410" s="207" t="str"/>
      <x:c r="T410" s="207" t="str"/>
      <x:c r="U410" s="207" t="n">
        <x:v>0</x:v>
      </x:c>
      <x:c r="V410" s="208" t="n">
        <x:f>MAX(0,M410-U410)</x:f>
        <x:v>35</x:v>
      </x:c>
      <x:c r="W410" s="209" t="n">
        <x:f>IFERROR(U410/M410,0)</x:f>
        <x:v>0</x:v>
      </x:c>
      <x:c r="X410" s="201" t="str">
        <x:f>IF(U410=0,"Não iniciado",IF(U410&gt;=M410,"Concluído","Parcial"))</x:f>
        <x:v>Não iniciado</x:v>
      </x:c>
      <x:c r="Y410" s="199" t="str"/>
      <x:c r="Z410" s="188" t="str">
        <x:v>Normal</x:v>
      </x:c>
    </x:row>
    <x:row r="411" ht="22" customHeight="1">
      <x:c r="A411" s="217" t="n">
        <x:v>407</x:v>
      </x:c>
      <x:c r="B411" s="218" t="str">
        <x:v>26820</x:v>
      </x:c>
      <x:c r="C411" s="218" t="str">
        <x:v>1</x:v>
      </x:c>
      <x:c r="D411" s="218" t="str">
        <x:v>610054</x:v>
      </x:c>
      <x:c r="E411" s="218" t="str">
        <x:v>2020700640</x:v>
      </x:c>
      <x:c r="F411" s="218" t="str">
        <x:v>OUTROS</x:v>
      </x:c>
      <x:c r="G411" s="184" t="str">
        <x:v>A ULTRA PET BCO CAR 1200X40X9 RG(80) RTO</x:v>
      </x:c>
      <x:c r="H411" s="184" t="str">
        <x:v>REG 2L(MAIOR 80MM)</x:v>
      </x:c>
      <x:c r="I411" s="184" t="str"/>
      <x:c r="J411" s="184" t="str"/>
      <x:c r="K411" s="184" t="str">
        <x:v>RECOBERTO PET</x:v>
      </x:c>
      <x:c r="L411" s="184" t="str">
        <x:v>BRANCO CARRARA</x:v>
      </x:c>
      <x:c r="M411" s="205" t="n">
        <x:v>30</x:v>
      </x:c>
      <x:c r="N411" s="205" t="n">
        <x:v>1200</x:v>
      </x:c>
      <x:c r="O411" s="205" t="n">
        <x:v>40</x:v>
      </x:c>
      <x:c r="P411" s="205" t="n">
        <x:v>9</x:v>
      </x:c>
      <x:c r="Q411" s="206" t="n">
        <x:v>0</x:v>
      </x:c>
      <x:c r="R411" s="207" t="str"/>
      <x:c r="S411" s="207" t="str"/>
      <x:c r="T411" s="207" t="str"/>
      <x:c r="U411" s="207" t="n">
        <x:v>0</x:v>
      </x:c>
      <x:c r="V411" s="208" t="n">
        <x:f>MAX(0,M411-U411)</x:f>
        <x:v>30</x:v>
      </x:c>
      <x:c r="W411" s="209" t="n">
        <x:f>IFERROR(U411/M411,0)</x:f>
        <x:v>0</x:v>
      </x:c>
      <x:c r="X411" s="201" t="str">
        <x:f>IF(U411=0,"Não iniciado",IF(U411&gt;=M411,"Concluído","Parcial"))</x:f>
        <x:v>Não iniciado</x:v>
      </x:c>
      <x:c r="Y411" s="199" t="str"/>
      <x:c r="Z411" s="188" t="str">
        <x:v>Normal</x:v>
      </x:c>
    </x:row>
    <x:row r="412" ht="22" customHeight="1">
      <x:c r="A412" s="219" t="n">
        <x:v>408</x:v>
      </x:c>
      <x:c r="B412" s="220" t="str">
        <x:v>26820</x:v>
      </x:c>
      <x:c r="C412" s="220" t="str">
        <x:v>2</x:v>
      </x:c>
      <x:c r="D412" s="220" t="str">
        <x:v>610056</x:v>
      </x:c>
      <x:c r="E412" s="220" t="str">
        <x:v>2020700641</x:v>
      </x:c>
      <x:c r="F412" s="220" t="str">
        <x:v>OUTROS</x:v>
      </x:c>
      <x:c r="G412" s="190" t="str">
        <x:v>A ULTRA PET BCO CAR 2300X30X9 RG(ME) RTO</x:v>
      </x:c>
      <x:c r="H412" s="190" t="str">
        <x:v>REG 2L(MAIOR 80MM)</x:v>
      </x:c>
      <x:c r="I412" s="190" t="str"/>
      <x:c r="J412" s="190" t="str"/>
      <x:c r="K412" s="190" t="str">
        <x:v>RECOBERTO PET</x:v>
      </x:c>
      <x:c r="L412" s="190" t="str">
        <x:v>BRANCO CARRARA</x:v>
      </x:c>
      <x:c r="M412" s="210" t="n">
        <x:v>20</x:v>
      </x:c>
      <x:c r="N412" s="210" t="n">
        <x:v>2300</x:v>
      </x:c>
      <x:c r="O412" s="210" t="n">
        <x:v>30</x:v>
      </x:c>
      <x:c r="P412" s="210" t="n">
        <x:v>9</x:v>
      </x:c>
      <x:c r="Q412" s="211" t="n">
        <x:v>0</x:v>
      </x:c>
      <x:c r="R412" s="207" t="str"/>
      <x:c r="S412" s="207" t="str"/>
      <x:c r="T412" s="207" t="str"/>
      <x:c r="U412" s="207" t="n">
        <x:v>0</x:v>
      </x:c>
      <x:c r="V412" s="208" t="n">
        <x:f>MAX(0,M412-U412)</x:f>
        <x:v>20</x:v>
      </x:c>
      <x:c r="W412" s="209" t="n">
        <x:f>IFERROR(U412/M412,0)</x:f>
        <x:v>0</x:v>
      </x:c>
      <x:c r="X412" s="201" t="str">
        <x:f>IF(U412=0,"Não iniciado",IF(U412&gt;=M412,"Concluído","Parcial"))</x:f>
        <x:v>Não iniciado</x:v>
      </x:c>
      <x:c r="Y412" s="199" t="str"/>
      <x:c r="Z412" s="188" t="str">
        <x:v>Normal</x:v>
      </x:c>
    </x:row>
    <x:row r="413" ht="22" customHeight="1">
      <x:c r="A413" s="217" t="n">
        <x:v>409</x:v>
      </x:c>
      <x:c r="B413" s="218" t="str">
        <x:v>26820</x:v>
      </x:c>
      <x:c r="C413" s="218" t="str">
        <x:v>2</x:v>
      </x:c>
      <x:c r="D413" s="218" t="str">
        <x:v>610057</x:v>
      </x:c>
      <x:c r="E413" s="218" t="str">
        <x:v>2020700642</x:v>
      </x:c>
      <x:c r="F413" s="218" t="str">
        <x:v>OUTROS</x:v>
      </x:c>
      <x:c r="G413" s="184" t="str">
        <x:v>A ULTRA PET BCO CAR 2300X30X9 RG(80) RTO</x:v>
      </x:c>
      <x:c r="H413" s="184" t="str">
        <x:v>REG 2L(MAIOR 80MM)</x:v>
      </x:c>
      <x:c r="I413" s="184" t="str"/>
      <x:c r="J413" s="184" t="str"/>
      <x:c r="K413" s="184" t="str">
        <x:v>RECOBERTO PET</x:v>
      </x:c>
      <x:c r="L413" s="184" t="str">
        <x:v>BRANCO CARRARA</x:v>
      </x:c>
      <x:c r="M413" s="205" t="n">
        <x:v>20</x:v>
      </x:c>
      <x:c r="N413" s="205" t="n">
        <x:v>2300</x:v>
      </x:c>
      <x:c r="O413" s="205" t="n">
        <x:v>30</x:v>
      </x:c>
      <x:c r="P413" s="205" t="n">
        <x:v>9</x:v>
      </x:c>
      <x:c r="Q413" s="206" t="n">
        <x:v>0</x:v>
      </x:c>
      <x:c r="R413" s="207" t="str"/>
      <x:c r="S413" s="207" t="str"/>
      <x:c r="T413" s="207" t="str"/>
      <x:c r="U413" s="207" t="n">
        <x:v>0</x:v>
      </x:c>
      <x:c r="V413" s="208" t="n">
        <x:f>MAX(0,M413-U413)</x:f>
        <x:v>20</x:v>
      </x:c>
      <x:c r="W413" s="209" t="n">
        <x:f>IFERROR(U413/M413,0)</x:f>
        <x:v>0</x:v>
      </x:c>
      <x:c r="X413" s="201" t="str">
        <x:f>IF(U413=0,"Não iniciado",IF(U413&gt;=M413,"Concluído","Parcial"))</x:f>
        <x:v>Não iniciado</x:v>
      </x:c>
      <x:c r="Y413" s="199" t="str"/>
      <x:c r="Z413" s="188" t="str">
        <x:v>Normal</x:v>
      </x:c>
    </x:row>
    <x:row r="414" ht="22" customHeight="1">
      <x:c r="A414" s="219" t="n">
        <x:v>410</x:v>
      </x:c>
      <x:c r="B414" s="220" t="str">
        <x:v>26820</x:v>
      </x:c>
      <x:c r="C414" s="220" t="str">
        <x:v>2</x:v>
      </x:c>
      <x:c r="D414" s="220" t="str">
        <x:v>610059</x:v>
      </x:c>
      <x:c r="E414" s="220" t="str">
        <x:v>2020700644</x:v>
      </x:c>
      <x:c r="F414" s="220" t="str">
        <x:v>OUTROS</x:v>
      </x:c>
      <x:c r="G414" s="190" t="str">
        <x:v>A ULTRA PET BCO CAR 1200X30X9 RG(80) RTO</x:v>
      </x:c>
      <x:c r="H414" s="190" t="str">
        <x:v>REG 2L(MAIOR 80MM)</x:v>
      </x:c>
      <x:c r="I414" s="190" t="str"/>
      <x:c r="J414" s="190" t="str"/>
      <x:c r="K414" s="190" t="str">
        <x:v>RECOBERTO PET</x:v>
      </x:c>
      <x:c r="L414" s="190" t="str">
        <x:v>BRANCO CARRARA</x:v>
      </x:c>
      <x:c r="M414" s="210" t="n">
        <x:v>10</x:v>
      </x:c>
      <x:c r="N414" s="210" t="n">
        <x:v>1200</x:v>
      </x:c>
      <x:c r="O414" s="210" t="n">
        <x:v>30</x:v>
      </x:c>
      <x:c r="P414" s="210" t="n">
        <x:v>9</x:v>
      </x:c>
      <x:c r="Q414" s="211" t="n">
        <x:v>0</x:v>
      </x:c>
      <x:c r="R414" s="207" t="str"/>
      <x:c r="S414" s="207" t="str"/>
      <x:c r="T414" s="207" t="str"/>
      <x:c r="U414" s="207" t="n">
        <x:v>0</x:v>
      </x:c>
      <x:c r="V414" s="208" t="n">
        <x:f>MAX(0,M414-U414)</x:f>
        <x:v>10</x:v>
      </x:c>
      <x:c r="W414" s="209" t="n">
        <x:f>IFERROR(U414/M414,0)</x:f>
        <x:v>0</x:v>
      </x:c>
      <x:c r="X414" s="201" t="str">
        <x:f>IF(U414=0,"Não iniciado",IF(U414&gt;=M414,"Concluído","Parcial"))</x:f>
        <x:v>Não iniciado</x:v>
      </x:c>
      <x:c r="Y414" s="199" t="str"/>
      <x:c r="Z414" s="188" t="str">
        <x:v>Normal</x:v>
      </x:c>
    </x:row>
    <x:row r="415" ht="22" customHeight="1">
      <x:c r="A415" s="217" t="n">
        <x:v>411</x:v>
      </x:c>
      <x:c r="B415" s="218" t="str">
        <x:v>26826</x:v>
      </x:c>
      <x:c r="C415" s="218" t="str">
        <x:v>5</x:v>
      </x:c>
      <x:c r="D415" s="218" t="str">
        <x:v>609066</x:v>
      </x:c>
      <x:c r="E415" s="218" t="str">
        <x:v>985572</x:v>
      </x:c>
      <x:c r="F415" s="218" t="str">
        <x:v>KIT DE CORRER</x:v>
      </x:c>
      <x:c r="G415" s="184" t="str">
        <x:v>PERNA KIT STD  KIT DE CORRER EM MDF</x:v>
      </x:c>
      <x:c r="H415" s="184" t="str"/>
      <x:c r="I415" s="184" t="str"/>
      <x:c r="J415" s="184" t="str"/>
      <x:c r="K415" s="184" t="str">
        <x:v>RECOBERTO PET TXT</x:v>
      </x:c>
      <x:c r="L415" s="184" t="str">
        <x:v>BRANCO</x:v>
      </x:c>
      <x:c r="M415" s="205" t="n">
        <x:v>230</x:v>
      </x:c>
      <x:c r="N415" s="205" t="str"/>
      <x:c r="O415" s="205" t="str"/>
      <x:c r="P415" s="205" t="str"/>
      <x:c r="Q415" s="206" t="n">
        <x:v>1.252</x:v>
      </x:c>
      <x:c r="R415" s="207" t="str"/>
      <x:c r="S415" s="207" t="str"/>
      <x:c r="T415" s="207" t="str"/>
      <x:c r="U415" s="207" t="n">
        <x:v>0</x:v>
      </x:c>
      <x:c r="V415" s="208" t="n">
        <x:f>MAX(0,M415-U415)</x:f>
        <x:v>230</x:v>
      </x:c>
      <x:c r="W415" s="209" t="n">
        <x:f>IFERROR(U415/M415,0)</x:f>
        <x:v>0</x:v>
      </x:c>
      <x:c r="X415" s="201" t="str">
        <x:f>IF(U415=0,"Não iniciado",IF(U415&gt;=M415,"Concluído","Parcial"))</x:f>
        <x:v>Não iniciado</x:v>
      </x:c>
      <x:c r="Y415" s="199" t="str"/>
      <x:c r="Z415" s="188" t="str">
        <x:v>Normal</x:v>
      </x:c>
    </x:row>
    <x:row r="416" ht="22" customHeight="1">
      <x:c r="A416" s="219" t="n">
        <x:v>412</x:v>
      </x:c>
      <x:c r="B416" s="220" t="str">
        <x:v>26826</x:v>
      </x:c>
      <x:c r="C416" s="220" t="str">
        <x:v>5</x:v>
      </x:c>
      <x:c r="D416" s="220" t="str">
        <x:v>609067</x:v>
      </x:c>
      <x:c r="E416" s="220" t="str">
        <x:v>985573</x:v>
      </x:c>
      <x:c r="F416" s="220" t="str">
        <x:v>KIT DE CORRER</x:v>
      </x:c>
      <x:c r="G416" s="190" t="str">
        <x:v> KIT DE CORRER EM MDF</x:v>
      </x:c>
      <x:c r="H416" s="190" t="str"/>
      <x:c r="I416" s="190" t="str"/>
      <x:c r="J416" s="190" t="str"/>
      <x:c r="K416" s="190" t="str">
        <x:v>RECOBERTO PET TXT</x:v>
      </x:c>
      <x:c r="L416" s="190" t="str">
        <x:v>BRANCO</x:v>
      </x:c>
      <x:c r="M416" s="210" t="n">
        <x:v>115</x:v>
      </x:c>
      <x:c r="N416" s="210" t="str"/>
      <x:c r="O416" s="210" t="str"/>
      <x:c r="P416" s="210" t="str"/>
      <x:c r="Q416" s="211" t="n">
        <x:v>0</x:v>
      </x:c>
      <x:c r="R416" s="207" t="str"/>
      <x:c r="S416" s="207" t="str"/>
      <x:c r="T416" s="207" t="str"/>
      <x:c r="U416" s="207" t="n">
        <x:v>0</x:v>
      </x:c>
      <x:c r="V416" s="208" t="n">
        <x:f>MAX(0,M416-U416)</x:f>
        <x:v>115</x:v>
      </x:c>
      <x:c r="W416" s="209" t="n">
        <x:f>IFERROR(U416/M416,0)</x:f>
        <x:v>0</x:v>
      </x:c>
      <x:c r="X416" s="201" t="str">
        <x:f>IF(U416=0,"Não iniciado",IF(U416&gt;=M416,"Concluído","Parcial"))</x:f>
        <x:v>Não iniciado</x:v>
      </x:c>
      <x:c r="Y416" s="199" t="str"/>
      <x:c r="Z416" s="188" t="str">
        <x:v>Normal</x:v>
      </x:c>
    </x:row>
    <x:row r="417" ht="22" customHeight="1">
      <x:c r="A417" s="217" t="n">
        <x:v>413</x:v>
      </x:c>
      <x:c r="B417" s="218" t="str">
        <x:v>26826</x:v>
      </x:c>
      <x:c r="C417" s="218" t="str">
        <x:v>5</x:v>
      </x:c>
      <x:c r="D417" s="218" t="str">
        <x:v>609068</x:v>
      </x:c>
      <x:c r="E417" s="218" t="str">
        <x:v>985574</x:v>
      </x:c>
      <x:c r="F417" s="218" t="str">
        <x:v>KIT DE CORRER</x:v>
      </x:c>
      <x:c r="G417" s="184" t="str">
        <x:v>AL KIT L MEN STD  KIT DE CORRER EM MDF</x:v>
      </x:c>
      <x:c r="H417" s="184" t="str"/>
      <x:c r="I417" s="184" t="str"/>
      <x:c r="J417" s="184" t="str"/>
      <x:c r="K417" s="184" t="str">
        <x:v>RECOBERTO PET TXT</x:v>
      </x:c>
      <x:c r="L417" s="184" t="str">
        <x:v>BRANCO</x:v>
      </x:c>
      <x:c r="M417" s="205" t="n">
        <x:v>345</x:v>
      </x:c>
      <x:c r="N417" s="205" t="str"/>
      <x:c r="O417" s="205" t="str"/>
      <x:c r="P417" s="205" t="str"/>
      <x:c r="Q417" s="206" t="n">
        <x:v>0.342</x:v>
      </x:c>
      <x:c r="R417" s="207" t="str"/>
      <x:c r="S417" s="207" t="str"/>
      <x:c r="T417" s="207" t="str"/>
      <x:c r="U417" s="207" t="n">
        <x:v>0</x:v>
      </x:c>
      <x:c r="V417" s="208" t="n">
        <x:f>MAX(0,M417-U417)</x:f>
        <x:v>345</x:v>
      </x:c>
      <x:c r="W417" s="209" t="n">
        <x:f>IFERROR(U417/M417,0)</x:f>
        <x:v>0</x:v>
      </x:c>
      <x:c r="X417" s="201" t="str">
        <x:f>IF(U417=0,"Não iniciado",IF(U417&gt;=M417,"Concluído","Parcial"))</x:f>
        <x:v>Não iniciado</x:v>
      </x:c>
      <x:c r="Y417" s="199" t="str"/>
      <x:c r="Z417" s="188" t="str">
        <x:v>Normal</x:v>
      </x:c>
    </x:row>
    <x:row r="418" ht="22" customHeight="1">
      <x:c r="A418" s="219" t="n">
        <x:v>414</x:v>
      </x:c>
      <x:c r="B418" s="220" t="str">
        <x:v>26826</x:v>
      </x:c>
      <x:c r="C418" s="220" t="str">
        <x:v>5</x:v>
      </x:c>
      <x:c r="D418" s="220" t="str">
        <x:v>609069</x:v>
      </x:c>
      <x:c r="E418" s="220" t="str">
        <x:v>988095</x:v>
      </x:c>
      <x:c r="F418" s="220" t="str">
        <x:v>KIT DE CORRER</x:v>
      </x:c>
      <x:c r="G418" s="190" t="str">
        <x:v>SUP KIT STD  KIT DE CORRER EM MDF</x:v>
      </x:c>
      <x:c r="H418" s="190" t="str"/>
      <x:c r="I418" s="190" t="str"/>
      <x:c r="J418" s="190" t="str"/>
      <x:c r="K418" s="190" t="str">
        <x:v>RECOBERTO PET TXT</x:v>
      </x:c>
      <x:c r="L418" s="190" t="str">
        <x:v>BRANCO</x:v>
      </x:c>
      <x:c r="M418" s="210" t="n">
        <x:v>115</x:v>
      </x:c>
      <x:c r="N418" s="210" t="str"/>
      <x:c r="O418" s="210" t="str"/>
      <x:c r="P418" s="210" t="str"/>
      <x:c r="Q418" s="211" t="n">
        <x:v>0.626</x:v>
      </x:c>
      <x:c r="R418" s="207" t="str"/>
      <x:c r="S418" s="207" t="str"/>
      <x:c r="T418" s="207" t="str"/>
      <x:c r="U418" s="207" t="n">
        <x:v>0</x:v>
      </x:c>
      <x:c r="V418" s="208" t="n">
        <x:f>MAX(0,M418-U418)</x:f>
        <x:v>115</x:v>
      </x:c>
      <x:c r="W418" s="209" t="n">
        <x:f>IFERROR(U418/M418,0)</x:f>
        <x:v>0</x:v>
      </x:c>
      <x:c r="X418" s="201" t="str">
        <x:f>IF(U418=0,"Não iniciado",IF(U418&gt;=M418,"Concluído","Parcial"))</x:f>
        <x:v>Não iniciado</x:v>
      </x:c>
      <x:c r="Y418" s="199" t="str"/>
      <x:c r="Z418" s="188" t="str">
        <x:v>Normal</x:v>
      </x:c>
    </x:row>
    <x:row r="419" ht="22" customHeight="1">
      <x:c r="A419" s="217" t="n">
        <x:v>415</x:v>
      </x:c>
      <x:c r="B419" s="218" t="str">
        <x:v>26739</x:v>
      </x:c>
      <x:c r="C419" s="218" t="str">
        <x:v>16</x:v>
      </x:c>
      <x:c r="D419" s="218" t="str">
        <x:v>609689</x:v>
      </x:c>
      <x:c r="E419" s="218" t="str">
        <x:v>2010700829</x:v>
      </x:c>
      <x:c r="F419" s="218" t="str">
        <x:v>KIT DE CORRER</x:v>
      </x:c>
      <x:c r="G419" s="184" t="str">
        <x:v>P K COR ULTRA PET BCO CAR  KIT DE CORRER EM MDF ULTRA</x:v>
      </x:c>
      <x:c r="H419" s="184" t="str"/>
      <x:c r="I419" s="184" t="str"/>
      <x:c r="J419" s="184" t="str"/>
      <x:c r="K419" s="184" t="str">
        <x:v>RECOBERTO PET</x:v>
      </x:c>
      <x:c r="L419" s="184" t="str">
        <x:v>BRANCO CARRARA</x:v>
      </x:c>
      <x:c r="M419" s="205" t="n">
        <x:v>14</x:v>
      </x:c>
      <x:c r="N419" s="205" t="str"/>
      <x:c r="O419" s="205" t="str"/>
      <x:c r="P419" s="205" t="str"/>
      <x:c r="Q419" s="206" t="n">
        <x:v>0.076</x:v>
      </x:c>
      <x:c r="R419" s="207" t="str"/>
      <x:c r="S419" s="207" t="str"/>
      <x:c r="T419" s="207" t="str"/>
      <x:c r="U419" s="207" t="n">
        <x:v>0</x:v>
      </x:c>
      <x:c r="V419" s="208" t="n">
        <x:f>MAX(0,M419-U419)</x:f>
        <x:v>14</x:v>
      </x:c>
      <x:c r="W419" s="209" t="n">
        <x:f>IFERROR(U419/M419,0)</x:f>
        <x:v>0</x:v>
      </x:c>
      <x:c r="X419" s="201" t="str">
        <x:f>IF(U419=0,"Não iniciado",IF(U419&gt;=M419,"Concluído","Parcial"))</x:f>
        <x:v>Não iniciado</x:v>
      </x:c>
      <x:c r="Y419" s="199" t="str"/>
      <x:c r="Z419" s="188" t="str">
        <x:v>Normal</x:v>
      </x:c>
    </x:row>
    <x:row r="420" ht="22" customHeight="1">
      <x:c r="A420" s="219" t="n">
        <x:v>416</x:v>
      </x:c>
      <x:c r="B420" s="220" t="str">
        <x:v>26739</x:v>
      </x:c>
      <x:c r="C420" s="220" t="str">
        <x:v>16</x:v>
      </x:c>
      <x:c r="D420" s="220" t="str">
        <x:v>609690</x:v>
      </x:c>
      <x:c r="E420" s="220" t="str">
        <x:v>2010700830</x:v>
      </x:c>
      <x:c r="F420" s="220" t="str">
        <x:v>KIT DE CORRER</x:v>
      </x:c>
      <x:c r="G420" s="190" t="str">
        <x:v>S K COR ULTRA PET BCO CAR  KIT DE CORRER EM MDF ULTRA</x:v>
      </x:c>
      <x:c r="H420" s="190" t="str"/>
      <x:c r="I420" s="190" t="str"/>
      <x:c r="J420" s="190" t="str"/>
      <x:c r="K420" s="190" t="str">
        <x:v>RECOBERTO PET</x:v>
      </x:c>
      <x:c r="L420" s="190" t="str">
        <x:v>BRANCO CARRARA</x:v>
      </x:c>
      <x:c r="M420" s="210" t="n">
        <x:v>7</x:v>
      </x:c>
      <x:c r="N420" s="210" t="str"/>
      <x:c r="O420" s="210" t="str"/>
      <x:c r="P420" s="210" t="str"/>
      <x:c r="Q420" s="211" t="n">
        <x:v>0.038</x:v>
      </x:c>
      <x:c r="R420" s="207" t="str"/>
      <x:c r="S420" s="207" t="str"/>
      <x:c r="T420" s="207" t="str"/>
      <x:c r="U420" s="207" t="n">
        <x:v>0</x:v>
      </x:c>
      <x:c r="V420" s="208" t="n">
        <x:f>MAX(0,M420-U420)</x:f>
        <x:v>7</x:v>
      </x:c>
      <x:c r="W420" s="209" t="n">
        <x:f>IFERROR(U420/M420,0)</x:f>
        <x:v>0</x:v>
      </x:c>
      <x:c r="X420" s="201" t="str">
        <x:f>IF(U420=0,"Não iniciado",IF(U420&gt;=M420,"Concluído","Parcial"))</x:f>
        <x:v>Não iniciado</x:v>
      </x:c>
      <x:c r="Y420" s="199" t="str"/>
      <x:c r="Z420" s="188" t="str">
        <x:v>Normal</x:v>
      </x:c>
    </x:row>
    <x:row r="421" ht="22" customHeight="1">
      <x:c r="A421" s="217" t="n">
        <x:v>417</x:v>
      </x:c>
      <x:c r="B421" s="218" t="str">
        <x:v>26739</x:v>
      </x:c>
      <x:c r="C421" s="218" t="str">
        <x:v>16</x:v>
      </x:c>
      <x:c r="D421" s="218" t="str">
        <x:v>609691</x:v>
      </x:c>
      <x:c r="E421" s="218" t="str">
        <x:v>2020700312</x:v>
      </x:c>
      <x:c r="F421" s="218" t="str">
        <x:v>KIT DE CORRER</x:v>
      </x:c>
      <x:c r="G421" s="184" t="str">
        <x:v>CAB K COR ULTRA PET BCO CAR 2200X100X KIT DE CORRER EM MDF ULTRA</x:v>
      </x:c>
      <x:c r="H421" s="184" t="str"/>
      <x:c r="I421" s="184" t="str"/>
      <x:c r="J421" s="184" t="str"/>
      <x:c r="K421" s="184" t="str">
        <x:v>RECOBERTO PET</x:v>
      </x:c>
      <x:c r="L421" s="184" t="str">
        <x:v>BRANCO CARRARA</x:v>
      </x:c>
      <x:c r="M421" s="205" t="n">
        <x:v>7</x:v>
      </x:c>
      <x:c r="N421" s="205" t="str"/>
      <x:c r="O421" s="205" t="str"/>
      <x:c r="P421" s="205" t="str"/>
      <x:c r="Q421" s="206" t="n">
        <x:v>0.018</x:v>
      </x:c>
      <x:c r="R421" s="207" t="str"/>
      <x:c r="S421" s="207" t="str"/>
      <x:c r="T421" s="207" t="str"/>
      <x:c r="U421" s="207" t="n">
        <x:v>0</x:v>
      </x:c>
      <x:c r="V421" s="208" t="n">
        <x:f>MAX(0,M421-U421)</x:f>
        <x:v>7</x:v>
      </x:c>
      <x:c r="W421" s="209" t="n">
        <x:f>IFERROR(U421/M421,0)</x:f>
        <x:v>0</x:v>
      </x:c>
      <x:c r="X421" s="201" t="str">
        <x:f>IF(U421=0,"Não iniciado",IF(U421&gt;=M421,"Concluído","Parcial"))</x:f>
        <x:v>Não iniciado</x:v>
      </x:c>
      <x:c r="Y421" s="199" t="str"/>
      <x:c r="Z421" s="188" t="str">
        <x:v>Normal</x:v>
      </x:c>
    </x:row>
    <x:row r="422" ht="22" customHeight="1">
      <x:c r="A422" s="219" t="n">
        <x:v>418</x:v>
      </x:c>
      <x:c r="B422" s="220" t="str">
        <x:v>26739</x:v>
      </x:c>
      <x:c r="C422" s="220" t="str">
        <x:v>16</x:v>
      </x:c>
      <x:c r="D422" s="220" t="str">
        <x:v>609692</x:v>
      </x:c>
      <x:c r="E422" s="220" t="str">
        <x:v>2020700313</x:v>
      </x:c>
      <x:c r="F422" s="220" t="str">
        <x:v>KIT DE CORRER</x:v>
      </x:c>
      <x:c r="G422" s="190" t="str">
        <x:v>A K LME COR ULTRA PET BCO CAR  KIT DE CORRER EM MDF ULTRA</x:v>
      </x:c>
      <x:c r="H422" s="190" t="str"/>
      <x:c r="I422" s="190" t="str"/>
      <x:c r="J422" s="190" t="str"/>
      <x:c r="K422" s="190" t="str">
        <x:v>RECOBERTO PET</x:v>
      </x:c>
      <x:c r="L422" s="190" t="str">
        <x:v>BRANCO CARRARA</x:v>
      </x:c>
      <x:c r="M422" s="210" t="n">
        <x:v>21</x:v>
      </x:c>
      <x:c r="N422" s="210" t="str"/>
      <x:c r="O422" s="210" t="str"/>
      <x:c r="P422" s="210" t="str"/>
      <x:c r="Q422" s="211" t="n">
        <x:v>0.028</x:v>
      </x:c>
      <x:c r="R422" s="207" t="str"/>
      <x:c r="S422" s="207" t="str"/>
      <x:c r="T422" s="207" t="str"/>
      <x:c r="U422" s="207" t="n">
        <x:v>0</x:v>
      </x:c>
      <x:c r="V422" s="208" t="n">
        <x:f>MAX(0,M422-U422)</x:f>
        <x:v>21</x:v>
      </x:c>
      <x:c r="W422" s="209" t="n">
        <x:f>IFERROR(U422/M422,0)</x:f>
        <x:v>0</x:v>
      </x:c>
      <x:c r="X422" s="201" t="str">
        <x:f>IF(U422=0,"Não iniciado",IF(U422&gt;=M422,"Concluído","Parcial"))</x:f>
        <x:v>Não iniciado</x:v>
      </x:c>
      <x:c r="Y422" s="199" t="str"/>
      <x:c r="Z422" s="188" t="str">
        <x:v>Normal</x:v>
      </x:c>
    </x:row>
    <x:row r="423" ht="22" customHeight="1">
      <x:c r="A423" s="217" t="n">
        <x:v>419</x:v>
      </x:c>
      <x:c r="B423" s="218" t="str">
        <x:v>26744</x:v>
      </x:c>
      <x:c r="C423" s="218" t="str">
        <x:v>6</x:v>
      </x:c>
      <x:c r="D423" s="218" t="str">
        <x:v>610018</x:v>
      </x:c>
      <x:c r="E423" s="218" t="str">
        <x:v>675004</x:v>
      </x:c>
      <x:c r="F423" s="218" t="str">
        <x:v>KIT DE CORRER</x:v>
      </x:c>
      <x:c r="G423" s="184" t="str">
        <x:v> KIT DE CORRER EM MADEIRA DE PINUS</x:v>
      </x:c>
      <x:c r="H423" s="184" t="str"/>
      <x:c r="I423" s="184" t="str"/>
      <x:c r="J423" s="184" t="str"/>
      <x:c r="K423" s="184" t="str">
        <x:v>RECOBERTO PET</x:v>
      </x:c>
      <x:c r="L423" s="184" t="str">
        <x:v>BRANCO CARRARA</x:v>
      </x:c>
      <x:c r="M423" s="205" t="n">
        <x:v>4</x:v>
      </x:c>
      <x:c r="N423" s="205" t="str"/>
      <x:c r="O423" s="205" t="str"/>
      <x:c r="P423" s="205" t="str"/>
      <x:c r="Q423" s="206" t="n">
        <x:v>0</x:v>
      </x:c>
      <x:c r="R423" s="207" t="str"/>
      <x:c r="S423" s="207" t="str"/>
      <x:c r="T423" s="207" t="str"/>
      <x:c r="U423" s="207" t="n">
        <x:v>0</x:v>
      </x:c>
      <x:c r="V423" s="208" t="n">
        <x:f>MAX(0,M423-U423)</x:f>
        <x:v>4</x:v>
      </x:c>
      <x:c r="W423" s="209" t="n">
        <x:f>IFERROR(U423/M423,0)</x:f>
        <x:v>0</x:v>
      </x:c>
      <x:c r="X423" s="201" t="str">
        <x:f>IF(U423=0,"Não iniciado",IF(U423&gt;=M423,"Concluído","Parcial"))</x:f>
        <x:v>Não iniciado</x:v>
      </x:c>
      <x:c r="Y423" s="199" t="str"/>
      <x:c r="Z423" s="188" t="str">
        <x:v>Normal</x:v>
      </x:c>
    </x:row>
    <x:row r="424" ht="22" customHeight="1">
      <x:c r="A424" s="219" t="n">
        <x:v>420</x:v>
      </x:c>
      <x:c r="B424" s="220" t="str">
        <x:v>26744</x:v>
      </x:c>
      <x:c r="C424" s="220" t="str">
        <x:v>6</x:v>
      </x:c>
      <x:c r="D424" s="220" t="str">
        <x:v>610019</x:v>
      </x:c>
      <x:c r="E424" s="220" t="str">
        <x:v>962738</x:v>
      </x:c>
      <x:c r="F424" s="220" t="str">
        <x:v>KIT DE CORRER</x:v>
      </x:c>
      <x:c r="G424" s="190" t="str">
        <x:v> KIT DE CORRER EM MADEIRA DE PINUS</x:v>
      </x:c>
      <x:c r="H424" s="190" t="str"/>
      <x:c r="I424" s="190" t="str"/>
      <x:c r="J424" s="190" t="str"/>
      <x:c r="K424" s="190" t="str">
        <x:v>RECOBERTO PET</x:v>
      </x:c>
      <x:c r="L424" s="190" t="str">
        <x:v>BRANCO CARRARA</x:v>
      </x:c>
      <x:c r="M424" s="210" t="n">
        <x:v>2</x:v>
      </x:c>
      <x:c r="N424" s="210" t="str"/>
      <x:c r="O424" s="210" t="str"/>
      <x:c r="P424" s="210" t="str"/>
      <x:c r="Q424" s="211" t="n">
        <x:v>0</x:v>
      </x:c>
      <x:c r="R424" s="207" t="str"/>
      <x:c r="S424" s="207" t="str"/>
      <x:c r="T424" s="207" t="str"/>
      <x:c r="U424" s="207" t="n">
        <x:v>0</x:v>
      </x:c>
      <x:c r="V424" s="208" t="n">
        <x:f>MAX(0,M424-U424)</x:f>
        <x:v>2</x:v>
      </x:c>
      <x:c r="W424" s="209" t="n">
        <x:f>IFERROR(U424/M424,0)</x:f>
        <x:v>0</x:v>
      </x:c>
      <x:c r="X424" s="201" t="str">
        <x:f>IF(U424=0,"Não iniciado",IF(U424&gt;=M424,"Concluído","Parcial"))</x:f>
        <x:v>Não iniciado</x:v>
      </x:c>
      <x:c r="Y424" s="199" t="str"/>
      <x:c r="Z424" s="188" t="str">
        <x:v>Normal</x:v>
      </x:c>
    </x:row>
    <x:row r="425" ht="22" customHeight="1">
      <x:c r="A425" s="217" t="n">
        <x:v>421</x:v>
      </x:c>
      <x:c r="B425" s="218" t="str">
        <x:v>26744</x:v>
      </x:c>
      <x:c r="C425" s="218" t="str">
        <x:v>6</x:v>
      </x:c>
      <x:c r="D425" s="218" t="str">
        <x:v>610020</x:v>
      </x:c>
      <x:c r="E425" s="218" t="str">
        <x:v>962739</x:v>
      </x:c>
      <x:c r="F425" s="218" t="str">
        <x:v>KIT DE CORRER</x:v>
      </x:c>
      <x:c r="G425" s="184" t="str">
        <x:v>AL KIT L MEN ULT  KIT DE CORRER EM MADEIRA DE PINUS</x:v>
      </x:c>
      <x:c r="H425" s="184" t="str"/>
      <x:c r="I425" s="184" t="str"/>
      <x:c r="J425" s="184" t="str"/>
      <x:c r="K425" s="184" t="str">
        <x:v>RECOBERTO PET</x:v>
      </x:c>
      <x:c r="L425" s="184" t="str">
        <x:v>BRANCO CARRARA</x:v>
      </x:c>
      <x:c r="M425" s="205" t="n">
        <x:v>6</x:v>
      </x:c>
      <x:c r="N425" s="205" t="str"/>
      <x:c r="O425" s="205" t="str"/>
      <x:c r="P425" s="205" t="str"/>
      <x:c r="Q425" s="206" t="n">
        <x:v>0.006</x:v>
      </x:c>
      <x:c r="R425" s="207" t="str"/>
      <x:c r="S425" s="207" t="str"/>
      <x:c r="T425" s="207" t="str"/>
      <x:c r="U425" s="207" t="n">
        <x:v>0</x:v>
      </x:c>
      <x:c r="V425" s="208" t="n">
        <x:f>MAX(0,M425-U425)</x:f>
        <x:v>6</x:v>
      </x:c>
      <x:c r="W425" s="209" t="n">
        <x:f>IFERROR(U425/M425,0)</x:f>
        <x:v>0</x:v>
      </x:c>
      <x:c r="X425" s="201" t="str">
        <x:f>IF(U425=0,"Não iniciado",IF(U425&gt;=M425,"Concluído","Parcial"))</x:f>
        <x:v>Não iniciado</x:v>
      </x:c>
      <x:c r="Y425" s="199" t="str"/>
      <x:c r="Z425" s="188" t="str">
        <x:v>Normal</x:v>
      </x:c>
    </x:row>
    <x:row r="426" ht="22" customHeight="1">
      <x:c r="A426" s="219" t="n">
        <x:v>422</x:v>
      </x:c>
      <x:c r="B426" s="220" t="str">
        <x:v>26744</x:v>
      </x:c>
      <x:c r="C426" s="220" t="str">
        <x:v>6</x:v>
      </x:c>
      <x:c r="D426" s="220" t="str">
        <x:v>610021</x:v>
      </x:c>
      <x:c r="E426" s="220" t="str">
        <x:v>987124</x:v>
      </x:c>
      <x:c r="F426" s="220" t="str">
        <x:v>KIT DE CORRER</x:v>
      </x:c>
      <x:c r="G426" s="190" t="str">
        <x:v> KIT DE CORRER EM MADEIRA DE PINUS</x:v>
      </x:c>
      <x:c r="H426" s="190" t="str"/>
      <x:c r="I426" s="190" t="str"/>
      <x:c r="J426" s="190" t="str"/>
      <x:c r="K426" s="190" t="str">
        <x:v>RECOBERTO PET</x:v>
      </x:c>
      <x:c r="L426" s="190" t="str">
        <x:v>BRANCO CARRARA</x:v>
      </x:c>
      <x:c r="M426" s="210" t="n">
        <x:v>2</x:v>
      </x:c>
      <x:c r="N426" s="210" t="str"/>
      <x:c r="O426" s="210" t="str"/>
      <x:c r="P426" s="210" t="str"/>
      <x:c r="Q426" s="211" t="n">
        <x:v>0</x:v>
      </x:c>
      <x:c r="R426" s="207" t="str"/>
      <x:c r="S426" s="207" t="str"/>
      <x:c r="T426" s="207" t="str"/>
      <x:c r="U426" s="207" t="n">
        <x:v>0</x:v>
      </x:c>
      <x:c r="V426" s="208" t="n">
        <x:f>MAX(0,M426-U426)</x:f>
        <x:v>2</x:v>
      </x:c>
      <x:c r="W426" s="209" t="n">
        <x:f>IFERROR(U426/M426,0)</x:f>
        <x:v>0</x:v>
      </x:c>
      <x:c r="X426" s="201" t="str">
        <x:f>IF(U426=0,"Não iniciado",IF(U426&gt;=M426,"Concluído","Parcial"))</x:f>
        <x:v>Não iniciado</x:v>
      </x:c>
      <x:c r="Y426" s="199" t="str"/>
      <x:c r="Z426" s="188" t="str">
        <x:v>Normal</x:v>
      </x:c>
    </x:row>
    <x:row r="427" ht="22" customHeight="1">
      <x:c r="A427" s="217" t="n">
        <x:v>423</x:v>
      </x:c>
      <x:c r="B427" s="218" t="str">
        <x:v>26747</x:v>
      </x:c>
      <x:c r="C427" s="218" t="str">
        <x:v>12</x:v>
      </x:c>
      <x:c r="D427" s="218" t="str">
        <x:v>609023</x:v>
      </x:c>
      <x:c r="E427" s="218" t="str">
        <x:v>675619</x:v>
      </x:c>
      <x:c r="F427" s="218" t="str">
        <x:v>KIT DE CORRER</x:v>
      </x:c>
      <x:c r="G427" s="184" t="str">
        <x:v>PERNA KIT ULTRA  KIT DE CORRER EM MDF ULTRA</x:v>
      </x:c>
      <x:c r="H427" s="184" t="str"/>
      <x:c r="I427" s="184" t="str"/>
      <x:c r="J427" s="184" t="str"/>
      <x:c r="K427" s="184" t="str">
        <x:v>RECOBERTO PET</x:v>
      </x:c>
      <x:c r="L427" s="184" t="str">
        <x:v>BRANCO CARRARA</x:v>
      </x:c>
      <x:c r="M427" s="205" t="n">
        <x:v>4</x:v>
      </x:c>
      <x:c r="N427" s="205" t="str"/>
      <x:c r="O427" s="205" t="str"/>
      <x:c r="P427" s="205" t="str"/>
      <x:c r="Q427" s="206" t="n">
        <x:v>0.022</x:v>
      </x:c>
      <x:c r="R427" s="207" t="str"/>
      <x:c r="S427" s="207" t="str"/>
      <x:c r="T427" s="207" t="str"/>
      <x:c r="U427" s="207" t="n">
        <x:v>0</x:v>
      </x:c>
      <x:c r="V427" s="208" t="n">
        <x:f>MAX(0,M427-U427)</x:f>
        <x:v>4</x:v>
      </x:c>
      <x:c r="W427" s="209" t="n">
        <x:f>IFERROR(U427/M427,0)</x:f>
        <x:v>0</x:v>
      </x:c>
      <x:c r="X427" s="201" t="str">
        <x:f>IF(U427=0,"Não iniciado",IF(U427&gt;=M427,"Concluído","Parcial"))</x:f>
        <x:v>Não iniciado</x:v>
      </x:c>
      <x:c r="Y427" s="199" t="str"/>
      <x:c r="Z427" s="188" t="str">
        <x:v>Normal</x:v>
      </x:c>
    </x:row>
    <x:row r="428" ht="22" customHeight="1">
      <x:c r="A428" s="219" t="n">
        <x:v>424</x:v>
      </x:c>
      <x:c r="B428" s="220" t="str">
        <x:v>26747</x:v>
      </x:c>
      <x:c r="C428" s="220" t="str">
        <x:v>12</x:v>
      </x:c>
      <x:c r="D428" s="220" t="str">
        <x:v>609024</x:v>
      </x:c>
      <x:c r="E428" s="220" t="str">
        <x:v>962738</x:v>
      </x:c>
      <x:c r="F428" s="220" t="str">
        <x:v>KIT DE CORRER</x:v>
      </x:c>
      <x:c r="G428" s="190" t="str">
        <x:v> KIT DE CORRER EM MDF ULTRA</x:v>
      </x:c>
      <x:c r="H428" s="190" t="str"/>
      <x:c r="I428" s="190" t="str"/>
      <x:c r="J428" s="190" t="str"/>
      <x:c r="K428" s="190" t="str">
        <x:v>RECOBERTO PET</x:v>
      </x:c>
      <x:c r="L428" s="190" t="str">
        <x:v>BRANCO CARRARA</x:v>
      </x:c>
      <x:c r="M428" s="210" t="n">
        <x:v>2</x:v>
      </x:c>
      <x:c r="N428" s="210" t="str"/>
      <x:c r="O428" s="210" t="str"/>
      <x:c r="P428" s="210" t="str"/>
      <x:c r="Q428" s="211" t="n">
        <x:v>0</x:v>
      </x:c>
      <x:c r="R428" s="207" t="str"/>
      <x:c r="S428" s="207" t="str"/>
      <x:c r="T428" s="207" t="str"/>
      <x:c r="U428" s="207" t="n">
        <x:v>0</x:v>
      </x:c>
      <x:c r="V428" s="208" t="n">
        <x:f>MAX(0,M428-U428)</x:f>
        <x:v>2</x:v>
      </x:c>
      <x:c r="W428" s="209" t="n">
        <x:f>IFERROR(U428/M428,0)</x:f>
        <x:v>0</x:v>
      </x:c>
      <x:c r="X428" s="201" t="str">
        <x:f>IF(U428=0,"Não iniciado",IF(U428&gt;=M428,"Concluído","Parcial"))</x:f>
        <x:v>Não iniciado</x:v>
      </x:c>
      <x:c r="Y428" s="199" t="str"/>
      <x:c r="Z428" s="188" t="str">
        <x:v>Normal</x:v>
      </x:c>
    </x:row>
    <x:row r="429" ht="22" customHeight="1">
      <x:c r="A429" s="217" t="n">
        <x:v>425</x:v>
      </x:c>
      <x:c r="B429" s="218" t="str">
        <x:v>26747</x:v>
      </x:c>
      <x:c r="C429" s="218" t="str">
        <x:v>12</x:v>
      </x:c>
      <x:c r="D429" s="218" t="str">
        <x:v>609025</x:v>
      </x:c>
      <x:c r="E429" s="218" t="str">
        <x:v>962739</x:v>
      </x:c>
      <x:c r="F429" s="218" t="str">
        <x:v>KIT DE CORRER</x:v>
      </x:c>
      <x:c r="G429" s="184" t="str">
        <x:v>AL KIT L MEN ULT  KIT DE CORRER EM MDF ULTRA</x:v>
      </x:c>
      <x:c r="H429" s="184" t="str"/>
      <x:c r="I429" s="184" t="str"/>
      <x:c r="J429" s="184" t="str"/>
      <x:c r="K429" s="184" t="str">
        <x:v>RECOBERTO PET</x:v>
      </x:c>
      <x:c r="L429" s="184" t="str">
        <x:v>BRANCO CARRARA</x:v>
      </x:c>
      <x:c r="M429" s="205" t="n">
        <x:v>6</x:v>
      </x:c>
      <x:c r="N429" s="205" t="str"/>
      <x:c r="O429" s="205" t="str"/>
      <x:c r="P429" s="205" t="str"/>
      <x:c r="Q429" s="206" t="n">
        <x:v>0.006</x:v>
      </x:c>
      <x:c r="R429" s="207" t="str"/>
      <x:c r="S429" s="207" t="str"/>
      <x:c r="T429" s="207" t="str"/>
      <x:c r="U429" s="207" t="n">
        <x:v>0</x:v>
      </x:c>
      <x:c r="V429" s="208" t="n">
        <x:f>MAX(0,M429-U429)</x:f>
        <x:v>6</x:v>
      </x:c>
      <x:c r="W429" s="209" t="n">
        <x:f>IFERROR(U429/M429,0)</x:f>
        <x:v>0</x:v>
      </x:c>
      <x:c r="X429" s="201" t="str">
        <x:f>IF(U429=0,"Não iniciado",IF(U429&gt;=M429,"Concluído","Parcial"))</x:f>
        <x:v>Não iniciado</x:v>
      </x:c>
      <x:c r="Y429" s="199" t="str"/>
      <x:c r="Z429" s="188" t="str">
        <x:v>Normal</x:v>
      </x:c>
    </x:row>
    <x:row r="430" ht="22" customHeight="1">
      <x:c r="A430" s="219" t="n">
        <x:v>426</x:v>
      </x:c>
      <x:c r="B430" s="220" t="str">
        <x:v>26747</x:v>
      </x:c>
      <x:c r="C430" s="220" t="str">
        <x:v>12</x:v>
      </x:c>
      <x:c r="D430" s="220" t="str">
        <x:v>609026</x:v>
      </x:c>
      <x:c r="E430" s="220" t="str">
        <x:v>987029</x:v>
      </x:c>
      <x:c r="F430" s="220" t="str">
        <x:v>KIT DE CORRER</x:v>
      </x:c>
      <x:c r="G430" s="190" t="str">
        <x:v>SUP TRILHO ULTRA  KIT DE CORRER EM MDF ULTRA</x:v>
      </x:c>
      <x:c r="H430" s="190" t="str"/>
      <x:c r="I430" s="190" t="str"/>
      <x:c r="J430" s="190" t="str"/>
      <x:c r="K430" s="190" t="str">
        <x:v>RECOBERTO PET</x:v>
      </x:c>
      <x:c r="L430" s="190" t="str">
        <x:v>BRANCO CARRARA</x:v>
      </x:c>
      <x:c r="M430" s="210" t="n">
        <x:v>2</x:v>
      </x:c>
      <x:c r="N430" s="210" t="str"/>
      <x:c r="O430" s="210" t="str"/>
      <x:c r="P430" s="210" t="str"/>
      <x:c r="Q430" s="211" t="n">
        <x:v>0.011</x:v>
      </x:c>
      <x:c r="R430" s="207" t="str"/>
      <x:c r="S430" s="207" t="str"/>
      <x:c r="T430" s="207" t="str"/>
      <x:c r="U430" s="207" t="n">
        <x:v>0</x:v>
      </x:c>
      <x:c r="V430" s="208" t="n">
        <x:f>MAX(0,M430-U430)</x:f>
        <x:v>2</x:v>
      </x:c>
      <x:c r="W430" s="209" t="n">
        <x:f>IFERROR(U430/M430,0)</x:f>
        <x:v>0</x:v>
      </x:c>
      <x:c r="X430" s="201" t="str">
        <x:f>IF(U430=0,"Não iniciado",IF(U430&gt;=M430,"Concluído","Parcial"))</x:f>
        <x:v>Não iniciado</x:v>
      </x:c>
      <x:c r="Y430" s="199" t="str"/>
      <x:c r="Z430" s="188" t="str">
        <x:v>Normal</x:v>
      </x:c>
    </x:row>
    <x:row r="431" ht="22" customHeight="1">
      <x:c r="A431" s="217" t="n">
        <x:v>427</x:v>
      </x:c>
      <x:c r="B431" s="218" t="str">
        <x:v>26750</x:v>
      </x:c>
      <x:c r="C431" s="218" t="str">
        <x:v>19</x:v>
      </x:c>
      <x:c r="D431" s="218" t="str">
        <x:v>609862</x:v>
      </x:c>
      <x:c r="E431" s="218" t="str">
        <x:v>2010700829</x:v>
      </x:c>
      <x:c r="F431" s="218" t="str">
        <x:v>KIT DE CORRER</x:v>
      </x:c>
      <x:c r="G431" s="184" t="str">
        <x:v>P K COR ULTRA PET BCO CAR  KIT DE CORRER EM MDF ULTRA</x:v>
      </x:c>
      <x:c r="H431" s="184" t="str"/>
      <x:c r="I431" s="184" t="str"/>
      <x:c r="J431" s="184" t="str"/>
      <x:c r="K431" s="184" t="str">
        <x:v>RECOBERTO PET</x:v>
      </x:c>
      <x:c r="L431" s="184" t="str">
        <x:v>BRANCO CARRARA</x:v>
      </x:c>
      <x:c r="M431" s="205" t="n">
        <x:v>14</x:v>
      </x:c>
      <x:c r="N431" s="205" t="str"/>
      <x:c r="O431" s="205" t="str"/>
      <x:c r="P431" s="205" t="str"/>
      <x:c r="Q431" s="206" t="n">
        <x:v>0.076</x:v>
      </x:c>
      <x:c r="R431" s="207" t="str"/>
      <x:c r="S431" s="207" t="str"/>
      <x:c r="T431" s="207" t="str"/>
      <x:c r="U431" s="207" t="n">
        <x:v>0</x:v>
      </x:c>
      <x:c r="V431" s="208" t="n">
        <x:f>MAX(0,M431-U431)</x:f>
        <x:v>14</x:v>
      </x:c>
      <x:c r="W431" s="209" t="n">
        <x:f>IFERROR(U431/M431,0)</x:f>
        <x:v>0</x:v>
      </x:c>
      <x:c r="X431" s="201" t="str">
        <x:f>IF(U431=0,"Não iniciado",IF(U431&gt;=M431,"Concluído","Parcial"))</x:f>
        <x:v>Não iniciado</x:v>
      </x:c>
      <x:c r="Y431" s="199" t="str"/>
      <x:c r="Z431" s="188" t="str">
        <x:v>Normal</x:v>
      </x:c>
    </x:row>
    <x:row r="432" ht="22" customHeight="1">
      <x:c r="A432" s="219" t="n">
        <x:v>428</x:v>
      </x:c>
      <x:c r="B432" s="220" t="str">
        <x:v>26750</x:v>
      </x:c>
      <x:c r="C432" s="220" t="str">
        <x:v>19</x:v>
      </x:c>
      <x:c r="D432" s="220" t="str">
        <x:v>609863</x:v>
      </x:c>
      <x:c r="E432" s="220" t="str">
        <x:v>2010700830</x:v>
      </x:c>
      <x:c r="F432" s="220" t="str">
        <x:v>KIT DE CORRER</x:v>
      </x:c>
      <x:c r="G432" s="190" t="str">
        <x:v>S K COR ULTRA PET BCO CAR  KIT DE CORRER EM MDF ULTRA</x:v>
      </x:c>
      <x:c r="H432" s="190" t="str"/>
      <x:c r="I432" s="190" t="str"/>
      <x:c r="J432" s="190" t="str"/>
      <x:c r="K432" s="190" t="str">
        <x:v>RECOBERTO PET</x:v>
      </x:c>
      <x:c r="L432" s="190" t="str">
        <x:v>BRANCO CARRARA</x:v>
      </x:c>
      <x:c r="M432" s="210" t="n">
        <x:v>7</x:v>
      </x:c>
      <x:c r="N432" s="210" t="str"/>
      <x:c r="O432" s="210" t="str"/>
      <x:c r="P432" s="210" t="str"/>
      <x:c r="Q432" s="211" t="n">
        <x:v>0.038</x:v>
      </x:c>
      <x:c r="R432" s="207" t="str"/>
      <x:c r="S432" s="207" t="str"/>
      <x:c r="T432" s="207" t="str"/>
      <x:c r="U432" s="207" t="n">
        <x:v>0</x:v>
      </x:c>
      <x:c r="V432" s="208" t="n">
        <x:f>MAX(0,M432-U432)</x:f>
        <x:v>7</x:v>
      </x:c>
      <x:c r="W432" s="209" t="n">
        <x:f>IFERROR(U432/M432,0)</x:f>
        <x:v>0</x:v>
      </x:c>
      <x:c r="X432" s="201" t="str">
        <x:f>IF(U432=0,"Não iniciado",IF(U432&gt;=M432,"Concluído","Parcial"))</x:f>
        <x:v>Não iniciado</x:v>
      </x:c>
      <x:c r="Y432" s="199" t="str"/>
      <x:c r="Z432" s="188" t="str">
        <x:v>Normal</x:v>
      </x:c>
    </x:row>
    <x:row r="433" ht="22" customHeight="1">
      <x:c r="A433" s="217" t="n">
        <x:v>429</x:v>
      </x:c>
      <x:c r="B433" s="218" t="str">
        <x:v>26750</x:v>
      </x:c>
      <x:c r="C433" s="218" t="str">
        <x:v>19</x:v>
      </x:c>
      <x:c r="D433" s="218" t="str">
        <x:v>609864</x:v>
      </x:c>
      <x:c r="E433" s="218" t="str">
        <x:v>2020700312</x:v>
      </x:c>
      <x:c r="F433" s="218" t="str">
        <x:v>KIT DE CORRER</x:v>
      </x:c>
      <x:c r="G433" s="184" t="str">
        <x:v>CAB K COR ULTRA PET BCO CAR 2200X100X KIT DE CORRER EM MDF ULTRA</x:v>
      </x:c>
      <x:c r="H433" s="184" t="str"/>
      <x:c r="I433" s="184" t="str"/>
      <x:c r="J433" s="184" t="str"/>
      <x:c r="K433" s="184" t="str">
        <x:v>RECOBERTO PET</x:v>
      </x:c>
      <x:c r="L433" s="184" t="str">
        <x:v>BRANCO CARRARA</x:v>
      </x:c>
      <x:c r="M433" s="205" t="n">
        <x:v>7</x:v>
      </x:c>
      <x:c r="N433" s="205" t="str"/>
      <x:c r="O433" s="205" t="str"/>
      <x:c r="P433" s="205" t="str"/>
      <x:c r="Q433" s="206" t="n">
        <x:v>0.018</x:v>
      </x:c>
      <x:c r="R433" s="207" t="str"/>
      <x:c r="S433" s="207" t="str"/>
      <x:c r="T433" s="207" t="str"/>
      <x:c r="U433" s="207" t="n">
        <x:v>0</x:v>
      </x:c>
      <x:c r="V433" s="208" t="n">
        <x:f>MAX(0,M433-U433)</x:f>
        <x:v>7</x:v>
      </x:c>
      <x:c r="W433" s="209" t="n">
        <x:f>IFERROR(U433/M433,0)</x:f>
        <x:v>0</x:v>
      </x:c>
      <x:c r="X433" s="201" t="str">
        <x:f>IF(U433=0,"Não iniciado",IF(U433&gt;=M433,"Concluído","Parcial"))</x:f>
        <x:v>Não iniciado</x:v>
      </x:c>
      <x:c r="Y433" s="199" t="str"/>
      <x:c r="Z433" s="188" t="str">
        <x:v>Normal</x:v>
      </x:c>
    </x:row>
    <x:row r="434" ht="22" customHeight="1">
      <x:c r="A434" s="219" t="n">
        <x:v>430</x:v>
      </x:c>
      <x:c r="B434" s="220" t="str">
        <x:v>26750</x:v>
      </x:c>
      <x:c r="C434" s="220" t="str">
        <x:v>19</x:v>
      </x:c>
      <x:c r="D434" s="220" t="str">
        <x:v>609865</x:v>
      </x:c>
      <x:c r="E434" s="220" t="str">
        <x:v>2020700313</x:v>
      </x:c>
      <x:c r="F434" s="220" t="str">
        <x:v>KIT DE CORRER</x:v>
      </x:c>
      <x:c r="G434" s="190" t="str">
        <x:v>A K LME COR ULTRA PET BCO CAR  KIT DE CORRER EM MDF ULTRA</x:v>
      </x:c>
      <x:c r="H434" s="190" t="str"/>
      <x:c r="I434" s="190" t="str"/>
      <x:c r="J434" s="190" t="str"/>
      <x:c r="K434" s="190" t="str">
        <x:v>RECOBERTO PET</x:v>
      </x:c>
      <x:c r="L434" s="190" t="str">
        <x:v>BRANCO CARRARA</x:v>
      </x:c>
      <x:c r="M434" s="210" t="n">
        <x:v>21</x:v>
      </x:c>
      <x:c r="N434" s="210" t="str"/>
      <x:c r="O434" s="210" t="str"/>
      <x:c r="P434" s="210" t="str"/>
      <x:c r="Q434" s="211" t="n">
        <x:v>0.028</x:v>
      </x:c>
      <x:c r="R434" s="207" t="str"/>
      <x:c r="S434" s="207" t="str"/>
      <x:c r="T434" s="207" t="str"/>
      <x:c r="U434" s="207" t="n">
        <x:v>0</x:v>
      </x:c>
      <x:c r="V434" s="208" t="n">
        <x:f>MAX(0,M434-U434)</x:f>
        <x:v>21</x:v>
      </x:c>
      <x:c r="W434" s="209" t="n">
        <x:f>IFERROR(U434/M434,0)</x:f>
        <x:v>0</x:v>
      </x:c>
      <x:c r="X434" s="201" t="str">
        <x:f>IF(U434=0,"Não iniciado",IF(U434&gt;=M434,"Concluído","Parcial"))</x:f>
        <x:v>Não iniciado</x:v>
      </x:c>
      <x:c r="Y434" s="199" t="str"/>
      <x:c r="Z434" s="188" t="str">
        <x:v>Normal</x:v>
      </x:c>
    </x:row>
    <x:row r="435" ht="22" customHeight="1">
      <x:c r="A435" s="217" t="n">
        <x:v>431</x:v>
      </x:c>
      <x:c r="B435" s="218" t="str">
        <x:v>26808</x:v>
      </x:c>
      <x:c r="C435" s="218" t="str">
        <x:v>13</x:v>
      </x:c>
      <x:c r="D435" s="218" t="str">
        <x:v>610182</x:v>
      </x:c>
      <x:c r="E435" s="218" t="str">
        <x:v>961608</x:v>
      </x:c>
      <x:c r="F435" s="218" t="str">
        <x:v>KIT DE CORRER</x:v>
      </x:c>
      <x:c r="G435" s="184" t="str">
        <x:v> KIT DE CORRER EM MADEIRA DE PINUS</x:v>
      </x:c>
      <x:c r="H435" s="184" t="str"/>
      <x:c r="I435" s="184" t="str"/>
      <x:c r="J435" s="184" t="str"/>
      <x:c r="K435" s="184" t="str">
        <x:v>RECOBERTO PET</x:v>
      </x:c>
      <x:c r="L435" s="184" t="str">
        <x:v>BRANCO CARRARA</x:v>
      </x:c>
      <x:c r="M435" s="205" t="n">
        <x:v>2</x:v>
      </x:c>
      <x:c r="N435" s="205" t="str"/>
      <x:c r="O435" s="205" t="str"/>
      <x:c r="P435" s="205" t="str"/>
      <x:c r="Q435" s="206" t="n">
        <x:v>0</x:v>
      </x:c>
      <x:c r="R435" s="207" t="str"/>
      <x:c r="S435" s="207" t="str"/>
      <x:c r="T435" s="207" t="str"/>
      <x:c r="U435" s="207" t="n">
        <x:v>0</x:v>
      </x:c>
      <x:c r="V435" s="208" t="n">
        <x:f>MAX(0,M435-U435)</x:f>
        <x:v>2</x:v>
      </x:c>
      <x:c r="W435" s="209" t="n">
        <x:f>IFERROR(U435/M435,0)</x:f>
        <x:v>0</x:v>
      </x:c>
      <x:c r="X435" s="201" t="str">
        <x:f>IF(U435=0,"Não iniciado",IF(U435&gt;=M435,"Concluído","Parcial"))</x:f>
        <x:v>Não iniciado</x:v>
      </x:c>
      <x:c r="Y435" s="199" t="str"/>
      <x:c r="Z435" s="188" t="str">
        <x:v>Normal</x:v>
      </x:c>
    </x:row>
    <x:row r="436" ht="22" customHeight="1">
      <x:c r="A436" s="219" t="n">
        <x:v>432</x:v>
      </x:c>
      <x:c r="B436" s="220" t="str">
        <x:v>26808</x:v>
      </x:c>
      <x:c r="C436" s="220" t="str">
        <x:v>13</x:v>
      </x:c>
      <x:c r="D436" s="220" t="str">
        <x:v>610183</x:v>
      </x:c>
      <x:c r="E436" s="220" t="str">
        <x:v>961775</x:v>
      </x:c>
      <x:c r="F436" s="220" t="str">
        <x:v>KIT DE CORRER</x:v>
      </x:c>
      <x:c r="G436" s="190" t="str">
        <x:v> KIT DE CORRER EM MADEIRA DE PINUS</x:v>
      </x:c>
      <x:c r="H436" s="190" t="str"/>
      <x:c r="I436" s="190" t="str"/>
      <x:c r="J436" s="190" t="str"/>
      <x:c r="K436" s="190" t="str">
        <x:v>RECOBERTO PET</x:v>
      </x:c>
      <x:c r="L436" s="190" t="str">
        <x:v>BRANCO CARRARA</x:v>
      </x:c>
      <x:c r="M436" s="210" t="n">
        <x:v>2</x:v>
      </x:c>
      <x:c r="N436" s="210" t="str"/>
      <x:c r="O436" s="210" t="str"/>
      <x:c r="P436" s="210" t="str"/>
      <x:c r="Q436" s="211" t="n">
        <x:v>0.014</x:v>
      </x:c>
      <x:c r="R436" s="207" t="str"/>
      <x:c r="S436" s="207" t="str"/>
      <x:c r="T436" s="207" t="str"/>
      <x:c r="U436" s="207" t="n">
        <x:v>0</x:v>
      </x:c>
      <x:c r="V436" s="208" t="n">
        <x:f>MAX(0,M436-U436)</x:f>
        <x:v>2</x:v>
      </x:c>
      <x:c r="W436" s="209" t="n">
        <x:f>IFERROR(U436/M436,0)</x:f>
        <x:v>0</x:v>
      </x:c>
      <x:c r="X436" s="201" t="str">
        <x:f>IF(U436=0,"Não iniciado",IF(U436&gt;=M436,"Concluído","Parcial"))</x:f>
        <x:v>Não iniciado</x:v>
      </x:c>
      <x:c r="Y436" s="199" t="str"/>
      <x:c r="Z436" s="188" t="str">
        <x:v>Normal</x:v>
      </x:c>
    </x:row>
    <x:row r="437" ht="22" customHeight="1">
      <x:c r="A437" s="217" t="n">
        <x:v>433</x:v>
      </x:c>
      <x:c r="B437" s="218" t="str">
        <x:v>26808</x:v>
      </x:c>
      <x:c r="C437" s="218" t="str">
        <x:v>13</x:v>
      </x:c>
      <x:c r="D437" s="218" t="str">
        <x:v>610185</x:v>
      </x:c>
      <x:c r="E437" s="218" t="str">
        <x:v>984045</x:v>
      </x:c>
      <x:c r="F437" s="218" t="str">
        <x:v>KIT DE CORRER</x:v>
      </x:c>
      <x:c r="G437" s="184" t="str">
        <x:v> KIT DE CORRER EM MADEIRA DE PINUS</x:v>
      </x:c>
      <x:c r="H437" s="184" t="str"/>
      <x:c r="I437" s="184" t="str"/>
      <x:c r="J437" s="184" t="str"/>
      <x:c r="K437" s="184" t="str">
        <x:v>RECOBERTO PET</x:v>
      </x:c>
      <x:c r="L437" s="184" t="str">
        <x:v>BRANCO CARRARA</x:v>
      </x:c>
      <x:c r="M437" s="205" t="n">
        <x:v>2</x:v>
      </x:c>
      <x:c r="N437" s="205" t="str"/>
      <x:c r="O437" s="205" t="str"/>
      <x:c r="P437" s="205" t="str"/>
      <x:c r="Q437" s="206" t="n">
        <x:v>0.005</x:v>
      </x:c>
      <x:c r="R437" s="207" t="str"/>
      <x:c r="S437" s="207" t="str"/>
      <x:c r="T437" s="207" t="str"/>
      <x:c r="U437" s="207" t="n">
        <x:v>0</x:v>
      </x:c>
      <x:c r="V437" s="208" t="n">
        <x:f>MAX(0,M437-U437)</x:f>
        <x:v>2</x:v>
      </x:c>
      <x:c r="W437" s="209" t="n">
        <x:f>IFERROR(U437/M437,0)</x:f>
        <x:v>0</x:v>
      </x:c>
      <x:c r="X437" s="201" t="str">
        <x:f>IF(U437=0,"Não iniciado",IF(U437&gt;=M437,"Concluído","Parcial"))</x:f>
        <x:v>Não iniciado</x:v>
      </x:c>
      <x:c r="Y437" s="199" t="str"/>
      <x:c r="Z437" s="188" t="str">
        <x:v>Normal</x:v>
      </x:c>
    </x:row>
    <x:row r="438" ht="22" customHeight="1">
      <x:c r="A438" s="219" t="n">
        <x:v>434</x:v>
      </x:c>
      <x:c r="B438" s="220" t="str">
        <x:v>26808</x:v>
      </x:c>
      <x:c r="C438" s="220" t="str">
        <x:v>13</x:v>
      </x:c>
      <x:c r="D438" s="220" t="str">
        <x:v>610186</x:v>
      </x:c>
      <x:c r="E438" s="220" t="str">
        <x:v>984047</x:v>
      </x:c>
      <x:c r="F438" s="220" t="str">
        <x:v>KIT DE CORRER</x:v>
      </x:c>
      <x:c r="G438" s="190" t="str">
        <x:v> KIT DE CORRER EM MADEIRA DE PINUS</x:v>
      </x:c>
      <x:c r="H438" s="190" t="str"/>
      <x:c r="I438" s="190" t="str"/>
      <x:c r="J438" s="190" t="str"/>
      <x:c r="K438" s="190" t="str">
        <x:v>RECOBERTO PET</x:v>
      </x:c>
      <x:c r="L438" s="190" t="str">
        <x:v>BRANCO CARRARA</x:v>
      </x:c>
      <x:c r="M438" s="210" t="n">
        <x:v>2</x:v>
      </x:c>
      <x:c r="N438" s="210" t="str"/>
      <x:c r="O438" s="210" t="str"/>
      <x:c r="P438" s="210" t="str"/>
      <x:c r="Q438" s="211" t="n">
        <x:v>0.006</x:v>
      </x:c>
      <x:c r="R438" s="207" t="str"/>
      <x:c r="S438" s="207" t="str"/>
      <x:c r="T438" s="207" t="str"/>
      <x:c r="U438" s="207" t="n">
        <x:v>0</x:v>
      </x:c>
      <x:c r="V438" s="208" t="n">
        <x:f>MAX(0,M438-U438)</x:f>
        <x:v>2</x:v>
      </x:c>
      <x:c r="W438" s="209" t="n">
        <x:f>IFERROR(U438/M438,0)</x:f>
        <x:v>0</x:v>
      </x:c>
      <x:c r="X438" s="201" t="str">
        <x:f>IF(U438=0,"Não iniciado",IF(U438&gt;=M438,"Concluído","Parcial"))</x:f>
        <x:v>Não iniciado</x:v>
      </x:c>
      <x:c r="Y438" s="199" t="str"/>
      <x:c r="Z438" s="188" t="str">
        <x:v>Normal</x:v>
      </x:c>
    </x:row>
    <x:row r="439" ht="22" customHeight="1">
      <x:c r="A439" s="217" t="n">
        <x:v>435</x:v>
      </x:c>
      <x:c r="B439" s="218" t="str">
        <x:v>26808</x:v>
      </x:c>
      <x:c r="C439" s="218" t="str">
        <x:v>14</x:v>
      </x:c>
      <x:c r="D439" s="218" t="str">
        <x:v>608991</x:v>
      </x:c>
      <x:c r="E439" s="218" t="str">
        <x:v>958879</x:v>
      </x:c>
      <x:c r="F439" s="218" t="str">
        <x:v>KIT DE CORRER</x:v>
      </x:c>
      <x:c r="G439" s="184" t="str">
        <x:v>P A  KIT DE CORRER EM MDF ULTRA</x:v>
      </x:c>
      <x:c r="H439" s="184" t="str"/>
      <x:c r="I439" s="184" t="str"/>
      <x:c r="J439" s="184" t="str"/>
      <x:c r="K439" s="184" t="str">
        <x:v>RECOBERTO PET</x:v>
      </x:c>
      <x:c r="L439" s="184" t="str">
        <x:v>BRANCO CARRARA</x:v>
      </x:c>
      <x:c r="M439" s="205" t="n">
        <x:v>4</x:v>
      </x:c>
      <x:c r="N439" s="205" t="str"/>
      <x:c r="O439" s="205" t="str"/>
      <x:c r="P439" s="205" t="str"/>
      <x:c r="Q439" s="206" t="n">
        <x:v>0.004</x:v>
      </x:c>
      <x:c r="R439" s="207" t="str"/>
      <x:c r="S439" s="207" t="str"/>
      <x:c r="T439" s="207" t="str"/>
      <x:c r="U439" s="207" t="n">
        <x:v>0</x:v>
      </x:c>
      <x:c r="V439" s="208" t="n">
        <x:f>MAX(0,M439-U439)</x:f>
        <x:v>4</x:v>
      </x:c>
      <x:c r="W439" s="209" t="n">
        <x:f>IFERROR(U439/M439,0)</x:f>
        <x:v>0</x:v>
      </x:c>
      <x:c r="X439" s="201" t="str">
        <x:f>IF(U439=0,"Não iniciado",IF(U439&gt;=M439,"Concluído","Parcial"))</x:f>
        <x:v>Não iniciado</x:v>
      </x:c>
      <x:c r="Y439" s="199" t="str"/>
      <x:c r="Z439" s="188" t="str">
        <x:v>Normal</x:v>
      </x:c>
    </x:row>
    <x:row r="440" ht="22" customHeight="1">
      <x:c r="A440" s="219" t="n">
        <x:v>436</x:v>
      </x:c>
      <x:c r="B440" s="220" t="str">
        <x:v>26808</x:v>
      </x:c>
      <x:c r="C440" s="220" t="str">
        <x:v>14</x:v>
      </x:c>
      <x:c r="D440" s="220" t="str">
        <x:v>608992</x:v>
      </x:c>
      <x:c r="E440" s="220" t="str">
        <x:v>963311</x:v>
      </x:c>
      <x:c r="F440" s="220" t="str">
        <x:v>KIT DE CORRER</x:v>
      </x:c>
      <x:c r="G440" s="190" t="str">
        <x:v> KIT DE CORRER EM MDF ULTRA</x:v>
      </x:c>
      <x:c r="H440" s="190" t="str"/>
      <x:c r="I440" s="190" t="str"/>
      <x:c r="J440" s="190" t="str"/>
      <x:c r="K440" s="190" t="str">
        <x:v>RECOBERTO PET</x:v>
      </x:c>
      <x:c r="L440" s="190" t="str">
        <x:v>BRANCO CARRARA</x:v>
      </x:c>
      <x:c r="M440" s="210" t="n">
        <x:v>6</x:v>
      </x:c>
      <x:c r="N440" s="210" t="str"/>
      <x:c r="O440" s="210" t="str"/>
      <x:c r="P440" s="210" t="str"/>
      <x:c r="Q440" s="211" t="n">
        <x:v>0</x:v>
      </x:c>
      <x:c r="R440" s="207" t="str"/>
      <x:c r="S440" s="207" t="str"/>
      <x:c r="T440" s="207" t="str"/>
      <x:c r="U440" s="207" t="n">
        <x:v>0</x:v>
      </x:c>
      <x:c r="V440" s="208" t="n">
        <x:f>MAX(0,M440-U440)</x:f>
        <x:v>6</x:v>
      </x:c>
      <x:c r="W440" s="209" t="n">
        <x:f>IFERROR(U440/M440,0)</x:f>
        <x:v>0</x:v>
      </x:c>
      <x:c r="X440" s="201" t="str">
        <x:f>IF(U440=0,"Não iniciado",IF(U440&gt;=M440,"Concluído","Parcial"))</x:f>
        <x:v>Não iniciado</x:v>
      </x:c>
      <x:c r="Y440" s="199" t="str"/>
      <x:c r="Z440" s="188" t="str">
        <x:v>Normal</x:v>
      </x:c>
    </x:row>
    <x:row r="441" ht="22" customHeight="1">
      <x:c r="A441" s="217" t="n">
        <x:v>437</x:v>
      </x:c>
      <x:c r="B441" s="218" t="str">
        <x:v>26808</x:v>
      </x:c>
      <x:c r="C441" s="218" t="str">
        <x:v>14</x:v>
      </x:c>
      <x:c r="D441" s="218" t="str">
        <x:v>608993</x:v>
      </x:c>
      <x:c r="E441" s="218" t="str">
        <x:v>963313</x:v>
      </x:c>
      <x:c r="F441" s="218" t="str">
        <x:v>KIT DE CORRER</x:v>
      </x:c>
      <x:c r="G441" s="184" t="str">
        <x:v>P A  KIT DE CORRER EM MDF ULTRA</x:v>
      </x:c>
      <x:c r="H441" s="184" t="str"/>
      <x:c r="I441" s="184" t="str"/>
      <x:c r="J441" s="184" t="str"/>
      <x:c r="K441" s="184" t="str">
        <x:v>RECOBERTO PET</x:v>
      </x:c>
      <x:c r="L441" s="184" t="str">
        <x:v>BRANCO CARRARA</x:v>
      </x:c>
      <x:c r="M441" s="205" t="n">
        <x:v>2</x:v>
      </x:c>
      <x:c r="N441" s="205" t="str"/>
      <x:c r="O441" s="205" t="str"/>
      <x:c r="P441" s="205" t="str"/>
      <x:c r="Q441" s="206" t="n">
        <x:v>0.002</x:v>
      </x:c>
      <x:c r="R441" s="207" t="str"/>
      <x:c r="S441" s="207" t="str"/>
      <x:c r="T441" s="207" t="str"/>
      <x:c r="U441" s="207" t="n">
        <x:v>0</x:v>
      </x:c>
      <x:c r="V441" s="208" t="n">
        <x:f>MAX(0,M441-U441)</x:f>
        <x:v>2</x:v>
      </x:c>
      <x:c r="W441" s="209" t="n">
        <x:f>IFERROR(U441/M441,0)</x:f>
        <x:v>0</x:v>
      </x:c>
      <x:c r="X441" s="201" t="str">
        <x:f>IF(U441=0,"Não iniciado",IF(U441&gt;=M441,"Concluído","Parcial"))</x:f>
        <x:v>Não iniciado</x:v>
      </x:c>
      <x:c r="Y441" s="199" t="str"/>
      <x:c r="Z441" s="188" t="str">
        <x:v>Normal</x:v>
      </x:c>
    </x:row>
    <x:row r="442" ht="22" customHeight="1">
      <x:c r="A442" s="219" t="n">
        <x:v>438</x:v>
      </x:c>
      <x:c r="B442" s="220" t="str">
        <x:v>26808</x:v>
      </x:c>
      <x:c r="C442" s="220" t="str">
        <x:v>14</x:v>
      </x:c>
      <x:c r="D442" s="220" t="str">
        <x:v>608994</x:v>
      </x:c>
      <x:c r="E442" s="220" t="str">
        <x:v>963315</x:v>
      </x:c>
      <x:c r="F442" s="220" t="str">
        <x:v>KIT DE CORRER</x:v>
      </x:c>
      <x:c r="G442" s="190" t="str">
        <x:v> KIT DE CORRER EM MDF ULTRA</x:v>
      </x:c>
      <x:c r="H442" s="190" t="str"/>
      <x:c r="I442" s="190" t="str"/>
      <x:c r="J442" s="190" t="str"/>
      <x:c r="K442" s="190" t="str">
        <x:v>RECOBERTO PET</x:v>
      </x:c>
      <x:c r="L442" s="190" t="str">
        <x:v>BRANCO CARRARA</x:v>
      </x:c>
      <x:c r="M442" s="210" t="n">
        <x:v>2</x:v>
      </x:c>
      <x:c r="N442" s="210" t="str"/>
      <x:c r="O442" s="210" t="str"/>
      <x:c r="P442" s="210" t="str"/>
      <x:c r="Q442" s="211" t="n">
        <x:v>0</x:v>
      </x:c>
      <x:c r="R442" s="207" t="str"/>
      <x:c r="S442" s="207" t="str"/>
      <x:c r="T442" s="207" t="str"/>
      <x:c r="U442" s="207" t="n">
        <x:v>0</x:v>
      </x:c>
      <x:c r="V442" s="208" t="n">
        <x:f>MAX(0,M442-U442)</x:f>
        <x:v>2</x:v>
      </x:c>
      <x:c r="W442" s="209" t="n">
        <x:f>IFERROR(U442/M442,0)</x:f>
        <x:v>0</x:v>
      </x:c>
      <x:c r="X442" s="201" t="str">
        <x:f>IF(U442=0,"Não iniciado",IF(U442&gt;=M442,"Concluído","Parcial"))</x:f>
        <x:v>Não iniciado</x:v>
      </x:c>
      <x:c r="Y442" s="199" t="str"/>
      <x:c r="Z442" s="188" t="str">
        <x:v>Normal</x:v>
      </x:c>
    </x:row>
    <x:row r="443" ht="22" customHeight="1">
      <x:c r="A443" s="217" t="n">
        <x:v>439</x:v>
      </x:c>
      <x:c r="B443" s="218" t="str">
        <x:v>26808</x:v>
      </x:c>
      <x:c r="C443" s="218" t="str">
        <x:v>14</x:v>
      </x:c>
      <x:c r="D443" s="218" t="str">
        <x:v>608995</x:v>
      </x:c>
      <x:c r="E443" s="218" t="str">
        <x:v>963490</x:v>
      </x:c>
      <x:c r="F443" s="218" t="str">
        <x:v>KIT DE CORRER</x:v>
      </x:c>
      <x:c r="G443" s="184" t="str">
        <x:v> KIT DE CORRER EM MDF ULTRA</x:v>
      </x:c>
      <x:c r="H443" s="184" t="str"/>
      <x:c r="I443" s="184" t="str"/>
      <x:c r="J443" s="184" t="str"/>
      <x:c r="K443" s="184" t="str">
        <x:v>RECOBERTO PET</x:v>
      </x:c>
      <x:c r="L443" s="184" t="str">
        <x:v>BRANCO CARRARA</x:v>
      </x:c>
      <x:c r="M443" s="205" t="n">
        <x:v>2</x:v>
      </x:c>
      <x:c r="N443" s="205" t="str"/>
      <x:c r="O443" s="205" t="str"/>
      <x:c r="P443" s="205" t="str"/>
      <x:c r="Q443" s="206" t="n">
        <x:v>0</x:v>
      </x:c>
      <x:c r="R443" s="207" t="str"/>
      <x:c r="S443" s="207" t="str"/>
      <x:c r="T443" s="207" t="str"/>
      <x:c r="U443" s="207" t="n">
        <x:v>0</x:v>
      </x:c>
      <x:c r="V443" s="208" t="n">
        <x:f>MAX(0,M443-U443)</x:f>
        <x:v>2</x:v>
      </x:c>
      <x:c r="W443" s="209" t="n">
        <x:f>IFERROR(U443/M443,0)</x:f>
        <x:v>0</x:v>
      </x:c>
      <x:c r="X443" s="201" t="str">
        <x:f>IF(U443=0,"Não iniciado",IF(U443&gt;=M443,"Concluído","Parcial"))</x:f>
        <x:v>Não iniciado</x:v>
      </x:c>
      <x:c r="Y443" s="199" t="str"/>
      <x:c r="Z443" s="188" t="str">
        <x:v>Normal</x:v>
      </x:c>
    </x:row>
    <x:row r="444" ht="22" customHeight="1">
      <x:c r="A444" s="219" t="n">
        <x:v>440</x:v>
      </x:c>
      <x:c r="B444" s="220" t="str">
        <x:v>26825</x:v>
      </x:c>
      <x:c r="C444" s="220" t="str">
        <x:v>3</x:v>
      </x:c>
      <x:c r="D444" s="220" t="str">
        <x:v>609047</x:v>
      </x:c>
      <x:c r="E444" s="220" t="str">
        <x:v>675619</x:v>
      </x:c>
      <x:c r="F444" s="220" t="str">
        <x:v>KIT DE CORRER</x:v>
      </x:c>
      <x:c r="G444" s="190" t="str">
        <x:v>PERNA KIT ULTRA  KIT DE CORRER EM MDF ULTRA</x:v>
      </x:c>
      <x:c r="H444" s="190" t="str"/>
      <x:c r="I444" s="190" t="str"/>
      <x:c r="J444" s="190" t="str"/>
      <x:c r="K444" s="190" t="str">
        <x:v>RECOBERTO PET</x:v>
      </x:c>
      <x:c r="L444" s="190" t="str">
        <x:v>BRANCO CARRARA</x:v>
      </x:c>
      <x:c r="M444" s="210" t="n">
        <x:v>64</x:v>
      </x:c>
      <x:c r="N444" s="210" t="str"/>
      <x:c r="O444" s="210" t="str"/>
      <x:c r="P444" s="210" t="str"/>
      <x:c r="Q444" s="211" t="n">
        <x:v>0.348</x:v>
      </x:c>
      <x:c r="R444" s="207" t="str"/>
      <x:c r="S444" s="207" t="str"/>
      <x:c r="T444" s="207" t="str"/>
      <x:c r="U444" s="207" t="n">
        <x:v>0</x:v>
      </x:c>
      <x:c r="V444" s="208" t="n">
        <x:f>MAX(0,M444-U444)</x:f>
        <x:v>64</x:v>
      </x:c>
      <x:c r="W444" s="209" t="n">
        <x:f>IFERROR(U444/M444,0)</x:f>
        <x:v>0</x:v>
      </x:c>
      <x:c r="X444" s="201" t="str">
        <x:f>IF(U444=0,"Não iniciado",IF(U444&gt;=M444,"Concluído","Parcial"))</x:f>
        <x:v>Não iniciado</x:v>
      </x:c>
      <x:c r="Y444" s="199" t="str"/>
      <x:c r="Z444" s="188" t="str">
        <x:v>Normal</x:v>
      </x:c>
    </x:row>
    <x:row r="445" ht="22" customHeight="1">
      <x:c r="A445" s="217" t="n">
        <x:v>441</x:v>
      </x:c>
      <x:c r="B445" s="218" t="str">
        <x:v>26825</x:v>
      </x:c>
      <x:c r="C445" s="218" t="str">
        <x:v>3</x:v>
      </x:c>
      <x:c r="D445" s="218" t="str">
        <x:v>609048</x:v>
      </x:c>
      <x:c r="E445" s="218" t="str">
        <x:v>962738</x:v>
      </x:c>
      <x:c r="F445" s="218" t="str">
        <x:v>KIT DE CORRER</x:v>
      </x:c>
      <x:c r="G445" s="184" t="str">
        <x:v> KIT DE CORRER EM MDF ULTRA</x:v>
      </x:c>
      <x:c r="H445" s="184" t="str"/>
      <x:c r="I445" s="184" t="str"/>
      <x:c r="J445" s="184" t="str"/>
      <x:c r="K445" s="184" t="str">
        <x:v>RECOBERTO PET</x:v>
      </x:c>
      <x:c r="L445" s="184" t="str">
        <x:v>BRANCO CARRARA</x:v>
      </x:c>
      <x:c r="M445" s="205" t="n">
        <x:v>32</x:v>
      </x:c>
      <x:c r="N445" s="205" t="str"/>
      <x:c r="O445" s="205" t="str"/>
      <x:c r="P445" s="205" t="str"/>
      <x:c r="Q445" s="206" t="n">
        <x:v>0</x:v>
      </x:c>
      <x:c r="R445" s="207" t="str"/>
      <x:c r="S445" s="207" t="str"/>
      <x:c r="T445" s="207" t="str"/>
      <x:c r="U445" s="207" t="n">
        <x:v>0</x:v>
      </x:c>
      <x:c r="V445" s="208" t="n">
        <x:f>MAX(0,M445-U445)</x:f>
        <x:v>32</x:v>
      </x:c>
      <x:c r="W445" s="209" t="n">
        <x:f>IFERROR(U445/M445,0)</x:f>
        <x:v>0</x:v>
      </x:c>
      <x:c r="X445" s="201" t="str">
        <x:f>IF(U445=0,"Não iniciado",IF(U445&gt;=M445,"Concluído","Parcial"))</x:f>
        <x:v>Não iniciado</x:v>
      </x:c>
      <x:c r="Y445" s="199" t="str"/>
      <x:c r="Z445" s="188" t="str">
        <x:v>Normal</x:v>
      </x:c>
    </x:row>
    <x:row r="446" ht="22" customHeight="1">
      <x:c r="A446" s="219" t="n">
        <x:v>442</x:v>
      </x:c>
      <x:c r="B446" s="220" t="str">
        <x:v>26825</x:v>
      </x:c>
      <x:c r="C446" s="220" t="str">
        <x:v>3</x:v>
      </x:c>
      <x:c r="D446" s="220" t="str">
        <x:v>609049</x:v>
      </x:c>
      <x:c r="E446" s="220" t="str">
        <x:v>962739</x:v>
      </x:c>
      <x:c r="F446" s="220" t="str">
        <x:v>KIT DE CORRER</x:v>
      </x:c>
      <x:c r="G446" s="190" t="str">
        <x:v>AL KIT L MEN ULT  KIT DE CORRER EM MDF ULTRA</x:v>
      </x:c>
      <x:c r="H446" s="190" t="str"/>
      <x:c r="I446" s="190" t="str"/>
      <x:c r="J446" s="190" t="str"/>
      <x:c r="K446" s="190" t="str">
        <x:v>RECOBERTO PET</x:v>
      </x:c>
      <x:c r="L446" s="190" t="str">
        <x:v>BRANCO CARRARA</x:v>
      </x:c>
      <x:c r="M446" s="210" t="n">
        <x:v>96</x:v>
      </x:c>
      <x:c r="N446" s="210" t="str"/>
      <x:c r="O446" s="210" t="str"/>
      <x:c r="P446" s="210" t="str"/>
      <x:c r="Q446" s="211" t="n">
        <x:v>0.095</x:v>
      </x:c>
      <x:c r="R446" s="207" t="str"/>
      <x:c r="S446" s="207" t="str"/>
      <x:c r="T446" s="207" t="str"/>
      <x:c r="U446" s="207" t="n">
        <x:v>0</x:v>
      </x:c>
      <x:c r="V446" s="208" t="n">
        <x:f>MAX(0,M446-U446)</x:f>
        <x:v>96</x:v>
      </x:c>
      <x:c r="W446" s="209" t="n">
        <x:f>IFERROR(U446/M446,0)</x:f>
        <x:v>0</x:v>
      </x:c>
      <x:c r="X446" s="201" t="str">
        <x:f>IF(U446=0,"Não iniciado",IF(U446&gt;=M446,"Concluído","Parcial"))</x:f>
        <x:v>Não iniciado</x:v>
      </x:c>
      <x:c r="Y446" s="199" t="str"/>
      <x:c r="Z446" s="188" t="str">
        <x:v>Normal</x:v>
      </x:c>
    </x:row>
    <x:row r="447" ht="22" customHeight="1">
      <x:c r="A447" s="217" t="n">
        <x:v>443</x:v>
      </x:c>
      <x:c r="B447" s="218" t="str">
        <x:v>26825</x:v>
      </x:c>
      <x:c r="C447" s="218" t="str">
        <x:v>3</x:v>
      </x:c>
      <x:c r="D447" s="218" t="str">
        <x:v>609050</x:v>
      </x:c>
      <x:c r="E447" s="218" t="str">
        <x:v>987029</x:v>
      </x:c>
      <x:c r="F447" s="218" t="str">
        <x:v>KIT DE CORRER</x:v>
      </x:c>
      <x:c r="G447" s="184" t="str">
        <x:v>SUP TRILHO ULTRA  KIT DE CORRER EM MDF ULTRA</x:v>
      </x:c>
      <x:c r="H447" s="184" t="str"/>
      <x:c r="I447" s="184" t="str"/>
      <x:c r="J447" s="184" t="str"/>
      <x:c r="K447" s="184" t="str">
        <x:v>RECOBERTO PET</x:v>
      </x:c>
      <x:c r="L447" s="184" t="str">
        <x:v>BRANCO CARRARA</x:v>
      </x:c>
      <x:c r="M447" s="205" t="n">
        <x:v>32</x:v>
      </x:c>
      <x:c r="N447" s="205" t="str"/>
      <x:c r="O447" s="205" t="str"/>
      <x:c r="P447" s="205" t="str"/>
      <x:c r="Q447" s="206" t="n">
        <x:v>0.174</x:v>
      </x:c>
      <x:c r="R447" s="207" t="str"/>
      <x:c r="S447" s="207" t="str"/>
      <x:c r="T447" s="207" t="str"/>
      <x:c r="U447" s="207" t="n">
        <x:v>0</x:v>
      </x:c>
      <x:c r="V447" s="208" t="n">
        <x:f>MAX(0,M447-U447)</x:f>
        <x:v>32</x:v>
      </x:c>
      <x:c r="W447" s="209" t="n">
        <x:f>IFERROR(U447/M447,0)</x:f>
        <x:v>0</x:v>
      </x:c>
      <x:c r="X447" s="201" t="str">
        <x:f>IF(U447=0,"Não iniciado",IF(U447&gt;=M447,"Concluído","Parcial"))</x:f>
        <x:v>Não iniciado</x:v>
      </x:c>
      <x:c r="Y447" s="199" t="str"/>
      <x:c r="Z447" s="188" t="str">
        <x:v>Normal</x:v>
      </x:c>
    </x:row>
    <x:row r="448" ht="22" customHeight="1">
      <x:c r="A448" s="219" t="n">
        <x:v>444</x:v>
      </x:c>
      <x:c r="B448" s="220" t="str">
        <x:v>26809</x:v>
      </x:c>
      <x:c r="C448" s="220" t="str">
        <x:v>10</x:v>
      </x:c>
      <x:c r="D448" s="220" t="str">
        <x:v>609951</x:v>
      </x:c>
      <x:c r="E448" s="220" t="str">
        <x:v>961633</x:v>
      </x:c>
      <x:c r="F448" s="220" t="str">
        <x:v>KIT DE CORRER</x:v>
      </x:c>
      <x:c r="G448" s="190" t="str">
        <x:v>SUP KIT CORR  KIT DE CORRER EM MDF ULTRA</x:v>
      </x:c>
      <x:c r="H448" s="190" t="str"/>
      <x:c r="I448" s="190" t="str"/>
      <x:c r="J448" s="190" t="str"/>
      <x:c r="K448" s="190" t="str">
        <x:v>RECOBERTO PET</x:v>
      </x:c>
      <x:c r="L448" s="190" t="str">
        <x:v>CAPUCCINO MARCHE</x:v>
      </x:c>
      <x:c r="M448" s="210" t="n">
        <x:v>1</x:v>
      </x:c>
      <x:c r="N448" s="210" t="str"/>
      <x:c r="O448" s="210" t="str"/>
      <x:c r="P448" s="210" t="str"/>
      <x:c r="Q448" s="211" t="n">
        <x:v>0.006</x:v>
      </x:c>
      <x:c r="R448" s="207" t="str"/>
      <x:c r="S448" s="207" t="str"/>
      <x:c r="T448" s="207" t="str"/>
      <x:c r="U448" s="207" t="n">
        <x:v>0</x:v>
      </x:c>
      <x:c r="V448" s="208" t="n">
        <x:f>MAX(0,M448-U448)</x:f>
        <x:v>1</x:v>
      </x:c>
      <x:c r="W448" s="209" t="n">
        <x:f>IFERROR(U448/M448,0)</x:f>
        <x:v>0</x:v>
      </x:c>
      <x:c r="X448" s="201" t="str">
        <x:f>IF(U448=0,"Não iniciado",IF(U448&gt;=M448,"Concluído","Parcial"))</x:f>
        <x:v>Não iniciado</x:v>
      </x:c>
      <x:c r="Y448" s="199" t="str"/>
      <x:c r="Z448" s="188" t="str">
        <x:v>Normal</x:v>
      </x:c>
    </x:row>
    <x:row r="449" ht="22" customHeight="1">
      <x:c r="A449" s="217" t="n">
        <x:v>445</x:v>
      </x:c>
      <x:c r="B449" s="218" t="str">
        <x:v>26809</x:v>
      </x:c>
      <x:c r="C449" s="218" t="str">
        <x:v>10</x:v>
      </x:c>
      <x:c r="D449" s="218" t="str">
        <x:v>609952</x:v>
      </x:c>
      <x:c r="E449" s="218" t="str">
        <x:v>961635</x:v>
      </x:c>
      <x:c r="F449" s="218" t="str">
        <x:v>KIT DE CORRER</x:v>
      </x:c>
      <x:c r="G449" s="184" t="str">
        <x:v>CA KIT L MAI UL  KIT DE CORRER EM MDF ULTRA</x:v>
      </x:c>
      <x:c r="H449" s="184" t="str"/>
      <x:c r="I449" s="184" t="str"/>
      <x:c r="J449" s="184" t="str"/>
      <x:c r="K449" s="184" t="str">
        <x:v>RECOBERTO PET</x:v>
      </x:c>
      <x:c r="L449" s="184" t="str">
        <x:v>CAPUCCINO MARCHE</x:v>
      </x:c>
      <x:c r="M449" s="205" t="n">
        <x:v>1</x:v>
      </x:c>
      <x:c r="N449" s="205" t="str"/>
      <x:c r="O449" s="205" t="str"/>
      <x:c r="P449" s="205" t="str"/>
      <x:c r="Q449" s="206" t="n">
        <x:v>0.002</x:v>
      </x:c>
      <x:c r="R449" s="207" t="str"/>
      <x:c r="S449" s="207" t="str"/>
      <x:c r="T449" s="207" t="str"/>
      <x:c r="U449" s="207" t="n">
        <x:v>0</x:v>
      </x:c>
      <x:c r="V449" s="208" t="n">
        <x:f>MAX(0,M449-U449)</x:f>
        <x:v>1</x:v>
      </x:c>
      <x:c r="W449" s="209" t="n">
        <x:f>IFERROR(U449/M449,0)</x:f>
        <x:v>0</x:v>
      </x:c>
      <x:c r="X449" s="201" t="str">
        <x:f>IF(U449=0,"Não iniciado",IF(U449&gt;=M449,"Concluído","Parcial"))</x:f>
        <x:v>Não iniciado</x:v>
      </x:c>
      <x:c r="Y449" s="199" t="str"/>
      <x:c r="Z449" s="188" t="str">
        <x:v>Normal</x:v>
      </x:c>
    </x:row>
    <x:row r="450" ht="22" customHeight="1">
      <x:c r="A450" s="219" t="n">
        <x:v>446</x:v>
      </x:c>
      <x:c r="B450" s="220" t="str">
        <x:v>26809</x:v>
      </x:c>
      <x:c r="C450" s="220" t="str">
        <x:v>10</x:v>
      </x:c>
      <x:c r="D450" s="220" t="str">
        <x:v>609953</x:v>
      </x:c>
      <x:c r="E450" s="220" t="str">
        <x:v>978579</x:v>
      </x:c>
      <x:c r="F450" s="220" t="str">
        <x:v>KIT DE CORRER</x:v>
      </x:c>
      <x:c r="G450" s="190" t="str">
        <x:v>PE KIT CORR  KIT DE CORRER EM MDF ULTRA</x:v>
      </x:c>
      <x:c r="H450" s="190" t="str"/>
      <x:c r="I450" s="190" t="str"/>
      <x:c r="J450" s="190" t="str"/>
      <x:c r="K450" s="190" t="str">
        <x:v>RECOBERTO PET</x:v>
      </x:c>
      <x:c r="L450" s="190" t="str">
        <x:v>CAPUCCINO MARCHE</x:v>
      </x:c>
      <x:c r="M450" s="210" t="n">
        <x:v>2</x:v>
      </x:c>
      <x:c r="N450" s="210" t="str"/>
      <x:c r="O450" s="210" t="str"/>
      <x:c r="P450" s="210" t="str"/>
      <x:c r="Q450" s="211" t="n">
        <x:v>0.011</x:v>
      </x:c>
      <x:c r="R450" s="207" t="str"/>
      <x:c r="S450" s="207" t="str"/>
      <x:c r="T450" s="207" t="str"/>
      <x:c r="U450" s="207" t="n">
        <x:v>0</x:v>
      </x:c>
      <x:c r="V450" s="208" t="n">
        <x:f>MAX(0,M450-U450)</x:f>
        <x:v>2</x:v>
      </x:c>
      <x:c r="W450" s="209" t="n">
        <x:f>IFERROR(U450/M450,0)</x:f>
        <x:v>0</x:v>
      </x:c>
      <x:c r="X450" s="201" t="str">
        <x:f>IF(U450=0,"Não iniciado",IF(U450&gt;=M450,"Concluído","Parcial"))</x:f>
        <x:v>Não iniciado</x:v>
      </x:c>
      <x:c r="Y450" s="199" t="str"/>
      <x:c r="Z450" s="188" t="str">
        <x:v>Normal</x:v>
      </x:c>
    </x:row>
    <x:row r="451" ht="22" customHeight="1">
      <x:c r="A451" s="217" t="n">
        <x:v>447</x:v>
      </x:c>
      <x:c r="B451" s="218" t="str">
        <x:v>26809</x:v>
      </x:c>
      <x:c r="C451" s="218" t="str">
        <x:v>10</x:v>
      </x:c>
      <x:c r="D451" s="218" t="str">
        <x:v>609954</x:v>
      </x:c>
      <x:c r="E451" s="218" t="str">
        <x:v>978581</x:v>
      </x:c>
      <x:c r="F451" s="218" t="str">
        <x:v>KIT DE CORRER</x:v>
      </x:c>
      <x:c r="G451" s="184" t="str">
        <x:v>A KIT L ME UL  KIT DE CORRER EM MDF ULTRA</x:v>
      </x:c>
      <x:c r="H451" s="184" t="str"/>
      <x:c r="I451" s="184" t="str"/>
      <x:c r="J451" s="184" t="str"/>
      <x:c r="K451" s="184" t="str">
        <x:v>RECOBERTO PET</x:v>
      </x:c>
      <x:c r="L451" s="184" t="str">
        <x:v>CAPUCCINO MARCHE</x:v>
      </x:c>
      <x:c r="M451" s="205" t="n">
        <x:v>3</x:v>
      </x:c>
      <x:c r="N451" s="205" t="str"/>
      <x:c r="O451" s="205" t="str"/>
      <x:c r="P451" s="205" t="str"/>
      <x:c r="Q451" s="206" t="n">
        <x:v>0.003</x:v>
      </x:c>
      <x:c r="R451" s="207" t="str"/>
      <x:c r="S451" s="207" t="str"/>
      <x:c r="T451" s="207" t="str"/>
      <x:c r="U451" s="207" t="n">
        <x:v>0</x:v>
      </x:c>
      <x:c r="V451" s="208" t="n">
        <x:f>MAX(0,M451-U451)</x:f>
        <x:v>3</x:v>
      </x:c>
      <x:c r="W451" s="209" t="n">
        <x:f>IFERROR(U451/M451,0)</x:f>
        <x:v>0</x:v>
      </x:c>
      <x:c r="X451" s="201" t="str">
        <x:f>IF(U451=0,"Não iniciado",IF(U451&gt;=M451,"Concluído","Parcial"))</x:f>
        <x:v>Não iniciado</x:v>
      </x:c>
      <x:c r="Y451" s="199" t="str"/>
      <x:c r="Z451" s="188" t="str">
        <x:v>Normal</x:v>
      </x:c>
    </x:row>
    <x:row r="452" ht="22" customHeight="1">
      <x:c r="A452" s="219" t="n">
        <x:v>448</x:v>
      </x:c>
      <x:c r="B452" s="220" t="str">
        <x:v>26520</x:v>
      </x:c>
      <x:c r="C452" s="220" t="str">
        <x:v>10</x:v>
      </x:c>
      <x:c r="D452" s="220" t="str">
        <x:v>610165</x:v>
      </x:c>
      <x:c r="E452" s="220" t="str">
        <x:v>2010701224</x:v>
      </x:c>
      <x:c r="F452" s="220" t="str">
        <x:v>KIT DE CORRER</x:v>
      </x:c>
      <x:c r="G452" s="190" t="str">
        <x:v>P K COR ULTRA PET C RA  KIT DE CORRER EM MDF ULTRA</x:v>
      </x:c>
      <x:c r="H452" s="190" t="str"/>
      <x:c r="I452" s="190" t="str"/>
      <x:c r="J452" s="190" t="str"/>
      <x:c r="K452" s="190" t="str">
        <x:v>RECOBERTO PET</x:v>
      </x:c>
      <x:c r="L452" s="190" t="str">
        <x:v>CURUPIXA RAVENNA</x:v>
      </x:c>
      <x:c r="M452" s="210" t="n">
        <x:v>2</x:v>
      </x:c>
      <x:c r="N452" s="210" t="str"/>
      <x:c r="O452" s="210" t="str"/>
      <x:c r="P452" s="210" t="str"/>
      <x:c r="Q452" s="211" t="n">
        <x:v>0.011</x:v>
      </x:c>
      <x:c r="R452" s="207" t="str"/>
      <x:c r="S452" s="207" t="str"/>
      <x:c r="T452" s="207" t="str"/>
      <x:c r="U452" s="207" t="n">
        <x:v>0</x:v>
      </x:c>
      <x:c r="V452" s="208" t="n">
        <x:f>MAX(0,M452-U452)</x:f>
        <x:v>2</x:v>
      </x:c>
      <x:c r="W452" s="209" t="n">
        <x:f>IFERROR(U452/M452,0)</x:f>
        <x:v>0</x:v>
      </x:c>
      <x:c r="X452" s="201" t="str">
        <x:f>IF(U452=0,"Não iniciado",IF(U452&gt;=M452,"Concluído","Parcial"))</x:f>
        <x:v>Não iniciado</x:v>
      </x:c>
      <x:c r="Y452" s="199" t="str"/>
      <x:c r="Z452" s="188" t="str">
        <x:v>Normal</x:v>
      </x:c>
    </x:row>
    <x:row r="453" ht="22" customHeight="1">
      <x:c r="A453" s="221" t="n">
        <x:v>449</x:v>
      </x:c>
      <x:c r="B453" s="222" t="str">
        <x:v>26520</x:v>
      </x:c>
      <x:c r="C453" s="222" t="str">
        <x:v>10</x:v>
      </x:c>
      <x:c r="D453" s="222" t="str">
        <x:v>610166</x:v>
      </x:c>
      <x:c r="E453" s="222" t="str">
        <x:v>2010701225</x:v>
      </x:c>
      <x:c r="F453" s="222" t="str">
        <x:v>KIT DE CORRER</x:v>
      </x:c>
      <x:c r="G453" s="194" t="str">
        <x:v>S K COR ULTRA PET C RA  KIT DE CORRER EM MDF ULTRA</x:v>
      </x:c>
      <x:c r="H453" s="194" t="str"/>
      <x:c r="I453" s="194" t="str"/>
      <x:c r="J453" s="194" t="str"/>
      <x:c r="K453" s="194" t="str">
        <x:v>RECOBERTO PET</x:v>
      </x:c>
      <x:c r="L453" s="194" t="str">
        <x:v>CURUPIXA RAVENNA</x:v>
      </x:c>
      <x:c r="M453" s="212" t="n">
        <x:v>1</x:v>
      </x:c>
      <x:c r="N453" s="212" t="str"/>
      <x:c r="O453" s="212" t="str"/>
      <x:c r="P453" s="212" t="str"/>
      <x:c r="Q453" s="213" t="n">
        <x:v>0.005</x:v>
      </x:c>
      <x:c r="R453" s="214" t="str"/>
      <x:c r="S453" s="214" t="str"/>
      <x:c r="T453" s="214" t="str"/>
      <x:c r="U453" s="214" t="n">
        <x:v>0</x:v>
      </x:c>
      <x:c r="V453" s="215" t="n">
        <x:f>MAX(0,M453-U453)</x:f>
        <x:v>1</x:v>
      </x:c>
      <x:c r="W453" s="216" t="n">
        <x:f>IFERROR(U453/M453,0)</x:f>
        <x:v>0</x:v>
      </x:c>
      <x:c r="X453" s="203" t="str">
        <x:f>IF(U453=0,"Não iniciado",IF(U453&gt;=M453,"Concluído","Parcial"))</x:f>
        <x:v>Não iniciado</x:v>
      </x:c>
      <x:c r="Y453" s="200" t="str"/>
      <x:c r="Z453" s="198" t="str">
        <x:v>Normal</x:v>
      </x:c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RECOBRIDORA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RECOBRIDORA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26809</x:v>
      </x:c>
      <x:c r="C5" s="218" t="str">
        <x:v>9</x:v>
      </x:c>
      <x:c r="D5" s="218" t="str">
        <x:v>609948</x:v>
      </x:c>
      <x:c r="E5" s="218" t="str">
        <x:v>2010701240</x:v>
      </x:c>
      <x:c r="F5" s="218" t="str">
        <x:v>BATENTE</x:v>
      </x:c>
      <x:c r="G5" s="184" t="str">
        <x:v>M ULTRA PET CAP M 2130X290X30 S/REB R2L</x:v>
      </x:c>
      <x:c r="H5" s="184" t="str">
        <x:v>MDF ULTRA</x:v>
      </x:c>
      <x:c r="I5" s="184" t="str">
        <x:v>S/CANAL</x:v>
      </x:c>
      <x:c r="J5" s="184" t="str">
        <x:v>S/REB</x:v>
      </x:c>
      <x:c r="K5" s="184" t="str">
        <x:v>RECOBERTO PET</x:v>
      </x:c>
      <x:c r="L5" s="184" t="str">
        <x:v>CAPUCCINO MARCHE</x:v>
      </x:c>
      <x:c r="M5" s="205" t="n">
        <x:v>2</x:v>
      </x:c>
      <x:c r="N5" s="205" t="n">
        <x:v>2130</x:v>
      </x:c>
      <x:c r="O5" s="205" t="n">
        <x:v>290</x:v>
      </x:c>
      <x:c r="P5" s="205" t="n">
        <x:v>30</x:v>
      </x:c>
      <x:c r="Q5" s="206" t="n">
        <x:v>0.037</x:v>
      </x:c>
      <x:c r="R5" s="207" t="str"/>
      <x:c r="S5" s="207" t="str"/>
      <x:c r="T5" s="207" t="str"/>
      <x:c r="U5" s="207" t="n">
        <x:v>0</x:v>
      </x:c>
      <x:c r="V5" s="208" t="n">
        <x:f>MAX(0,M5-U5)</x:f>
        <x:v>2</x:v>
      </x:c>
      <x:c r="W5" s="209" t="n">
        <x:f>IFERROR(U5/M5,0)</x:f>
        <x:v>0</x:v>
      </x:c>
      <x:c r="X5" s="201" t="str">
        <x:f>IF(U5=0,"Não iniciado",IF(U5&gt;=M5,"Concluído","Parcial"))</x:f>
        <x:v>Não iniciado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26809</x:v>
      </x:c>
      <x:c r="C6" s="220" t="str">
        <x:v>9</x:v>
      </x:c>
      <x:c r="D6" s="220" t="str">
        <x:v>609949</x:v>
      </x:c>
      <x:c r="E6" s="220" t="str">
        <x:v>2010701241</x:v>
      </x:c>
      <x:c r="F6" s="220" t="str">
        <x:v>BATENTE</x:v>
      </x:c>
      <x:c r="G6" s="190" t="str">
        <x:v>M ULTRA PET CAP M 1300X290X30 S/REB RG 1</x:v>
      </x:c>
      <x:c r="H6" s="190" t="str">
        <x:v>MDF ULTRA</x:v>
      </x:c>
      <x:c r="I6" s="190" t="str">
        <x:v>S/CANAL</x:v>
      </x:c>
      <x:c r="J6" s="190" t="str">
        <x:v>S/REB</x:v>
      </x:c>
      <x:c r="K6" s="190" t="str">
        <x:v>RECOBERTO PET</x:v>
      </x:c>
      <x:c r="L6" s="190" t="str">
        <x:v>CAPUCCINO MARCHE</x:v>
      </x:c>
      <x:c r="M6" s="210" t="n">
        <x:v>1</x:v>
      </x:c>
      <x:c r="N6" s="210" t="n">
        <x:v>1300</x:v>
      </x:c>
      <x:c r="O6" s="210" t="n">
        <x:v>290</x:v>
      </x:c>
      <x:c r="P6" s="210" t="n">
        <x:v>30</x:v>
      </x:c>
      <x:c r="Q6" s="211" t="n">
        <x:v>0.011</x:v>
      </x:c>
      <x:c r="R6" s="207" t="str"/>
      <x:c r="S6" s="207" t="str"/>
      <x:c r="T6" s="207" t="str"/>
      <x:c r="U6" s="207" t="n">
        <x:v>0</x:v>
      </x:c>
      <x:c r="V6" s="208" t="n">
        <x:f>MAX(0,M6-U6)</x:f>
        <x:v>1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26809</x:v>
      </x:c>
      <x:c r="C7" s="218" t="str">
        <x:v>2</x:v>
      </x:c>
      <x:c r="D7" s="218" t="str">
        <x:v>609931</x:v>
      </x:c>
      <x:c r="E7" s="218" t="str">
        <x:v>2010701238</x:v>
      </x:c>
      <x:c r="F7" s="218" t="str">
        <x:v>BATENTE</x:v>
      </x:c>
      <x:c r="G7" s="184" t="str">
        <x:v>M ULTRA PET CAP M 2110X270X30 42X10 R2L</x:v>
      </x:c>
      <x:c r="H7" s="184" t="str">
        <x:v>MDF ULTRA</x:v>
      </x:c>
      <x:c r="I7" s="184" t="str">
        <x:v>C/BORRACHA I APLICADA</x:v>
      </x:c>
      <x:c r="J7" s="184" t="str">
        <x:v>C/REB 42X10</x:v>
      </x:c>
      <x:c r="K7" s="184" t="str">
        <x:v>RECOBERTO PET</x:v>
      </x:c>
      <x:c r="L7" s="184" t="str">
        <x:v>CAPUCCINO MARCHE</x:v>
      </x:c>
      <x:c r="M7" s="205" t="n">
        <x:v>2</x:v>
      </x:c>
      <x:c r="N7" s="205" t="n">
        <x:v>2110</x:v>
      </x:c>
      <x:c r="O7" s="205" t="n">
        <x:v>270</x:v>
      </x:c>
      <x:c r="P7" s="205" t="n">
        <x:v>30</x:v>
      </x:c>
      <x:c r="Q7" s="206" t="n">
        <x:v>0.034</x:v>
      </x:c>
      <x:c r="R7" s="207" t="str"/>
      <x:c r="S7" s="207" t="str"/>
      <x:c r="T7" s="207" t="str"/>
      <x:c r="U7" s="207" t="n">
        <x:v>0</x:v>
      </x:c>
      <x:c r="V7" s="208" t="n">
        <x:f>MAX(0,M7-U7)</x:f>
        <x:v>2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26809</x:v>
      </x:c>
      <x:c r="C8" s="220" t="str">
        <x:v>7</x:v>
      </x:c>
      <x:c r="D8" s="220" t="str">
        <x:v>609944</x:v>
      </x:c>
      <x:c r="E8" s="220" t="str">
        <x:v>2010701238</x:v>
      </x:c>
      <x:c r="F8" s="220" t="str">
        <x:v>BATENTE</x:v>
      </x:c>
      <x:c r="G8" s="190" t="str">
        <x:v>M ULTRA PET CAP M 2110X270X30 42X10 R2L</x:v>
      </x:c>
      <x:c r="H8" s="190" t="str">
        <x:v>MDF ULTRA</x:v>
      </x:c>
      <x:c r="I8" s="190" t="str">
        <x:v>C/BORRACHA I APLICADA</x:v>
      </x:c>
      <x:c r="J8" s="190" t="str">
        <x:v>C/REB 42X10</x:v>
      </x:c>
      <x:c r="K8" s="190" t="str">
        <x:v>RECOBERTO PET</x:v>
      </x:c>
      <x:c r="L8" s="190" t="str">
        <x:v>CAPUCCINO MARCHE</x:v>
      </x:c>
      <x:c r="M8" s="210" t="n">
        <x:v>2</x:v>
      </x:c>
      <x:c r="N8" s="210" t="n">
        <x:v>2110</x:v>
      </x:c>
      <x:c r="O8" s="210" t="n">
        <x:v>270</x:v>
      </x:c>
      <x:c r="P8" s="210" t="n">
        <x:v>30</x:v>
      </x:c>
      <x:c r="Q8" s="211" t="n">
        <x:v>0.034</x:v>
      </x:c>
      <x:c r="R8" s="207" t="str"/>
      <x:c r="S8" s="207" t="str"/>
      <x:c r="T8" s="207" t="str"/>
      <x:c r="U8" s="207" t="n">
        <x:v>0</x:v>
      </x:c>
      <x:c r="V8" s="208" t="n">
        <x:f>MAX(0,M8-U8)</x:f>
        <x:v>2</x:v>
      </x:c>
      <x:c r="W8" s="209" t="n">
        <x:f>IFERROR(U8/M8,0)</x:f>
        <x:v>0</x:v>
      </x:c>
      <x:c r="X8" s="201" t="str">
        <x:f>IF(U8=0,"Não iniciado",IF(U8&gt;=M8,"Concluído","Parcial"))</x:f>
        <x:v>Não iniciado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26809</x:v>
      </x:c>
      <x:c r="C9" s="218" t="str">
        <x:v>7</x:v>
      </x:c>
      <x:c r="D9" s="218" t="str">
        <x:v>609945</x:v>
      </x:c>
      <x:c r="E9" s="218" t="str">
        <x:v>2010701239</x:v>
      </x:c>
      <x:c r="F9" s="218" t="str">
        <x:v>BATENTE</x:v>
      </x:c>
      <x:c r="G9" s="184" t="str">
        <x:v>M ULTRA PET CAP M 947X270X30 42X10 R2L M</x:v>
      </x:c>
      <x:c r="H9" s="184" t="str">
        <x:v>MDF ULTRA</x:v>
      </x:c>
      <x:c r="I9" s="184" t="str">
        <x:v>C/BORRACHA I APLICADA</x:v>
      </x:c>
      <x:c r="J9" s="184" t="str">
        <x:v>C/REB 42X10</x:v>
      </x:c>
      <x:c r="K9" s="184" t="str">
        <x:v>RECOBERTO PET</x:v>
      </x:c>
      <x:c r="L9" s="184" t="str">
        <x:v>CAPUCCINO MARCHE</x:v>
      </x:c>
      <x:c r="M9" s="205" t="n">
        <x:v>1</x:v>
      </x:c>
      <x:c r="N9" s="205" t="n">
        <x:v>947</x:v>
      </x:c>
      <x:c r="O9" s="205" t="n">
        <x:v>270</x:v>
      </x:c>
      <x:c r="P9" s="205" t="n">
        <x:v>30</x:v>
      </x:c>
      <x:c r="Q9" s="206" t="n">
        <x:v>0.008</x:v>
      </x:c>
      <x:c r="R9" s="207" t="str"/>
      <x:c r="S9" s="207" t="str"/>
      <x:c r="T9" s="207" t="str"/>
      <x:c r="U9" s="207" t="n">
        <x:v>0</x:v>
      </x:c>
      <x:c r="V9" s="208" t="n">
        <x:f>MAX(0,M9-U9)</x:f>
        <x:v>1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26809</x:v>
      </x:c>
      <x:c r="C10" s="220" t="str">
        <x:v>2</x:v>
      </x:c>
      <x:c r="D10" s="220" t="str">
        <x:v>609932</x:v>
      </x:c>
      <x:c r="E10" s="220" t="str">
        <x:v>2010701242</x:v>
      </x:c>
      <x:c r="F10" s="220" t="str">
        <x:v>BATENTE</x:v>
      </x:c>
      <x:c r="G10" s="190" t="str">
        <x:v>M ULTRA PET CAP M 747X270X30 42X10 R2L M</x:v>
      </x:c>
      <x:c r="H10" s="190" t="str">
        <x:v>MDF ULTRA</x:v>
      </x:c>
      <x:c r="I10" s="190" t="str">
        <x:v>C/BORRACHA I APLICADA</x:v>
      </x:c>
      <x:c r="J10" s="190" t="str">
        <x:v>C/REB 42X10</x:v>
      </x:c>
      <x:c r="K10" s="190" t="str">
        <x:v>RECOBERTO PET</x:v>
      </x:c>
      <x:c r="L10" s="190" t="str">
        <x:v>CAPUCCINO MARCHE</x:v>
      </x:c>
      <x:c r="M10" s="210" t="n">
        <x:v>1</x:v>
      </x:c>
      <x:c r="N10" s="210" t="n">
        <x:v>747</x:v>
      </x:c>
      <x:c r="O10" s="210" t="n">
        <x:v>270</x:v>
      </x:c>
      <x:c r="P10" s="210" t="n">
        <x:v>30</x:v>
      </x:c>
      <x:c r="Q10" s="211" t="n">
        <x:v>0.006</x:v>
      </x:c>
      <x:c r="R10" s="207" t="str"/>
      <x:c r="S10" s="207" t="str"/>
      <x:c r="T10" s="207" t="str"/>
      <x:c r="U10" s="207" t="n">
        <x:v>0</x:v>
      </x:c>
      <x:c r="V10" s="208" t="n">
        <x:f>MAX(0,M10-U10)</x:f>
        <x:v>1</x:v>
      </x:c>
      <x:c r="W10" s="209" t="n">
        <x:f>IFERROR(U10/M10,0)</x:f>
        <x:v>0</x:v>
      </x:c>
      <x:c r="X10" s="201" t="str">
        <x:f>IF(U10=0,"Não iniciado",IF(U10&gt;=M10,"Concluído","Parcial"))</x:f>
        <x:v>Não iniciado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26809</x:v>
      </x:c>
      <x:c r="C11" s="218" t="str">
        <x:v>6</x:v>
      </x:c>
      <x:c r="D11" s="218" t="str">
        <x:v>609941</x:v>
      </x:c>
      <x:c r="E11" s="218" t="str">
        <x:v>2010701236</x:v>
      </x:c>
      <x:c r="F11" s="218" t="str">
        <x:v>BATENTE</x:v>
      </x:c>
      <x:c r="G11" s="184" t="str">
        <x:v>M ULTRA PET CAP M 2110X250X30 42X10 R2L</x:v>
      </x:c>
      <x:c r="H11" s="184" t="str">
        <x:v>MDF ULTRA</x:v>
      </x:c>
      <x:c r="I11" s="184" t="str">
        <x:v>C/BORRACHA I APLICADA</x:v>
      </x:c>
      <x:c r="J11" s="184" t="str">
        <x:v>C/REB 42X10</x:v>
      </x:c>
      <x:c r="K11" s="184" t="str">
        <x:v>RECOBERTO PET</x:v>
      </x:c>
      <x:c r="L11" s="184" t="str">
        <x:v>CAPUCCINO MARCHE</x:v>
      </x:c>
      <x:c r="M11" s="205" t="n">
        <x:v>6</x:v>
      </x:c>
      <x:c r="N11" s="205" t="n">
        <x:v>2110</x:v>
      </x:c>
      <x:c r="O11" s="205" t="n">
        <x:v>250</x:v>
      </x:c>
      <x:c r="P11" s="205" t="n">
        <x:v>30</x:v>
      </x:c>
      <x:c r="Q11" s="206" t="n">
        <x:v>0.095</x:v>
      </x:c>
      <x:c r="R11" s="207" t="str"/>
      <x:c r="S11" s="207" t="str"/>
      <x:c r="T11" s="207" t="str"/>
      <x:c r="U11" s="207" t="n">
        <x:v>0</x:v>
      </x:c>
      <x:c r="V11" s="208" t="n">
        <x:f>MAX(0,M11-U11)</x:f>
        <x:v>6</x:v>
      </x:c>
      <x:c r="W11" s="209" t="n">
        <x:f>IFERROR(U11/M11,0)</x:f>
        <x:v>0</x:v>
      </x:c>
      <x:c r="X11" s="201" t="str">
        <x:f>IF(U11=0,"Não iniciado",IF(U11&gt;=M11,"Concluído","Parcial"))</x:f>
        <x:v>Não iniciado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26809</x:v>
      </x:c>
      <x:c r="C12" s="220" t="str">
        <x:v>6</x:v>
      </x:c>
      <x:c r="D12" s="220" t="str">
        <x:v>609942</x:v>
      </x:c>
      <x:c r="E12" s="220" t="str">
        <x:v>2010701237</x:v>
      </x:c>
      <x:c r="F12" s="220" t="str">
        <x:v>BATENTE</x:v>
      </x:c>
      <x:c r="G12" s="190" t="str">
        <x:v>M ULTRA PET CAP M 947X250X30 42X10 R2L M</x:v>
      </x:c>
      <x:c r="H12" s="190" t="str">
        <x:v>MDF ULTRA</x:v>
      </x:c>
      <x:c r="I12" s="190" t="str">
        <x:v>C/BORRACHA I APLICADA</x:v>
      </x:c>
      <x:c r="J12" s="190" t="str">
        <x:v>C/REB 42X10</x:v>
      </x:c>
      <x:c r="K12" s="190" t="str">
        <x:v>RECOBERTO PET</x:v>
      </x:c>
      <x:c r="L12" s="190" t="str">
        <x:v>CAPUCCINO MARCHE</x:v>
      </x:c>
      <x:c r="M12" s="210" t="n">
        <x:v>3</x:v>
      </x:c>
      <x:c r="N12" s="210" t="n">
        <x:v>947</x:v>
      </x:c>
      <x:c r="O12" s="210" t="n">
        <x:v>250</x:v>
      </x:c>
      <x:c r="P12" s="210" t="n">
        <x:v>30</x:v>
      </x:c>
      <x:c r="Q12" s="211" t="n">
        <x:v>0.021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3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26750</x:v>
      </x:c>
      <x:c r="C13" s="218" t="str">
        <x:v>3</x:v>
      </x:c>
      <x:c r="D13" s="218" t="str">
        <x:v>609791</x:v>
      </x:c>
      <x:c r="E13" s="218" t="str">
        <x:v>2010701231</x:v>
      </x:c>
      <x:c r="F13" s="218" t="str">
        <x:v>BATENTE</x:v>
      </x:c>
      <x:c r="G13" s="184" t="str">
        <x:v>M ULTRA PVC R BCO 2130X190X30 S/REB R2L</x:v>
      </x:c>
      <x:c r="H13" s="184" t="str">
        <x:v>MDF ULTRA</x:v>
      </x:c>
      <x:c r="I13" s="184" t="str">
        <x:v>S/CANAL</x:v>
      </x:c>
      <x:c r="J13" s="184" t="str">
        <x:v>S/REB</x:v>
      </x:c>
      <x:c r="K13" s="184" t="str">
        <x:v>RECOBERTO PVC RENOLIT</x:v>
      </x:c>
      <x:c r="L13" s="184" t="str">
        <x:v>BRANCO</x:v>
      </x:c>
      <x:c r="M13" s="205" t="n">
        <x:v>4</x:v>
      </x:c>
      <x:c r="N13" s="205" t="n">
        <x:v>2130</x:v>
      </x:c>
      <x:c r="O13" s="205" t="n">
        <x:v>190</x:v>
      </x:c>
      <x:c r="P13" s="205" t="n">
        <x:v>30</x:v>
      </x:c>
      <x:c r="Q13" s="206" t="n">
        <x:v>0.049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4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26750</x:v>
      </x:c>
      <x:c r="C14" s="220" t="str">
        <x:v>3</x:v>
      </x:c>
      <x:c r="D14" s="220" t="str">
        <x:v>609792</x:v>
      </x:c>
      <x:c r="E14" s="220" t="str">
        <x:v>2010701232</x:v>
      </x:c>
      <x:c r="F14" s="220" t="str">
        <x:v>BATENTE</x:v>
      </x:c>
      <x:c r="G14" s="190" t="str">
        <x:v>M ULTRA PVC R BCO 1200X190X30 S/REB R2L</x:v>
      </x:c>
      <x:c r="H14" s="190" t="str">
        <x:v>MDF ULTRA</x:v>
      </x:c>
      <x:c r="I14" s="190" t="str">
        <x:v>S/CANAL</x:v>
      </x:c>
      <x:c r="J14" s="190" t="str">
        <x:v>S/REB</x:v>
      </x:c>
      <x:c r="K14" s="190" t="str">
        <x:v>RECOBERTO PVC RENOLIT</x:v>
      </x:c>
      <x:c r="L14" s="190" t="str">
        <x:v>BRANCO</x:v>
      </x:c>
      <x:c r="M14" s="210" t="n">
        <x:v>2</x:v>
      </x:c>
      <x:c r="N14" s="210" t="n">
        <x:v>1200</x:v>
      </x:c>
      <x:c r="O14" s="210" t="n">
        <x:v>190</x:v>
      </x:c>
      <x:c r="P14" s="210" t="n">
        <x:v>30</x:v>
      </x:c>
      <x:c r="Q14" s="211" t="n">
        <x:v>0.014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2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26739</x:v>
      </x:c>
      <x:c r="C15" s="218" t="str">
        <x:v>2</x:v>
      </x:c>
      <x:c r="D15" s="218" t="str">
        <x:v>609628</x:v>
      </x:c>
      <x:c r="E15" s="218" t="str">
        <x:v>2010701226</x:v>
      </x:c>
      <x:c r="F15" s="218" t="str">
        <x:v>BATENTE</x:v>
      </x:c>
      <x:c r="G15" s="184" t="str">
        <x:v>M ULTRA PVC R BCO 2130X170X30 S/REB R2L</x:v>
      </x:c>
      <x:c r="H15" s="184" t="str">
        <x:v>MDF ULTRA</x:v>
      </x:c>
      <x:c r="I15" s="184" t="str">
        <x:v>S/CANAL</x:v>
      </x:c>
      <x:c r="J15" s="184" t="str">
        <x:v>S/REB</x:v>
      </x:c>
      <x:c r="K15" s="184" t="str">
        <x:v>RECOBERTO PVC RENOLIT</x:v>
      </x:c>
      <x:c r="L15" s="184" t="str">
        <x:v>BRANCO</x:v>
      </x:c>
      <x:c r="M15" s="205" t="n">
        <x:v>32</x:v>
      </x:c>
      <x:c r="N15" s="205" t="n">
        <x:v>2130</x:v>
      </x:c>
      <x:c r="O15" s="205" t="n">
        <x:v>170</x:v>
      </x:c>
      <x:c r="P15" s="205" t="n">
        <x:v>30</x:v>
      </x:c>
      <x:c r="Q15" s="206" t="n">
        <x:v>0.348</x:v>
      </x:c>
      <x:c r="R15" s="207" t="str"/>
      <x:c r="S15" s="207" t="str"/>
      <x:c r="T15" s="207" t="str"/>
      <x:c r="U15" s="207" t="n">
        <x:v>0</x:v>
      </x:c>
      <x:c r="V15" s="208" t="n">
        <x:f>MAX(0,M15-U15)</x:f>
        <x:v>32</x:v>
      </x:c>
      <x:c r="W15" s="209" t="n">
        <x:f>IFERROR(U15/M15,0)</x:f>
        <x:v>0</x:v>
      </x:c>
      <x:c r="X15" s="201" t="str">
        <x:f>IF(U15=0,"Não iniciado",IF(U15&gt;=M15,"Concluído","Parcial"))</x:f>
        <x:v>Não iniciado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26750</x:v>
      </x:c>
      <x:c r="C16" s="220" t="str">
        <x:v>2</x:v>
      </x:c>
      <x:c r="D16" s="220" t="str">
        <x:v>609788</x:v>
      </x:c>
      <x:c r="E16" s="220" t="str">
        <x:v>2010701226</x:v>
      </x:c>
      <x:c r="F16" s="220" t="str">
        <x:v>BATENTE</x:v>
      </x:c>
      <x:c r="G16" s="190" t="str">
        <x:v>M ULTRA PVC R BCO 2130X170X30 S/REB R2L</x:v>
      </x:c>
      <x:c r="H16" s="190" t="str">
        <x:v>MDF ULTRA</x:v>
      </x:c>
      <x:c r="I16" s="190" t="str">
        <x:v>S/CANAL</x:v>
      </x:c>
      <x:c r="J16" s="190" t="str">
        <x:v>S/REB</x:v>
      </x:c>
      <x:c r="K16" s="190" t="str">
        <x:v>RECOBERTO PVC RENOLIT</x:v>
      </x:c>
      <x:c r="L16" s="190" t="str">
        <x:v>BRANCO</x:v>
      </x:c>
      <x:c r="M16" s="210" t="n">
        <x:v>18</x:v>
      </x:c>
      <x:c r="N16" s="210" t="n">
        <x:v>2130</x:v>
      </x:c>
      <x:c r="O16" s="210" t="n">
        <x:v>170</x:v>
      </x:c>
      <x:c r="P16" s="210" t="n">
        <x:v>30</x:v>
      </x:c>
      <x:c r="Q16" s="211" t="n">
        <x:v>0.196</x:v>
      </x:c>
      <x:c r="R16" s="207" t="str"/>
      <x:c r="S16" s="207" t="str"/>
      <x:c r="T16" s="207" t="str"/>
      <x:c r="U16" s="207" t="n">
        <x:v>0</x:v>
      </x:c>
      <x:c r="V16" s="208" t="n">
        <x:f>MAX(0,M16-U16)</x:f>
        <x:v>18</x:v>
      </x:c>
      <x:c r="W16" s="209" t="n">
        <x:f>IFERROR(U16/M16,0)</x:f>
        <x:v>0</x:v>
      </x:c>
      <x:c r="X16" s="201" t="str">
        <x:f>IF(U16=0,"Não iniciado",IF(U16&gt;=M16,"Concluído","Parcial"))</x:f>
        <x:v>Não iniciado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26739</x:v>
      </x:c>
      <x:c r="C17" s="218" t="str">
        <x:v>22</x:v>
      </x:c>
      <x:c r="D17" s="218" t="str">
        <x:v>609739</x:v>
      </x:c>
      <x:c r="E17" s="218" t="str">
        <x:v>2010700697</x:v>
      </x:c>
      <x:c r="F17" s="218" t="str">
        <x:v>BATENTE</x:v>
      </x:c>
      <x:c r="G17" s="184" t="str">
        <x:v>M ULTRA PET BCO CAR 2110X170X30 42X10 R2</x:v>
      </x:c>
      <x:c r="H17" s="184" t="str"/>
      <x:c r="I17" s="184" t="str"/>
      <x:c r="J17" s="184" t="str"/>
      <x:c r="K17" s="184" t="str">
        <x:v>ESMALTE</x:v>
      </x:c>
      <x:c r="L17" s="184" t="str">
        <x:v>BRANCO CARRARA</x:v>
      </x:c>
      <x:c r="M17" s="205" t="n">
        <x:v>2</x:v>
      </x:c>
      <x:c r="N17" s="205" t="n">
        <x:v>2110</x:v>
      </x:c>
      <x:c r="O17" s="205" t="n">
        <x:v>170</x:v>
      </x:c>
      <x:c r="P17" s="205" t="n">
        <x:v>30</x:v>
      </x:c>
      <x:c r="Q17" s="206" t="n">
        <x:v>0.022</x:v>
      </x:c>
      <x:c r="R17" s="207" t="str"/>
      <x:c r="S17" s="207" t="str"/>
      <x:c r="T17" s="207" t="str"/>
      <x:c r="U17" s="207" t="n">
        <x:v>0</x:v>
      </x:c>
      <x:c r="V17" s="208" t="n">
        <x:f>MAX(0,M17-U17)</x:f>
        <x:v>2</x:v>
      </x:c>
      <x:c r="W17" s="209" t="n">
        <x:f>IFERROR(U17/M17,0)</x:f>
        <x:v>0</x:v>
      </x:c>
      <x:c r="X17" s="201" t="str">
        <x:f>IF(U17=0,"Não iniciado",IF(U17&gt;=M17,"Concluído","Parcial"))</x:f>
        <x:v>Não iniciado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26750</x:v>
      </x:c>
      <x:c r="C18" s="220" t="str">
        <x:v>25</x:v>
      </x:c>
      <x:c r="D18" s="220" t="str">
        <x:v>609912</x:v>
      </x:c>
      <x:c r="E18" s="220" t="str">
        <x:v>2010700697</x:v>
      </x:c>
      <x:c r="F18" s="220" t="str">
        <x:v>BATENTE</x:v>
      </x:c>
      <x:c r="G18" s="190" t="str">
        <x:v>M ULTRA PET BCO CAR 2110X170X30 42X10 R2</x:v>
      </x:c>
      <x:c r="H18" s="190" t="str"/>
      <x:c r="I18" s="190" t="str"/>
      <x:c r="J18" s="190" t="str"/>
      <x:c r="K18" s="190" t="str">
        <x:v>ESMALTE</x:v>
      </x:c>
      <x:c r="L18" s="190" t="str">
        <x:v>BRANCO CARRARA</x:v>
      </x:c>
      <x:c r="M18" s="210" t="n">
        <x:v>6</x:v>
      </x:c>
      <x:c r="N18" s="210" t="n">
        <x:v>2110</x:v>
      </x:c>
      <x:c r="O18" s="210" t="n">
        <x:v>170</x:v>
      </x:c>
      <x:c r="P18" s="210" t="n">
        <x:v>30</x:v>
      </x:c>
      <x:c r="Q18" s="211" t="n">
        <x:v>0.065</x:v>
      </x:c>
      <x:c r="R18" s="207" t="str"/>
      <x:c r="S18" s="207" t="str"/>
      <x:c r="T18" s="207" t="str"/>
      <x:c r="U18" s="207" t="n">
        <x:v>0</x:v>
      </x:c>
      <x:c r="V18" s="208" t="n">
        <x:f>MAX(0,M18-U18)</x:f>
        <x:v>6</x:v>
      </x:c>
      <x:c r="W18" s="209" t="n">
        <x:f>IFERROR(U18/M18,0)</x:f>
        <x:v>0</x:v>
      </x:c>
      <x:c r="X18" s="201" t="str">
        <x:f>IF(U18=0,"Não iniciado",IF(U18&gt;=M18,"Concluído","Parcial"))</x:f>
        <x:v>Não iniciado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26800</x:v>
      </x:c>
      <x:c r="C19" s="218" t="str">
        <x:v>4</x:v>
      </x:c>
      <x:c r="D19" s="218" t="str">
        <x:v>612119</x:v>
      </x:c>
      <x:c r="E19" s="218" t="str">
        <x:v>2010700548</x:v>
      </x:c>
      <x:c r="F19" s="218" t="str">
        <x:v>BATENTE</x:v>
      </x:c>
      <x:c r="G19" s="184" t="str">
        <x:v>M P ULTRA PET CA MA 2110X170X30 42X10 R2</x:v>
      </x:c>
      <x:c r="H19" s="184" t="str">
        <x:v>MDF ULTRA</x:v>
      </x:c>
      <x:c r="I19" s="184" t="str">
        <x:v>C/BORRACHA I APLICADA</x:v>
      </x:c>
      <x:c r="J19" s="184" t="str">
        <x:v>C/REB 42X10</x:v>
      </x:c>
      <x:c r="K19" s="184" t="str">
        <x:v>RECOBERTO PET</x:v>
      </x:c>
      <x:c r="L19" s="184" t="str">
        <x:v>CARVALHO MALVA</x:v>
      </x:c>
      <x:c r="M19" s="205" t="n">
        <x:v>10</x:v>
      </x:c>
      <x:c r="N19" s="205" t="n">
        <x:v>2110</x:v>
      </x:c>
      <x:c r="O19" s="205" t="n">
        <x:v>170</x:v>
      </x:c>
      <x:c r="P19" s="205" t="n">
        <x:v>30</x:v>
      </x:c>
      <x:c r="Q19" s="206" t="n">
        <x:v>0.108</x:v>
      </x:c>
      <x:c r="R19" s="207" t="str"/>
      <x:c r="S19" s="207" t="str"/>
      <x:c r="T19" s="207" t="str"/>
      <x:c r="U19" s="207" t="n">
        <x:v>0</x:v>
      </x:c>
      <x:c r="V19" s="208" t="n">
        <x:f>MAX(0,M19-U19)</x:f>
        <x:v>10</x:v>
      </x:c>
      <x:c r="W19" s="209" t="n">
        <x:f>IFERROR(U19/M19,0)</x:f>
        <x:v>0</x:v>
      </x:c>
      <x:c r="X19" s="201" t="str">
        <x:f>IF(U19=0,"Não iniciado",IF(U19&gt;=M19,"Concluído","Parcial"))</x:f>
        <x:v>Não iniciado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26739</x:v>
      </x:c>
      <x:c r="C20" s="220" t="str">
        <x:v>2</x:v>
      </x:c>
      <x:c r="D20" s="220" t="str">
        <x:v>609629</x:v>
      </x:c>
      <x:c r="E20" s="220" t="str">
        <x:v>2010701227</x:v>
      </x:c>
      <x:c r="F20" s="220" t="str">
        <x:v>BATENTE</x:v>
      </x:c>
      <x:c r="G20" s="190" t="str">
        <x:v>M ULTRA PVC R BCO 1200X170X30 S/REB R2L</x:v>
      </x:c>
      <x:c r="H20" s="190" t="str">
        <x:v>MDF ULTRA</x:v>
      </x:c>
      <x:c r="I20" s="190" t="str">
        <x:v>S/CANAL</x:v>
      </x:c>
      <x:c r="J20" s="190" t="str">
        <x:v>S/REB</x:v>
      </x:c>
      <x:c r="K20" s="190" t="str">
        <x:v>RECOBERTO PVC RENOLIT</x:v>
      </x:c>
      <x:c r="L20" s="190" t="str">
        <x:v>BRANCO</x:v>
      </x:c>
      <x:c r="M20" s="210" t="n">
        <x:v>16</x:v>
      </x:c>
      <x:c r="N20" s="210" t="n">
        <x:v>1200</x:v>
      </x:c>
      <x:c r="O20" s="210" t="n">
        <x:v>170</x:v>
      </x:c>
      <x:c r="P20" s="210" t="n">
        <x:v>30</x:v>
      </x:c>
      <x:c r="Q20" s="211" t="n">
        <x:v>0.098</x:v>
      </x:c>
      <x:c r="R20" s="207" t="str"/>
      <x:c r="S20" s="207" t="str"/>
      <x:c r="T20" s="207" t="str"/>
      <x:c r="U20" s="207" t="n">
        <x:v>0</x:v>
      </x:c>
      <x:c r="V20" s="208" t="n">
        <x:f>MAX(0,M20-U20)</x:f>
        <x:v>16</x:v>
      </x:c>
      <x:c r="W20" s="209" t="n">
        <x:f>IFERROR(U20/M20,0)</x:f>
        <x:v>0</x:v>
      </x:c>
      <x:c r="X20" s="201" t="str">
        <x:f>IF(U20=0,"Não iniciado",IF(U20&gt;=M20,"Concluído","Parcial"))</x:f>
        <x:v>Não iniciado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26750</x:v>
      </x:c>
      <x:c r="C21" s="218" t="str">
        <x:v>2</x:v>
      </x:c>
      <x:c r="D21" s="218" t="str">
        <x:v>609789</x:v>
      </x:c>
      <x:c r="E21" s="218" t="str">
        <x:v>2010701227</x:v>
      </x:c>
      <x:c r="F21" s="218" t="str">
        <x:v>BATENTE</x:v>
      </x:c>
      <x:c r="G21" s="184" t="str">
        <x:v>M ULTRA PVC R BCO 1200X170X30 S/REB R2L</x:v>
      </x:c>
      <x:c r="H21" s="184" t="str">
        <x:v>MDF ULTRA</x:v>
      </x:c>
      <x:c r="I21" s="184" t="str">
        <x:v>S/CANAL</x:v>
      </x:c>
      <x:c r="J21" s="184" t="str">
        <x:v>S/REB</x:v>
      </x:c>
      <x:c r="K21" s="184" t="str">
        <x:v>RECOBERTO PVC RENOLIT</x:v>
      </x:c>
      <x:c r="L21" s="184" t="str">
        <x:v>BRANCO</x:v>
      </x:c>
      <x:c r="M21" s="205" t="n">
        <x:v>9</x:v>
      </x:c>
      <x:c r="N21" s="205" t="n">
        <x:v>1200</x:v>
      </x:c>
      <x:c r="O21" s="205" t="n">
        <x:v>170</x:v>
      </x:c>
      <x:c r="P21" s="205" t="n">
        <x:v>30</x:v>
      </x:c>
      <x:c r="Q21" s="206" t="n">
        <x:v>0.055</x:v>
      </x:c>
      <x:c r="R21" s="207" t="str"/>
      <x:c r="S21" s="207" t="str"/>
      <x:c r="T21" s="207" t="str"/>
      <x:c r="U21" s="207" t="n">
        <x:v>0</x:v>
      </x:c>
      <x:c r="V21" s="208" t="n">
        <x:f>MAX(0,M21-U21)</x:f>
        <x:v>9</x:v>
      </x:c>
      <x:c r="W21" s="209" t="n">
        <x:f>IFERROR(U21/M21,0)</x:f>
        <x:v>0</x:v>
      </x:c>
      <x:c r="X21" s="201" t="str">
        <x:f>IF(U21=0,"Não iniciado",IF(U21&gt;=M21,"Concluído","Parcial"))</x:f>
        <x:v>Não iniciado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26800</x:v>
      </x:c>
      <x:c r="C22" s="220" t="str">
        <x:v>4</x:v>
      </x:c>
      <x:c r="D22" s="220" t="str">
        <x:v>612118</x:v>
      </x:c>
      <x:c r="E22" s="220" t="str">
        <x:v>2010700203</x:v>
      </x:c>
      <x:c r="F22" s="220" t="str">
        <x:v>BATENTE</x:v>
      </x:c>
      <x:c r="G22" s="190" t="str">
        <x:v>M T ULTRA PET CA MA 747X170X30 42X10 R2L</x:v>
      </x:c>
      <x:c r="H22" s="190" t="str">
        <x:v>MDF ULTRA</x:v>
      </x:c>
      <x:c r="I22" s="190" t="str">
        <x:v>C/BORRACHA I APLICADA</x:v>
      </x:c>
      <x:c r="J22" s="190" t="str">
        <x:v>C/REB 42X10</x:v>
      </x:c>
      <x:c r="K22" s="190" t="str">
        <x:v>RECOBERTO PET</x:v>
      </x:c>
      <x:c r="L22" s="190" t="str">
        <x:v>CARVALHO MALVA</x:v>
      </x:c>
      <x:c r="M22" s="210" t="n">
        <x:v>5</x:v>
      </x:c>
      <x:c r="N22" s="210" t="n">
        <x:v>747</x:v>
      </x:c>
      <x:c r="O22" s="210" t="n">
        <x:v>170</x:v>
      </x:c>
      <x:c r="P22" s="210" t="n">
        <x:v>30</x:v>
      </x:c>
      <x:c r="Q22" s="211" t="n">
        <x:v>0.019</x:v>
      </x:c>
      <x:c r="R22" s="207" t="str"/>
      <x:c r="S22" s="207" t="str"/>
      <x:c r="T22" s="207" t="str"/>
      <x:c r="U22" s="207" t="n">
        <x:v>0</x:v>
      </x:c>
      <x:c r="V22" s="208" t="n">
        <x:f>MAX(0,M22-U22)</x:f>
        <x:v>5</x:v>
      </x:c>
      <x:c r="W22" s="209" t="n">
        <x:f>IFERROR(U22/M22,0)</x:f>
        <x:v>0</x:v>
      </x:c>
      <x:c r="X22" s="201" t="str">
        <x:f>IF(U22=0,"Não iniciado",IF(U22&gt;=M22,"Concluído","Parcial"))</x:f>
        <x:v>Não iniciado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26739</x:v>
      </x:c>
      <x:c r="C23" s="218" t="str">
        <x:v>22</x:v>
      </x:c>
      <x:c r="D23" s="218" t="str">
        <x:v>609740</x:v>
      </x:c>
      <x:c r="E23" s="218" t="str">
        <x:v>2010701230</x:v>
      </x:c>
      <x:c r="F23" s="218" t="str">
        <x:v>BATENTE</x:v>
      </x:c>
      <x:c r="G23" s="184" t="str">
        <x:v>M ULTRA PET BCO CAR 667X170X30 42X10 R2L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1</x:v>
      </x:c>
      <x:c r="N23" s="205" t="n">
        <x:v>667</x:v>
      </x:c>
      <x:c r="O23" s="205" t="n">
        <x:v>170</x:v>
      </x:c>
      <x:c r="P23" s="205" t="n">
        <x:v>30</x:v>
      </x:c>
      <x:c r="Q23" s="206" t="n">
        <x:v>0.003</x:v>
      </x:c>
      <x:c r="R23" s="207" t="str"/>
      <x:c r="S23" s="207" t="str"/>
      <x:c r="T23" s="207" t="str"/>
      <x:c r="U23" s="207" t="n">
        <x:v>0</x:v>
      </x:c>
      <x:c r="V23" s="208" t="n">
        <x:f>MAX(0,M23-U23)</x:f>
        <x:v>1</x:v>
      </x:c>
      <x:c r="W23" s="209" t="n">
        <x:f>IFERROR(U23/M23,0)</x:f>
        <x:v>0</x:v>
      </x:c>
      <x:c r="X23" s="201" t="str">
        <x:f>IF(U23=0,"Não iniciado",IF(U23&gt;=M23,"Concluído","Parcial"))</x:f>
        <x:v>Não iniciado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26750</x:v>
      </x:c>
      <x:c r="C24" s="220" t="str">
        <x:v>25</x:v>
      </x:c>
      <x:c r="D24" s="220" t="str">
        <x:v>609913</x:v>
      </x:c>
      <x:c r="E24" s="220" t="str">
        <x:v>2010701230</x:v>
      </x:c>
      <x:c r="F24" s="220" t="str">
        <x:v>BATENTE</x:v>
      </x:c>
      <x:c r="G24" s="190" t="str">
        <x:v>M ULTRA PET BCO CAR 667X170X30 42X10 R2L</x:v>
      </x:c>
      <x:c r="H24" s="190" t="str"/>
      <x:c r="I24" s="190" t="str"/>
      <x:c r="J24" s="190" t="str"/>
      <x:c r="K24" s="190" t="str">
        <x:v>ESMALTE</x:v>
      </x:c>
      <x:c r="L24" s="190" t="str">
        <x:v>BRANCO CARRARA</x:v>
      </x:c>
      <x:c r="M24" s="210" t="n">
        <x:v>3</x:v>
      </x:c>
      <x:c r="N24" s="210" t="n">
        <x:v>667</x:v>
      </x:c>
      <x:c r="O24" s="210" t="n">
        <x:v>170</x:v>
      </x:c>
      <x:c r="P24" s="210" t="n">
        <x:v>30</x:v>
      </x:c>
      <x:c r="Q24" s="211" t="n">
        <x:v>0.01</x:v>
      </x:c>
      <x:c r="R24" s="207" t="str"/>
      <x:c r="S24" s="207" t="str"/>
      <x:c r="T24" s="207" t="str"/>
      <x:c r="U24" s="207" t="n">
        <x:v>0</x:v>
      </x:c>
      <x:c r="V24" s="208" t="n">
        <x:f>MAX(0,M24-U24)</x:f>
        <x:v>3</x:v>
      </x:c>
      <x:c r="W24" s="209" t="n">
        <x:f>IFERROR(U24/M24,0)</x:f>
        <x:v>0</x:v>
      </x:c>
      <x:c r="X24" s="201" t="str">
        <x:f>IF(U24=0,"Não iniciado",IF(U24&gt;=M24,"Concluído","Parcial"))</x:f>
        <x:v>Não iniciado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26747</x:v>
      </x:c>
      <x:c r="C25" s="218" t="str">
        <x:v>13</x:v>
      </x:c>
      <x:c r="D25" s="218" t="str">
        <x:v>609029</x:v>
      </x:c>
      <x:c r="E25" s="218" t="str">
        <x:v>919766</x:v>
      </x:c>
      <x:c r="F25" s="218" t="str">
        <x:v>BATENTE</x:v>
      </x:c>
      <x:c r="G25" s="184" t="str">
        <x:v>2130x150x30 S/REB R2L R1 PET BRC (UL)</x:v>
      </x:c>
      <x:c r="H25" s="184" t="str">
        <x:v>MDF ULTRA</x:v>
      </x:c>
      <x:c r="I25" s="184" t="str">
        <x:v>S/CANAL</x:v>
      </x:c>
      <x:c r="J25" s="184" t="str">
        <x:v>S/REB</x:v>
      </x:c>
      <x:c r="K25" s="184" t="str">
        <x:v>RECOBERTO PET</x:v>
      </x:c>
      <x:c r="L25" s="184" t="str">
        <x:v>BRANCO CARRARA</x:v>
      </x:c>
      <x:c r="M25" s="205" t="n">
        <x:v>2</x:v>
      </x:c>
      <x:c r="N25" s="205" t="n">
        <x:v>2130</x:v>
      </x:c>
      <x:c r="O25" s="205" t="n">
        <x:v>150</x:v>
      </x:c>
      <x:c r="P25" s="205" t="n">
        <x:v>30</x:v>
      </x:c>
      <x:c r="Q25" s="206" t="n">
        <x:v>0</x:v>
      </x:c>
      <x:c r="R25" s="207" t="str"/>
      <x:c r="S25" s="207" t="str"/>
      <x:c r="T25" s="207" t="str"/>
      <x:c r="U25" s="207" t="n">
        <x:v>0</x:v>
      </x:c>
      <x:c r="V25" s="208" t="n">
        <x:f>MAX(0,M25-U25)</x:f>
        <x:v>2</x:v>
      </x:c>
      <x:c r="W25" s="209" t="n">
        <x:f>IFERROR(U25/M25,0)</x:f>
        <x:v>0</x:v>
      </x:c>
      <x:c r="X25" s="201" t="str">
        <x:f>IF(U25=0,"Não iniciado",IF(U25&gt;=M25,"Concluído","Parcial"))</x:f>
        <x:v>Não iniciado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26684</x:v>
      </x:c>
      <x:c r="C26" s="220" t="str">
        <x:v>7</x:v>
      </x:c>
      <x:c r="D26" s="220" t="str">
        <x:v>609159</x:v>
      </x:c>
      <x:c r="E26" s="220" t="str">
        <x:v>966820</x:v>
      </x:c>
      <x:c r="F26" s="220" t="str">
        <x:v>BATENTE</x:v>
      </x:c>
      <x:c r="G26" s="190" t="str">
        <x:v>2110x150x30 42x10R2L R1BIA PET STD PRM U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2</x:v>
      </x:c>
      <x:c r="N26" s="210" t="n">
        <x:v>2110</x:v>
      </x:c>
      <x:c r="O26" s="210" t="n">
        <x:v>150</x:v>
      </x:c>
      <x:c r="P26" s="210" t="n">
        <x:v>30</x:v>
      </x:c>
      <x:c r="Q26" s="211" t="n">
        <x:v>0</x:v>
      </x:c>
      <x:c r="R26" s="207" t="str"/>
      <x:c r="S26" s="207" t="str"/>
      <x:c r="T26" s="207" t="str"/>
      <x:c r="U26" s="207" t="n">
        <x:v>0</x:v>
      </x:c>
      <x:c r="V26" s="208" t="n">
        <x:f>MAX(0,M26-U26)</x:f>
        <x:v>2</x:v>
      </x:c>
      <x:c r="W26" s="209" t="n">
        <x:f>IFERROR(U26/M26,0)</x:f>
        <x:v>0</x:v>
      </x:c>
      <x:c r="X26" s="201" t="str">
        <x:f>IF(U26=0,"Não iniciado",IF(U26&gt;=M26,"Concluído","Parcial"))</x:f>
        <x:v>Não iniciado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26739</x:v>
      </x:c>
      <x:c r="C27" s="218" t="str">
        <x:v>12</x:v>
      </x:c>
      <x:c r="D27" s="218" t="str">
        <x:v>609671</x:v>
      </x:c>
      <x:c r="E27" s="218" t="str">
        <x:v>675612</x:v>
      </x:c>
      <x:c r="F27" s="218" t="str">
        <x:v>BATENTE</x:v>
      </x:c>
      <x:c r="G27" s="184" t="str">
        <x:v>2110x150x30 42x10 R2 RT BIA PET BC U(UL)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2</x:v>
      </x:c>
      <x:c r="N27" s="205" t="n">
        <x:v>2110</x:v>
      </x:c>
      <x:c r="O27" s="205" t="n">
        <x:v>150</x:v>
      </x:c>
      <x:c r="P27" s="205" t="n">
        <x:v>30</x:v>
      </x:c>
      <x:c r="Q27" s="206" t="n">
        <x:v>0</x:v>
      </x:c>
      <x:c r="R27" s="207" t="str"/>
      <x:c r="S27" s="207" t="str"/>
      <x:c r="T27" s="207" t="str"/>
      <x:c r="U27" s="207" t="n">
        <x:v>0</x:v>
      </x:c>
      <x:c r="V27" s="208" t="n">
        <x:f>MAX(0,M27-U27)</x:f>
        <x:v>2</x:v>
      </x:c>
      <x:c r="W27" s="209" t="n">
        <x:f>IFERROR(U27/M27,0)</x:f>
        <x:v>0</x:v>
      </x:c>
      <x:c r="X27" s="201" t="str">
        <x:f>IF(U27=0,"Não iniciado",IF(U27&gt;=M27,"Concluído","Parcial"))</x:f>
        <x:v>Não iniciado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26739</x:v>
      </x:c>
      <x:c r="C28" s="220" t="str">
        <x:v>21</x:v>
      </x:c>
      <x:c r="D28" s="220" t="str">
        <x:v>609726</x:v>
      </x:c>
      <x:c r="E28" s="220" t="str">
        <x:v>675612</x:v>
      </x:c>
      <x:c r="F28" s="220" t="str">
        <x:v>BATENTE</x:v>
      </x:c>
      <x:c r="G28" s="190" t="str">
        <x:v>2110x150x30 42x10 R2 RT BIA PET BC U(UL)</x:v>
      </x:c>
      <x:c r="H28" s="190" t="str"/>
      <x:c r="I28" s="190" t="str"/>
      <x:c r="J28" s="190" t="str"/>
      <x:c r="K28" s="190" t="str">
        <x:v>ESMALTE</x:v>
      </x:c>
      <x:c r="L28" s="190" t="str">
        <x:v>BRANCO CARRARA</x:v>
      </x:c>
      <x:c r="M28" s="210" t="n">
        <x:v>20</x:v>
      </x:c>
      <x:c r="N28" s="210" t="n">
        <x:v>2110</x:v>
      </x:c>
      <x:c r="O28" s="210" t="n">
        <x:v>150</x:v>
      </x:c>
      <x:c r="P28" s="210" t="n">
        <x:v>30</x:v>
      </x:c>
      <x:c r="Q28" s="211" t="n">
        <x:v>0</x:v>
      </x:c>
      <x:c r="R28" s="207" t="str"/>
      <x:c r="S28" s="207" t="str"/>
      <x:c r="T28" s="207" t="str"/>
      <x:c r="U28" s="207" t="n">
        <x:v>0</x:v>
      </x:c>
      <x:c r="V28" s="208" t="n">
        <x:f>MAX(0,M28-U28)</x:f>
        <x:v>20</x:v>
      </x:c>
      <x:c r="W28" s="209" t="n">
        <x:f>IFERROR(U28/M28,0)</x:f>
        <x:v>0</x:v>
      </x:c>
      <x:c r="X28" s="201" t="str">
        <x:f>IF(U28=0,"Não iniciado",IF(U28&gt;=M28,"Concluído","Parcial"))</x:f>
        <x:v>Não iniciado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26744</x:v>
      </x:c>
      <x:c r="C29" s="218" t="str">
        <x:v>3</x:v>
      </x:c>
      <x:c r="D29" s="218" t="str">
        <x:v>610005</x:v>
      </x:c>
      <x:c r="E29" s="218" t="str">
        <x:v>674641</x:v>
      </x:c>
      <x:c r="F29" s="218" t="str">
        <x:v>BATENTE</x:v>
      </x:c>
      <x:c r="G29" s="184" t="str">
        <x:v>2110x150x30 42x10 R2 BIA PET B U PREM</x:v>
      </x:c>
      <x:c r="H29" s="184" t="str"/>
      <x:c r="I29" s="184" t="str"/>
      <x:c r="J29" s="184" t="str"/>
      <x:c r="K29" s="184" t="str">
        <x:v>RECOBERTO PET</x:v>
      </x:c>
      <x:c r="L29" s="184" t="str">
        <x:v>BRANCO CARRARA</x:v>
      </x:c>
      <x:c r="M29" s="205" t="n">
        <x:v>2</x:v>
      </x:c>
      <x:c r="N29" s="205" t="n">
        <x:v>2110</x:v>
      </x:c>
      <x:c r="O29" s="205" t="n">
        <x:v>150</x:v>
      </x:c>
      <x:c r="P29" s="205" t="n">
        <x:v>30</x:v>
      </x:c>
      <x:c r="Q29" s="206" t="n">
        <x:v>0</x:v>
      </x:c>
      <x:c r="R29" s="207" t="str"/>
      <x:c r="S29" s="207" t="str"/>
      <x:c r="T29" s="207" t="str"/>
      <x:c r="U29" s="207" t="n">
        <x:v>0</x:v>
      </x:c>
      <x:c r="V29" s="208" t="n">
        <x:f>MAX(0,M29-U29)</x:f>
        <x:v>2</x:v>
      </x:c>
      <x:c r="W29" s="209" t="n">
        <x:f>IFERROR(U29/M29,0)</x:f>
        <x:v>0</x:v>
      </x:c>
      <x:c r="X29" s="201" t="str">
        <x:f>IF(U29=0,"Não iniciado",IF(U29&gt;=M29,"Concluído","Parcial"))</x:f>
        <x:v>Não iniciado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26750</x:v>
      </x:c>
      <x:c r="C30" s="220" t="str">
        <x:v>10</x:v>
      </x:c>
      <x:c r="D30" s="220" t="str">
        <x:v>609805</x:v>
      </x:c>
      <x:c r="E30" s="220" t="str">
        <x:v>957273</x:v>
      </x:c>
      <x:c r="F30" s="220" t="str">
        <x:v>BATENTE</x:v>
      </x:c>
      <x:c r="G30" s="190" t="str">
        <x:v>2110x150x30 42x10 R2 RTO BIA PET BC U UL</x:v>
      </x:c>
      <x:c r="H30" s="190" t="str"/>
      <x:c r="I30" s="190" t="str"/>
      <x:c r="J30" s="190" t="str"/>
      <x:c r="K30" s="190" t="str">
        <x:v>ESMALTE</x:v>
      </x:c>
      <x:c r="L30" s="190" t="str">
        <x:v>BRANCO CARRARA</x:v>
      </x:c>
      <x:c r="M30" s="210" t="n">
        <x:v>4</x:v>
      </x:c>
      <x:c r="N30" s="210" t="n">
        <x:v>2110</x:v>
      </x:c>
      <x:c r="O30" s="210" t="n">
        <x:v>150</x:v>
      </x:c>
      <x:c r="P30" s="210" t="n">
        <x:v>30</x:v>
      </x:c>
      <x:c r="Q30" s="211" t="n">
        <x:v>0</x:v>
      </x:c>
      <x:c r="R30" s="207" t="str"/>
      <x:c r="S30" s="207" t="str"/>
      <x:c r="T30" s="207" t="str"/>
      <x:c r="U30" s="207" t="n">
        <x:v>0</x:v>
      </x:c>
      <x:c r="V30" s="208" t="n">
        <x:f>MAX(0,M30-U30)</x:f>
        <x:v>4</x:v>
      </x:c>
      <x:c r="W30" s="209" t="n">
        <x:f>IFERROR(U30/M30,0)</x:f>
        <x:v>0</x:v>
      </x:c>
      <x:c r="X30" s="201" t="str">
        <x:f>IF(U30=0,"Não iniciado",IF(U30&gt;=M30,"Concluído","Parcial"))</x:f>
        <x:v>Não iniciado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26750</x:v>
      </x:c>
      <x:c r="C31" s="218" t="str">
        <x:v>15</x:v>
      </x:c>
      <x:c r="D31" s="218" t="str">
        <x:v>609844</x:v>
      </x:c>
      <x:c r="E31" s="218" t="str">
        <x:v>675612</x:v>
      </x:c>
      <x:c r="F31" s="218" t="str">
        <x:v>BATENTE</x:v>
      </x:c>
      <x:c r="G31" s="184" t="str">
        <x:v>2110x150x30 42x10 R2 RT BIA PET BC U(UL)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8</x:v>
      </x:c>
      <x:c r="N31" s="205" t="n">
        <x:v>2110</x:v>
      </x:c>
      <x:c r="O31" s="205" t="n">
        <x:v>150</x:v>
      </x:c>
      <x:c r="P31" s="205" t="n">
        <x:v>30</x:v>
      </x:c>
      <x:c r="Q31" s="206" t="n">
        <x:v>0</x:v>
      </x:c>
      <x:c r="R31" s="207" t="str"/>
      <x:c r="S31" s="207" t="str"/>
      <x:c r="T31" s="207" t="str"/>
      <x:c r="U31" s="207" t="n">
        <x:v>0</x:v>
      </x:c>
      <x:c r="V31" s="208" t="n">
        <x:f>MAX(0,M31-U31)</x:f>
        <x:v>8</x:v>
      </x:c>
      <x:c r="W31" s="209" t="n">
        <x:f>IFERROR(U31/M31,0)</x:f>
        <x:v>0</x:v>
      </x:c>
      <x:c r="X31" s="201" t="str">
        <x:f>IF(U31=0,"Não iniciado",IF(U31&gt;=M31,"Concluído","Parcial"))</x:f>
        <x:v>Não iniciado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26750</x:v>
      </x:c>
      <x:c r="C32" s="220" t="str">
        <x:v>24</x:v>
      </x:c>
      <x:c r="D32" s="220" t="str">
        <x:v>609899</x:v>
      </x:c>
      <x:c r="E32" s="220" t="str">
        <x:v>675612</x:v>
      </x:c>
      <x:c r="F32" s="220" t="str">
        <x:v>BATENTE</x:v>
      </x:c>
      <x:c r="G32" s="190" t="str">
        <x:v>2110x150x30 42x10 R2 RT BIA PET BC U(UL)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20</x:v>
      </x:c>
      <x:c r="N32" s="210" t="n">
        <x:v>2110</x:v>
      </x:c>
      <x:c r="O32" s="210" t="n">
        <x:v>150</x:v>
      </x:c>
      <x:c r="P32" s="210" t="n">
        <x:v>30</x:v>
      </x:c>
      <x:c r="Q32" s="211" t="n">
        <x:v>0</x:v>
      </x:c>
      <x:c r="R32" s="207" t="str"/>
      <x:c r="S32" s="207" t="str"/>
      <x:c r="T32" s="207" t="str"/>
      <x:c r="U32" s="207" t="n">
        <x:v>0</x:v>
      </x:c>
      <x:c r="V32" s="208" t="n">
        <x:f>MAX(0,M32-U32)</x:f>
        <x:v>20</x:v>
      </x:c>
      <x:c r="W32" s="209" t="n">
        <x:f>IFERROR(U32/M32,0)</x:f>
        <x:v>0</x:v>
      </x:c>
      <x:c r="X32" s="201" t="str">
        <x:f>IF(U32=0,"Não iniciado",IF(U32&gt;=M32,"Concluído","Parcial"))</x:f>
        <x:v>Não iniciado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26747</x:v>
      </x:c>
      <x:c r="C33" s="218" t="str">
        <x:v>2</x:v>
      </x:c>
      <x:c r="D33" s="218" t="str">
        <x:v>608999</x:v>
      </x:c>
      <x:c r="E33" s="218" t="str">
        <x:v>957273</x:v>
      </x:c>
      <x:c r="F33" s="218" t="str">
        <x:v>BATENTE</x:v>
      </x:c>
      <x:c r="G33" s="184" t="str">
        <x:v>2110x150x30 42x10 R2 RTO BIA PET BC U UL</x:v>
      </x:c>
      <x:c r="H33" s="184" t="str">
        <x:v>MDF ULTRA</x:v>
      </x:c>
      <x:c r="I33" s="184" t="str">
        <x:v>C/BORRACHA I APLICADA</x:v>
      </x:c>
      <x:c r="J33" s="184" t="str">
        <x:v>C/REB 42X10</x:v>
      </x:c>
      <x:c r="K33" s="184" t="str">
        <x:v>RECOBERTO PET</x:v>
      </x:c>
      <x:c r="L33" s="184" t="str">
        <x:v>BRANCO CARRARA</x:v>
      </x:c>
      <x:c r="M33" s="205" t="n">
        <x:v>2</x:v>
      </x:c>
      <x:c r="N33" s="205" t="n">
        <x:v>2110</x:v>
      </x:c>
      <x:c r="O33" s="205" t="n">
        <x:v>150</x:v>
      </x:c>
      <x:c r="P33" s="205" t="n">
        <x:v>30</x:v>
      </x:c>
      <x:c r="Q33" s="206" t="n">
        <x:v>0</x:v>
      </x:c>
      <x:c r="R33" s="207" t="str"/>
      <x:c r="S33" s="207" t="str"/>
      <x:c r="T33" s="207" t="str"/>
      <x:c r="U33" s="207" t="n">
        <x:v>0</x:v>
      </x:c>
      <x:c r="V33" s="208" t="n">
        <x:f>MAX(0,M33-U33)</x:f>
        <x:v>2</x:v>
      </x:c>
      <x:c r="W33" s="209" t="n">
        <x:f>IFERROR(U33/M33,0)</x:f>
        <x:v>0</x:v>
      </x:c>
      <x:c r="X33" s="201" t="str">
        <x:f>IF(U33=0,"Não iniciado",IF(U33&gt;=M33,"Concluído","Parcial"))</x:f>
        <x:v>Não iniciado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26747</x:v>
      </x:c>
      <x:c r="C34" s="220" t="str">
        <x:v>5</x:v>
      </x:c>
      <x:c r="D34" s="220" t="str">
        <x:v>609008</x:v>
      </x:c>
      <x:c r="E34" s="220" t="str">
        <x:v>957273</x:v>
      </x:c>
      <x:c r="F34" s="220" t="str">
        <x:v>BATENTE</x:v>
      </x:c>
      <x:c r="G34" s="190" t="str">
        <x:v>2110x150x30 42x10 R2 RTO BIA PET BC U UL</x:v>
      </x:c>
      <x:c r="H34" s="190" t="str">
        <x:v>MDF ULTRA</x:v>
      </x:c>
      <x:c r="I34" s="190" t="str">
        <x:v>C/BORRACHA I APLICADA</x:v>
      </x:c>
      <x:c r="J34" s="190" t="str">
        <x:v>C/REB 42X10</x:v>
      </x:c>
      <x:c r="K34" s="190" t="str">
        <x:v>RECOBERTO PET</x:v>
      </x:c>
      <x:c r="L34" s="190" t="str">
        <x:v>BRANCO CARRARA</x:v>
      </x:c>
      <x:c r="M34" s="210" t="n">
        <x:v>2</x:v>
      </x:c>
      <x:c r="N34" s="210" t="n">
        <x:v>2110</x:v>
      </x:c>
      <x:c r="O34" s="210" t="n">
        <x:v>150</x:v>
      </x:c>
      <x:c r="P34" s="210" t="n">
        <x:v>30</x:v>
      </x:c>
      <x:c r="Q34" s="211" t="n">
        <x:v>0</x:v>
      </x:c>
      <x:c r="R34" s="207" t="str"/>
      <x:c r="S34" s="207" t="str"/>
      <x:c r="T34" s="207" t="str"/>
      <x:c r="U34" s="207" t="n">
        <x:v>0</x:v>
      </x:c>
      <x:c r="V34" s="208" t="n">
        <x:f>MAX(0,M34-U34)</x:f>
        <x:v>2</x:v>
      </x:c>
      <x:c r="W34" s="209" t="n">
        <x:f>IFERROR(U34/M34,0)</x:f>
        <x:v>0</x:v>
      </x:c>
      <x:c r="X34" s="201" t="str">
        <x:f>IF(U34=0,"Não iniciado",IF(U34&gt;=M34,"Concluído","Parcial"))</x:f>
        <x:v>Não iniciado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26809</x:v>
      </x:c>
      <x:c r="C35" s="218" t="str">
        <x:v>5</x:v>
      </x:c>
      <x:c r="D35" s="218" t="str">
        <x:v>609938</x:v>
      </x:c>
      <x:c r="E35" s="218" t="str">
        <x:v>2010700624</x:v>
      </x:c>
      <x:c r="F35" s="218" t="str">
        <x:v>BATENTE</x:v>
      </x:c>
      <x:c r="G35" s="184" t="str">
        <x:v>M ULTRA PET CAP M 2110X150X30 42X10 R2L</x:v>
      </x:c>
      <x:c r="H35" s="184" t="str">
        <x:v>MDF ULTRA</x:v>
      </x:c>
      <x:c r="I35" s="184" t="str">
        <x:v>C/BORRACHA I APLICADA</x:v>
      </x:c>
      <x:c r="J35" s="184" t="str">
        <x:v>C/REB 42X10</x:v>
      </x:c>
      <x:c r="K35" s="184" t="str">
        <x:v>RECOBERTO PET</x:v>
      </x:c>
      <x:c r="L35" s="184" t="str">
        <x:v>CAPUCCINO MARCHE</x:v>
      </x:c>
      <x:c r="M35" s="205" t="n">
        <x:v>2</x:v>
      </x:c>
      <x:c r="N35" s="205" t="n">
        <x:v>2110</x:v>
      </x:c>
      <x:c r="O35" s="205" t="n">
        <x:v>150</x:v>
      </x:c>
      <x:c r="P35" s="205" t="n">
        <x:v>30</x:v>
      </x:c>
      <x:c r="Q35" s="206" t="n">
        <x:v>0.019</x:v>
      </x:c>
      <x:c r="R35" s="207" t="str"/>
      <x:c r="S35" s="207" t="str"/>
      <x:c r="T35" s="207" t="str"/>
      <x:c r="U35" s="207" t="n">
        <x:v>0</x:v>
      </x:c>
      <x:c r="V35" s="208" t="n">
        <x:f>MAX(0,M35-U35)</x:f>
        <x:v>2</x:v>
      </x:c>
      <x:c r="W35" s="209" t="n">
        <x:f>IFERROR(U35/M35,0)</x:f>
        <x:v>0</x:v>
      </x:c>
      <x:c r="X35" s="201" t="str">
        <x:f>IF(U35=0,"Não iniciado",IF(U35&gt;=M35,"Concluído","Parcial"))</x:f>
        <x:v>Não iniciado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26792</x:v>
      </x:c>
      <x:c r="C36" s="220" t="str">
        <x:v>5</x:v>
      </x:c>
      <x:c r="D36" s="220" t="str">
        <x:v>609455</x:v>
      </x:c>
      <x:c r="E36" s="220" t="str">
        <x:v>2010600115</x:v>
      </x:c>
      <x:c r="F36" s="220" t="str">
        <x:v>OUTROS</x:v>
      </x:c>
      <x:c r="G36" s="190" t="str">
        <x:v>M P MDF STD PET TXT BCO 2110X150X30 42X1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108</x:v>
      </x:c>
      <x:c r="N36" s="210" t="n">
        <x:v>2110</x:v>
      </x:c>
      <x:c r="O36" s="210" t="n">
        <x:v>150</x:v>
      </x:c>
      <x:c r="P36" s="210" t="n">
        <x:v>30</x:v>
      </x:c>
      <x:c r="Q36" s="211" t="n">
        <x:v>1.025</x:v>
      </x:c>
      <x:c r="R36" s="207" t="str"/>
      <x:c r="S36" s="207" t="str"/>
      <x:c r="T36" s="207" t="str"/>
      <x:c r="U36" s="207" t="n">
        <x:v>0</x:v>
      </x:c>
      <x:c r="V36" s="208" t="n">
        <x:f>MAX(0,M36-U36)</x:f>
        <x:v>108</x:v>
      </x:c>
      <x:c r="W36" s="209" t="n">
        <x:f>IFERROR(U36/M36,0)</x:f>
        <x:v>0</x:v>
      </x:c>
      <x:c r="X36" s="201" t="str">
        <x:f>IF(U36=0,"Não iniciado",IF(U36&gt;=M36,"Concluído","Parcial"))</x:f>
        <x:v>Não iniciado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26792</x:v>
      </x:c>
      <x:c r="C37" s="218" t="str">
        <x:v>6</x:v>
      </x:c>
      <x:c r="D37" s="218" t="str">
        <x:v>609472</x:v>
      </x:c>
      <x:c r="E37" s="218" t="str">
        <x:v>2010600115</x:v>
      </x:c>
      <x:c r="F37" s="218" t="str">
        <x:v>OUTROS</x:v>
      </x:c>
      <x:c r="G37" s="184" t="str">
        <x:v>M P MDF STD PET TXT BCO 2110X150X30 42X1</x:v>
      </x:c>
      <x:c r="H37" s="184" t="str"/>
      <x:c r="I37" s="184" t="str"/>
      <x:c r="J37" s="184" t="str"/>
      <x:c r="K37" s="184" t="str">
        <x:v>ESMALTE</x:v>
      </x:c>
      <x:c r="L37" s="184" t="str">
        <x:v>BRANCO CARRARA</x:v>
      </x:c>
      <x:c r="M37" s="205" t="n">
        <x:v>20</x:v>
      </x:c>
      <x:c r="N37" s="205" t="n">
        <x:v>2110</x:v>
      </x:c>
      <x:c r="O37" s="205" t="n">
        <x:v>150</x:v>
      </x:c>
      <x:c r="P37" s="205" t="n">
        <x:v>30</x:v>
      </x:c>
      <x:c r="Q37" s="206" t="n">
        <x:v>0.19</x:v>
      </x:c>
      <x:c r="R37" s="207" t="str"/>
      <x:c r="S37" s="207" t="str"/>
      <x:c r="T37" s="207" t="str"/>
      <x:c r="U37" s="207" t="n">
        <x:v>0</x:v>
      </x:c>
      <x:c r="V37" s="208" t="n">
        <x:f>MAX(0,M37-U37)</x:f>
        <x:v>20</x:v>
      </x:c>
      <x:c r="W37" s="209" t="n">
        <x:f>IFERROR(U37/M37,0)</x:f>
        <x:v>0</x:v>
      </x:c>
      <x:c r="X37" s="201" t="str">
        <x:f>IF(U37=0,"Não iniciado",IF(U37&gt;=M37,"Concluído","Parcial"))</x:f>
        <x:v>Não iniciado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26815</x:v>
      </x:c>
      <x:c r="C38" s="220" t="str">
        <x:v>6</x:v>
      </x:c>
      <x:c r="D38" s="220" t="str">
        <x:v>609550</x:v>
      </x:c>
      <x:c r="E38" s="220" t="str">
        <x:v>2010600115</x:v>
      </x:c>
      <x:c r="F38" s="220" t="str">
        <x:v>OUTROS</x:v>
      </x:c>
      <x:c r="G38" s="190" t="str">
        <x:v>M P MDF STD PET TXT BCO 2110X150X30 42X1</x:v>
      </x:c>
      <x:c r="H38" s="190" t="str"/>
      <x:c r="I38" s="190" t="str"/>
      <x:c r="J38" s="190" t="str"/>
      <x:c r="K38" s="190" t="str">
        <x:v>ESMALTE</x:v>
      </x:c>
      <x:c r="L38" s="190" t="str">
        <x:v>BRANCO CARRARA</x:v>
      </x:c>
      <x:c r="M38" s="210" t="n">
        <x:v>54</x:v>
      </x:c>
      <x:c r="N38" s="210" t="n">
        <x:v>2110</x:v>
      </x:c>
      <x:c r="O38" s="210" t="n">
        <x:v>150</x:v>
      </x:c>
      <x:c r="P38" s="210" t="n">
        <x:v>30</x:v>
      </x:c>
      <x:c r="Q38" s="211" t="n">
        <x:v>0.513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54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26815</x:v>
      </x:c>
      <x:c r="C39" s="218" t="str">
        <x:v>7</x:v>
      </x:c>
      <x:c r="D39" s="218" t="str">
        <x:v>609567</x:v>
      </x:c>
      <x:c r="E39" s="218" t="str">
        <x:v>2010600115</x:v>
      </x:c>
      <x:c r="F39" s="218" t="str">
        <x:v>OUTROS</x:v>
      </x:c>
      <x:c r="G39" s="184" t="str">
        <x:v>M P MDF STD PET TXT BCO 2110X150X30 42X1</x:v>
      </x:c>
      <x:c r="H39" s="184" t="str"/>
      <x:c r="I39" s="184" t="str"/>
      <x:c r="J39" s="184" t="str"/>
      <x:c r="K39" s="184" t="str">
        <x:v>ESMALTE</x:v>
      </x:c>
      <x:c r="L39" s="184" t="str">
        <x:v>BRANCO CARRARA</x:v>
      </x:c>
      <x:c r="M39" s="205" t="n">
        <x:v>10</x:v>
      </x:c>
      <x:c r="N39" s="205" t="n">
        <x:v>2110</x:v>
      </x:c>
      <x:c r="O39" s="205" t="n">
        <x:v>150</x:v>
      </x:c>
      <x:c r="P39" s="205" t="n">
        <x:v>30</x:v>
      </x:c>
      <x:c r="Q39" s="206" t="n">
        <x:v>0.095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10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26747</x:v>
      </x:c>
      <x:c r="C40" s="220" t="str">
        <x:v>13</x:v>
      </x:c>
      <x:c r="D40" s="220" t="str">
        <x:v>609030</x:v>
      </x:c>
      <x:c r="E40" s="220" t="str">
        <x:v>964082</x:v>
      </x:c>
      <x:c r="F40" s="220" t="str">
        <x:v>BATENTE</x:v>
      </x:c>
      <x:c r="G40" s="190" t="str">
        <x:v>1000x150x30 S/REB R1L RTo PET BC (UL)</x:v>
      </x:c>
      <x:c r="H40" s="190" t="str">
        <x:v>MDF ULTRA</x:v>
      </x:c>
      <x:c r="I40" s="190" t="str">
        <x:v>S/CANAL</x:v>
      </x:c>
      <x:c r="J40" s="190" t="str">
        <x:v>S/REB</x:v>
      </x:c>
      <x:c r="K40" s="190" t="str">
        <x:v>RECOBERTO PET</x:v>
      </x:c>
      <x:c r="L40" s="190" t="str">
        <x:v>BRANCO CARRARA</x:v>
      </x:c>
      <x:c r="M40" s="210" t="n">
        <x:v>1</x:v>
      </x:c>
      <x:c r="N40" s="210" t="n">
        <x:v>1000</x:v>
      </x:c>
      <x:c r="O40" s="210" t="n">
        <x:v>150</x:v>
      </x:c>
      <x:c r="P40" s="210" t="n">
        <x:v>30</x:v>
      </x:c>
      <x:c r="Q40" s="211" t="n">
        <x:v>0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1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26792</x:v>
      </x:c>
      <x:c r="C41" s="218" t="str">
        <x:v>5</x:v>
      </x:c>
      <x:c r="D41" s="218" t="str">
        <x:v>609456</x:v>
      </x:c>
      <x:c r="E41" s="218" t="str">
        <x:v>2010600117</x:v>
      </x:c>
      <x:c r="F41" s="218" t="str">
        <x:v>BATENTE</x:v>
      </x:c>
      <x:c r="G41" s="184" t="str">
        <x:v>M T MDF STD PET TXT BCO 947X150X30 42X10</x:v>
      </x:c>
      <x:c r="H41" s="184" t="str"/>
      <x:c r="I41" s="184" t="str"/>
      <x:c r="J41" s="184" t="str"/>
      <x:c r="K41" s="184" t="str">
        <x:v>ESMALTE</x:v>
      </x:c>
      <x:c r="L41" s="184" t="str">
        <x:v>BRANCO CARRARA</x:v>
      </x:c>
      <x:c r="M41" s="205" t="n">
        <x:v>54</x:v>
      </x:c>
      <x:c r="N41" s="205" t="n">
        <x:v>947</x:v>
      </x:c>
      <x:c r="O41" s="205" t="n">
        <x:v>150</x:v>
      </x:c>
      <x:c r="P41" s="205" t="n">
        <x:v>30</x:v>
      </x:c>
      <x:c r="Q41" s="206" t="n">
        <x:v>0.23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54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26792</x:v>
      </x:c>
      <x:c r="C42" s="220" t="str">
        <x:v>6</x:v>
      </x:c>
      <x:c r="D42" s="220" t="str">
        <x:v>609473</x:v>
      </x:c>
      <x:c r="E42" s="220" t="str">
        <x:v>2010600117</x:v>
      </x:c>
      <x:c r="F42" s="220" t="str">
        <x:v>BATENTE</x:v>
      </x:c>
      <x:c r="G42" s="190" t="str">
        <x:v>M T MDF STD PET TXT BCO 947X150X30 42X10</x:v>
      </x:c>
      <x:c r="H42" s="190" t="str"/>
      <x:c r="I42" s="190" t="str"/>
      <x:c r="J42" s="190" t="str"/>
      <x:c r="K42" s="190" t="str">
        <x:v>ESMALTE</x:v>
      </x:c>
      <x:c r="L42" s="190" t="str">
        <x:v>BRANCO CARRARA</x:v>
      </x:c>
      <x:c r="M42" s="210" t="n">
        <x:v>10</x:v>
      </x:c>
      <x:c r="N42" s="210" t="n">
        <x:v>947</x:v>
      </x:c>
      <x:c r="O42" s="210" t="n">
        <x:v>150</x:v>
      </x:c>
      <x:c r="P42" s="210" t="n">
        <x:v>30</x:v>
      </x:c>
      <x:c r="Q42" s="211" t="n">
        <x:v>0.043</x:v>
      </x:c>
      <x:c r="R42" s="207" t="str"/>
      <x:c r="S42" s="207" t="str"/>
      <x:c r="T42" s="207" t="str"/>
      <x:c r="U42" s="207" t="n">
        <x:v>0</x:v>
      </x:c>
      <x:c r="V42" s="208" t="n">
        <x:f>MAX(0,M42-U42)</x:f>
        <x:v>10</x:v>
      </x:c>
      <x:c r="W42" s="209" t="n">
        <x:f>IFERROR(U42/M42,0)</x:f>
        <x:v>0</x:v>
      </x:c>
      <x:c r="X42" s="201" t="str">
        <x:f>IF(U42=0,"Não iniciado",IF(U42&gt;=M42,"Concluído","Parcial"))</x:f>
        <x:v>Não iniciado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26815</x:v>
      </x:c>
      <x:c r="C43" s="218" t="str">
        <x:v>6</x:v>
      </x:c>
      <x:c r="D43" s="218" t="str">
        <x:v>609551</x:v>
      </x:c>
      <x:c r="E43" s="218" t="str">
        <x:v>2010600117</x:v>
      </x:c>
      <x:c r="F43" s="218" t="str">
        <x:v>BATENTE</x:v>
      </x:c>
      <x:c r="G43" s="184" t="str">
        <x:v>M T MDF STD PET TXT BCO 947X150X30 42X10</x:v>
      </x:c>
      <x:c r="H43" s="184" t="str"/>
      <x:c r="I43" s="184" t="str"/>
      <x:c r="J43" s="184" t="str"/>
      <x:c r="K43" s="184" t="str">
        <x:v>ESMALTE</x:v>
      </x:c>
      <x:c r="L43" s="184" t="str">
        <x:v>BRANCO CARRARA</x:v>
      </x:c>
      <x:c r="M43" s="205" t="n">
        <x:v>27</x:v>
      </x:c>
      <x:c r="N43" s="205" t="n">
        <x:v>947</x:v>
      </x:c>
      <x:c r="O43" s="205" t="n">
        <x:v>150</x:v>
      </x:c>
      <x:c r="P43" s="205" t="n">
        <x:v>30</x:v>
      </x:c>
      <x:c r="Q43" s="206" t="n">
        <x:v>0.115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27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26815</x:v>
      </x:c>
      <x:c r="C44" s="220" t="str">
        <x:v>7</x:v>
      </x:c>
      <x:c r="D44" s="220" t="str">
        <x:v>609568</x:v>
      </x:c>
      <x:c r="E44" s="220" t="str">
        <x:v>2010600117</x:v>
      </x:c>
      <x:c r="F44" s="220" t="str">
        <x:v>BATENTE</x:v>
      </x:c>
      <x:c r="G44" s="190" t="str">
        <x:v>M T MDF STD PET TXT BCO 947X150X30 42X10</x:v>
      </x:c>
      <x:c r="H44" s="190" t="str"/>
      <x:c r="I44" s="190" t="str"/>
      <x:c r="J44" s="190" t="str"/>
      <x:c r="K44" s="190" t="str">
        <x:v>ESMALTE</x:v>
      </x:c>
      <x:c r="L44" s="190" t="str">
        <x:v>BRANCO CARRARA</x:v>
      </x:c>
      <x:c r="M44" s="210" t="n">
        <x:v>5</x:v>
      </x:c>
      <x:c r="N44" s="210" t="n">
        <x:v>947</x:v>
      </x:c>
      <x:c r="O44" s="210" t="n">
        <x:v>150</x:v>
      </x:c>
      <x:c r="P44" s="210" t="n">
        <x:v>30</x:v>
      </x:c>
      <x:c r="Q44" s="211" t="n">
        <x:v>0.021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5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26809</x:v>
      </x:c>
      <x:c r="C45" s="218" t="str">
        <x:v>5</x:v>
      </x:c>
      <x:c r="D45" s="218" t="str">
        <x:v>609939</x:v>
      </x:c>
      <x:c r="E45" s="218" t="str">
        <x:v>2010701235</x:v>
      </x:c>
      <x:c r="F45" s="218" t="str">
        <x:v>BATENTE</x:v>
      </x:c>
      <x:c r="G45" s="184" t="str">
        <x:v>M ULTRA PET CAP M 947X150X30 42X10 R2L M</x:v>
      </x:c>
      <x:c r="H45" s="184" t="str">
        <x:v>MDF ULTRA</x:v>
      </x:c>
      <x:c r="I45" s="184" t="str">
        <x:v>C/BORRACHA I APLICADA</x:v>
      </x:c>
      <x:c r="J45" s="184" t="str">
        <x:v>C/REB 42X10</x:v>
      </x:c>
      <x:c r="K45" s="184" t="str">
        <x:v>RECOBERTO PET</x:v>
      </x:c>
      <x:c r="L45" s="184" t="str">
        <x:v>CAPUCCINO MARCHE</x:v>
      </x:c>
      <x:c r="M45" s="205" t="n">
        <x:v>1</x:v>
      </x:c>
      <x:c r="N45" s="205" t="n">
        <x:v>947</x:v>
      </x:c>
      <x:c r="O45" s="205" t="n">
        <x:v>150</x:v>
      </x:c>
      <x:c r="P45" s="205" t="n">
        <x:v>30</x:v>
      </x:c>
      <x:c r="Q45" s="206" t="n">
        <x:v>0.004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1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26684</x:v>
      </x:c>
      <x:c r="C46" s="220" t="str">
        <x:v>7</x:v>
      </x:c>
      <x:c r="D46" s="220" t="str">
        <x:v>609160</x:v>
      </x:c>
      <x:c r="E46" s="220" t="str">
        <x:v>966823</x:v>
      </x:c>
      <x:c r="F46" s="220" t="str">
        <x:v>BATENTE</x:v>
      </x:c>
      <x:c r="G46" s="190" t="str">
        <x:v>867x150x30 42x10 R2L RT BIA PET STD PREM</x:v>
      </x:c>
      <x:c r="H46" s="190" t="str"/>
      <x:c r="I46" s="190" t="str"/>
      <x:c r="J46" s="190" t="str"/>
      <x:c r="K46" s="190" t="str">
        <x:v>ESMALTE</x:v>
      </x:c>
      <x:c r="L46" s="190" t="str">
        <x:v>BRANCO CARRARA</x:v>
      </x:c>
      <x:c r="M46" s="210" t="n">
        <x:v>1</x:v>
      </x:c>
      <x:c r="N46" s="210" t="n">
        <x:v>867</x:v>
      </x:c>
      <x:c r="O46" s="210" t="n">
        <x:v>150</x:v>
      </x:c>
      <x:c r="P46" s="210" t="n">
        <x:v>30</x:v>
      </x:c>
      <x:c r="Q46" s="211" t="n">
        <x:v>0</x:v>
      </x:c>
      <x:c r="R46" s="207" t="str"/>
      <x:c r="S46" s="207" t="str"/>
      <x:c r="T46" s="207" t="str"/>
      <x:c r="U46" s="207" t="n">
        <x:v>0</x:v>
      </x:c>
      <x:c r="V46" s="208" t="n">
        <x:f>MAX(0,M46-U46)</x:f>
        <x:v>1</x:v>
      </x:c>
      <x:c r="W46" s="209" t="n">
        <x:f>IFERROR(U46/M46,0)</x:f>
        <x:v>0</x:v>
      </x:c>
      <x:c r="X46" s="201" t="str">
        <x:f>IF(U46=0,"Não iniciado",IF(U46&gt;=M46,"Concluído","Parcial"))</x:f>
        <x:v>Não iniciado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26750</x:v>
      </x:c>
      <x:c r="C47" s="218" t="str">
        <x:v>10</x:v>
      </x:c>
      <x:c r="D47" s="218" t="str">
        <x:v>609809</x:v>
      </x:c>
      <x:c r="E47" s="218" t="str">
        <x:v>974320</x:v>
      </x:c>
      <x:c r="F47" s="218" t="str">
        <x:v>BATENTE</x:v>
      </x:c>
      <x:c r="G47" s="184" t="str">
        <x:v>867x150x30 42x10 R2L RTO BIA PET BCO ULT</x:v>
      </x:c>
      <x:c r="H47" s="184" t="str"/>
      <x:c r="I47" s="184" t="str"/>
      <x:c r="J47" s="184" t="str"/>
      <x:c r="K47" s="184" t="str">
        <x:v>ESMALTE</x:v>
      </x:c>
      <x:c r="L47" s="184" t="str">
        <x:v>BRANCO CARRARA</x:v>
      </x:c>
      <x:c r="M47" s="205" t="n">
        <x:v>2</x:v>
      </x:c>
      <x:c r="N47" s="205" t="n">
        <x:v>867</x:v>
      </x:c>
      <x:c r="O47" s="205" t="n">
        <x:v>150</x:v>
      </x:c>
      <x:c r="P47" s="205" t="n">
        <x:v>30</x:v>
      </x:c>
      <x:c r="Q47" s="206" t="n">
        <x:v>0.008</x:v>
      </x:c>
      <x:c r="R47" s="207" t="str"/>
      <x:c r="S47" s="207" t="str"/>
      <x:c r="T47" s="207" t="str"/>
      <x:c r="U47" s="207" t="n">
        <x:v>0</x:v>
      </x:c>
      <x:c r="V47" s="208" t="n">
        <x:f>MAX(0,M47-U47)</x:f>
        <x:v>2</x:v>
      </x:c>
      <x:c r="W47" s="209" t="n">
        <x:f>IFERROR(U47/M47,0)</x:f>
        <x:v>0</x:v>
      </x:c>
      <x:c r="X47" s="201" t="str">
        <x:f>IF(U47=0,"Não iniciado",IF(U47&gt;=M47,"Concluído","Parcial"))</x:f>
        <x:v>Não iniciado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26739</x:v>
      </x:c>
      <x:c r="C48" s="220" t="str">
        <x:v>12</x:v>
      </x:c>
      <x:c r="D48" s="220" t="str">
        <x:v>609675</x:v>
      </x:c>
      <x:c r="E48" s="220" t="str">
        <x:v>968128</x:v>
      </x:c>
      <x:c r="F48" s="220" t="str">
        <x:v>BATENTE</x:v>
      </x:c>
      <x:c r="G48" s="190" t="str">
        <x:v>767x150x30 42x10 R2L RTO BIA PET BCO ULT</x:v>
      </x:c>
      <x:c r="H48" s="190" t="str"/>
      <x:c r="I48" s="190" t="str"/>
      <x:c r="J48" s="190" t="str"/>
      <x:c r="K48" s="190" t="str">
        <x:v>ESMALTE</x:v>
      </x:c>
      <x:c r="L48" s="190" t="str">
        <x:v>BRANCO CARRARA</x:v>
      </x:c>
      <x:c r="M48" s="210" t="n">
        <x:v>1</x:v>
      </x:c>
      <x:c r="N48" s="210" t="n">
        <x:v>767</x:v>
      </x:c>
      <x:c r="O48" s="210" t="n">
        <x:v>150</x:v>
      </x:c>
      <x:c r="P48" s="210" t="n">
        <x:v>30</x:v>
      </x:c>
      <x:c r="Q48" s="211" t="n">
        <x:v>0.003</x:v>
      </x:c>
      <x:c r="R48" s="207" t="str"/>
      <x:c r="S48" s="207" t="str"/>
      <x:c r="T48" s="207" t="str"/>
      <x:c r="U48" s="207" t="n">
        <x:v>0</x:v>
      </x:c>
      <x:c r="V48" s="208" t="n">
        <x:f>MAX(0,M48-U48)</x:f>
        <x:v>1</x:v>
      </x:c>
      <x:c r="W48" s="209" t="n">
        <x:f>IFERROR(U48/M48,0)</x:f>
        <x:v>0</x:v>
      </x:c>
      <x:c r="X48" s="201" t="str">
        <x:f>IF(U48=0,"Não iniciado",IF(U48&gt;=M48,"Concluído","Parcial"))</x:f>
        <x:v>Não iniciado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26750</x:v>
      </x:c>
      <x:c r="C49" s="218" t="str">
        <x:v>15</x:v>
      </x:c>
      <x:c r="D49" s="218" t="str">
        <x:v>609848</x:v>
      </x:c>
      <x:c r="E49" s="218" t="str">
        <x:v>968128</x:v>
      </x:c>
      <x:c r="F49" s="218" t="str">
        <x:v>BATENTE</x:v>
      </x:c>
      <x:c r="G49" s="184" t="str">
        <x:v>767x150x30 42x10 R2L RTO BIA PET BCO ULT</x:v>
      </x:c>
      <x:c r="H49" s="184" t="str"/>
      <x:c r="I49" s="184" t="str"/>
      <x:c r="J49" s="184" t="str"/>
      <x:c r="K49" s="184" t="str">
        <x:v>ESMALTE</x:v>
      </x:c>
      <x:c r="L49" s="184" t="str">
        <x:v>BRANCO CARRARA</x:v>
      </x:c>
      <x:c r="M49" s="205" t="n">
        <x:v>4</x:v>
      </x:c>
      <x:c r="N49" s="205" t="n">
        <x:v>767</x:v>
      </x:c>
      <x:c r="O49" s="205" t="n">
        <x:v>150</x:v>
      </x:c>
      <x:c r="P49" s="205" t="n">
        <x:v>30</x:v>
      </x:c>
      <x:c r="Q49" s="206" t="n">
        <x:v>0.014</x:v>
      </x:c>
      <x:c r="R49" s="207" t="str"/>
      <x:c r="S49" s="207" t="str"/>
      <x:c r="T49" s="207" t="str"/>
      <x:c r="U49" s="207" t="n">
        <x:v>0</x:v>
      </x:c>
      <x:c r="V49" s="208" t="n">
        <x:f>MAX(0,M49-U49)</x:f>
        <x:v>4</x:v>
      </x:c>
      <x:c r="W49" s="209" t="n">
        <x:f>IFERROR(U49/M49,0)</x:f>
        <x:v>0</x:v>
      </x:c>
      <x:c r="X49" s="201" t="str">
        <x:f>IF(U49=0,"Não iniciado",IF(U49&gt;=M49,"Concluído","Parcial"))</x:f>
        <x:v>Não iniciado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26744</x:v>
      </x:c>
      <x:c r="C50" s="220" t="str">
        <x:v>3</x:v>
      </x:c>
      <x:c r="D50" s="220" t="str">
        <x:v>610006</x:v>
      </x:c>
      <x:c r="E50" s="220" t="str">
        <x:v>675666</x:v>
      </x:c>
      <x:c r="F50" s="220" t="str">
        <x:v>BATENTE</x:v>
      </x:c>
      <x:c r="G50" s="190" t="str">
        <x:v>747x150x30 42x10 R2 BIA R PET BCO PRM</x:v>
      </x:c>
      <x:c r="H50" s="190" t="str"/>
      <x:c r="I50" s="190" t="str"/>
      <x:c r="J50" s="190" t="str"/>
      <x:c r="K50" s="190" t="str">
        <x:v>RECOBERTO PET</x:v>
      </x:c>
      <x:c r="L50" s="190" t="str">
        <x:v>BRANCO CARRARA</x:v>
      </x:c>
      <x:c r="M50" s="210" t="n">
        <x:v>1</x:v>
      </x:c>
      <x:c r="N50" s="210" t="n">
        <x:v>747</x:v>
      </x:c>
      <x:c r="O50" s="210" t="n">
        <x:v>150</x:v>
      </x:c>
      <x:c r="P50" s="210" t="n">
        <x:v>30</x:v>
      </x:c>
      <x:c r="Q50" s="211" t="n">
        <x:v>0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1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26747</x:v>
      </x:c>
      <x:c r="C51" s="218" t="str">
        <x:v>5</x:v>
      </x:c>
      <x:c r="D51" s="218" t="str">
        <x:v>609009</x:v>
      </x:c>
      <x:c r="E51" s="218" t="str">
        <x:v>957281</x:v>
      </x:c>
      <x:c r="F51" s="218" t="str">
        <x:v>BATENTE</x:v>
      </x:c>
      <x:c r="G51" s="184" t="str">
        <x:v>747x150x30 42x10 R2L RTO BIA PET BCO ULT</x:v>
      </x:c>
      <x:c r="H51" s="184" t="str">
        <x:v>MDF ULTRA</x:v>
      </x:c>
      <x:c r="I51" s="184" t="str">
        <x:v>C/BORRACHA I APLICADA</x:v>
      </x:c>
      <x:c r="J51" s="184" t="str">
        <x:v>C/REB 42X10</x:v>
      </x:c>
      <x:c r="K51" s="184" t="str">
        <x:v>RECOBERTO PET</x:v>
      </x:c>
      <x:c r="L51" s="184" t="str">
        <x:v>BRANCO CARRARA</x:v>
      </x:c>
      <x:c r="M51" s="205" t="n">
        <x:v>1</x:v>
      </x:c>
      <x:c r="N51" s="205" t="n">
        <x:v>747</x:v>
      </x:c>
      <x:c r="O51" s="205" t="n">
        <x:v>150</x:v>
      </x:c>
      <x:c r="P51" s="205" t="n">
        <x:v>30</x:v>
      </x:c>
      <x:c r="Q51" s="206" t="n">
        <x:v>0</x:v>
      </x:c>
      <x:c r="R51" s="207" t="str"/>
      <x:c r="S51" s="207" t="str"/>
      <x:c r="T51" s="207" t="str"/>
      <x:c r="U51" s="207" t="n">
        <x:v>0</x:v>
      </x:c>
      <x:c r="V51" s="208" t="n">
        <x:f>MAX(0,M51-U51)</x:f>
        <x:v>1</x:v>
      </x:c>
      <x:c r="W51" s="209" t="n">
        <x:f>IFERROR(U51/M51,0)</x:f>
        <x:v>0</x:v>
      </x:c>
      <x:c r="X51" s="201" t="str">
        <x:f>IF(U51=0,"Não iniciado",IF(U51&gt;=M51,"Concluído","Parcial"))</x:f>
        <x:v>Não iniciado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26739</x:v>
      </x:c>
      <x:c r="C52" s="220" t="str">
        <x:v>21</x:v>
      </x:c>
      <x:c r="D52" s="220" t="str">
        <x:v>609728</x:v>
      </x:c>
      <x:c r="E52" s="220" t="str">
        <x:v>959621</x:v>
      </x:c>
      <x:c r="F52" s="220" t="str">
        <x:v>BATENTE</x:v>
      </x:c>
      <x:c r="G52" s="190" t="str">
        <x:v>667x150x30 42x10 R2L BIA PET BRC (UL)</x:v>
      </x:c>
      <x:c r="H52" s="190" t="str"/>
      <x:c r="I52" s="190" t="str"/>
      <x:c r="J52" s="190" t="str"/>
      <x:c r="K52" s="190" t="str">
        <x:v>ESMALTE</x:v>
      </x:c>
      <x:c r="L52" s="190" t="str">
        <x:v>BRANCO CARRARA</x:v>
      </x:c>
      <x:c r="M52" s="210" t="n">
        <x:v>10</x:v>
      </x:c>
      <x:c r="N52" s="210" t="n">
        <x:v>667</x:v>
      </x:c>
      <x:c r="O52" s="210" t="n">
        <x:v>150</x:v>
      </x:c>
      <x:c r="P52" s="210" t="n">
        <x:v>30</x:v>
      </x:c>
      <x:c r="Q52" s="211" t="n">
        <x:v>0</x:v>
      </x:c>
      <x:c r="R52" s="207" t="str"/>
      <x:c r="S52" s="207" t="str"/>
      <x:c r="T52" s="207" t="str"/>
      <x:c r="U52" s="207" t="n">
        <x:v>0</x:v>
      </x:c>
      <x:c r="V52" s="208" t="n">
        <x:f>MAX(0,M52-U52)</x:f>
        <x:v>10</x:v>
      </x:c>
      <x:c r="W52" s="209" t="n">
        <x:f>IFERROR(U52/M52,0)</x:f>
        <x:v>0</x:v>
      </x:c>
      <x:c r="X52" s="201" t="str">
        <x:f>IF(U52=0,"Não iniciado",IF(U52&gt;=M52,"Concluído","Parcial"))</x:f>
        <x:v>Não iniciado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26750</x:v>
      </x:c>
      <x:c r="C53" s="218" t="str">
        <x:v>24</x:v>
      </x:c>
      <x:c r="D53" s="218" t="str">
        <x:v>609901</x:v>
      </x:c>
      <x:c r="E53" s="218" t="str">
        <x:v>959621</x:v>
      </x:c>
      <x:c r="F53" s="218" t="str">
        <x:v>BATENTE</x:v>
      </x:c>
      <x:c r="G53" s="184" t="str">
        <x:v>667x150x30 42x10 R2L BIA PET BRC (UL)</x:v>
      </x:c>
      <x:c r="H53" s="184" t="str"/>
      <x:c r="I53" s="184" t="str"/>
      <x:c r="J53" s="184" t="str"/>
      <x:c r="K53" s="184" t="str">
        <x:v>ESMALTE</x:v>
      </x:c>
      <x:c r="L53" s="184" t="str">
        <x:v>BRANCO CARRARA</x:v>
      </x:c>
      <x:c r="M53" s="205" t="n">
        <x:v>10</x:v>
      </x:c>
      <x:c r="N53" s="205" t="n">
        <x:v>667</x:v>
      </x:c>
      <x:c r="O53" s="205" t="n">
        <x:v>150</x:v>
      </x:c>
      <x:c r="P53" s="205" t="n">
        <x:v>30</x:v>
      </x:c>
      <x:c r="Q53" s="206" t="n">
        <x:v>0</x:v>
      </x:c>
      <x:c r="R53" s="207" t="str"/>
      <x:c r="S53" s="207" t="str"/>
      <x:c r="T53" s="207" t="str"/>
      <x:c r="U53" s="207" t="n">
        <x:v>0</x:v>
      </x:c>
      <x:c r="V53" s="208" t="n">
        <x:f>MAX(0,M53-U53)</x:f>
        <x:v>10</x:v>
      </x:c>
      <x:c r="W53" s="209" t="n">
        <x:f>IFERROR(U53/M53,0)</x:f>
        <x:v>0</x:v>
      </x:c>
      <x:c r="X53" s="201" t="str">
        <x:f>IF(U53=0,"Não iniciado",IF(U53&gt;=M53,"Concluído","Parcial"))</x:f>
        <x:v>Não iniciado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26747</x:v>
      </x:c>
      <x:c r="C54" s="220" t="str">
        <x:v>2</x:v>
      </x:c>
      <x:c r="D54" s="220" t="str">
        <x:v>609000</x:v>
      </x:c>
      <x:c r="E54" s="220" t="str">
        <x:v>963858</x:v>
      </x:c>
      <x:c r="F54" s="220" t="str">
        <x:v>BATENTE</x:v>
      </x:c>
      <x:c r="G54" s="190" t="str">
        <x:v>647x150x30 42x10 R2L RTO BIA PET BCO ULT</x:v>
      </x:c>
      <x:c r="H54" s="190" t="str">
        <x:v>MDF ULTRA</x:v>
      </x:c>
      <x:c r="I54" s="190" t="str">
        <x:v>C/BORRACHA I APLICADA</x:v>
      </x:c>
      <x:c r="J54" s="190" t="str">
        <x:v>C/REB 42X10</x:v>
      </x:c>
      <x:c r="K54" s="190" t="str">
        <x:v>RECOBERTO PET</x:v>
      </x:c>
      <x:c r="L54" s="190" t="str">
        <x:v>BRANCO CARRARA</x:v>
      </x:c>
      <x:c r="M54" s="210" t="n">
        <x:v>1</x:v>
      </x:c>
      <x:c r="N54" s="210" t="n">
        <x:v>647</x:v>
      </x:c>
      <x:c r="O54" s="210" t="n">
        <x:v>150</x:v>
      </x:c>
      <x:c r="P54" s="210" t="n">
        <x:v>30</x:v>
      </x:c>
      <x:c r="Q54" s="211" t="n">
        <x:v>0</x:v>
      </x:c>
      <x:c r="R54" s="207" t="str"/>
      <x:c r="S54" s="207" t="str"/>
      <x:c r="T54" s="207" t="str"/>
      <x:c r="U54" s="207" t="n">
        <x:v>0</x:v>
      </x:c>
      <x:c r="V54" s="208" t="n">
        <x:f>MAX(0,M54-U54)</x:f>
        <x:v>1</x:v>
      </x:c>
      <x:c r="W54" s="209" t="n">
        <x:f>IFERROR(U54/M54,0)</x:f>
        <x:v>0</x:v>
      </x:c>
      <x:c r="X54" s="201" t="str">
        <x:f>IF(U54=0,"Não iniciado",IF(U54&gt;=M54,"Concluído","Parcial"))</x:f>
        <x:v>Não iniciado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26684</x:v>
      </x:c>
      <x:c r="C55" s="218" t="str">
        <x:v>6</x:v>
      </x:c>
      <x:c r="D55" s="218" t="str">
        <x:v>609151</x:v>
      </x:c>
      <x:c r="E55" s="218" t="str">
        <x:v>972552</x:v>
      </x:c>
      <x:c r="F55" s="218" t="str">
        <x:v>BATENTE</x:v>
      </x:c>
      <x:c r="G55" s="184" t="str">
        <x:v>2110x140x30 42x10R2L R1BIA PET STD PRM U</x:v>
      </x:c>
      <x:c r="H55" s="184" t="str"/>
      <x:c r="I55" s="184" t="str"/>
      <x:c r="J55" s="184" t="str"/>
      <x:c r="K55" s="184" t="str">
        <x:v>ESMALTE</x:v>
      </x:c>
      <x:c r="L55" s="184" t="str">
        <x:v>BRANCO CARRARA</x:v>
      </x:c>
      <x:c r="M55" s="205" t="n">
        <x:v>4</x:v>
      </x:c>
      <x:c r="N55" s="205" t="n">
        <x:v>2110</x:v>
      </x:c>
      <x:c r="O55" s="205" t="n">
        <x:v>140</x:v>
      </x:c>
      <x:c r="P55" s="205" t="n">
        <x:v>30</x:v>
      </x:c>
      <x:c r="Q55" s="206" t="n">
        <x:v>0</x:v>
      </x:c>
      <x:c r="R55" s="207" t="str"/>
      <x:c r="S55" s="207" t="str"/>
      <x:c r="T55" s="207" t="str"/>
      <x:c r="U55" s="207" t="n">
        <x:v>0</x:v>
      </x:c>
      <x:c r="V55" s="208" t="n">
        <x:f>MAX(0,M55-U55)</x:f>
        <x:v>4</x:v>
      </x:c>
      <x:c r="W55" s="209" t="n">
        <x:f>IFERROR(U55/M55,0)</x:f>
        <x:v>0</x:v>
      </x:c>
      <x:c r="X55" s="201" t="str">
        <x:f>IF(U55=0,"Não iniciado",IF(U55&gt;=M55,"Concluído","Parcial"))</x:f>
        <x:v>Não iniciado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26684</x:v>
      </x:c>
      <x:c r="C56" s="220" t="str">
        <x:v>10</x:v>
      </x:c>
      <x:c r="D56" s="220" t="str">
        <x:v>609183</x:v>
      </x:c>
      <x:c r="E56" s="220" t="str">
        <x:v>972552</x:v>
      </x:c>
      <x:c r="F56" s="220" t="str">
        <x:v>BATENTE</x:v>
      </x:c>
      <x:c r="G56" s="190" t="str">
        <x:v>2110x140x30 42x10R2L R1BIA PET STD PRM U</x:v>
      </x:c>
      <x:c r="H56" s="190" t="str"/>
      <x:c r="I56" s="190" t="str"/>
      <x:c r="J56" s="190" t="str"/>
      <x:c r="K56" s="190" t="str">
        <x:v>ESMALTE</x:v>
      </x:c>
      <x:c r="L56" s="190" t="str">
        <x:v>BRANCO CARRARA</x:v>
      </x:c>
      <x:c r="M56" s="210" t="n">
        <x:v>4</x:v>
      </x:c>
      <x:c r="N56" s="210" t="n">
        <x:v>2110</x:v>
      </x:c>
      <x:c r="O56" s="210" t="n">
        <x:v>140</x:v>
      </x:c>
      <x:c r="P56" s="210" t="n">
        <x:v>30</x:v>
      </x:c>
      <x:c r="Q56" s="211" t="n">
        <x:v>0</x:v>
      </x:c>
      <x:c r="R56" s="207" t="str"/>
      <x:c r="S56" s="207" t="str"/>
      <x:c r="T56" s="207" t="str"/>
      <x:c r="U56" s="207" t="n">
        <x:v>0</x:v>
      </x:c>
      <x:c r="V56" s="208" t="n">
        <x:f>MAX(0,M56-U56)</x:f>
        <x:v>4</x:v>
      </x:c>
      <x:c r="W56" s="209" t="n">
        <x:f>IFERROR(U56/M56,0)</x:f>
        <x:v>0</x:v>
      </x:c>
      <x:c r="X56" s="201" t="str">
        <x:f>IF(U56=0,"Não iniciado",IF(U56&gt;=M56,"Concluído","Parcial"))</x:f>
        <x:v>Não iniciado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26689</x:v>
      </x:c>
      <x:c r="C57" s="218" t="str">
        <x:v>4</x:v>
      </x:c>
      <x:c r="D57" s="218" t="str">
        <x:v>609102</x:v>
      </x:c>
      <x:c r="E57" s="218" t="str">
        <x:v>972552</x:v>
      </x:c>
      <x:c r="F57" s="218" t="str">
        <x:v>BATENTE</x:v>
      </x:c>
      <x:c r="G57" s="184" t="str">
        <x:v>2110x140x30 42x10R2L R1BIA PET STD PRM U</x:v>
      </x:c>
      <x:c r="H57" s="184" t="str"/>
      <x:c r="I57" s="184" t="str"/>
      <x:c r="J57" s="184" t="str"/>
      <x:c r="K57" s="184" t="str">
        <x:v>ESMALTE</x:v>
      </x:c>
      <x:c r="L57" s="184" t="str">
        <x:v>BRANCO CARRARA</x:v>
      </x:c>
      <x:c r="M57" s="205" t="n">
        <x:v>6</x:v>
      </x:c>
      <x:c r="N57" s="205" t="n">
        <x:v>2110</x:v>
      </x:c>
      <x:c r="O57" s="205" t="n">
        <x:v>140</x:v>
      </x:c>
      <x:c r="P57" s="205" t="n">
        <x:v>30</x:v>
      </x:c>
      <x:c r="Q57" s="206" t="n">
        <x:v>0</x:v>
      </x:c>
      <x:c r="R57" s="207" t="str"/>
      <x:c r="S57" s="207" t="str"/>
      <x:c r="T57" s="207" t="str"/>
      <x:c r="U57" s="207" t="n">
        <x:v>0</x:v>
      </x:c>
      <x:c r="V57" s="208" t="n">
        <x:f>MAX(0,M57-U57)</x:f>
        <x:v>6</x:v>
      </x:c>
      <x:c r="W57" s="209" t="n">
        <x:f>IFERROR(U57/M57,0)</x:f>
        <x:v>0</x:v>
      </x:c>
      <x:c r="X57" s="201" t="str">
        <x:f>IF(U57=0,"Não iniciado",IF(U57&gt;=M57,"Concluído","Parcial"))</x:f>
        <x:v>Não iniciado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26684</x:v>
      </x:c>
      <x:c r="C58" s="220" t="str">
        <x:v>6</x:v>
      </x:c>
      <x:c r="D58" s="220" t="str">
        <x:v>609152</x:v>
      </x:c>
      <x:c r="E58" s="220" t="str">
        <x:v>972553</x:v>
      </x:c>
      <x:c r="F58" s="220" t="str">
        <x:v>BATENTE</x:v>
      </x:c>
      <x:c r="G58" s="190" t="str">
        <x:v>867x140x30 42x10 R2L RT BIA PET STD PREM</x:v>
      </x:c>
      <x:c r="H58" s="190" t="str"/>
      <x:c r="I58" s="190" t="str"/>
      <x:c r="J58" s="190" t="str"/>
      <x:c r="K58" s="190" t="str">
        <x:v>ESMALTE</x:v>
      </x:c>
      <x:c r="L58" s="190" t="str">
        <x:v>BRANCO CARRARA</x:v>
      </x:c>
      <x:c r="M58" s="210" t="n">
        <x:v>2</x:v>
      </x:c>
      <x:c r="N58" s="210" t="n">
        <x:v>867</x:v>
      </x:c>
      <x:c r="O58" s="210" t="n">
        <x:v>140</x:v>
      </x:c>
      <x:c r="P58" s="210" t="n">
        <x:v>30</x:v>
      </x:c>
      <x:c r="Q58" s="211" t="n">
        <x:v>0</x:v>
      </x:c>
      <x:c r="R58" s="207" t="str"/>
      <x:c r="S58" s="207" t="str"/>
      <x:c r="T58" s="207" t="str"/>
      <x:c r="U58" s="207" t="n">
        <x:v>0</x:v>
      </x:c>
      <x:c r="V58" s="208" t="n">
        <x:f>MAX(0,M58-U58)</x:f>
        <x:v>2</x:v>
      </x:c>
      <x:c r="W58" s="209" t="n">
        <x:f>IFERROR(U58/M58,0)</x:f>
        <x:v>0</x:v>
      </x:c>
      <x:c r="X58" s="201" t="str">
        <x:f>IF(U58=0,"Não iniciado",IF(U58&gt;=M58,"Concluído","Parcial"))</x:f>
        <x:v>Não iniciado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26684</x:v>
      </x:c>
      <x:c r="C59" s="218" t="str">
        <x:v>10</x:v>
      </x:c>
      <x:c r="D59" s="218" t="str">
        <x:v>609184</x:v>
      </x:c>
      <x:c r="E59" s="218" t="str">
        <x:v>972553</x:v>
      </x:c>
      <x:c r="F59" s="218" t="str">
        <x:v>BATENTE</x:v>
      </x:c>
      <x:c r="G59" s="184" t="str">
        <x:v>867x140x30 42x10 R2L RT BIA PET STD PREM</x:v>
      </x:c>
      <x:c r="H59" s="184" t="str"/>
      <x:c r="I59" s="184" t="str"/>
      <x:c r="J59" s="184" t="str"/>
      <x:c r="K59" s="184" t="str">
        <x:v>ESMALTE</x:v>
      </x:c>
      <x:c r="L59" s="184" t="str">
        <x:v>BRANCO CARRARA</x:v>
      </x:c>
      <x:c r="M59" s="205" t="n">
        <x:v>2</x:v>
      </x:c>
      <x:c r="N59" s="205" t="n">
        <x:v>867</x:v>
      </x:c>
      <x:c r="O59" s="205" t="n">
        <x:v>140</x:v>
      </x:c>
      <x:c r="P59" s="205" t="n">
        <x:v>30</x:v>
      </x:c>
      <x:c r="Q59" s="206" t="n">
        <x:v>0</x:v>
      </x:c>
      <x:c r="R59" s="207" t="str"/>
      <x:c r="S59" s="207" t="str"/>
      <x:c r="T59" s="207" t="str"/>
      <x:c r="U59" s="207" t="n">
        <x:v>0</x:v>
      </x:c>
      <x:c r="V59" s="208" t="n">
        <x:f>MAX(0,M59-U59)</x:f>
        <x:v>2</x:v>
      </x:c>
      <x:c r="W59" s="209" t="n">
        <x:f>IFERROR(U59/M59,0)</x:f>
        <x:v>0</x:v>
      </x:c>
      <x:c r="X59" s="201" t="str">
        <x:f>IF(U59=0,"Não iniciado",IF(U59&gt;=M59,"Concluído","Parcial"))</x:f>
        <x:v>Não iniciado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26689</x:v>
      </x:c>
      <x:c r="C60" s="220" t="str">
        <x:v>4</x:v>
      </x:c>
      <x:c r="D60" s="220" t="str">
        <x:v>609103</x:v>
      </x:c>
      <x:c r="E60" s="220" t="str">
        <x:v>972553</x:v>
      </x:c>
      <x:c r="F60" s="220" t="str">
        <x:v>BATENTE</x:v>
      </x:c>
      <x:c r="G60" s="190" t="str">
        <x:v>867x140x30 42x10 R2L RT BIA PET STD PREM</x:v>
      </x:c>
      <x:c r="H60" s="190" t="str"/>
      <x:c r="I60" s="190" t="str"/>
      <x:c r="J60" s="190" t="str"/>
      <x:c r="K60" s="190" t="str">
        <x:v>ESMALTE</x:v>
      </x:c>
      <x:c r="L60" s="190" t="str">
        <x:v>BRANCO CARRARA</x:v>
      </x:c>
      <x:c r="M60" s="210" t="n">
        <x:v>3</x:v>
      </x:c>
      <x:c r="N60" s="210" t="n">
        <x:v>867</x:v>
      </x:c>
      <x:c r="O60" s="210" t="n">
        <x:v>140</x:v>
      </x:c>
      <x:c r="P60" s="210" t="n">
        <x:v>30</x:v>
      </x:c>
      <x:c r="Q60" s="211" t="n">
        <x:v>0</x:v>
      </x:c>
      <x:c r="R60" s="207" t="str"/>
      <x:c r="S60" s="207" t="str"/>
      <x:c r="T60" s="207" t="str"/>
      <x:c r="U60" s="207" t="n">
        <x:v>0</x:v>
      </x:c>
      <x:c r="V60" s="208" t="n">
        <x:f>MAX(0,M60-U60)</x:f>
        <x:v>3</x:v>
      </x:c>
      <x:c r="W60" s="209" t="n">
        <x:f>IFERROR(U60/M60,0)</x:f>
        <x:v>0</x:v>
      </x:c>
      <x:c r="X60" s="201" t="str">
        <x:f>IF(U60=0,"Não iniciado",IF(U60&gt;=M60,"Concluído","Parcial"))</x:f>
        <x:v>Não iniciado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26744</x:v>
      </x:c>
      <x:c r="C61" s="218" t="str">
        <x:v>5</x:v>
      </x:c>
      <x:c r="D61" s="218" t="str">
        <x:v>610015</x:v>
      </x:c>
      <x:c r="E61" s="218" t="str">
        <x:v>675290</x:v>
      </x:c>
      <x:c r="F61" s="218" t="str">
        <x:v>BATENTE</x:v>
      </x:c>
      <x:c r="G61" s="184" t="str">
        <x:v>2130x130x30 S/REB R2L PET BCO (PREMIUM)</x:v>
      </x:c>
      <x:c r="H61" s="184" t="str">
        <x:v>MAD D/PINUS</x:v>
      </x:c>
      <x:c r="I61" s="184" t="str">
        <x:v>S/CANAL</x:v>
      </x:c>
      <x:c r="J61" s="184" t="str">
        <x:v>S/REB</x:v>
      </x:c>
      <x:c r="K61" s="184" t="str">
        <x:v>RECOBERTO PET</x:v>
      </x:c>
      <x:c r="L61" s="184" t="str">
        <x:v>BRANCO CARRARA</x:v>
      </x:c>
      <x:c r="M61" s="205" t="n">
        <x:v>4</x:v>
      </x:c>
      <x:c r="N61" s="205" t="n">
        <x:v>2130</x:v>
      </x:c>
      <x:c r="O61" s="205" t="n">
        <x:v>130</x:v>
      </x:c>
      <x:c r="P61" s="205" t="n">
        <x:v>30</x:v>
      </x:c>
      <x:c r="Q61" s="206" t="n">
        <x:v>0</x:v>
      </x:c>
      <x:c r="R61" s="207" t="str"/>
      <x:c r="S61" s="207" t="str"/>
      <x:c r="T61" s="207" t="str"/>
      <x:c r="U61" s="207" t="n">
        <x:v>0</x:v>
      </x:c>
      <x:c r="V61" s="208" t="n">
        <x:f>MAX(0,M61-U61)</x:f>
        <x:v>4</x:v>
      </x:c>
      <x:c r="W61" s="209" t="n">
        <x:f>IFERROR(U61/M61,0)</x:f>
        <x:v>0</x:v>
      </x:c>
      <x:c r="X61" s="201" t="str">
        <x:f>IF(U61=0,"Não iniciado",IF(U61&gt;=M61,"Concluído","Parcial"))</x:f>
        <x:v>Não iniciado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26747</x:v>
      </x:c>
      <x:c r="C62" s="220" t="str">
        <x:v>11</x:v>
      </x:c>
      <x:c r="D62" s="220" t="str">
        <x:v>609021</x:v>
      </x:c>
      <x:c r="E62" s="220" t="str">
        <x:v>957319</x:v>
      </x:c>
      <x:c r="F62" s="220" t="str">
        <x:v>BATENTE</x:v>
      </x:c>
      <x:c r="G62" s="190" t="str">
        <x:v>2130x130x30 S/RB R2L RTO PET BRC (UL)</x:v>
      </x:c>
      <x:c r="H62" s="190" t="str">
        <x:v>MDF ULTRA</x:v>
      </x:c>
      <x:c r="I62" s="190" t="str">
        <x:v>S/CANAL</x:v>
      </x:c>
      <x:c r="J62" s="190" t="str">
        <x:v>S/REB</x:v>
      </x:c>
      <x:c r="K62" s="190" t="str">
        <x:v>RECOBERTO PET</x:v>
      </x:c>
      <x:c r="L62" s="190" t="str">
        <x:v>BRANCO CARRARA</x:v>
      </x:c>
      <x:c r="M62" s="210" t="n">
        <x:v>2</x:v>
      </x:c>
      <x:c r="N62" s="210" t="n">
        <x:v>2130</x:v>
      </x:c>
      <x:c r="O62" s="210" t="n">
        <x:v>130</x:v>
      </x:c>
      <x:c r="P62" s="210" t="n">
        <x:v>30</x:v>
      </x:c>
      <x:c r="Q62" s="211" t="n">
        <x:v>0</x:v>
      </x:c>
      <x:c r="R62" s="207" t="str"/>
      <x:c r="S62" s="207" t="str"/>
      <x:c r="T62" s="207" t="str"/>
      <x:c r="U62" s="207" t="n">
        <x:v>0</x:v>
      </x:c>
      <x:c r="V62" s="208" t="n">
        <x:f>MAX(0,M62-U62)</x:f>
        <x:v>2</x:v>
      </x:c>
      <x:c r="W62" s="209" t="n">
        <x:f>IFERROR(U62/M62,0)</x:f>
        <x:v>0</x:v>
      </x:c>
      <x:c r="X62" s="201" t="str">
        <x:f>IF(U62=0,"Não iniciado",IF(U62&gt;=M62,"Concluído","Parcial"))</x:f>
        <x:v>Não iniciado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26684</x:v>
      </x:c>
      <x:c r="C63" s="218" t="str">
        <x:v>3</x:v>
      </x:c>
      <x:c r="D63" s="218" t="str">
        <x:v>609127</x:v>
      </x:c>
      <x:c r="E63" s="218" t="str">
        <x:v>966547</x:v>
      </x:c>
      <x:c r="F63" s="218" t="str">
        <x:v>BATENTE</x:v>
      </x:c>
      <x:c r="G63" s="184" t="str">
        <x:v>2110x130x30 42x10R2L R1BIA PET STD PRM U</x:v>
      </x:c>
      <x:c r="H63" s="184" t="str"/>
      <x:c r="I63" s="184" t="str"/>
      <x:c r="J63" s="184" t="str"/>
      <x:c r="K63" s="184" t="str">
        <x:v>ESMALTE</x:v>
      </x:c>
      <x:c r="L63" s="184" t="str">
        <x:v>BRANCO CARRARA</x:v>
      </x:c>
      <x:c r="M63" s="205" t="n">
        <x:v>6</x:v>
      </x:c>
      <x:c r="N63" s="205" t="n">
        <x:v>2110</x:v>
      </x:c>
      <x:c r="O63" s="205" t="n">
        <x:v>130</x:v>
      </x:c>
      <x:c r="P63" s="205" t="n">
        <x:v>30</x:v>
      </x:c>
      <x:c r="Q63" s="206" t="n">
        <x:v>0</x:v>
      </x:c>
      <x:c r="R63" s="207" t="str"/>
      <x:c r="S63" s="207" t="str"/>
      <x:c r="T63" s="207" t="str"/>
      <x:c r="U63" s="207" t="n">
        <x:v>0</x:v>
      </x:c>
      <x:c r="V63" s="208" t="n">
        <x:f>MAX(0,M63-U63)</x:f>
        <x:v>6</x:v>
      </x:c>
      <x:c r="W63" s="209" t="n">
        <x:f>IFERROR(U63/M63,0)</x:f>
        <x:v>0</x:v>
      </x:c>
      <x:c r="X63" s="201" t="str">
        <x:f>IF(U63=0,"Não iniciado",IF(U63&gt;=M63,"Concluído","Parcial"))</x:f>
        <x:v>Não iniciado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26684</x:v>
      </x:c>
      <x:c r="C64" s="220" t="str">
        <x:v>5</x:v>
      </x:c>
      <x:c r="D64" s="220" t="str">
        <x:v>609143</x:v>
      </x:c>
      <x:c r="E64" s="220" t="str">
        <x:v>966547</x:v>
      </x:c>
      <x:c r="F64" s="220" t="str">
        <x:v>BATENTE</x:v>
      </x:c>
      <x:c r="G64" s="190" t="str">
        <x:v>2110x130x30 42x10R2L R1BIA PET STD PRM U</x:v>
      </x:c>
      <x:c r="H64" s="190" t="str"/>
      <x:c r="I64" s="190" t="str"/>
      <x:c r="J64" s="190" t="str"/>
      <x:c r="K64" s="190" t="str">
        <x:v>ESMALTE</x:v>
      </x:c>
      <x:c r="L64" s="190" t="str">
        <x:v>BRANCO CARRARA</x:v>
      </x:c>
      <x:c r="M64" s="210" t="n">
        <x:v>12</x:v>
      </x:c>
      <x:c r="N64" s="210" t="n">
        <x:v>2110</x:v>
      </x:c>
      <x:c r="O64" s="210" t="n">
        <x:v>130</x:v>
      </x:c>
      <x:c r="P64" s="210" t="n">
        <x:v>30</x:v>
      </x:c>
      <x:c r="Q64" s="211" t="n">
        <x:v>0</x:v>
      </x:c>
      <x:c r="R64" s="207" t="str"/>
      <x:c r="S64" s="207" t="str"/>
      <x:c r="T64" s="207" t="str"/>
      <x:c r="U64" s="207" t="n">
        <x:v>0</x:v>
      </x:c>
      <x:c r="V64" s="208" t="n">
        <x:f>MAX(0,M64-U64)</x:f>
        <x:v>12</x:v>
      </x:c>
      <x:c r="W64" s="209" t="n">
        <x:f>IFERROR(U64/M64,0)</x:f>
        <x:v>0</x:v>
      </x:c>
      <x:c r="X64" s="201" t="str">
        <x:f>IF(U64=0,"Não iniciado",IF(U64&gt;=M64,"Concluído","Parcial"))</x:f>
        <x:v>Não iniciado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26684</x:v>
      </x:c>
      <x:c r="C65" s="218" t="str">
        <x:v>9</x:v>
      </x:c>
      <x:c r="D65" s="218" t="str">
        <x:v>609175</x:v>
      </x:c>
      <x:c r="E65" s="218" t="str">
        <x:v>966547</x:v>
      </x:c>
      <x:c r="F65" s="218" t="str">
        <x:v>BATENTE</x:v>
      </x:c>
      <x:c r="G65" s="184" t="str">
        <x:v>2110x130x30 42x10R2L R1BIA PET STD PRM U</x:v>
      </x:c>
      <x:c r="H65" s="184" t="str"/>
      <x:c r="I65" s="184" t="str"/>
      <x:c r="J65" s="184" t="str"/>
      <x:c r="K65" s="184" t="str">
        <x:v>ESMALTE</x:v>
      </x:c>
      <x:c r="L65" s="184" t="str">
        <x:v>BRANCO CARRARA</x:v>
      </x:c>
      <x:c r="M65" s="205" t="n">
        <x:v>114</x:v>
      </x:c>
      <x:c r="N65" s="205" t="n">
        <x:v>2110</x:v>
      </x:c>
      <x:c r="O65" s="205" t="n">
        <x:v>130</x:v>
      </x:c>
      <x:c r="P65" s="205" t="n">
        <x:v>30</x:v>
      </x:c>
      <x:c r="Q65" s="206" t="n">
        <x:v>0</x:v>
      </x:c>
      <x:c r="R65" s="207" t="str"/>
      <x:c r="S65" s="207" t="str"/>
      <x:c r="T65" s="207" t="str"/>
      <x:c r="U65" s="207" t="n">
        <x:v>0</x:v>
      </x:c>
      <x:c r="V65" s="208" t="n">
        <x:f>MAX(0,M65-U65)</x:f>
        <x:v>114</x:v>
      </x:c>
      <x:c r="W65" s="209" t="n">
        <x:f>IFERROR(U65/M65,0)</x:f>
        <x:v>0</x:v>
      </x:c>
      <x:c r="X65" s="201" t="str">
        <x:f>IF(U65=0,"Não iniciado",IF(U65&gt;=M65,"Concluído","Parcial"))</x:f>
        <x:v>Não iniciado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26689</x:v>
      </x:c>
      <x:c r="C66" s="220" t="str">
        <x:v>3</x:v>
      </x:c>
      <x:c r="D66" s="220" t="str">
        <x:v>609094</x:v>
      </x:c>
      <x:c r="E66" s="220" t="str">
        <x:v>966547</x:v>
      </x:c>
      <x:c r="F66" s="220" t="str">
        <x:v>BATENTE</x:v>
      </x:c>
      <x:c r="G66" s="190" t="str">
        <x:v>2110x130x30 42x10R2L R1BIA PET STD PRM U</x:v>
      </x:c>
      <x:c r="H66" s="190" t="str"/>
      <x:c r="I66" s="190" t="str"/>
      <x:c r="J66" s="190" t="str"/>
      <x:c r="K66" s="190" t="str">
        <x:v>ESMALTE</x:v>
      </x:c>
      <x:c r="L66" s="190" t="str">
        <x:v>BRANCO CARRARA</x:v>
      </x:c>
      <x:c r="M66" s="210" t="n">
        <x:v>122</x:v>
      </x:c>
      <x:c r="N66" s="210" t="n">
        <x:v>2110</x:v>
      </x:c>
      <x:c r="O66" s="210" t="n">
        <x:v>130</x:v>
      </x:c>
      <x:c r="P66" s="210" t="n">
        <x:v>30</x:v>
      </x:c>
      <x:c r="Q66" s="211" t="n">
        <x:v>0</x:v>
      </x:c>
      <x:c r="R66" s="207" t="str"/>
      <x:c r="S66" s="207" t="str"/>
      <x:c r="T66" s="207" t="str"/>
      <x:c r="U66" s="207" t="n">
        <x:v>0</x:v>
      </x:c>
      <x:c r="V66" s="208" t="n">
        <x:f>MAX(0,M66-U66)</x:f>
        <x:v>122</x:v>
      </x:c>
      <x:c r="W66" s="209" t="n">
        <x:f>IFERROR(U66/M66,0)</x:f>
        <x:v>0</x:v>
      </x:c>
      <x:c r="X66" s="201" t="str">
        <x:f>IF(U66=0,"Não iniciado",IF(U66&gt;=M66,"Concluído","Parcial"))</x:f>
        <x:v>Não iniciado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26739</x:v>
      </x:c>
      <x:c r="C67" s="218" t="str">
        <x:v>11</x:v>
      </x:c>
      <x:c r="D67" s="218" t="str">
        <x:v>609664</x:v>
      </x:c>
      <x:c r="E67" s="218" t="str">
        <x:v>959094</x:v>
      </x:c>
      <x:c r="F67" s="218" t="str">
        <x:v>BATENTE</x:v>
      </x:c>
      <x:c r="G67" s="184" t="str">
        <x:v>2110x130x30 42x10 R2 BIA RT PET BC U(UL)</x:v>
      </x:c>
      <x:c r="H67" s="184" t="str"/>
      <x:c r="I67" s="184" t="str"/>
      <x:c r="J67" s="184" t="str"/>
      <x:c r="K67" s="184" t="str">
        <x:v>ESMALTE</x:v>
      </x:c>
      <x:c r="L67" s="184" t="str">
        <x:v>BRANCO CARRARA</x:v>
      </x:c>
      <x:c r="M67" s="205" t="n">
        <x:v>32</x:v>
      </x:c>
      <x:c r="N67" s="205" t="n">
        <x:v>2110</x:v>
      </x:c>
      <x:c r="O67" s="205" t="n">
        <x:v>130</x:v>
      </x:c>
      <x:c r="P67" s="205" t="n">
        <x:v>30</x:v>
      </x:c>
      <x:c r="Q67" s="206" t="n">
        <x:v>0</x:v>
      </x:c>
      <x:c r="R67" s="207" t="str"/>
      <x:c r="S67" s="207" t="str"/>
      <x:c r="T67" s="207" t="str"/>
      <x:c r="U67" s="207" t="n">
        <x:v>0</x:v>
      </x:c>
      <x:c r="V67" s="208" t="n">
        <x:f>MAX(0,M67-U67)</x:f>
        <x:v>32</x:v>
      </x:c>
      <x:c r="W67" s="209" t="n">
        <x:f>IFERROR(U67/M67,0)</x:f>
        <x:v>0</x:v>
      </x:c>
      <x:c r="X67" s="201" t="str">
        <x:f>IF(U67=0,"Não iniciado",IF(U67&gt;=M67,"Concluído","Parcial"))</x:f>
        <x:v>Não iniciado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26739</x:v>
      </x:c>
      <x:c r="C68" s="220" t="str">
        <x:v>20</x:v>
      </x:c>
      <x:c r="D68" s="220" t="str">
        <x:v>609719</x:v>
      </x:c>
      <x:c r="E68" s="220" t="str">
        <x:v>959094</x:v>
      </x:c>
      <x:c r="F68" s="220" t="str">
        <x:v>BATENTE</x:v>
      </x:c>
      <x:c r="G68" s="190" t="str">
        <x:v>2110x130x30 42x10 R2 BIA RT PET BC U(UL)</x:v>
      </x:c>
      <x:c r="H68" s="190" t="str"/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6</x:v>
      </x:c>
      <x:c r="N68" s="210" t="n">
        <x:v>2110</x:v>
      </x:c>
      <x:c r="O68" s="210" t="n">
        <x:v>130</x:v>
      </x:c>
      <x:c r="P68" s="210" t="n">
        <x:v>30</x:v>
      </x:c>
      <x:c r="Q68" s="211" t="n">
        <x:v>0</x:v>
      </x:c>
      <x:c r="R68" s="207" t="str"/>
      <x:c r="S68" s="207" t="str"/>
      <x:c r="T68" s="207" t="str"/>
      <x:c r="U68" s="207" t="n">
        <x:v>0</x:v>
      </x:c>
      <x:c r="V68" s="208" t="n">
        <x:f>MAX(0,M68-U68)</x:f>
        <x:v>6</x:v>
      </x:c>
      <x:c r="W68" s="209" t="n">
        <x:f>IFERROR(U68/M68,0)</x:f>
        <x:v>0</x:v>
      </x:c>
      <x:c r="X68" s="201" t="str">
        <x:f>IF(U68=0,"Não iniciado",IF(U68&gt;=M68,"Concluído","Parcial"))</x:f>
        <x:v>Não iniciado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26739</x:v>
      </x:c>
      <x:c r="C69" s="218" t="str">
        <x:v>25</x:v>
      </x:c>
      <x:c r="D69" s="218" t="str">
        <x:v>609770</x:v>
      </x:c>
      <x:c r="E69" s="218" t="str">
        <x:v>959094</x:v>
      </x:c>
      <x:c r="F69" s="218" t="str">
        <x:v>BATENTE</x:v>
      </x:c>
      <x:c r="G69" s="184" t="str">
        <x:v>2110x130x30 42x10 R2 BIA RT PET BC U(UL)</x:v>
      </x:c>
      <x:c r="H69" s="184" t="str"/>
      <x:c r="I69" s="184" t="str"/>
      <x:c r="J69" s="184" t="str"/>
      <x:c r="K69" s="184" t="str">
        <x:v>ESMALTE</x:v>
      </x:c>
      <x:c r="L69" s="184" t="str">
        <x:v>BRANCO CARRARA</x:v>
      </x:c>
      <x:c r="M69" s="205" t="n">
        <x:v>2</x:v>
      </x:c>
      <x:c r="N69" s="205" t="n">
        <x:v>2110</x:v>
      </x:c>
      <x:c r="O69" s="205" t="n">
        <x:v>130</x:v>
      </x:c>
      <x:c r="P69" s="205" t="n">
        <x:v>30</x:v>
      </x:c>
      <x:c r="Q69" s="206" t="n">
        <x:v>0</x:v>
      </x:c>
      <x:c r="R69" s="207" t="str"/>
      <x:c r="S69" s="207" t="str"/>
      <x:c r="T69" s="207" t="str"/>
      <x:c r="U69" s="207" t="n">
        <x:v>0</x:v>
      </x:c>
      <x:c r="V69" s="208" t="n">
        <x:f>MAX(0,M69-U69)</x:f>
        <x:v>2</x:v>
      </x:c>
      <x:c r="W69" s="209" t="n">
        <x:f>IFERROR(U69/M69,0)</x:f>
        <x:v>0</x:v>
      </x:c>
      <x:c r="X69" s="201" t="str">
        <x:f>IF(U69=0,"Não iniciado",IF(U69&gt;=M69,"Concluído","Parcial"))</x:f>
        <x:v>Não iniciado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26744</x:v>
      </x:c>
      <x:c r="C70" s="220" t="str">
        <x:v>1</x:v>
      </x:c>
      <x:c r="D70" s="220" t="str">
        <x:v>609987</x:v>
      </x:c>
      <x:c r="E70" s="220" t="str">
        <x:v>674790</x:v>
      </x:c>
      <x:c r="F70" s="220" t="str">
        <x:v>BATENTE</x:v>
      </x:c>
      <x:c r="G70" s="190" t="str">
        <x:v>2110x130x30 42x10 R2L BIA R PET U(PREMIU</x:v>
      </x:c>
      <x:c r="H70" s="190" t="str"/>
      <x:c r="I70" s="190" t="str"/>
      <x:c r="J70" s="190" t="str"/>
      <x:c r="K70" s="190" t="str">
        <x:v>RECOBERTO PET</x:v>
      </x:c>
      <x:c r="L70" s="190" t="str">
        <x:v>BRANCO CARRARA</x:v>
      </x:c>
      <x:c r="M70" s="210" t="n">
        <x:v>8</x:v>
      </x:c>
      <x:c r="N70" s="210" t="n">
        <x:v>2110</x:v>
      </x:c>
      <x:c r="O70" s="210" t="n">
        <x:v>130</x:v>
      </x:c>
      <x:c r="P70" s="210" t="n">
        <x:v>30</x:v>
      </x:c>
      <x:c r="Q70" s="211" t="n">
        <x:v>0</x:v>
      </x:c>
      <x:c r="R70" s="207" t="str"/>
      <x:c r="S70" s="207" t="str"/>
      <x:c r="T70" s="207" t="str"/>
      <x:c r="U70" s="207" t="n">
        <x:v>0</x:v>
      </x:c>
      <x:c r="V70" s="208" t="n">
        <x:f>MAX(0,M70-U70)</x:f>
        <x:v>8</x:v>
      </x:c>
      <x:c r="W70" s="209" t="n">
        <x:f>IFERROR(U70/M70,0)</x:f>
        <x:v>0</x:v>
      </x:c>
      <x:c r="X70" s="201" t="str">
        <x:f>IF(U70=0,"Não iniciado",IF(U70&gt;=M70,"Concluído","Parcial"))</x:f>
        <x:v>Não iniciado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26744</x:v>
      </x:c>
      <x:c r="C71" s="218" t="str">
        <x:v>2</x:v>
      </x:c>
      <x:c r="D71" s="218" t="str">
        <x:v>609996</x:v>
      </x:c>
      <x:c r="E71" s="218" t="str">
        <x:v>674790</x:v>
      </x:c>
      <x:c r="F71" s="218" t="str">
        <x:v>BATENTE</x:v>
      </x:c>
      <x:c r="G71" s="184" t="str">
        <x:v>2110x130x30 42x10 R2L BIA R PET U(PREMIU</x:v>
      </x:c>
      <x:c r="H71" s="184" t="str"/>
      <x:c r="I71" s="184" t="str"/>
      <x:c r="J71" s="184" t="str"/>
      <x:c r="K71" s="184" t="str">
        <x:v>RECOBERTO PET</x:v>
      </x:c>
      <x:c r="L71" s="184" t="str">
        <x:v>BRANCO CARRARA</x:v>
      </x:c>
      <x:c r="M71" s="205" t="n">
        <x:v>10</x:v>
      </x:c>
      <x:c r="N71" s="205" t="n">
        <x:v>2110</x:v>
      </x:c>
      <x:c r="O71" s="205" t="n">
        <x:v>130</x:v>
      </x:c>
      <x:c r="P71" s="205" t="n">
        <x:v>30</x:v>
      </x:c>
      <x:c r="Q71" s="206" t="n">
        <x:v>0</x:v>
      </x:c>
      <x:c r="R71" s="207" t="str"/>
      <x:c r="S71" s="207" t="str"/>
      <x:c r="T71" s="207" t="str"/>
      <x:c r="U71" s="207" t="n">
        <x:v>0</x:v>
      </x:c>
      <x:c r="V71" s="208" t="n">
        <x:f>MAX(0,M71-U71)</x:f>
        <x:v>10</x:v>
      </x:c>
      <x:c r="W71" s="209" t="n">
        <x:f>IFERROR(U71/M71,0)</x:f>
        <x:v>0</x:v>
      </x:c>
      <x:c r="X71" s="201" t="str">
        <x:f>IF(U71=0,"Não iniciado",IF(U71&gt;=M71,"Concluído","Parcial"))</x:f>
        <x:v>Não iniciado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26747</x:v>
      </x:c>
      <x:c r="C72" s="220" t="str">
        <x:v>6</x:v>
      </x:c>
      <x:c r="D72" s="220" t="str">
        <x:v>609011</x:v>
      </x:c>
      <x:c r="E72" s="220" t="str">
        <x:v>959094</x:v>
      </x:c>
      <x:c r="F72" s="220" t="str">
        <x:v>BATENTE</x:v>
      </x:c>
      <x:c r="G72" s="190" t="str">
        <x:v>2110x130x30 42x10 R2 BIA RT PET BC U(UL)</x:v>
      </x:c>
      <x:c r="H72" s="190" t="str"/>
      <x:c r="I72" s="190" t="str"/>
      <x:c r="J72" s="190" t="str"/>
      <x:c r="K72" s="190" t="str">
        <x:v>RECOBERTO MELAMINICO</x:v>
      </x:c>
      <x:c r="L72" s="190" t="str">
        <x:v>BRANCO CARRARA</x:v>
      </x:c>
      <x:c r="M72" s="210" t="n">
        <x:v>2</x:v>
      </x:c>
      <x:c r="N72" s="210" t="n">
        <x:v>2110</x:v>
      </x:c>
      <x:c r="O72" s="210" t="n">
        <x:v>130</x:v>
      </x:c>
      <x:c r="P72" s="210" t="n">
        <x:v>30</x:v>
      </x:c>
      <x:c r="Q72" s="211" t="n">
        <x:v>0</x:v>
      </x:c>
      <x:c r="R72" s="207" t="str"/>
      <x:c r="S72" s="207" t="str"/>
      <x:c r="T72" s="207" t="str"/>
      <x:c r="U72" s="207" t="n">
        <x:v>0</x:v>
      </x:c>
      <x:c r="V72" s="208" t="n">
        <x:f>MAX(0,M72-U72)</x:f>
        <x:v>2</x:v>
      </x:c>
      <x:c r="W72" s="209" t="n">
        <x:f>IFERROR(U72/M72,0)</x:f>
        <x:v>0</x:v>
      </x:c>
      <x:c r="X72" s="201" t="str">
        <x:f>IF(U72=0,"Não iniciado",IF(U72&gt;=M72,"Concluído","Parcial"))</x:f>
        <x:v>Não iniciado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26750</x:v>
      </x:c>
      <x:c r="C73" s="218" t="str">
        <x:v>14</x:v>
      </x:c>
      <x:c r="D73" s="218" t="str">
        <x:v>609837</x:v>
      </x:c>
      <x:c r="E73" s="218" t="str">
        <x:v>959094</x:v>
      </x:c>
      <x:c r="F73" s="218" t="str">
        <x:v>BATENTE</x:v>
      </x:c>
      <x:c r="G73" s="184" t="str">
        <x:v>2110x130x30 42x10 R2 BIA RT PET BC U(UL)</x:v>
      </x:c>
      <x:c r="H73" s="184" t="str"/>
      <x:c r="I73" s="184" t="str"/>
      <x:c r="J73" s="184" t="str"/>
      <x:c r="K73" s="184" t="str">
        <x:v>ESMALTE</x:v>
      </x:c>
      <x:c r="L73" s="184" t="str">
        <x:v>BRANCO CARRARA</x:v>
      </x:c>
      <x:c r="M73" s="205" t="n">
        <x:v>38</x:v>
      </x:c>
      <x:c r="N73" s="205" t="n">
        <x:v>2110</x:v>
      </x:c>
      <x:c r="O73" s="205" t="n">
        <x:v>130</x:v>
      </x:c>
      <x:c r="P73" s="205" t="n">
        <x:v>30</x:v>
      </x:c>
      <x:c r="Q73" s="206" t="n">
        <x:v>0</x:v>
      </x:c>
      <x:c r="R73" s="207" t="str"/>
      <x:c r="S73" s="207" t="str"/>
      <x:c r="T73" s="207" t="str"/>
      <x:c r="U73" s="207" t="n">
        <x:v>0</x:v>
      </x:c>
      <x:c r="V73" s="208" t="n">
        <x:f>MAX(0,M73-U73)</x:f>
        <x:v>38</x:v>
      </x:c>
      <x:c r="W73" s="209" t="n">
        <x:f>IFERROR(U73/M73,0)</x:f>
        <x:v>0</x:v>
      </x:c>
      <x:c r="X73" s="201" t="str">
        <x:f>IF(U73=0,"Não iniciado",IF(U73&gt;=M73,"Concluído","Parcial"))</x:f>
        <x:v>Não iniciado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26750</x:v>
      </x:c>
      <x:c r="C74" s="220" t="str">
        <x:v>23</x:v>
      </x:c>
      <x:c r="D74" s="220" t="str">
        <x:v>609892</x:v>
      </x:c>
      <x:c r="E74" s="220" t="str">
        <x:v>959094</x:v>
      </x:c>
      <x:c r="F74" s="220" t="str">
        <x:v>BATENTE</x:v>
      </x:c>
      <x:c r="G74" s="190" t="str">
        <x:v>2110x130x30 42x10 R2 BIA RT PET BC U(UL)</x:v>
      </x:c>
      <x:c r="H74" s="190" t="str"/>
      <x:c r="I74" s="190" t="str"/>
      <x:c r="J74" s="190" t="str"/>
      <x:c r="K74" s="190" t="str">
        <x:v>ESMALTE</x:v>
      </x:c>
      <x:c r="L74" s="190" t="str">
        <x:v>BRANCO CARRARA</x:v>
      </x:c>
      <x:c r="M74" s="210" t="n">
        <x:v>8</x:v>
      </x:c>
      <x:c r="N74" s="210" t="n">
        <x:v>2110</x:v>
      </x:c>
      <x:c r="O74" s="210" t="n">
        <x:v>130</x:v>
      </x:c>
      <x:c r="P74" s="210" t="n">
        <x:v>30</x:v>
      </x:c>
      <x:c r="Q74" s="211" t="n">
        <x:v>0</x:v>
      </x:c>
      <x:c r="R74" s="207" t="str"/>
      <x:c r="S74" s="207" t="str"/>
      <x:c r="T74" s="207" t="str"/>
      <x:c r="U74" s="207" t="n">
        <x:v>0</x:v>
      </x:c>
      <x:c r="V74" s="208" t="n">
        <x:f>MAX(0,M74-U74)</x:f>
        <x:v>8</x:v>
      </x:c>
      <x:c r="W74" s="209" t="n">
        <x:f>IFERROR(U74/M74,0)</x:f>
        <x:v>0</x:v>
      </x:c>
      <x:c r="X74" s="201" t="str">
        <x:f>IF(U74=0,"Não iniciado",IF(U74&gt;=M74,"Concluído","Parcial"))</x:f>
        <x:v>Não iniciado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26808</x:v>
      </x:c>
      <x:c r="C75" s="218" t="str">
        <x:v>2</x:v>
      </x:c>
      <x:c r="D75" s="218" t="str">
        <x:v>608904</x:v>
      </x:c>
      <x:c r="E75" s="218" t="str">
        <x:v>674790</x:v>
      </x:c>
      <x:c r="F75" s="218" t="str">
        <x:v>BATENTE</x:v>
      </x:c>
      <x:c r="G75" s="184" t="str">
        <x:v>2110x130x30 42x10 R2L BIA R PET U(PREMIU</x:v>
      </x:c>
      <x:c r="H75" s="184" t="str"/>
      <x:c r="I75" s="184" t="str"/>
      <x:c r="J75" s="184" t="str"/>
      <x:c r="K75" s="184" t="str">
        <x:v>ESMALTE</x:v>
      </x:c>
      <x:c r="L75" s="184" t="str">
        <x:v>BRANCO CARRARA</x:v>
      </x:c>
      <x:c r="M75" s="205" t="n">
        <x:v>32</x:v>
      </x:c>
      <x:c r="N75" s="205" t="n">
        <x:v>2110</x:v>
      </x:c>
      <x:c r="O75" s="205" t="n">
        <x:v>130</x:v>
      </x:c>
      <x:c r="P75" s="205" t="n">
        <x:v>30</x:v>
      </x:c>
      <x:c r="Q75" s="206" t="n">
        <x:v>0</x:v>
      </x:c>
      <x:c r="R75" s="207" t="str"/>
      <x:c r="S75" s="207" t="str"/>
      <x:c r="T75" s="207" t="str"/>
      <x:c r="U75" s="207" t="n">
        <x:v>0</x:v>
      </x:c>
      <x:c r="V75" s="208" t="n">
        <x:f>MAX(0,M75-U75)</x:f>
        <x:v>32</x:v>
      </x:c>
      <x:c r="W75" s="209" t="n">
        <x:f>IFERROR(U75/M75,0)</x:f>
        <x:v>0</x:v>
      </x:c>
      <x:c r="X75" s="201" t="str">
        <x:f>IF(U75=0,"Não iniciado",IF(U75&gt;=M75,"Concluído","Parcial"))</x:f>
        <x:v>Não iniciado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26808</x:v>
      </x:c>
      <x:c r="C76" s="220" t="str">
        <x:v>7</x:v>
      </x:c>
      <x:c r="D76" s="220" t="str">
        <x:v>608944</x:v>
      </x:c>
      <x:c r="E76" s="220" t="str">
        <x:v>674790</x:v>
      </x:c>
      <x:c r="F76" s="220" t="str">
        <x:v>BATENTE</x:v>
      </x:c>
      <x:c r="G76" s="190" t="str">
        <x:v>2110x130x30 42x10 R2L BIA R PET U(PREMIU</x:v>
      </x:c>
      <x:c r="H76" s="190" t="str"/>
      <x:c r="I76" s="190" t="str"/>
      <x:c r="J76" s="190" t="str"/>
      <x:c r="K76" s="190" t="str">
        <x:v>ESMALTE</x:v>
      </x:c>
      <x:c r="L76" s="190" t="str">
        <x:v>BRANCO CARRARA</x:v>
      </x:c>
      <x:c r="M76" s="210" t="n">
        <x:v>8</x:v>
      </x:c>
      <x:c r="N76" s="210" t="n">
        <x:v>2110</x:v>
      </x:c>
      <x:c r="O76" s="210" t="n">
        <x:v>130</x:v>
      </x:c>
      <x:c r="P76" s="210" t="n">
        <x:v>30</x:v>
      </x:c>
      <x:c r="Q76" s="211" t="n">
        <x:v>0</x:v>
      </x:c>
      <x:c r="R76" s="207" t="str"/>
      <x:c r="S76" s="207" t="str"/>
      <x:c r="T76" s="207" t="str"/>
      <x:c r="U76" s="207" t="n">
        <x:v>0</x:v>
      </x:c>
      <x:c r="V76" s="208" t="n">
        <x:f>MAX(0,M76-U76)</x:f>
        <x:v>8</x:v>
      </x:c>
      <x:c r="W76" s="209" t="n">
        <x:f>IFERROR(U76/M76,0)</x:f>
        <x:v>0</x:v>
      </x:c>
      <x:c r="X76" s="201" t="str">
        <x:f>IF(U76=0,"Não iniciado",IF(U76&gt;=M76,"Concluído","Parcial"))</x:f>
        <x:v>Não iniciado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26808</x:v>
      </x:c>
      <x:c r="C77" s="218" t="str">
        <x:v>10</x:v>
      </x:c>
      <x:c r="D77" s="218" t="str">
        <x:v>608968</x:v>
      </x:c>
      <x:c r="E77" s="218" t="str">
        <x:v>674790</x:v>
      </x:c>
      <x:c r="F77" s="218" t="str">
        <x:v>BATENTE</x:v>
      </x:c>
      <x:c r="G77" s="184" t="str">
        <x:v>2110x130x30 42x10 R2L BIA R PET U(PREMIU</x:v>
      </x:c>
      <x:c r="H77" s="184" t="str"/>
      <x:c r="I77" s="184" t="str"/>
      <x:c r="J77" s="184" t="str"/>
      <x:c r="K77" s="184" t="str">
        <x:v>ESMALTE</x:v>
      </x:c>
      <x:c r="L77" s="184" t="str">
        <x:v>BRANCO CARRARA</x:v>
      </x:c>
      <x:c r="M77" s="205" t="n">
        <x:v>2</x:v>
      </x:c>
      <x:c r="N77" s="205" t="n">
        <x:v>2110</x:v>
      </x:c>
      <x:c r="O77" s="205" t="n">
        <x:v>130</x:v>
      </x:c>
      <x:c r="P77" s="205" t="n">
        <x:v>30</x:v>
      </x:c>
      <x:c r="Q77" s="206" t="n">
        <x:v>0</x:v>
      </x:c>
      <x:c r="R77" s="207" t="str"/>
      <x:c r="S77" s="207" t="str"/>
      <x:c r="T77" s="207" t="str"/>
      <x:c r="U77" s="207" t="n">
        <x:v>0</x:v>
      </x:c>
      <x:c r="V77" s="208" t="n">
        <x:f>MAX(0,M77-U77)</x:f>
        <x:v>2</x:v>
      </x:c>
      <x:c r="W77" s="209" t="n">
        <x:f>IFERROR(U77/M77,0)</x:f>
        <x:v>0</x:v>
      </x:c>
      <x:c r="X77" s="201" t="str">
        <x:f>IF(U77=0,"Não iniciado",IF(U77&gt;=M77,"Concluído","Parcial"))</x:f>
        <x:v>Não iniciado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26520</x:v>
      </x:c>
      <x:c r="C78" s="220" t="str">
        <x:v>1</x:v>
      </x:c>
      <x:c r="D78" s="220" t="str">
        <x:v>610065</x:v>
      </x:c>
      <x:c r="E78" s="220" t="str">
        <x:v>975461</x:v>
      </x:c>
      <x:c r="F78" s="220" t="str">
        <x:v>BATENTE</x:v>
      </x:c>
      <x:c r="G78" s="190" t="str">
        <x:v>2110x130x30 42x10 R2L RT BIA PET CNZ U(U</x:v>
      </x:c>
      <x:c r="H78" s="190" t="str"/>
      <x:c r="I78" s="190" t="str"/>
      <x:c r="J78" s="190" t="str"/>
      <x:c r="K78" s="190" t="str">
        <x:v>RECOBERTO PET</x:v>
      </x:c>
      <x:c r="L78" s="190" t="str">
        <x:v>CINZA VERONA</x:v>
      </x:c>
      <x:c r="M78" s="210" t="n">
        <x:v>4</x:v>
      </x:c>
      <x:c r="N78" s="210" t="n">
        <x:v>2110</x:v>
      </x:c>
      <x:c r="O78" s="210" t="n">
        <x:v>130</x:v>
      </x:c>
      <x:c r="P78" s="210" t="n">
        <x:v>30</x:v>
      </x:c>
      <x:c r="Q78" s="211" t="n">
        <x:v>0</x:v>
      </x:c>
      <x:c r="R78" s="207" t="str"/>
      <x:c r="S78" s="207" t="str"/>
      <x:c r="T78" s="207" t="str"/>
      <x:c r="U78" s="207" t="n">
        <x:v>0</x:v>
      </x:c>
      <x:c r="V78" s="208" t="n">
        <x:f>MAX(0,M78-U78)</x:f>
        <x:v>4</x:v>
      </x:c>
      <x:c r="W78" s="209" t="n">
        <x:f>IFERROR(U78/M78,0)</x:f>
        <x:v>0</x:v>
      </x:c>
      <x:c r="X78" s="201" t="str">
        <x:f>IF(U78=0,"Não iniciado",IF(U78&gt;=M78,"Concluído","Parcial"))</x:f>
        <x:v>Não iniciado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26520</x:v>
      </x:c>
      <x:c r="C79" s="218" t="str">
        <x:v>3</x:v>
      </x:c>
      <x:c r="D79" s="218" t="str">
        <x:v>610083</x:v>
      </x:c>
      <x:c r="E79" s="218" t="str">
        <x:v>975461</x:v>
      </x:c>
      <x:c r="F79" s="218" t="str">
        <x:v>BATENTE</x:v>
      </x:c>
      <x:c r="G79" s="184" t="str">
        <x:v>2110x130x30 42x10 R2L RT BIA PET CNZ U(U</x:v>
      </x:c>
      <x:c r="H79" s="184" t="str"/>
      <x:c r="I79" s="184" t="str"/>
      <x:c r="J79" s="184" t="str"/>
      <x:c r="K79" s="184" t="str">
        <x:v>RECOBERTO PET</x:v>
      </x:c>
      <x:c r="L79" s="184" t="str">
        <x:v>CINZA VERONA</x:v>
      </x:c>
      <x:c r="M79" s="205" t="n">
        <x:v>8</x:v>
      </x:c>
      <x:c r="N79" s="205" t="n">
        <x:v>2110</x:v>
      </x:c>
      <x:c r="O79" s="205" t="n">
        <x:v>130</x:v>
      </x:c>
      <x:c r="P79" s="205" t="n">
        <x:v>30</x:v>
      </x:c>
      <x:c r="Q79" s="206" t="n">
        <x:v>0</x:v>
      </x:c>
      <x:c r="R79" s="207" t="str"/>
      <x:c r="S79" s="207" t="str"/>
      <x:c r="T79" s="207" t="str"/>
      <x:c r="U79" s="207" t="n">
        <x:v>0</x:v>
      </x:c>
      <x:c r="V79" s="208" t="n">
        <x:f>MAX(0,M79-U79)</x:f>
        <x:v>8</x:v>
      </x:c>
      <x:c r="W79" s="209" t="n">
        <x:f>IFERROR(U79/M79,0)</x:f>
        <x:v>0</x:v>
      </x:c>
      <x:c r="X79" s="201" t="str">
        <x:f>IF(U79=0,"Não iniciado",IF(U79&gt;=M79,"Concluído","Parcial"))</x:f>
        <x:v>Não iniciado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26520</x:v>
      </x:c>
      <x:c r="C80" s="220" t="str">
        <x:v>5</x:v>
      </x:c>
      <x:c r="D80" s="220" t="str">
        <x:v>610099</x:v>
      </x:c>
      <x:c r="E80" s="220" t="str">
        <x:v>976389</x:v>
      </x:c>
      <x:c r="F80" s="220" t="str">
        <x:v>BATENTE</x:v>
      </x:c>
      <x:c r="G80" s="190" t="str">
        <x:v>2110x130x30 42x10R2 RT BIA PET CNZ T U(U</x:v>
      </x:c>
      <x:c r="H80" s="190" t="str"/>
      <x:c r="I80" s="190" t="str"/>
      <x:c r="J80" s="190" t="str"/>
      <x:c r="K80" s="190" t="str">
        <x:v>RECOBERTO PET</x:v>
      </x:c>
      <x:c r="L80" s="190" t="str">
        <x:v>CINZA VERONA</x:v>
      </x:c>
      <x:c r="M80" s="210" t="n">
        <x:v>2</x:v>
      </x:c>
      <x:c r="N80" s="210" t="n">
        <x:v>2110</x:v>
      </x:c>
      <x:c r="O80" s="210" t="n">
        <x:v>130</x:v>
      </x:c>
      <x:c r="P80" s="210" t="n">
        <x:v>30</x:v>
      </x:c>
      <x:c r="Q80" s="211" t="n">
        <x:v>0</x:v>
      </x:c>
      <x:c r="R80" s="207" t="str"/>
      <x:c r="S80" s="207" t="str"/>
      <x:c r="T80" s="207" t="str"/>
      <x:c r="U80" s="207" t="n">
        <x:v>0</x:v>
      </x:c>
      <x:c r="V80" s="208" t="n">
        <x:f>MAX(0,M80-U80)</x:f>
        <x:v>2</x:v>
      </x:c>
      <x:c r="W80" s="209" t="n">
        <x:f>IFERROR(U80/M80,0)</x:f>
        <x:v>0</x:v>
      </x:c>
      <x:c r="X80" s="201" t="str">
        <x:f>IF(U80=0,"Não iniciado",IF(U80&gt;=M80,"Concluído","Parcial"))</x:f>
        <x:v>Não iniciado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26747</x:v>
      </x:c>
      <x:c r="C81" s="218" t="str">
        <x:v>8</x:v>
      </x:c>
      <x:c r="D81" s="218" t="str">
        <x:v>609016</x:v>
      </x:c>
      <x:c r="E81" s="218" t="str">
        <x:v>959094</x:v>
      </x:c>
      <x:c r="F81" s="218" t="str">
        <x:v>BATENTE</x:v>
      </x:c>
      <x:c r="G81" s="184" t="str">
        <x:v>2110x130x30 42x10 R2 BIA RT PET BC U(UL)</x:v>
      </x:c>
      <x:c r="H81" s="184" t="str">
        <x:v>MDF ULTRA</x:v>
      </x:c>
      <x:c r="I81" s="184" t="str">
        <x:v>C/BORRACHA I APLICADA</x:v>
      </x:c>
      <x:c r="J81" s="184" t="str">
        <x:v>C/REB 42X10</x:v>
      </x:c>
      <x:c r="K81" s="184" t="str">
        <x:v>RECOBERTO PET</x:v>
      </x:c>
      <x:c r="L81" s="184" t="str">
        <x:v>BRANCO CARRARA</x:v>
      </x:c>
      <x:c r="M81" s="205" t="n">
        <x:v>8</x:v>
      </x:c>
      <x:c r="N81" s="205" t="n">
        <x:v>2110</x:v>
      </x:c>
      <x:c r="O81" s="205" t="n">
        <x:v>130</x:v>
      </x:c>
      <x:c r="P81" s="205" t="n">
        <x:v>30</x:v>
      </x:c>
      <x:c r="Q81" s="206" t="n">
        <x:v>0</x:v>
      </x:c>
      <x:c r="R81" s="207" t="str"/>
      <x:c r="S81" s="207" t="str"/>
      <x:c r="T81" s="207" t="str"/>
      <x:c r="U81" s="207" t="n">
        <x:v>0</x:v>
      </x:c>
      <x:c r="V81" s="208" t="n">
        <x:f>MAX(0,M81-U81)</x:f>
        <x:v>8</x:v>
      </x:c>
      <x:c r="W81" s="209" t="n">
        <x:f>IFERROR(U81/M81,0)</x:f>
        <x:v>0</x:v>
      </x:c>
      <x:c r="X81" s="201" t="str">
        <x:f>IF(U81=0,"Não iniciado",IF(U81&gt;=M81,"Concluído","Parcial"))</x:f>
        <x:v>Não iniciado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26809</x:v>
      </x:c>
      <x:c r="C82" s="220" t="str">
        <x:v>4</x:v>
      </x:c>
      <x:c r="D82" s="220" t="str">
        <x:v>609935</x:v>
      </x:c>
      <x:c r="E82" s="220" t="str">
        <x:v>2010700619</x:v>
      </x:c>
      <x:c r="F82" s="220" t="str">
        <x:v>BATENTE</x:v>
      </x:c>
      <x:c r="G82" s="190" t="str">
        <x:v>M ULTRA PET CAP M 2110X130X30 42X10 R2L</x:v>
      </x:c>
      <x:c r="H82" s="190" t="str">
        <x:v>MDF ULTRA</x:v>
      </x:c>
      <x:c r="I82" s="190" t="str">
        <x:v>C/BORRACHA I APLICADA</x:v>
      </x:c>
      <x:c r="J82" s="190" t="str">
        <x:v>C/REB 42X10</x:v>
      </x:c>
      <x:c r="K82" s="190" t="str">
        <x:v>RECOBERTO PET</x:v>
      </x:c>
      <x:c r="L82" s="190" t="str">
        <x:v>CAPUCCINO MARCHE</x:v>
      </x:c>
      <x:c r="M82" s="210" t="n">
        <x:v>12</x:v>
      </x:c>
      <x:c r="N82" s="210" t="n">
        <x:v>2110</x:v>
      </x:c>
      <x:c r="O82" s="210" t="n">
        <x:v>130</x:v>
      </x:c>
      <x:c r="P82" s="210" t="n">
        <x:v>30</x:v>
      </x:c>
      <x:c r="Q82" s="211" t="n">
        <x:v>0.099</x:v>
      </x:c>
      <x:c r="R82" s="207" t="str"/>
      <x:c r="S82" s="207" t="str"/>
      <x:c r="T82" s="207" t="str"/>
      <x:c r="U82" s="207" t="n">
        <x:v>0</x:v>
      </x:c>
      <x:c r="V82" s="208" t="n">
        <x:f>MAX(0,M82-U82)</x:f>
        <x:v>12</x:v>
      </x:c>
      <x:c r="W82" s="209" t="n">
        <x:f>IFERROR(U82/M82,0)</x:f>
        <x:v>0</x:v>
      </x:c>
      <x:c r="X82" s="201" t="str">
        <x:f>IF(U82=0,"Não iniciado",IF(U82&gt;=M82,"Concluído","Parcial"))</x:f>
        <x:v>Não iniciado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26815</x:v>
      </x:c>
      <x:c r="C83" s="218" t="str">
        <x:v>4</x:v>
      </x:c>
      <x:c r="D83" s="218" t="str">
        <x:v>609516</x:v>
      </x:c>
      <x:c r="E83" s="218" t="str">
        <x:v>2010600032</x:v>
      </x:c>
      <x:c r="F83" s="218" t="str">
        <x:v>OUTROS</x:v>
      </x:c>
      <x:c r="G83" s="184" t="str">
        <x:v>M P MDF STD PET TXT BCO 2110X130X30 42X1</x:v>
      </x:c>
      <x:c r="H83" s="184" t="str"/>
      <x:c r="I83" s="184" t="str"/>
      <x:c r="J83" s="184" t="str"/>
      <x:c r="K83" s="184" t="str">
        <x:v>ESMALTE</x:v>
      </x:c>
      <x:c r="L83" s="184" t="str">
        <x:v>BRANCO CARRARA</x:v>
      </x:c>
      <x:c r="M83" s="205" t="n">
        <x:v>134</x:v>
      </x:c>
      <x:c r="N83" s="205" t="n">
        <x:v>2110</x:v>
      </x:c>
      <x:c r="O83" s="205" t="n">
        <x:v>130</x:v>
      </x:c>
      <x:c r="P83" s="205" t="n">
        <x:v>30</x:v>
      </x:c>
      <x:c r="Q83" s="206" t="n">
        <x:v>1.103</x:v>
      </x:c>
      <x:c r="R83" s="207" t="str"/>
      <x:c r="S83" s="207" t="str"/>
      <x:c r="T83" s="207" t="str"/>
      <x:c r="U83" s="207" t="n">
        <x:v>0</x:v>
      </x:c>
      <x:c r="V83" s="208" t="n">
        <x:f>MAX(0,M83-U83)</x:f>
        <x:v>134</x:v>
      </x:c>
      <x:c r="W83" s="209" t="n">
        <x:f>IFERROR(U83/M83,0)</x:f>
        <x:v>0</x:v>
      </x:c>
      <x:c r="X83" s="201" t="str">
        <x:f>IF(U83=0,"Não iniciado",IF(U83&gt;=M83,"Concluído","Parcial"))</x:f>
        <x:v>Não iniciado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26815</x:v>
      </x:c>
      <x:c r="C84" s="220" t="str">
        <x:v>5</x:v>
      </x:c>
      <x:c r="D84" s="220" t="str">
        <x:v>609533</x:v>
      </x:c>
      <x:c r="E84" s="220" t="str">
        <x:v>2010600032</x:v>
      </x:c>
      <x:c r="F84" s="220" t="str">
        <x:v>OUTROS</x:v>
      </x:c>
      <x:c r="G84" s="190" t="str">
        <x:v>M P MDF STD PET TXT BCO 2110X130X30 42X1</x:v>
      </x:c>
      <x:c r="H84" s="190" t="str"/>
      <x:c r="I84" s="190" t="str"/>
      <x:c r="J84" s="190" t="str"/>
      <x:c r="K84" s="190" t="str">
        <x:v>ESMALTE</x:v>
      </x:c>
      <x:c r="L84" s="190" t="str">
        <x:v>BRANCO CARRARA</x:v>
      </x:c>
      <x:c r="M84" s="210" t="n">
        <x:v>16</x:v>
      </x:c>
      <x:c r="N84" s="210" t="n">
        <x:v>2110</x:v>
      </x:c>
      <x:c r="O84" s="210" t="n">
        <x:v>130</x:v>
      </x:c>
      <x:c r="P84" s="210" t="n">
        <x:v>30</x:v>
      </x:c>
      <x:c r="Q84" s="211" t="n">
        <x:v>0.132</x:v>
      </x:c>
      <x:c r="R84" s="207" t="str"/>
      <x:c r="S84" s="207" t="str"/>
      <x:c r="T84" s="207" t="str"/>
      <x:c r="U84" s="207" t="n">
        <x:v>0</x:v>
      </x:c>
      <x:c r="V84" s="208" t="n">
        <x:f>MAX(0,M84-U84)</x:f>
        <x:v>16</x:v>
      </x:c>
      <x:c r="W84" s="209" t="n">
        <x:f>IFERROR(U84/M84,0)</x:f>
        <x:v>0</x:v>
      </x:c>
      <x:c r="X84" s="201" t="str">
        <x:f>IF(U84=0,"Não iniciado",IF(U84&gt;=M84,"Concluído","Parcial"))</x:f>
        <x:v>Não iniciado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26744</x:v>
      </x:c>
      <x:c r="C85" s="218" t="str">
        <x:v>5</x:v>
      </x:c>
      <x:c r="D85" s="218" t="str">
        <x:v>610016</x:v>
      </x:c>
      <x:c r="E85" s="218" t="str">
        <x:v>676650</x:v>
      </x:c>
      <x:c r="F85" s="218" t="str">
        <x:v>BATENTE</x:v>
      </x:c>
      <x:c r="G85" s="184" t="str">
        <x:v>1000x130x30 S/REB R1L(MA) PET BCO (REC)</x:v>
      </x:c>
      <x:c r="H85" s="184" t="str">
        <x:v>MAD D/PINUS</x:v>
      </x:c>
      <x:c r="I85" s="184" t="str">
        <x:v>S/CANAL</x:v>
      </x:c>
      <x:c r="J85" s="184" t="str">
        <x:v>S/REB</x:v>
      </x:c>
      <x:c r="K85" s="184" t="str">
        <x:v>RECOBERTO PET</x:v>
      </x:c>
      <x:c r="L85" s="184" t="str">
        <x:v>BRANCO CARRARA</x:v>
      </x:c>
      <x:c r="M85" s="205" t="n">
        <x:v>2</x:v>
      </x:c>
      <x:c r="N85" s="205" t="n">
        <x:v>1000</x:v>
      </x:c>
      <x:c r="O85" s="205" t="n">
        <x:v>130</x:v>
      </x:c>
      <x:c r="P85" s="205" t="n">
        <x:v>30</x:v>
      </x:c>
      <x:c r="Q85" s="206" t="n">
        <x:v>0</x:v>
      </x:c>
      <x:c r="R85" s="207" t="str"/>
      <x:c r="S85" s="207" t="str"/>
      <x:c r="T85" s="207" t="str"/>
      <x:c r="U85" s="207" t="n">
        <x:v>0</x:v>
      </x:c>
      <x:c r="V85" s="208" t="n">
        <x:f>MAX(0,M85-U85)</x:f>
        <x:v>2</x:v>
      </x:c>
      <x:c r="W85" s="209" t="n">
        <x:f>IFERROR(U85/M85,0)</x:f>
        <x:v>0</x:v>
      </x:c>
      <x:c r="X85" s="201" t="str">
        <x:f>IF(U85=0,"Não iniciado",IF(U85&gt;=M85,"Concluído","Parcial"))</x:f>
        <x:v>Não iniciado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26747</x:v>
      </x:c>
      <x:c r="C86" s="220" t="str">
        <x:v>11</x:v>
      </x:c>
      <x:c r="D86" s="220" t="str">
        <x:v>609020</x:v>
      </x:c>
      <x:c r="E86" s="220" t="str">
        <x:v>921859</x:v>
      </x:c>
      <x:c r="F86" s="220" t="str">
        <x:v>BATENTE</x:v>
      </x:c>
      <x:c r="G86" s="190" t="str">
        <x:v>1000x130x30 S/RB R1L (MA) PET BC (UL)</x:v>
      </x:c>
      <x:c r="H86" s="190" t="str">
        <x:v>MDF ULTRA</x:v>
      </x:c>
      <x:c r="I86" s="190" t="str">
        <x:v>S/CANAL</x:v>
      </x:c>
      <x:c r="J86" s="190" t="str">
        <x:v>S/REB</x:v>
      </x:c>
      <x:c r="K86" s="190" t="str">
        <x:v>RECOBERTO PET</x:v>
      </x:c>
      <x:c r="L86" s="190" t="str">
        <x:v>BRANCO CARRARA</x:v>
      </x:c>
      <x:c r="M86" s="210" t="n">
        <x:v>1</x:v>
      </x:c>
      <x:c r="N86" s="210" t="n">
        <x:v>1000</x:v>
      </x:c>
      <x:c r="O86" s="210" t="n">
        <x:v>130</x:v>
      </x:c>
      <x:c r="P86" s="210" t="n">
        <x:v>30</x:v>
      </x:c>
      <x:c r="Q86" s="211" t="n">
        <x:v>0</x:v>
      </x:c>
      <x:c r="R86" s="207" t="str"/>
      <x:c r="S86" s="207" t="str"/>
      <x:c r="T86" s="207" t="str"/>
      <x:c r="U86" s="207" t="n">
        <x:v>0</x:v>
      </x:c>
      <x:c r="V86" s="208" t="n">
        <x:f>MAX(0,M86-U86)</x:f>
        <x:v>1</x:v>
      </x:c>
      <x:c r="W86" s="209" t="n">
        <x:f>IFERROR(U86/M86,0)</x:f>
        <x:v>0</x:v>
      </x:c>
      <x:c r="X86" s="201" t="str">
        <x:f>IF(U86=0,"Não iniciado",IF(U86&gt;=M86,"Concluído","Parcial"))</x:f>
        <x:v>Não iniciado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26815</x:v>
      </x:c>
      <x:c r="C87" s="218" t="str">
        <x:v>5</x:v>
      </x:c>
      <x:c r="D87" s="218" t="str">
        <x:v>609534</x:v>
      </x:c>
      <x:c r="E87" s="218" t="str">
        <x:v>2010600081</x:v>
      </x:c>
      <x:c r="F87" s="218" t="str">
        <x:v>BATENTE</x:v>
      </x:c>
      <x:c r="G87" s="184" t="str">
        <x:v>M T MDF STD PET TXT BCO 947X130X30 42X10</x:v>
      </x:c>
      <x:c r="H87" s="184" t="str"/>
      <x:c r="I87" s="184" t="str"/>
      <x:c r="J87" s="184" t="str"/>
      <x:c r="K87" s="184" t="str">
        <x:v>ESMALTE</x:v>
      </x:c>
      <x:c r="L87" s="184" t="str">
        <x:v>BRANCO CARRARA</x:v>
      </x:c>
      <x:c r="M87" s="205" t="n">
        <x:v>8</x:v>
      </x:c>
      <x:c r="N87" s="205" t="n">
        <x:v>947</x:v>
      </x:c>
      <x:c r="O87" s="205" t="n">
        <x:v>130</x:v>
      </x:c>
      <x:c r="P87" s="205" t="n">
        <x:v>30</x:v>
      </x:c>
      <x:c r="Q87" s="206" t="n">
        <x:v>0.03</x:v>
      </x:c>
      <x:c r="R87" s="207" t="str"/>
      <x:c r="S87" s="207" t="str"/>
      <x:c r="T87" s="207" t="str"/>
      <x:c r="U87" s="207" t="n">
        <x:v>0</x:v>
      </x:c>
      <x:c r="V87" s="208" t="n">
        <x:f>MAX(0,M87-U87)</x:f>
        <x:v>8</x:v>
      </x:c>
      <x:c r="W87" s="209" t="n">
        <x:f>IFERROR(U87/M87,0)</x:f>
        <x:v>0</x:v>
      </x:c>
      <x:c r="X87" s="201" t="str">
        <x:f>IF(U87=0,"Não iniciado",IF(U87&gt;=M87,"Concluído","Parcial"))</x:f>
        <x:v>Não iniciado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26809</x:v>
      </x:c>
      <x:c r="C88" s="220" t="str">
        <x:v>4</x:v>
      </x:c>
      <x:c r="D88" s="220" t="str">
        <x:v>609936</x:v>
      </x:c>
      <x:c r="E88" s="220" t="str">
        <x:v>2010701183</x:v>
      </x:c>
      <x:c r="F88" s="220" t="str">
        <x:v>BATENTE</x:v>
      </x:c>
      <x:c r="G88" s="190" t="str">
        <x:v>M ULTRA PET CAP M 947X130X30 42X10 R2L M</x:v>
      </x:c>
      <x:c r="H88" s="190" t="str">
        <x:v>MDF ULTRA</x:v>
      </x:c>
      <x:c r="I88" s="190" t="str">
        <x:v>C/BORRACHA I APLICADA</x:v>
      </x:c>
      <x:c r="J88" s="190" t="str">
        <x:v>C/REB 42X10</x:v>
      </x:c>
      <x:c r="K88" s="190" t="str">
        <x:v>RECOBERTO PET</x:v>
      </x:c>
      <x:c r="L88" s="190" t="str">
        <x:v>CAPUCCINO MARCHE</x:v>
      </x:c>
      <x:c r="M88" s="210" t="n">
        <x:v>6</x:v>
      </x:c>
      <x:c r="N88" s="210" t="n">
        <x:v>947</x:v>
      </x:c>
      <x:c r="O88" s="210" t="n">
        <x:v>130</x:v>
      </x:c>
      <x:c r="P88" s="210" t="n">
        <x:v>30</x:v>
      </x:c>
      <x:c r="Q88" s="211" t="n">
        <x:v>0.022</x:v>
      </x:c>
      <x:c r="R88" s="207" t="str"/>
      <x:c r="S88" s="207" t="str"/>
      <x:c r="T88" s="207" t="str"/>
      <x:c r="U88" s="207" t="n">
        <x:v>0</x:v>
      </x:c>
      <x:c r="V88" s="208" t="n">
        <x:f>MAX(0,M88-U88)</x:f>
        <x:v>6</x:v>
      </x:c>
      <x:c r="W88" s="209" t="n">
        <x:f>IFERROR(U88/M88,0)</x:f>
        <x:v>0</x:v>
      </x:c>
      <x:c r="X88" s="201" t="str">
        <x:f>IF(U88=0,"Não iniciado",IF(U88&gt;=M88,"Concluído","Parcial"))</x:f>
        <x:v>Não iniciado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26684</x:v>
      </x:c>
      <x:c r="C89" s="218" t="str">
        <x:v>3</x:v>
      </x:c>
      <x:c r="D89" s="218" t="str">
        <x:v>609128</x:v>
      </x:c>
      <x:c r="E89" s="218" t="str">
        <x:v>966817</x:v>
      </x:c>
      <x:c r="F89" s="218" t="str">
        <x:v>BATENTE</x:v>
      </x:c>
      <x:c r="G89" s="184" t="str">
        <x:v>867x130x30 42x10 R2L RT BIA PET STD PREM</x:v>
      </x:c>
      <x:c r="H89" s="184" t="str"/>
      <x:c r="I89" s="184" t="str"/>
      <x:c r="J89" s="184" t="str"/>
      <x:c r="K89" s="184" t="str">
        <x:v>ESMALTE</x:v>
      </x:c>
      <x:c r="L89" s="184" t="str">
        <x:v>BRANCO CARRARA</x:v>
      </x:c>
      <x:c r="M89" s="205" t="n">
        <x:v>3</x:v>
      </x:c>
      <x:c r="N89" s="205" t="n">
        <x:v>867</x:v>
      </x:c>
      <x:c r="O89" s="205" t="n">
        <x:v>130</x:v>
      </x:c>
      <x:c r="P89" s="205" t="n">
        <x:v>30</x:v>
      </x:c>
      <x:c r="Q89" s="206" t="n">
        <x:v>0</x:v>
      </x:c>
      <x:c r="R89" s="207" t="str"/>
      <x:c r="S89" s="207" t="str"/>
      <x:c r="T89" s="207" t="str"/>
      <x:c r="U89" s="207" t="n">
        <x:v>0</x:v>
      </x:c>
      <x:c r="V89" s="208" t="n">
        <x:f>MAX(0,M89-U89)</x:f>
        <x:v>3</x:v>
      </x:c>
      <x:c r="W89" s="209" t="n">
        <x:f>IFERROR(U89/M89,0)</x:f>
        <x:v>0</x:v>
      </x:c>
      <x:c r="X89" s="201" t="str">
        <x:f>IF(U89=0,"Não iniciado",IF(U89&gt;=M89,"Concluído","Parcial"))</x:f>
        <x:v>Não iniciado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26684</x:v>
      </x:c>
      <x:c r="C90" s="220" t="str">
        <x:v>5</x:v>
      </x:c>
      <x:c r="D90" s="220" t="str">
        <x:v>609144</x:v>
      </x:c>
      <x:c r="E90" s="220" t="str">
        <x:v>966817</x:v>
      </x:c>
      <x:c r="F90" s="220" t="str">
        <x:v>BATENTE</x:v>
      </x:c>
      <x:c r="G90" s="190" t="str">
        <x:v>867x130x30 42x10 R2L RT BIA PET STD PREM</x:v>
      </x:c>
      <x:c r="H90" s="190" t="str"/>
      <x:c r="I90" s="190" t="str"/>
      <x:c r="J90" s="190" t="str"/>
      <x:c r="K90" s="190" t="str">
        <x:v>ESMALTE</x:v>
      </x:c>
      <x:c r="L90" s="190" t="str">
        <x:v>BRANCO CARRARA</x:v>
      </x:c>
      <x:c r="M90" s="210" t="n">
        <x:v>6</x:v>
      </x:c>
      <x:c r="N90" s="210" t="n">
        <x:v>867</x:v>
      </x:c>
      <x:c r="O90" s="210" t="n">
        <x:v>130</x:v>
      </x:c>
      <x:c r="P90" s="210" t="n">
        <x:v>30</x:v>
      </x:c>
      <x:c r="Q90" s="211" t="n">
        <x:v>0</x:v>
      </x:c>
      <x:c r="R90" s="207" t="str"/>
      <x:c r="S90" s="207" t="str"/>
      <x:c r="T90" s="207" t="str"/>
      <x:c r="U90" s="207" t="n">
        <x:v>0</x:v>
      </x:c>
      <x:c r="V90" s="208" t="n">
        <x:f>MAX(0,M90-U90)</x:f>
        <x:v>6</x:v>
      </x:c>
      <x:c r="W90" s="209" t="n">
        <x:f>IFERROR(U90/M90,0)</x:f>
        <x:v>0</x:v>
      </x:c>
      <x:c r="X90" s="201" t="str">
        <x:f>IF(U90=0,"Não iniciado",IF(U90&gt;=M90,"Concluído","Parcial"))</x:f>
        <x:v>Não iniciado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26684</x:v>
      </x:c>
      <x:c r="C91" s="218" t="str">
        <x:v>9</x:v>
      </x:c>
      <x:c r="D91" s="218" t="str">
        <x:v>609176</x:v>
      </x:c>
      <x:c r="E91" s="218" t="str">
        <x:v>966817</x:v>
      </x:c>
      <x:c r="F91" s="218" t="str">
        <x:v>BATENTE</x:v>
      </x:c>
      <x:c r="G91" s="184" t="str">
        <x:v>867x130x30 42x10 R2L RT BIA PET STD PREM</x:v>
      </x:c>
      <x:c r="H91" s="184" t="str"/>
      <x:c r="I91" s="184" t="str"/>
      <x:c r="J91" s="184" t="str"/>
      <x:c r="K91" s="184" t="str">
        <x:v>ESMALTE</x:v>
      </x:c>
      <x:c r="L91" s="184" t="str">
        <x:v>BRANCO CARRARA</x:v>
      </x:c>
      <x:c r="M91" s="205" t="n">
        <x:v>57</x:v>
      </x:c>
      <x:c r="N91" s="205" t="n">
        <x:v>867</x:v>
      </x:c>
      <x:c r="O91" s="205" t="n">
        <x:v>130</x:v>
      </x:c>
      <x:c r="P91" s="205" t="n">
        <x:v>30</x:v>
      </x:c>
      <x:c r="Q91" s="206" t="n">
        <x:v>0</x:v>
      </x:c>
      <x:c r="R91" s="207" t="str"/>
      <x:c r="S91" s="207" t="str"/>
      <x:c r="T91" s="207" t="str"/>
      <x:c r="U91" s="207" t="n">
        <x:v>0</x:v>
      </x:c>
      <x:c r="V91" s="208" t="n">
        <x:f>MAX(0,M91-U91)</x:f>
        <x:v>57</x:v>
      </x:c>
      <x:c r="W91" s="209" t="n">
        <x:f>IFERROR(U91/M91,0)</x:f>
        <x:v>0</x:v>
      </x:c>
      <x:c r="X91" s="201" t="str">
        <x:f>IF(U91=0,"Não iniciado",IF(U91&gt;=M91,"Concluído","Parcial"))</x:f>
        <x:v>Não iniciado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26689</x:v>
      </x:c>
      <x:c r="C92" s="220" t="str">
        <x:v>3</x:v>
      </x:c>
      <x:c r="D92" s="220" t="str">
        <x:v>609095</x:v>
      </x:c>
      <x:c r="E92" s="220" t="str">
        <x:v>966817</x:v>
      </x:c>
      <x:c r="F92" s="220" t="str">
        <x:v>BATENTE</x:v>
      </x:c>
      <x:c r="G92" s="190" t="str">
        <x:v>867x130x30 42x10 R2L RT BIA PET STD PREM</x:v>
      </x:c>
      <x:c r="H92" s="190" t="str"/>
      <x:c r="I92" s="190" t="str"/>
      <x:c r="J92" s="190" t="str"/>
      <x:c r="K92" s="190" t="str">
        <x:v>ESMALTE</x:v>
      </x:c>
      <x:c r="L92" s="190" t="str">
        <x:v>BRANCO CARRARA</x:v>
      </x:c>
      <x:c r="M92" s="210" t="n">
        <x:v>61</x:v>
      </x:c>
      <x:c r="N92" s="210" t="n">
        <x:v>867</x:v>
      </x:c>
      <x:c r="O92" s="210" t="n">
        <x:v>130</x:v>
      </x:c>
      <x:c r="P92" s="210" t="n">
        <x:v>30</x:v>
      </x:c>
      <x:c r="Q92" s="211" t="n">
        <x:v>0</x:v>
      </x:c>
      <x:c r="R92" s="207" t="str"/>
      <x:c r="S92" s="207" t="str"/>
      <x:c r="T92" s="207" t="str"/>
      <x:c r="U92" s="207" t="n">
        <x:v>0</x:v>
      </x:c>
      <x:c r="V92" s="208" t="n">
        <x:f>MAX(0,M92-U92)</x:f>
        <x:v>61</x:v>
      </x:c>
      <x:c r="W92" s="209" t="n">
        <x:f>IFERROR(U92/M92,0)</x:f>
        <x:v>0</x:v>
      </x:c>
      <x:c r="X92" s="201" t="str">
        <x:f>IF(U92=0,"Não iniciado",IF(U92&gt;=M92,"Concluído","Parcial"))</x:f>
        <x:v>Não iniciado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26520</x:v>
      </x:c>
      <x:c r="C93" s="218" t="str">
        <x:v>1</x:v>
      </x:c>
      <x:c r="D93" s="218" t="str">
        <x:v>610068</x:v>
      </x:c>
      <x:c r="E93" s="218" t="str">
        <x:v>984360</x:v>
      </x:c>
      <x:c r="F93" s="218" t="str">
        <x:v>BATENTE</x:v>
      </x:c>
      <x:c r="G93" s="184" t="str">
        <x:v>867x130x30 42x10 R2 RT BIA PET CNZ UL)</x:v>
      </x:c>
      <x:c r="H93" s="184" t="str"/>
      <x:c r="I93" s="184" t="str"/>
      <x:c r="J93" s="184" t="str"/>
      <x:c r="K93" s="184" t="str">
        <x:v>RECOBERTO PET</x:v>
      </x:c>
      <x:c r="L93" s="184" t="str">
        <x:v>CINZA VERONA</x:v>
      </x:c>
      <x:c r="M93" s="205" t="n">
        <x:v>2</x:v>
      </x:c>
      <x:c r="N93" s="205" t="n">
        <x:v>867</x:v>
      </x:c>
      <x:c r="O93" s="205" t="n">
        <x:v>130</x:v>
      </x:c>
      <x:c r="P93" s="205" t="n">
        <x:v>30</x:v>
      </x:c>
      <x:c r="Q93" s="206" t="n">
        <x:v>0</x:v>
      </x:c>
      <x:c r="R93" s="207" t="str"/>
      <x:c r="S93" s="207" t="str"/>
      <x:c r="T93" s="207" t="str"/>
      <x:c r="U93" s="207" t="n">
        <x:v>0</x:v>
      </x:c>
      <x:c r="V93" s="208" t="n">
        <x:f>MAX(0,M93-U93)</x:f>
        <x:v>2</x:v>
      </x:c>
      <x:c r="W93" s="209" t="n">
        <x:f>IFERROR(U93/M93,0)</x:f>
        <x:v>0</x:v>
      </x:c>
      <x:c r="X93" s="201" t="str">
        <x:f>IF(U93=0,"Não iniciado",IF(U93&gt;=M93,"Concluído","Parcial"))</x:f>
        <x:v>Não iniciado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26808</x:v>
      </x:c>
      <x:c r="C94" s="220" t="str">
        <x:v>7</x:v>
      </x:c>
      <x:c r="D94" s="220" t="str">
        <x:v>608945</x:v>
      </x:c>
      <x:c r="E94" s="220" t="str">
        <x:v>675742</x:v>
      </x:c>
      <x:c r="F94" s="220" t="str">
        <x:v>BATENTE</x:v>
      </x:c>
      <x:c r="G94" s="190" t="str">
        <x:v>847x130x30 42x10 R2L BIA PET BC(PREMIUM)</x:v>
      </x:c>
      <x:c r="H94" s="190" t="str"/>
      <x:c r="I94" s="190" t="str"/>
      <x:c r="J94" s="190" t="str"/>
      <x:c r="K94" s="190" t="str">
        <x:v>ESMALTE</x:v>
      </x:c>
      <x:c r="L94" s="190" t="str">
        <x:v>BRANCO CARRARA</x:v>
      </x:c>
      <x:c r="M94" s="210" t="n">
        <x:v>4</x:v>
      </x:c>
      <x:c r="N94" s="210" t="n">
        <x:v>847</x:v>
      </x:c>
      <x:c r="O94" s="210" t="n">
        <x:v>130</x:v>
      </x:c>
      <x:c r="P94" s="210" t="n">
        <x:v>30</x:v>
      </x:c>
      <x:c r="Q94" s="211" t="n">
        <x:v>0</x:v>
      </x:c>
      <x:c r="R94" s="207" t="str"/>
      <x:c r="S94" s="207" t="str"/>
      <x:c r="T94" s="207" t="str"/>
      <x:c r="U94" s="207" t="n">
        <x:v>0</x:v>
      </x:c>
      <x:c r="V94" s="208" t="n">
        <x:f>MAX(0,M94-U94)</x:f>
        <x:v>4</x:v>
      </x:c>
      <x:c r="W94" s="209" t="n">
        <x:f>IFERROR(U94/M94,0)</x:f>
        <x:v>0</x:v>
      </x:c>
      <x:c r="X94" s="201" t="str">
        <x:f>IF(U94=0,"Não iniciado",IF(U94&gt;=M94,"Concluído","Parcial"))</x:f>
        <x:v>Não iniciado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26808</x:v>
      </x:c>
      <x:c r="C95" s="218" t="str">
        <x:v>10</x:v>
      </x:c>
      <x:c r="D95" s="218" t="str">
        <x:v>608969</x:v>
      </x:c>
      <x:c r="E95" s="218" t="str">
        <x:v>675742</x:v>
      </x:c>
      <x:c r="F95" s="218" t="str">
        <x:v>BATENTE</x:v>
      </x:c>
      <x:c r="G95" s="184" t="str">
        <x:v>847x130x30 42x10 R2L BIA PET BC(PREMIUM)</x:v>
      </x:c>
      <x:c r="H95" s="184" t="str"/>
      <x:c r="I95" s="184" t="str"/>
      <x:c r="J95" s="184" t="str"/>
      <x:c r="K95" s="184" t="str">
        <x:v>ESMALTE</x:v>
      </x:c>
      <x:c r="L95" s="184" t="str">
        <x:v>BRANCO CARRARA</x:v>
      </x:c>
      <x:c r="M95" s="205" t="n">
        <x:v>1</x:v>
      </x:c>
      <x:c r="N95" s="205" t="n">
        <x:v>847</x:v>
      </x:c>
      <x:c r="O95" s="205" t="n">
        <x:v>130</x:v>
      </x:c>
      <x:c r="P95" s="205" t="n">
        <x:v>30</x:v>
      </x:c>
      <x:c r="Q95" s="206" t="n">
        <x:v>0</x:v>
      </x:c>
      <x:c r="R95" s="207" t="str"/>
      <x:c r="S95" s="207" t="str"/>
      <x:c r="T95" s="207" t="str"/>
      <x:c r="U95" s="207" t="n">
        <x:v>0</x:v>
      </x:c>
      <x:c r="V95" s="208" t="n">
        <x:f>MAX(0,M95-U95)</x:f>
        <x:v>1</x:v>
      </x:c>
      <x:c r="W95" s="209" t="n">
        <x:f>IFERROR(U95/M95,0)</x:f>
        <x:v>0</x:v>
      </x:c>
      <x:c r="X95" s="201" t="str">
        <x:f>IF(U95=0,"Não iniciado",IF(U95&gt;=M95,"Concluído","Parcial"))</x:f>
        <x:v>Não iniciado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26815</x:v>
      </x:c>
      <x:c r="C96" s="220" t="str">
        <x:v>4</x:v>
      </x:c>
      <x:c r="D96" s="220" t="str">
        <x:v>609517</x:v>
      </x:c>
      <x:c r="E96" s="220" t="str">
        <x:v>2010600074</x:v>
      </x:c>
      <x:c r="F96" s="220" t="str">
        <x:v>BATENTE</x:v>
      </x:c>
      <x:c r="G96" s="190" t="str">
        <x:v>M T MDF STD PET TXT BCO 847X130X30 42X10</x:v>
      </x:c>
      <x:c r="H96" s="190" t="str"/>
      <x:c r="I96" s="190" t="str"/>
      <x:c r="J96" s="190" t="str"/>
      <x:c r="K96" s="190" t="str">
        <x:v>ESMALTE</x:v>
      </x:c>
      <x:c r="L96" s="190" t="str">
        <x:v>BRANCO CARRARA</x:v>
      </x:c>
      <x:c r="M96" s="210" t="n">
        <x:v>67</x:v>
      </x:c>
      <x:c r="N96" s="210" t="n">
        <x:v>847</x:v>
      </x:c>
      <x:c r="O96" s="210" t="n">
        <x:v>130</x:v>
      </x:c>
      <x:c r="P96" s="210" t="n">
        <x:v>30</x:v>
      </x:c>
      <x:c r="Q96" s="211" t="n">
        <x:v>0.221</x:v>
      </x:c>
      <x:c r="R96" s="207" t="str"/>
      <x:c r="S96" s="207" t="str"/>
      <x:c r="T96" s="207" t="str"/>
      <x:c r="U96" s="207" t="n">
        <x:v>0</x:v>
      </x:c>
      <x:c r="V96" s="208" t="n">
        <x:f>MAX(0,M96-U96)</x:f>
        <x:v>67</x:v>
      </x:c>
      <x:c r="W96" s="209" t="n">
        <x:f>IFERROR(U96/M96,0)</x:f>
        <x:v>0</x:v>
      </x:c>
      <x:c r="X96" s="201" t="str">
        <x:f>IF(U96=0,"Não iniciado",IF(U96&gt;=M96,"Concluído","Parcial"))</x:f>
        <x:v>Não iniciado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26747</x:v>
      </x:c>
      <x:c r="C97" s="218" t="str">
        <x:v>8</x:v>
      </x:c>
      <x:c r="D97" s="218" t="str">
        <x:v>609015</x:v>
      </x:c>
      <x:c r="E97" s="218" t="str">
        <x:v>955171</x:v>
      </x:c>
      <x:c r="F97" s="218" t="str">
        <x:v>BATENTE</x:v>
      </x:c>
      <x:c r="G97" s="184" t="str">
        <x:v>847x130x30 42X10 R2L BIA RT PET BCO (ULT</x:v>
      </x:c>
      <x:c r="H97" s="184" t="str">
        <x:v>MDF ULTRA</x:v>
      </x:c>
      <x:c r="I97" s="184" t="str">
        <x:v>C/BORRACHA I APLICADA</x:v>
      </x:c>
      <x:c r="J97" s="184" t="str">
        <x:v>C/REB 42X10</x:v>
      </x:c>
      <x:c r="K97" s="184" t="str">
        <x:v>RECOBERTO PET</x:v>
      </x:c>
      <x:c r="L97" s="184" t="str">
        <x:v>BRANCO CARRARA</x:v>
      </x:c>
      <x:c r="M97" s="205" t="n">
        <x:v>4</x:v>
      </x:c>
      <x:c r="N97" s="205" t="n">
        <x:v>847</x:v>
      </x:c>
      <x:c r="O97" s="205" t="n">
        <x:v>130</x:v>
      </x:c>
      <x:c r="P97" s="205" t="n">
        <x:v>30</x:v>
      </x:c>
      <x:c r="Q97" s="206" t="n">
        <x:v>0</x:v>
      </x:c>
      <x:c r="R97" s="207" t="str"/>
      <x:c r="S97" s="207" t="str"/>
      <x:c r="T97" s="207" t="str"/>
      <x:c r="U97" s="207" t="n">
        <x:v>0</x:v>
      </x:c>
      <x:c r="V97" s="208" t="n">
        <x:f>MAX(0,M97-U97)</x:f>
        <x:v>4</x:v>
      </x:c>
      <x:c r="W97" s="209" t="n">
        <x:f>IFERROR(U97/M97,0)</x:f>
        <x:v>0</x:v>
      </x:c>
      <x:c r="X97" s="201" t="str">
        <x:f>IF(U97=0,"Não iniciado",IF(U97&gt;=M97,"Concluído","Parcial"))</x:f>
        <x:v>Não iniciado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26739</x:v>
      </x:c>
      <x:c r="C98" s="220" t="str">
        <x:v>11</x:v>
      </x:c>
      <x:c r="D98" s="220" t="str">
        <x:v>609665</x:v>
      </x:c>
      <x:c r="E98" s="220" t="str">
        <x:v>960977</x:v>
      </x:c>
      <x:c r="F98" s="220" t="str">
        <x:v>BATENTE</x:v>
      </x:c>
      <x:c r="G98" s="190" t="str">
        <x:v>767x130x30 42X10 R2L BIA RT PET BCO (ULT</x:v>
      </x:c>
      <x:c r="H98" s="190" t="str"/>
      <x:c r="I98" s="190" t="str"/>
      <x:c r="J98" s="190" t="str"/>
      <x:c r="K98" s="190" t="str">
        <x:v>ESMALTE</x:v>
      </x:c>
      <x:c r="L98" s="190" t="str">
        <x:v>BRANCO CARRARA</x:v>
      </x:c>
      <x:c r="M98" s="210" t="n">
        <x:v>16</x:v>
      </x:c>
      <x:c r="N98" s="210" t="n">
        <x:v>767</x:v>
      </x:c>
      <x:c r="O98" s="210" t="n">
        <x:v>130</x:v>
      </x:c>
      <x:c r="P98" s="210" t="n">
        <x:v>30</x:v>
      </x:c>
      <x:c r="Q98" s="211" t="n">
        <x:v>0.048</x:v>
      </x:c>
      <x:c r="R98" s="207" t="str"/>
      <x:c r="S98" s="207" t="str"/>
      <x:c r="T98" s="207" t="str"/>
      <x:c r="U98" s="207" t="n">
        <x:v>0</x:v>
      </x:c>
      <x:c r="V98" s="208" t="n">
        <x:f>MAX(0,M98-U98)</x:f>
        <x:v>16</x:v>
      </x:c>
      <x:c r="W98" s="209" t="n">
        <x:f>IFERROR(U98/M98,0)</x:f>
        <x:v>0</x:v>
      </x:c>
      <x:c r="X98" s="201" t="str">
        <x:f>IF(U98=0,"Não iniciado",IF(U98&gt;=M98,"Concluído","Parcial"))</x:f>
        <x:v>Não iniciado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26750</x:v>
      </x:c>
      <x:c r="C99" s="218" t="str">
        <x:v>14</x:v>
      </x:c>
      <x:c r="D99" s="218" t="str">
        <x:v>609838</x:v>
      </x:c>
      <x:c r="E99" s="218" t="str">
        <x:v>960977</x:v>
      </x:c>
      <x:c r="F99" s="218" t="str">
        <x:v>BATENTE</x:v>
      </x:c>
      <x:c r="G99" s="184" t="str">
        <x:v>767x130x30 42X10 R2L BIA RT PET BCO (ULT</x:v>
      </x:c>
      <x:c r="H99" s="184" t="str"/>
      <x:c r="I99" s="184" t="str"/>
      <x:c r="J99" s="184" t="str"/>
      <x:c r="K99" s="184" t="str">
        <x:v>ESMALTE</x:v>
      </x:c>
      <x:c r="L99" s="184" t="str">
        <x:v>BRANCO CARRARA</x:v>
      </x:c>
      <x:c r="M99" s="205" t="n">
        <x:v>19</x:v>
      </x:c>
      <x:c r="N99" s="205" t="n">
        <x:v>767</x:v>
      </x:c>
      <x:c r="O99" s="205" t="n">
        <x:v>130</x:v>
      </x:c>
      <x:c r="P99" s="205" t="n">
        <x:v>30</x:v>
      </x:c>
      <x:c r="Q99" s="206" t="n">
        <x:v>0.057</x:v>
      </x:c>
      <x:c r="R99" s="207" t="str"/>
      <x:c r="S99" s="207" t="str"/>
      <x:c r="T99" s="207" t="str"/>
      <x:c r="U99" s="207" t="n">
        <x:v>0</x:v>
      </x:c>
      <x:c r="V99" s="208" t="n">
        <x:f>MAX(0,M99-U99)</x:f>
        <x:v>19</x:v>
      </x:c>
      <x:c r="W99" s="209" t="n">
        <x:f>IFERROR(U99/M99,0)</x:f>
        <x:v>0</x:v>
      </x:c>
      <x:c r="X99" s="201" t="str">
        <x:f>IF(U99=0,"Não iniciado",IF(U99&gt;=M99,"Concluído","Parcial"))</x:f>
        <x:v>Não iniciado</x:v>
      </x:c>
      <x:c r="Y99" s="199" t="str"/>
      <x:c r="Z99" s="188" t="str">
        <x:v>Normal</x:v>
      </x:c>
    </x:row>
    <x:row r="100" ht="22" customHeight="1">
      <x:c r="A100" s="219" t="n">
        <x:v>96</x:v>
      </x:c>
      <x:c r="B100" s="220" t="str">
        <x:v>26520</x:v>
      </x:c>
      <x:c r="C100" s="220" t="str">
        <x:v>3</x:v>
      </x:c>
      <x:c r="D100" s="220" t="str">
        <x:v>610084</x:v>
      </x:c>
      <x:c r="E100" s="220" t="str">
        <x:v>985217</x:v>
      </x:c>
      <x:c r="F100" s="220" t="str">
        <x:v>BATENTE</x:v>
      </x:c>
      <x:c r="G100" s="190" t="str">
        <x:v>767x130x30 42x10 R2 RT BIA PET CNZ UL)</x:v>
      </x:c>
      <x:c r="H100" s="190" t="str"/>
      <x:c r="I100" s="190" t="str"/>
      <x:c r="J100" s="190" t="str"/>
      <x:c r="K100" s="190" t="str">
        <x:v>RECOBERTO PET</x:v>
      </x:c>
      <x:c r="L100" s="190" t="str">
        <x:v>CINZA VERONA</x:v>
      </x:c>
      <x:c r="M100" s="210" t="n">
        <x:v>4</x:v>
      </x:c>
      <x:c r="N100" s="210" t="n">
        <x:v>767</x:v>
      </x:c>
      <x:c r="O100" s="210" t="n">
        <x:v>130</x:v>
      </x:c>
      <x:c r="P100" s="210" t="n">
        <x:v>30</x:v>
      </x:c>
      <x:c r="Q100" s="211" t="n">
        <x:v>0</x:v>
      </x:c>
      <x:c r="R100" s="207" t="str"/>
      <x:c r="S100" s="207" t="str"/>
      <x:c r="T100" s="207" t="str"/>
      <x:c r="U100" s="207" t="n">
        <x:v>0</x:v>
      </x:c>
      <x:c r="V100" s="208" t="n">
        <x:f>MAX(0,M100-U100)</x:f>
        <x:v>4</x:v>
      </x:c>
      <x:c r="W100" s="209" t="n">
        <x:f>IFERROR(U100/M100,0)</x:f>
        <x:v>0</x:v>
      </x:c>
      <x:c r="X100" s="201" t="str">
        <x:f>IF(U100=0,"Não iniciado",IF(U100&gt;=M100,"Concluído","Parcial"))</x:f>
        <x:v>Não iniciado</x:v>
      </x:c>
      <x:c r="Y100" s="199" t="str"/>
      <x:c r="Z100" s="188" t="str">
        <x:v>Normal</x:v>
      </x:c>
    </x:row>
    <x:row r="101" ht="22" customHeight="1">
      <x:c r="A101" s="217" t="n">
        <x:v>97</x:v>
      </x:c>
      <x:c r="B101" s="218" t="str">
        <x:v>26744</x:v>
      </x:c>
      <x:c r="C101" s="218" t="str">
        <x:v>2</x:v>
      </x:c>
      <x:c r="D101" s="218" t="str">
        <x:v>609997</x:v>
      </x:c>
      <x:c r="E101" s="218" t="str">
        <x:v>675978</x:v>
      </x:c>
      <x:c r="F101" s="218" t="str">
        <x:v>BATENTE</x:v>
      </x:c>
      <x:c r="G101" s="184" t="str">
        <x:v>747x130x30 42x10 R2 BIA PET BC(PREMIUM)</x:v>
      </x:c>
      <x:c r="H101" s="184" t="str"/>
      <x:c r="I101" s="184" t="str"/>
      <x:c r="J101" s="184" t="str"/>
      <x:c r="K101" s="184" t="str">
        <x:v>RECOBERTO PET</x:v>
      </x:c>
      <x:c r="L101" s="184" t="str">
        <x:v>BRANCO CARRARA</x:v>
      </x:c>
      <x:c r="M101" s="205" t="n">
        <x:v>5</x:v>
      </x:c>
      <x:c r="N101" s="205" t="n">
        <x:v>747</x:v>
      </x:c>
      <x:c r="O101" s="205" t="n">
        <x:v>130</x:v>
      </x:c>
      <x:c r="P101" s="205" t="n">
        <x:v>30</x:v>
      </x:c>
      <x:c r="Q101" s="206" t="n">
        <x:v>0</x:v>
      </x:c>
      <x:c r="R101" s="207" t="str"/>
      <x:c r="S101" s="207" t="str"/>
      <x:c r="T101" s="207" t="str"/>
      <x:c r="U101" s="207" t="n">
        <x:v>0</x:v>
      </x:c>
      <x:c r="V101" s="208" t="n">
        <x:f>MAX(0,M101-U101)</x:f>
        <x:v>5</x:v>
      </x:c>
      <x:c r="W101" s="209" t="n">
        <x:f>IFERROR(U101/M101,0)</x:f>
        <x:v>0</x:v>
      </x:c>
      <x:c r="X101" s="201" t="str">
        <x:f>IF(U101=0,"Não iniciado",IF(U101&gt;=M101,"Concluído","Parcial"))</x:f>
        <x:v>Não iniciado</x:v>
      </x:c>
      <x:c r="Y101" s="199" t="str"/>
      <x:c r="Z101" s="188" t="str">
        <x:v>Normal</x:v>
      </x:c>
    </x:row>
    <x:row r="102" ht="22" customHeight="1">
      <x:c r="A102" s="219" t="n">
        <x:v>98</x:v>
      </x:c>
      <x:c r="B102" s="220" t="str">
        <x:v>26747</x:v>
      </x:c>
      <x:c r="C102" s="220" t="str">
        <x:v>6</x:v>
      </x:c>
      <x:c r="D102" s="220" t="str">
        <x:v>609012</x:v>
      </x:c>
      <x:c r="E102" s="220" t="str">
        <x:v>964779</x:v>
      </x:c>
      <x:c r="F102" s="220" t="str">
        <x:v>BATENTE</x:v>
      </x:c>
      <x:c r="G102" s="190" t="str">
        <x:v>747x130x30 42X10 R2L BIA RT PET BCO (ULT</x:v>
      </x:c>
      <x:c r="H102" s="190" t="str"/>
      <x:c r="I102" s="190" t="str"/>
      <x:c r="J102" s="190" t="str"/>
      <x:c r="K102" s="190" t="str">
        <x:v>RECOBERTO MELAMINICO</x:v>
      </x:c>
      <x:c r="L102" s="190" t="str">
        <x:v>BRANCO CARRARA</x:v>
      </x:c>
      <x:c r="M102" s="210" t="n">
        <x:v>1</x:v>
      </x:c>
      <x:c r="N102" s="210" t="n">
        <x:v>747</x:v>
      </x:c>
      <x:c r="O102" s="210" t="n">
        <x:v>130</x:v>
      </x:c>
      <x:c r="P102" s="210" t="n">
        <x:v>30</x:v>
      </x:c>
      <x:c r="Q102" s="211" t="n">
        <x:v>0</x:v>
      </x:c>
      <x:c r="R102" s="207" t="str"/>
      <x:c r="S102" s="207" t="str"/>
      <x:c r="T102" s="207" t="str"/>
      <x:c r="U102" s="207" t="n">
        <x:v>0</x:v>
      </x:c>
      <x:c r="V102" s="208" t="n">
        <x:f>MAX(0,M102-U102)</x:f>
        <x:v>1</x:v>
      </x:c>
      <x:c r="W102" s="209" t="n">
        <x:f>IFERROR(U102/M102,0)</x:f>
        <x:v>0</x:v>
      </x:c>
      <x:c r="X102" s="201" t="str">
        <x:f>IF(U102=0,"Não iniciado",IF(U102&gt;=M102,"Concluído","Parcial"))</x:f>
        <x:v>Não iniciado</x:v>
      </x:c>
      <x:c r="Y102" s="199" t="str"/>
      <x:c r="Z102" s="188" t="str">
        <x:v>Normal</x:v>
      </x:c>
    </x:row>
    <x:row r="103" ht="22" customHeight="1">
      <x:c r="A103" s="217" t="n">
        <x:v>99</x:v>
      </x:c>
      <x:c r="B103" s="218" t="str">
        <x:v>26739</x:v>
      </x:c>
      <x:c r="C103" s="218" t="str">
        <x:v>20</x:v>
      </x:c>
      <x:c r="D103" s="218" t="str">
        <x:v>609722</x:v>
      </x:c>
      <x:c r="E103" s="218" t="str">
        <x:v>968091</x:v>
      </x:c>
      <x:c r="F103" s="218" t="str">
        <x:v>BATENTE</x:v>
      </x:c>
      <x:c r="G103" s="184" t="str">
        <x:v>667x130x30 42X10 R2L BIA RT PET BCO (ULT</x:v>
      </x:c>
      <x:c r="H103" s="184" t="str"/>
      <x:c r="I103" s="184" t="str"/>
      <x:c r="J103" s="184" t="str"/>
      <x:c r="K103" s="184" t="str">
        <x:v>ESMALTE</x:v>
      </x:c>
      <x:c r="L103" s="184" t="str">
        <x:v>BRANCO CARRARA</x:v>
      </x:c>
      <x:c r="M103" s="205" t="n">
        <x:v>3</x:v>
      </x:c>
      <x:c r="N103" s="205" t="n">
        <x:v>667</x:v>
      </x:c>
      <x:c r="O103" s="205" t="n">
        <x:v>130</x:v>
      </x:c>
      <x:c r="P103" s="205" t="n">
        <x:v>30</x:v>
      </x:c>
      <x:c r="Q103" s="206" t="n">
        <x:v>0.008</x:v>
      </x:c>
      <x:c r="R103" s="207" t="str"/>
      <x:c r="S103" s="207" t="str"/>
      <x:c r="T103" s="207" t="str"/>
      <x:c r="U103" s="207" t="n">
        <x:v>0</x:v>
      </x:c>
      <x:c r="V103" s="208" t="n">
        <x:f>MAX(0,M103-U103)</x:f>
        <x:v>3</x:v>
      </x:c>
      <x:c r="W103" s="209" t="n">
        <x:f>IFERROR(U103/M103,0)</x:f>
        <x:v>0</x:v>
      </x:c>
      <x:c r="X103" s="201" t="str">
        <x:f>IF(U103=0,"Não iniciado",IF(U103&gt;=M103,"Concluído","Parcial"))</x:f>
        <x:v>Não iniciado</x:v>
      </x:c>
      <x:c r="Y103" s="199" t="str"/>
      <x:c r="Z103" s="188" t="str">
        <x:v>Normal</x:v>
      </x:c>
    </x:row>
    <x:row r="104" ht="22" customHeight="1">
      <x:c r="A104" s="219" t="n">
        <x:v>100</x:v>
      </x:c>
      <x:c r="B104" s="220" t="str">
        <x:v>26739</x:v>
      </x:c>
      <x:c r="C104" s="220" t="str">
        <x:v>25</x:v>
      </x:c>
      <x:c r="D104" s="220" t="str">
        <x:v>609776</x:v>
      </x:c>
      <x:c r="E104" s="220" t="str">
        <x:v>968091</x:v>
      </x:c>
      <x:c r="F104" s="220" t="str">
        <x:v>BATENTE</x:v>
      </x:c>
      <x:c r="G104" s="190" t="str">
        <x:v>667x130x30 42X10 R2L BIA RT PET BCO (ULT</x:v>
      </x:c>
      <x:c r="H104" s="190" t="str"/>
      <x:c r="I104" s="190" t="str"/>
      <x:c r="J104" s="190" t="str"/>
      <x:c r="K104" s="190" t="str">
        <x:v>ESMALTE</x:v>
      </x:c>
      <x:c r="L104" s="190" t="str">
        <x:v>BRANCO CARRARA</x:v>
      </x:c>
      <x:c r="M104" s="210" t="n">
        <x:v>1</x:v>
      </x:c>
      <x:c r="N104" s="210" t="n">
        <x:v>667</x:v>
      </x:c>
      <x:c r="O104" s="210" t="n">
        <x:v>130</x:v>
      </x:c>
      <x:c r="P104" s="210" t="n">
        <x:v>30</x:v>
      </x:c>
      <x:c r="Q104" s="211" t="n">
        <x:v>0.003</x:v>
      </x:c>
      <x:c r="R104" s="207" t="str"/>
      <x:c r="S104" s="207" t="str"/>
      <x:c r="T104" s="207" t="str"/>
      <x:c r="U104" s="207" t="n">
        <x:v>0</x:v>
      </x:c>
      <x:c r="V104" s="208" t="n">
        <x:f>MAX(0,M104-U104)</x:f>
        <x:v>1</x:v>
      </x:c>
      <x:c r="W104" s="209" t="n">
        <x:f>IFERROR(U104/M104,0)</x:f>
        <x:v>0</x:v>
      </x:c>
      <x:c r="X104" s="201" t="str">
        <x:f>IF(U104=0,"Não iniciado",IF(U104&gt;=M104,"Concluído","Parcial"))</x:f>
        <x:v>Não iniciado</x:v>
      </x:c>
      <x:c r="Y104" s="199" t="str"/>
      <x:c r="Z104" s="188" t="str">
        <x:v>Normal</x:v>
      </x:c>
    </x:row>
    <x:row r="105" ht="22" customHeight="1">
      <x:c r="A105" s="217" t="n">
        <x:v>101</x:v>
      </x:c>
      <x:c r="B105" s="218" t="str">
        <x:v>26750</x:v>
      </x:c>
      <x:c r="C105" s="218" t="str">
        <x:v>23</x:v>
      </x:c>
      <x:c r="D105" s="218" t="str">
        <x:v>609895</x:v>
      </x:c>
      <x:c r="E105" s="218" t="str">
        <x:v>968091</x:v>
      </x:c>
      <x:c r="F105" s="218" t="str">
        <x:v>BATENTE</x:v>
      </x:c>
      <x:c r="G105" s="184" t="str">
        <x:v>667x130x30 42X10 R2L BIA RT PET BCO (ULT</x:v>
      </x:c>
      <x:c r="H105" s="184" t="str"/>
      <x:c r="I105" s="184" t="str"/>
      <x:c r="J105" s="184" t="str"/>
      <x:c r="K105" s="184" t="str">
        <x:v>ESMALTE</x:v>
      </x:c>
      <x:c r="L105" s="184" t="str">
        <x:v>BRANCO CARRARA</x:v>
      </x:c>
      <x:c r="M105" s="205" t="n">
        <x:v>4</x:v>
      </x:c>
      <x:c r="N105" s="205" t="n">
        <x:v>667</x:v>
      </x:c>
      <x:c r="O105" s="205" t="n">
        <x:v>130</x:v>
      </x:c>
      <x:c r="P105" s="205" t="n">
        <x:v>30</x:v>
      </x:c>
      <x:c r="Q105" s="206" t="n">
        <x:v>0.01</x:v>
      </x:c>
      <x:c r="R105" s="207" t="str"/>
      <x:c r="S105" s="207" t="str"/>
      <x:c r="T105" s="207" t="str"/>
      <x:c r="U105" s="207" t="n">
        <x:v>0</x:v>
      </x:c>
      <x:c r="V105" s="208" t="n">
        <x:f>MAX(0,M105-U105)</x:f>
        <x:v>4</x:v>
      </x:c>
      <x:c r="W105" s="209" t="n">
        <x:f>IFERROR(U105/M105,0)</x:f>
        <x:v>0</x:v>
      </x:c>
      <x:c r="X105" s="201" t="str">
        <x:f>IF(U105=0,"Não iniciado",IF(U105&gt;=M105,"Concluído","Parcial"))</x:f>
        <x:v>Não iniciado</x:v>
      </x:c>
      <x:c r="Y105" s="199" t="str"/>
      <x:c r="Z105" s="188" t="str">
        <x:v>Normal</x:v>
      </x:c>
    </x:row>
    <x:row r="106" ht="22" customHeight="1">
      <x:c r="A106" s="219" t="n">
        <x:v>102</x:v>
      </x:c>
      <x:c r="B106" s="220" t="str">
        <x:v>26744</x:v>
      </x:c>
      <x:c r="C106" s="220" t="str">
        <x:v>1</x:v>
      </x:c>
      <x:c r="D106" s="220" t="str">
        <x:v>609988</x:v>
      </x:c>
      <x:c r="E106" s="220" t="str">
        <x:v>675803</x:v>
      </x:c>
      <x:c r="F106" s="220" t="str">
        <x:v>BATENTE</x:v>
      </x:c>
      <x:c r="G106" s="190" t="str">
        <x:v>647x130x30 42x10 R2L BIA PET BC(PREMIUM)</x:v>
      </x:c>
      <x:c r="H106" s="190" t="str"/>
      <x:c r="I106" s="190" t="str"/>
      <x:c r="J106" s="190" t="str"/>
      <x:c r="K106" s="190" t="str">
        <x:v>RECOBERTO PET</x:v>
      </x:c>
      <x:c r="L106" s="190" t="str">
        <x:v>BRANCO CARRARA</x:v>
      </x:c>
      <x:c r="M106" s="210" t="n">
        <x:v>4</x:v>
      </x:c>
      <x:c r="N106" s="210" t="n">
        <x:v>647</x:v>
      </x:c>
      <x:c r="O106" s="210" t="n">
        <x:v>130</x:v>
      </x:c>
      <x:c r="P106" s="210" t="n">
        <x:v>30</x:v>
      </x:c>
      <x:c r="Q106" s="211" t="n">
        <x:v>0</x:v>
      </x:c>
      <x:c r="R106" s="207" t="str"/>
      <x:c r="S106" s="207" t="str"/>
      <x:c r="T106" s="207" t="str"/>
      <x:c r="U106" s="207" t="n">
        <x:v>0</x:v>
      </x:c>
      <x:c r="V106" s="208" t="n">
        <x:f>MAX(0,M106-U106)</x:f>
        <x:v>4</x:v>
      </x:c>
      <x:c r="W106" s="209" t="n">
        <x:f>IFERROR(U106/M106,0)</x:f>
        <x:v>0</x:v>
      </x:c>
      <x:c r="X106" s="201" t="str">
        <x:f>IF(U106=0,"Não iniciado",IF(U106&gt;=M106,"Concluído","Parcial"))</x:f>
        <x:v>Não iniciado</x:v>
      </x:c>
      <x:c r="Y106" s="199" t="str"/>
      <x:c r="Z106" s="188" t="str">
        <x:v>Normal</x:v>
      </x:c>
    </x:row>
    <x:row r="107" ht="22" customHeight="1">
      <x:c r="A107" s="217" t="n">
        <x:v>103</x:v>
      </x:c>
      <x:c r="B107" s="218" t="str">
        <x:v>26808</x:v>
      </x:c>
      <x:c r="C107" s="218" t="str">
        <x:v>2</x:v>
      </x:c>
      <x:c r="D107" s="218" t="str">
        <x:v>608905</x:v>
      </x:c>
      <x:c r="E107" s="218" t="str">
        <x:v>675803</x:v>
      </x:c>
      <x:c r="F107" s="218" t="str">
        <x:v>BATENTE</x:v>
      </x:c>
      <x:c r="G107" s="184" t="str">
        <x:v>647x130x30 42x10 R2L BIA PET BC(PREMIUM)</x:v>
      </x:c>
      <x:c r="H107" s="184" t="str"/>
      <x:c r="I107" s="184" t="str"/>
      <x:c r="J107" s="184" t="str"/>
      <x:c r="K107" s="184" t="str">
        <x:v>ESMALTE</x:v>
      </x:c>
      <x:c r="L107" s="184" t="str">
        <x:v>BRANCO CARRARA</x:v>
      </x:c>
      <x:c r="M107" s="205" t="n">
        <x:v>16</x:v>
      </x:c>
      <x:c r="N107" s="205" t="n">
        <x:v>647</x:v>
      </x:c>
      <x:c r="O107" s="205" t="n">
        <x:v>130</x:v>
      </x:c>
      <x:c r="P107" s="205" t="n">
        <x:v>30</x:v>
      </x:c>
      <x:c r="Q107" s="206" t="n">
        <x:v>0</x:v>
      </x:c>
      <x:c r="R107" s="207" t="str"/>
      <x:c r="S107" s="207" t="str"/>
      <x:c r="T107" s="207" t="str"/>
      <x:c r="U107" s="207" t="n">
        <x:v>0</x:v>
      </x:c>
      <x:c r="V107" s="208" t="n">
        <x:f>MAX(0,M107-U107)</x:f>
        <x:v>16</x:v>
      </x:c>
      <x:c r="W107" s="209" t="n">
        <x:f>IFERROR(U107/M107,0)</x:f>
        <x:v>0</x:v>
      </x:c>
      <x:c r="X107" s="201" t="str">
        <x:f>IF(U107=0,"Não iniciado",IF(U107&gt;=M107,"Concluído","Parcial"))</x:f>
        <x:v>Não iniciado</x:v>
      </x:c>
      <x:c r="Y107" s="199" t="str"/>
      <x:c r="Z107" s="188" t="str">
        <x:v>Normal</x:v>
      </x:c>
    </x:row>
    <x:row r="108" ht="22" customHeight="1">
      <x:c r="A108" s="219" t="n">
        <x:v>104</x:v>
      </x:c>
      <x:c r="B108" s="220" t="str">
        <x:v>26520</x:v>
      </x:c>
      <x:c r="C108" s="220" t="str">
        <x:v>5</x:v>
      </x:c>
      <x:c r="D108" s="220" t="str">
        <x:v>610100</x:v>
      </x:c>
      <x:c r="E108" s="220" t="str">
        <x:v>976390</x:v>
      </x:c>
      <x:c r="F108" s="220" t="str">
        <x:v>BATENTE</x:v>
      </x:c>
      <x:c r="G108" s="190" t="str">
        <x:v>647x130x30 42x10 R2L RT BIA PET CNZ T(UL</x:v>
      </x:c>
      <x:c r="H108" s="190" t="str"/>
      <x:c r="I108" s="190" t="str"/>
      <x:c r="J108" s="190" t="str"/>
      <x:c r="K108" s="190" t="str">
        <x:v>RECOBERTO PET</x:v>
      </x:c>
      <x:c r="L108" s="190" t="str">
        <x:v>CINZA VERONA</x:v>
      </x:c>
      <x:c r="M108" s="210" t="n">
        <x:v>1</x:v>
      </x:c>
      <x:c r="N108" s="210" t="n">
        <x:v>647</x:v>
      </x:c>
      <x:c r="O108" s="210" t="n">
        <x:v>130</x:v>
      </x:c>
      <x:c r="P108" s="210" t="n">
        <x:v>30</x:v>
      </x:c>
      <x:c r="Q108" s="211" t="n">
        <x:v>0</x:v>
      </x:c>
      <x:c r="R108" s="207" t="str"/>
      <x:c r="S108" s="207" t="str"/>
      <x:c r="T108" s="207" t="str"/>
      <x:c r="U108" s="207" t="n">
        <x:v>0</x:v>
      </x:c>
      <x:c r="V108" s="208" t="n">
        <x:f>MAX(0,M108-U108)</x:f>
        <x:v>1</x:v>
      </x:c>
      <x:c r="W108" s="209" t="n">
        <x:f>IFERROR(U108/M108,0)</x:f>
        <x:v>0</x:v>
      </x:c>
      <x:c r="X108" s="201" t="str">
        <x:f>IF(U108=0,"Não iniciado",IF(U108&gt;=M108,"Concluído","Parcial"))</x:f>
        <x:v>Não iniciado</x:v>
      </x:c>
      <x:c r="Y108" s="199" t="str"/>
      <x:c r="Z108" s="188" t="str">
        <x:v>Normal</x:v>
      </x:c>
    </x:row>
    <x:row r="109" ht="22" customHeight="1">
      <x:c r="A109" s="217" t="n">
        <x:v>105</x:v>
      </x:c>
      <x:c r="B109" s="218" t="str">
        <x:v>26684</x:v>
      </x:c>
      <x:c r="C109" s="218" t="str">
        <x:v>2</x:v>
      </x:c>
      <x:c r="D109" s="218" t="str">
        <x:v>609122</x:v>
      </x:c>
      <x:c r="E109" s="218" t="str">
        <x:v>2010600483</x:v>
      </x:c>
      <x:c r="F109" s="218" t="str">
        <x:v>BATENTE</x:v>
      </x:c>
      <x:c r="G109" s="184" t="str">
        <x:v>M STD PET BCO CAR 2110X120X30 42X10 R2L</x:v>
      </x:c>
      <x:c r="H109" s="184" t="str"/>
      <x:c r="I109" s="184" t="str"/>
      <x:c r="J109" s="184" t="str"/>
      <x:c r="K109" s="184" t="str">
        <x:v>ESMALTE</x:v>
      </x:c>
      <x:c r="L109" s="184" t="str">
        <x:v>BRANCO CARRARA</x:v>
      </x:c>
      <x:c r="M109" s="205" t="n">
        <x:v>56</x:v>
      </x:c>
      <x:c r="N109" s="205" t="n">
        <x:v>2110</x:v>
      </x:c>
      <x:c r="O109" s="205" t="n">
        <x:v>120</x:v>
      </x:c>
      <x:c r="P109" s="205" t="n">
        <x:v>30</x:v>
      </x:c>
      <x:c r="Q109" s="206" t="n">
        <x:v>0.425</x:v>
      </x:c>
      <x:c r="R109" s="207" t="str"/>
      <x:c r="S109" s="207" t="str"/>
      <x:c r="T109" s="207" t="str"/>
      <x:c r="U109" s="207" t="n">
        <x:v>0</x:v>
      </x:c>
      <x:c r="V109" s="208" t="n">
        <x:f>MAX(0,M109-U109)</x:f>
        <x:v>56</x:v>
      </x:c>
      <x:c r="W109" s="209" t="n">
        <x:f>IFERROR(U109/M109,0)</x:f>
        <x:v>0</x:v>
      </x:c>
      <x:c r="X109" s="201" t="str">
        <x:f>IF(U109=0,"Não iniciado",IF(U109&gt;=M109,"Concluído","Parcial"))</x:f>
        <x:v>Não iniciado</x:v>
      </x:c>
      <x:c r="Y109" s="199" t="str"/>
      <x:c r="Z109" s="188" t="str">
        <x:v>Normal</x:v>
      </x:c>
    </x:row>
    <x:row r="110" ht="22" customHeight="1">
      <x:c r="A110" s="219" t="n">
        <x:v>106</x:v>
      </x:c>
      <x:c r="B110" s="220" t="str">
        <x:v>26684</x:v>
      </x:c>
      <x:c r="C110" s="220" t="str">
        <x:v>4</x:v>
      </x:c>
      <x:c r="D110" s="220" t="str">
        <x:v>609136</x:v>
      </x:c>
      <x:c r="E110" s="220" t="str">
        <x:v>972550</x:v>
      </x:c>
      <x:c r="F110" s="220" t="str">
        <x:v>BATENTE</x:v>
      </x:c>
      <x:c r="G110" s="190" t="str">
        <x:v>2110x120x30 42x10R2L R1BIA PET STD PRM U</x:v>
      </x:c>
      <x:c r="H110" s="190" t="str"/>
      <x:c r="I110" s="190" t="str"/>
      <x:c r="J110" s="190" t="str"/>
      <x:c r="K110" s="190" t="str">
        <x:v>ESMALTE</x:v>
      </x:c>
      <x:c r="L110" s="190" t="str">
        <x:v>BRANCO CARRARA</x:v>
      </x:c>
      <x:c r="M110" s="210" t="n">
        <x:v>110</x:v>
      </x:c>
      <x:c r="N110" s="210" t="n">
        <x:v>2110</x:v>
      </x:c>
      <x:c r="O110" s="210" t="n">
        <x:v>120</x:v>
      </x:c>
      <x:c r="P110" s="210" t="n">
        <x:v>30</x:v>
      </x:c>
      <x:c r="Q110" s="211" t="n">
        <x:v>0</x:v>
      </x:c>
      <x:c r="R110" s="207" t="str"/>
      <x:c r="S110" s="207" t="str"/>
      <x:c r="T110" s="207" t="str"/>
      <x:c r="U110" s="207" t="n">
        <x:v>0</x:v>
      </x:c>
      <x:c r="V110" s="208" t="n">
        <x:f>MAX(0,M110-U110)</x:f>
        <x:v>110</x:v>
      </x:c>
      <x:c r="W110" s="209" t="n">
        <x:f>IFERROR(U110/M110,0)</x:f>
        <x:v>0</x:v>
      </x:c>
      <x:c r="X110" s="201" t="str">
        <x:f>IF(U110=0,"Não iniciado",IF(U110&gt;=M110,"Concluído","Parcial"))</x:f>
        <x:v>Não iniciado</x:v>
      </x:c>
      <x:c r="Y110" s="199" t="str"/>
      <x:c r="Z110" s="188" t="str">
        <x:v>Normal</x:v>
      </x:c>
    </x:row>
    <x:row r="111" ht="22" customHeight="1">
      <x:c r="A111" s="217" t="n">
        <x:v>107</x:v>
      </x:c>
      <x:c r="B111" s="218" t="str">
        <x:v>26684</x:v>
      </x:c>
      <x:c r="C111" s="218" t="str">
        <x:v>8</x:v>
      </x:c>
      <x:c r="D111" s="218" t="str">
        <x:v>609168</x:v>
      </x:c>
      <x:c r="E111" s="218" t="str">
        <x:v>972550</x:v>
      </x:c>
      <x:c r="F111" s="218" t="str">
        <x:v>BATENTE</x:v>
      </x:c>
      <x:c r="G111" s="184" t="str">
        <x:v>2110x120x30 42x10R2L R1BIA PET STD PRM U</x:v>
      </x:c>
      <x:c r="H111" s="184" t="str"/>
      <x:c r="I111" s="184" t="str"/>
      <x:c r="J111" s="184" t="str"/>
      <x:c r="K111" s="184" t="str">
        <x:v>ESMALTE</x:v>
      </x:c>
      <x:c r="L111" s="184" t="str">
        <x:v>BRANCO CARRARA</x:v>
      </x:c>
      <x:c r="M111" s="205" t="n">
        <x:v>10</x:v>
      </x:c>
      <x:c r="N111" s="205" t="n">
        <x:v>2110</x:v>
      </x:c>
      <x:c r="O111" s="205" t="n">
        <x:v>120</x:v>
      </x:c>
      <x:c r="P111" s="205" t="n">
        <x:v>30</x:v>
      </x:c>
      <x:c r="Q111" s="206" t="n">
        <x:v>0</x:v>
      </x:c>
      <x:c r="R111" s="207" t="str"/>
      <x:c r="S111" s="207" t="str"/>
      <x:c r="T111" s="207" t="str"/>
      <x:c r="U111" s="207" t="n">
        <x:v>0</x:v>
      </x:c>
      <x:c r="V111" s="208" t="n">
        <x:f>MAX(0,M111-U111)</x:f>
        <x:v>10</x:v>
      </x:c>
      <x:c r="W111" s="209" t="n">
        <x:f>IFERROR(U111/M111,0)</x:f>
        <x:v>0</x:v>
      </x:c>
      <x:c r="X111" s="201" t="str">
        <x:f>IF(U111=0,"Não iniciado",IF(U111&gt;=M111,"Concluído","Parcial"))</x:f>
        <x:v>Não iniciado</x:v>
      </x:c>
      <x:c r="Y111" s="199" t="str"/>
      <x:c r="Z111" s="188" t="str">
        <x:v>Normal</x:v>
      </x:c>
    </x:row>
    <x:row r="112" ht="22" customHeight="1">
      <x:c r="A112" s="219" t="n">
        <x:v>108</x:v>
      </x:c>
      <x:c r="B112" s="220" t="str">
        <x:v>26689</x:v>
      </x:c>
      <x:c r="C112" s="220" t="str">
        <x:v>1</x:v>
      </x:c>
      <x:c r="D112" s="220" t="str">
        <x:v>609081</x:v>
      </x:c>
      <x:c r="E112" s="220" t="str">
        <x:v>2010600483</x:v>
      </x:c>
      <x:c r="F112" s="220" t="str">
        <x:v>BATENTE</x:v>
      </x:c>
      <x:c r="G112" s="190" t="str">
        <x:v>M STD PET BCO CAR 2110X120X30 42X10 R2L</x:v>
      </x:c>
      <x:c r="H112" s="190" t="str"/>
      <x:c r="I112" s="190" t="str"/>
      <x:c r="J112" s="190" t="str"/>
      <x:c r="K112" s="190" t="str">
        <x:v>ESMALTE</x:v>
      </x:c>
      <x:c r="L112" s="190" t="str">
        <x:v>BRANCO CARRARA</x:v>
      </x:c>
      <x:c r="M112" s="210" t="n">
        <x:v>64</x:v>
      </x:c>
      <x:c r="N112" s="210" t="n">
        <x:v>2110</x:v>
      </x:c>
      <x:c r="O112" s="210" t="n">
        <x:v>120</x:v>
      </x:c>
      <x:c r="P112" s="210" t="n">
        <x:v>30</x:v>
      </x:c>
      <x:c r="Q112" s="211" t="n">
        <x:v>0.486</x:v>
      </x:c>
      <x:c r="R112" s="207" t="str"/>
      <x:c r="S112" s="207" t="str"/>
      <x:c r="T112" s="207" t="str"/>
      <x:c r="U112" s="207" t="n">
        <x:v>0</x:v>
      </x:c>
      <x:c r="V112" s="208" t="n">
        <x:f>MAX(0,M112-U112)</x:f>
        <x:v>64</x:v>
      </x:c>
      <x:c r="W112" s="209" t="n">
        <x:f>IFERROR(U112/M112,0)</x:f>
        <x:v>0</x:v>
      </x:c>
      <x:c r="X112" s="201" t="str">
        <x:f>IF(U112=0,"Não iniciado",IF(U112&gt;=M112,"Concluído","Parcial"))</x:f>
        <x:v>Não iniciado</x:v>
      </x:c>
      <x:c r="Y112" s="199" t="str"/>
      <x:c r="Z112" s="188" t="str">
        <x:v>Normal</x:v>
      </x:c>
    </x:row>
    <x:row r="113" ht="22" customHeight="1">
      <x:c r="A113" s="217" t="n">
        <x:v>109</x:v>
      </x:c>
      <x:c r="B113" s="218" t="str">
        <x:v>26689</x:v>
      </x:c>
      <x:c r="C113" s="218" t="str">
        <x:v>2</x:v>
      </x:c>
      <x:c r="D113" s="218" t="str">
        <x:v>609087</x:v>
      </x:c>
      <x:c r="E113" s="218" t="str">
        <x:v>972550</x:v>
      </x:c>
      <x:c r="F113" s="218" t="str">
        <x:v>BATENTE</x:v>
      </x:c>
      <x:c r="G113" s="184" t="str">
        <x:v>2110x120x30 42x10R2L R1BIA PET STD PRM U</x:v>
      </x:c>
      <x:c r="H113" s="184" t="str"/>
      <x:c r="I113" s="184" t="str"/>
      <x:c r="J113" s="184" t="str"/>
      <x:c r="K113" s="184" t="str">
        <x:v>ESMALTE</x:v>
      </x:c>
      <x:c r="L113" s="184" t="str">
        <x:v>BRANCO CARRARA</x:v>
      </x:c>
      <x:c r="M113" s="205" t="n">
        <x:v>128</x:v>
      </x:c>
      <x:c r="N113" s="205" t="n">
        <x:v>2110</x:v>
      </x:c>
      <x:c r="O113" s="205" t="n">
        <x:v>120</x:v>
      </x:c>
      <x:c r="P113" s="205" t="n">
        <x:v>30</x:v>
      </x:c>
      <x:c r="Q113" s="206" t="n">
        <x:v>0</x:v>
      </x:c>
      <x:c r="R113" s="207" t="str"/>
      <x:c r="S113" s="207" t="str"/>
      <x:c r="T113" s="207" t="str"/>
      <x:c r="U113" s="207" t="n">
        <x:v>0</x:v>
      </x:c>
      <x:c r="V113" s="208" t="n">
        <x:f>MAX(0,M113-U113)</x:f>
        <x:v>128</x:v>
      </x:c>
      <x:c r="W113" s="209" t="n">
        <x:f>IFERROR(U113/M113,0)</x:f>
        <x:v>0</x:v>
      </x:c>
      <x:c r="X113" s="201" t="str">
        <x:f>IF(U113=0,"Não iniciado",IF(U113&gt;=M113,"Concluído","Parcial"))</x:f>
        <x:v>Não iniciado</x:v>
      </x:c>
      <x:c r="Y113" s="199" t="str"/>
      <x:c r="Z113" s="188" t="str">
        <x:v>Normal</x:v>
      </x:c>
    </x:row>
    <x:row r="114" ht="22" customHeight="1">
      <x:c r="A114" s="219" t="n">
        <x:v>110</x:v>
      </x:c>
      <x:c r="B114" s="220" t="str">
        <x:v>26684</x:v>
      </x:c>
      <x:c r="C114" s="220" t="str">
        <x:v>2</x:v>
      </x:c>
      <x:c r="D114" s="220" t="str">
        <x:v>609123</x:v>
      </x:c>
      <x:c r="E114" s="220" t="str">
        <x:v>2010600484</x:v>
      </x:c>
      <x:c r="F114" s="220" t="str">
        <x:v>BATENTE</x:v>
      </x:c>
      <x:c r="G114" s="190" t="str">
        <x:v>M STD PET BCO CAR 867X120X30 42X10 R2L M</x:v>
      </x:c>
      <x:c r="H114" s="190" t="str"/>
      <x:c r="I114" s="190" t="str"/>
      <x:c r="J114" s="190" t="str"/>
      <x:c r="K114" s="190" t="str">
        <x:v>ESMALTE</x:v>
      </x:c>
      <x:c r="L114" s="190" t="str">
        <x:v>BRANCO CARRARA</x:v>
      </x:c>
      <x:c r="M114" s="210" t="n">
        <x:v>28</x:v>
      </x:c>
      <x:c r="N114" s="210" t="n">
        <x:v>867</x:v>
      </x:c>
      <x:c r="O114" s="210" t="n">
        <x:v>120</x:v>
      </x:c>
      <x:c r="P114" s="210" t="n">
        <x:v>30</x:v>
      </x:c>
      <x:c r="Q114" s="211" t="n">
        <x:v>0.087</x:v>
      </x:c>
      <x:c r="R114" s="207" t="str"/>
      <x:c r="S114" s="207" t="str"/>
      <x:c r="T114" s="207" t="str"/>
      <x:c r="U114" s="207" t="n">
        <x:v>0</x:v>
      </x:c>
      <x:c r="V114" s="208" t="n">
        <x:f>MAX(0,M114-U114)</x:f>
        <x:v>28</x:v>
      </x:c>
      <x:c r="W114" s="209" t="n">
        <x:f>IFERROR(U114/M114,0)</x:f>
        <x:v>0</x:v>
      </x:c>
      <x:c r="X114" s="201" t="str">
        <x:f>IF(U114=0,"Não iniciado",IF(U114&gt;=M114,"Concluído","Parcial"))</x:f>
        <x:v>Não iniciado</x:v>
      </x:c>
      <x:c r="Y114" s="199" t="str"/>
      <x:c r="Z114" s="188" t="str">
        <x:v>Normal</x:v>
      </x:c>
    </x:row>
    <x:row r="115" ht="22" customHeight="1">
      <x:c r="A115" s="217" t="n">
        <x:v>111</x:v>
      </x:c>
      <x:c r="B115" s="218" t="str">
        <x:v>26684</x:v>
      </x:c>
      <x:c r="C115" s="218" t="str">
        <x:v>4</x:v>
      </x:c>
      <x:c r="D115" s="218" t="str">
        <x:v>609137</x:v>
      </x:c>
      <x:c r="E115" s="218" t="str">
        <x:v>972551</x:v>
      </x:c>
      <x:c r="F115" s="218" t="str">
        <x:v>BATENTE</x:v>
      </x:c>
      <x:c r="G115" s="184" t="str">
        <x:v>867x120x30 42x10 R2L RT BIA PET STD PREM</x:v>
      </x:c>
      <x:c r="H115" s="184" t="str"/>
      <x:c r="I115" s="184" t="str"/>
      <x:c r="J115" s="184" t="str"/>
      <x:c r="K115" s="184" t="str">
        <x:v>ESMALTE</x:v>
      </x:c>
      <x:c r="L115" s="184" t="str">
        <x:v>BRANCO CARRARA</x:v>
      </x:c>
      <x:c r="M115" s="205" t="n">
        <x:v>55</x:v>
      </x:c>
      <x:c r="N115" s="205" t="n">
        <x:v>867</x:v>
      </x:c>
      <x:c r="O115" s="205" t="n">
        <x:v>120</x:v>
      </x:c>
      <x:c r="P115" s="205" t="n">
        <x:v>30</x:v>
      </x:c>
      <x:c r="Q115" s="206" t="n">
        <x:v>0</x:v>
      </x:c>
      <x:c r="R115" s="207" t="str"/>
      <x:c r="S115" s="207" t="str"/>
      <x:c r="T115" s="207" t="str"/>
      <x:c r="U115" s="207" t="n">
        <x:v>0</x:v>
      </x:c>
      <x:c r="V115" s="208" t="n">
        <x:f>MAX(0,M115-U115)</x:f>
        <x:v>55</x:v>
      </x:c>
      <x:c r="W115" s="209" t="n">
        <x:f>IFERROR(U115/M115,0)</x:f>
        <x:v>0</x:v>
      </x:c>
      <x:c r="X115" s="201" t="str">
        <x:f>IF(U115=0,"Não iniciado",IF(U115&gt;=M115,"Concluído","Parcial"))</x:f>
        <x:v>Não iniciado</x:v>
      </x:c>
      <x:c r="Y115" s="199" t="str"/>
      <x:c r="Z115" s="188" t="str">
        <x:v>Normal</x:v>
      </x:c>
    </x:row>
    <x:row r="116" ht="22" customHeight="1">
      <x:c r="A116" s="219" t="n">
        <x:v>112</x:v>
      </x:c>
      <x:c r="B116" s="220" t="str">
        <x:v>26684</x:v>
      </x:c>
      <x:c r="C116" s="220" t="str">
        <x:v>8</x:v>
      </x:c>
      <x:c r="D116" s="220" t="str">
        <x:v>609169</x:v>
      </x:c>
      <x:c r="E116" s="220" t="str">
        <x:v>972551</x:v>
      </x:c>
      <x:c r="F116" s="220" t="str">
        <x:v>BATENTE</x:v>
      </x:c>
      <x:c r="G116" s="190" t="str">
        <x:v>867x120x30 42x10 R2L RT BIA PET STD PREM</x:v>
      </x:c>
      <x:c r="H116" s="190" t="str"/>
      <x:c r="I116" s="190" t="str"/>
      <x:c r="J116" s="190" t="str"/>
      <x:c r="K116" s="190" t="str">
        <x:v>ESMALTE</x:v>
      </x:c>
      <x:c r="L116" s="190" t="str">
        <x:v>BRANCO CARRARA</x:v>
      </x:c>
      <x:c r="M116" s="210" t="n">
        <x:v>5</x:v>
      </x:c>
      <x:c r="N116" s="210" t="n">
        <x:v>867</x:v>
      </x:c>
      <x:c r="O116" s="210" t="n">
        <x:v>120</x:v>
      </x:c>
      <x:c r="P116" s="210" t="n">
        <x:v>30</x:v>
      </x:c>
      <x:c r="Q116" s="211" t="n">
        <x:v>0</x:v>
      </x:c>
      <x:c r="R116" s="207" t="str"/>
      <x:c r="S116" s="207" t="str"/>
      <x:c r="T116" s="207" t="str"/>
      <x:c r="U116" s="207" t="n">
        <x:v>0</x:v>
      </x:c>
      <x:c r="V116" s="208" t="n">
        <x:f>MAX(0,M116-U116)</x:f>
        <x:v>5</x:v>
      </x:c>
      <x:c r="W116" s="209" t="n">
        <x:f>IFERROR(U116/M116,0)</x:f>
        <x:v>0</x:v>
      </x:c>
      <x:c r="X116" s="201" t="str">
        <x:f>IF(U116=0,"Não iniciado",IF(U116&gt;=M116,"Concluído","Parcial"))</x:f>
        <x:v>Não iniciado</x:v>
      </x:c>
      <x:c r="Y116" s="199" t="str"/>
      <x:c r="Z116" s="188" t="str">
        <x:v>Normal</x:v>
      </x:c>
    </x:row>
    <x:row r="117" ht="22" customHeight="1">
      <x:c r="A117" s="217" t="n">
        <x:v>113</x:v>
      </x:c>
      <x:c r="B117" s="218" t="str">
        <x:v>26689</x:v>
      </x:c>
      <x:c r="C117" s="218" t="str">
        <x:v>1</x:v>
      </x:c>
      <x:c r="D117" s="218" t="str">
        <x:v>609082</x:v>
      </x:c>
      <x:c r="E117" s="218" t="str">
        <x:v>2010600484</x:v>
      </x:c>
      <x:c r="F117" s="218" t="str">
        <x:v>BATENTE</x:v>
      </x:c>
      <x:c r="G117" s="184" t="str">
        <x:v>M STD PET BCO CAR 867X120X30 42X10 R2L M</x:v>
      </x:c>
      <x:c r="H117" s="184" t="str"/>
      <x:c r="I117" s="184" t="str"/>
      <x:c r="J117" s="184" t="str"/>
      <x:c r="K117" s="184" t="str">
        <x:v>ESMALTE</x:v>
      </x:c>
      <x:c r="L117" s="184" t="str">
        <x:v>BRANCO CARRARA</x:v>
      </x:c>
      <x:c r="M117" s="205" t="n">
        <x:v>32</x:v>
      </x:c>
      <x:c r="N117" s="205" t="n">
        <x:v>867</x:v>
      </x:c>
      <x:c r="O117" s="205" t="n">
        <x:v>120</x:v>
      </x:c>
      <x:c r="P117" s="205" t="n">
        <x:v>30</x:v>
      </x:c>
      <x:c r="Q117" s="206" t="n">
        <x:v>0.1</x:v>
      </x:c>
      <x:c r="R117" s="207" t="str"/>
      <x:c r="S117" s="207" t="str"/>
      <x:c r="T117" s="207" t="str"/>
      <x:c r="U117" s="207" t="n">
        <x:v>0</x:v>
      </x:c>
      <x:c r="V117" s="208" t="n">
        <x:f>MAX(0,M117-U117)</x:f>
        <x:v>32</x:v>
      </x:c>
      <x:c r="W117" s="209" t="n">
        <x:f>IFERROR(U117/M117,0)</x:f>
        <x:v>0</x:v>
      </x:c>
      <x:c r="X117" s="201" t="str">
        <x:f>IF(U117=0,"Não iniciado",IF(U117&gt;=M117,"Concluído","Parcial"))</x:f>
        <x:v>Não iniciado</x:v>
      </x:c>
      <x:c r="Y117" s="199" t="str"/>
      <x:c r="Z117" s="188" t="str">
        <x:v>Normal</x:v>
      </x:c>
    </x:row>
    <x:row r="118" ht="22" customHeight="1">
      <x:c r="A118" s="219" t="n">
        <x:v>114</x:v>
      </x:c>
      <x:c r="B118" s="220" t="str">
        <x:v>26689</x:v>
      </x:c>
      <x:c r="C118" s="220" t="str">
        <x:v>2</x:v>
      </x:c>
      <x:c r="D118" s="220" t="str">
        <x:v>609088</x:v>
      </x:c>
      <x:c r="E118" s="220" t="str">
        <x:v>972551</x:v>
      </x:c>
      <x:c r="F118" s="220" t="str">
        <x:v>BATENTE</x:v>
      </x:c>
      <x:c r="G118" s="190" t="str">
        <x:v>867x120x30 42x10 R2L RT BIA PET STD PREM</x:v>
      </x:c>
      <x:c r="H118" s="190" t="str"/>
      <x:c r="I118" s="190" t="str"/>
      <x:c r="J118" s="190" t="str"/>
      <x:c r="K118" s="190" t="str">
        <x:v>ESMALTE</x:v>
      </x:c>
      <x:c r="L118" s="190" t="str">
        <x:v>BRANCO CARRARA</x:v>
      </x:c>
      <x:c r="M118" s="210" t="n">
        <x:v>64</x:v>
      </x:c>
      <x:c r="N118" s="210" t="n">
        <x:v>867</x:v>
      </x:c>
      <x:c r="O118" s="210" t="n">
        <x:v>120</x:v>
      </x:c>
      <x:c r="P118" s="210" t="n">
        <x:v>30</x:v>
      </x:c>
      <x:c r="Q118" s="211" t="n">
        <x:v>0</x:v>
      </x:c>
      <x:c r="R118" s="207" t="str"/>
      <x:c r="S118" s="207" t="str"/>
      <x:c r="T118" s="207" t="str"/>
      <x:c r="U118" s="207" t="n">
        <x:v>0</x:v>
      </x:c>
      <x:c r="V118" s="208" t="n">
        <x:f>MAX(0,M118-U118)</x:f>
        <x:v>64</x:v>
      </x:c>
      <x:c r="W118" s="209" t="n">
        <x:f>IFERROR(U118/M118,0)</x:f>
        <x:v>0</x:v>
      </x:c>
      <x:c r="X118" s="201" t="str">
        <x:f>IF(U118=0,"Não iniciado",IF(U118&gt;=M118,"Concluído","Parcial"))</x:f>
        <x:v>Não iniciado</x:v>
      </x:c>
      <x:c r="Y118" s="199" t="str"/>
      <x:c r="Z118" s="188" t="str">
        <x:v>Normal</x:v>
      </x:c>
    </x:row>
    <x:row r="119" ht="22" customHeight="1">
      <x:c r="A119" s="217" t="n">
        <x:v>115</x:v>
      </x:c>
      <x:c r="B119" s="218" t="str">
        <x:v>26825</x:v>
      </x:c>
      <x:c r="C119" s="218" t="str">
        <x:v>2</x:v>
      </x:c>
      <x:c r="D119" s="218" t="str">
        <x:v>609044</x:v>
      </x:c>
      <x:c r="E119" s="218" t="str">
        <x:v>2010701243</x:v>
      </x:c>
      <x:c r="F119" s="218" t="str">
        <x:v>BATENTE</x:v>
      </x:c>
      <x:c r="G119" s="184" t="str">
        <x:v>M ULTRA PET BCO CAR 2130X110X30 S/REB R2</x:v>
      </x:c>
      <x:c r="H119" s="184" t="str">
        <x:v>MDF ULTRA</x:v>
      </x:c>
      <x:c r="I119" s="184" t="str">
        <x:v>S/CANAL</x:v>
      </x:c>
      <x:c r="J119" s="184" t="str">
        <x:v>S/REB</x:v>
      </x:c>
      <x:c r="K119" s="184" t="str">
        <x:v>RECOBERTO PET</x:v>
      </x:c>
      <x:c r="L119" s="184" t="str">
        <x:v>BRANCO CARRARA</x:v>
      </x:c>
      <x:c r="M119" s="205" t="n">
        <x:v>64</x:v>
      </x:c>
      <x:c r="N119" s="205" t="n">
        <x:v>2130</x:v>
      </x:c>
      <x:c r="O119" s="205" t="n">
        <x:v>110</x:v>
      </x:c>
      <x:c r="P119" s="205" t="n">
        <x:v>30</x:v>
      </x:c>
      <x:c r="Q119" s="206" t="n">
        <x:v>0.45</x:v>
      </x:c>
      <x:c r="R119" s="207" t="str"/>
      <x:c r="S119" s="207" t="str"/>
      <x:c r="T119" s="207" t="str"/>
      <x:c r="U119" s="207" t="n">
        <x:v>0</x:v>
      </x:c>
      <x:c r="V119" s="208" t="n">
        <x:f>MAX(0,M119-U119)</x:f>
        <x:v>64</x:v>
      </x:c>
      <x:c r="W119" s="209" t="n">
        <x:f>IFERROR(U119/M119,0)</x:f>
        <x:v>0</x:v>
      </x:c>
      <x:c r="X119" s="201" t="str">
        <x:f>IF(U119=0,"Não iniciado",IF(U119&gt;=M119,"Concluído","Parcial"))</x:f>
        <x:v>Não iniciado</x:v>
      </x:c>
      <x:c r="Y119" s="199" t="str"/>
      <x:c r="Z119" s="188" t="str">
        <x:v>Normal</x:v>
      </x:c>
    </x:row>
    <x:row r="120" ht="22" customHeight="1">
      <x:c r="A120" s="219" t="n">
        <x:v>116</x:v>
      </x:c>
      <x:c r="B120" s="220" t="str">
        <x:v>26520</x:v>
      </x:c>
      <x:c r="C120" s="220" t="str">
        <x:v>8</x:v>
      </x:c>
      <x:c r="D120" s="220" t="str">
        <x:v>610112</x:v>
      </x:c>
      <x:c r="E120" s="220" t="str">
        <x:v>2010701222</x:v>
      </x:c>
      <x:c r="F120" s="220" t="str">
        <x:v>BATENTE</x:v>
      </x:c>
      <x:c r="G120" s="190" t="str">
        <x:v>M ULTRA PET C RA 2130X110X30 S/REB R2L M</x:v>
      </x:c>
      <x:c r="H120" s="190" t="str">
        <x:v>MDF ULTRA</x:v>
      </x:c>
      <x:c r="I120" s="190" t="str">
        <x:v>S/CANAL</x:v>
      </x:c>
      <x:c r="J120" s="190" t="str">
        <x:v>S/REB</x:v>
      </x:c>
      <x:c r="K120" s="190" t="str">
        <x:v>RECOBERTO PET</x:v>
      </x:c>
      <x:c r="L120" s="190" t="str">
        <x:v>CURUPIXA RAVENNA</x:v>
      </x:c>
      <x:c r="M120" s="210" t="n">
        <x:v>2</x:v>
      </x:c>
      <x:c r="N120" s="210" t="n">
        <x:v>2130</x:v>
      </x:c>
      <x:c r="O120" s="210" t="n">
        <x:v>110</x:v>
      </x:c>
      <x:c r="P120" s="210" t="n">
        <x:v>30</x:v>
      </x:c>
      <x:c r="Q120" s="211" t="n">
        <x:v>0.014</x:v>
      </x:c>
      <x:c r="R120" s="207" t="str"/>
      <x:c r="S120" s="207" t="str"/>
      <x:c r="T120" s="207" t="str"/>
      <x:c r="U120" s="207" t="n">
        <x:v>0</x:v>
      </x:c>
      <x:c r="V120" s="208" t="n">
        <x:f>MAX(0,M120-U120)</x:f>
        <x:v>2</x:v>
      </x:c>
      <x:c r="W120" s="209" t="n">
        <x:f>IFERROR(U120/M120,0)</x:f>
        <x:v>0</x:v>
      </x:c>
      <x:c r="X120" s="201" t="str">
        <x:f>IF(U120=0,"Não iniciado",IF(U120&gt;=M120,"Concluído","Parcial"))</x:f>
        <x:v>Não iniciado</x:v>
      </x:c>
      <x:c r="Y120" s="199" t="str"/>
      <x:c r="Z120" s="188" t="str">
        <x:v>Normal</x:v>
      </x:c>
    </x:row>
    <x:row r="121" ht="22" customHeight="1">
      <x:c r="A121" s="217" t="n">
        <x:v>117</x:v>
      </x:c>
      <x:c r="B121" s="218" t="str">
        <x:v>26826</x:v>
      </x:c>
      <x:c r="C121" s="218" t="str">
        <x:v>2</x:v>
      </x:c>
      <x:c r="D121" s="218" t="str">
        <x:v>609059</x:v>
      </x:c>
      <x:c r="E121" s="218" t="str">
        <x:v>2010600172</x:v>
      </x:c>
      <x:c r="F121" s="218" t="str">
        <x:v>OUTROS</x:v>
      </x:c>
      <x:c r="G121" s="184" t="str">
        <x:v>M P MDF STD PET TXT BCO 2130X110X30 S/RE</x:v>
      </x:c>
      <x:c r="H121" s="184" t="str">
        <x:v>MDF STD</x:v>
      </x:c>
      <x:c r="I121" s="184" t="str">
        <x:v>S/CANAL</x:v>
      </x:c>
      <x:c r="J121" s="184" t="str">
        <x:v>S/REB</x:v>
      </x:c>
      <x:c r="K121" s="184" t="str">
        <x:v>RECOBERTO PET TXT</x:v>
      </x:c>
      <x:c r="L121" s="184" t="str">
        <x:v>BRANCO</x:v>
      </x:c>
      <x:c r="M121" s="205" t="n">
        <x:v>124</x:v>
      </x:c>
      <x:c r="N121" s="205" t="n">
        <x:v>2130</x:v>
      </x:c>
      <x:c r="O121" s="205" t="n">
        <x:v>110</x:v>
      </x:c>
      <x:c r="P121" s="205" t="n">
        <x:v>30</x:v>
      </x:c>
      <x:c r="Q121" s="206" t="n">
        <x:v>0.872</x:v>
      </x:c>
      <x:c r="R121" s="207" t="str"/>
      <x:c r="S121" s="207" t="str"/>
      <x:c r="T121" s="207" t="str"/>
      <x:c r="U121" s="207" t="n">
        <x:v>0</x:v>
      </x:c>
      <x:c r="V121" s="208" t="n">
        <x:f>MAX(0,M121-U121)</x:f>
        <x:v>124</x:v>
      </x:c>
      <x:c r="W121" s="209" t="n">
        <x:f>IFERROR(U121/M121,0)</x:f>
        <x:v>0</x:v>
      </x:c>
      <x:c r="X121" s="201" t="str">
        <x:f>IF(U121=0,"Não iniciado",IF(U121&gt;=M121,"Concluído","Parcial"))</x:f>
        <x:v>Não iniciado</x:v>
      </x:c>
      <x:c r="Y121" s="199" t="str"/>
      <x:c r="Z121" s="188" t="str">
        <x:v>Normal</x:v>
      </x:c>
    </x:row>
    <x:row r="122" ht="22" customHeight="1">
      <x:c r="A122" s="219" t="n">
        <x:v>118</x:v>
      </x:c>
      <x:c r="B122" s="220" t="str">
        <x:v>26684</x:v>
      </x:c>
      <x:c r="C122" s="220" t="str">
        <x:v>1</x:v>
      </x:c>
      <x:c r="D122" s="220" t="str">
        <x:v>609111</x:v>
      </x:c>
      <x:c r="E122" s="220" t="str">
        <x:v>963653</x:v>
      </x:c>
      <x:c r="F122" s="220" t="str">
        <x:v>BATENTE</x:v>
      </x:c>
      <x:c r="G122" s="190" t="str">
        <x:v>2110x110x30 42x10R2L R1BIA PET STD PRM U</x:v>
      </x:c>
      <x:c r="H122" s="190" t="str"/>
      <x:c r="I122" s="190" t="str"/>
      <x:c r="J122" s="190" t="str"/>
      <x:c r="K122" s="190" t="str">
        <x:v>ESMALTE</x:v>
      </x:c>
      <x:c r="L122" s="190" t="str">
        <x:v>BRANCO CARRARA</x:v>
      </x:c>
      <x:c r="M122" s="210" t="n">
        <x:v>2</x:v>
      </x:c>
      <x:c r="N122" s="210" t="n">
        <x:v>2110</x:v>
      </x:c>
      <x:c r="O122" s="210" t="n">
        <x:v>110</x:v>
      </x:c>
      <x:c r="P122" s="210" t="n">
        <x:v>30</x:v>
      </x:c>
      <x:c r="Q122" s="211" t="n">
        <x:v>0</x:v>
      </x:c>
      <x:c r="R122" s="207" t="str"/>
      <x:c r="S122" s="207" t="str"/>
      <x:c r="T122" s="207" t="str"/>
      <x:c r="U122" s="207" t="n">
        <x:v>0</x:v>
      </x:c>
      <x:c r="V122" s="208" t="n">
        <x:f>MAX(0,M122-U122)</x:f>
        <x:v>2</x:v>
      </x:c>
      <x:c r="W122" s="209" t="n">
        <x:f>IFERROR(U122/M122,0)</x:f>
        <x:v>0</x:v>
      </x:c>
      <x:c r="X122" s="201" t="str">
        <x:f>IF(U122=0,"Não iniciado",IF(U122&gt;=M122,"Concluído","Parcial"))</x:f>
        <x:v>Não iniciado</x:v>
      </x:c>
      <x:c r="Y122" s="199" t="str"/>
      <x:c r="Z122" s="188" t="str">
        <x:v>Normal</x:v>
      </x:c>
    </x:row>
    <x:row r="123" ht="22" customHeight="1">
      <x:c r="A123" s="217" t="n">
        <x:v>119</x:v>
      </x:c>
      <x:c r="B123" s="218" t="str">
        <x:v>26739</x:v>
      </x:c>
      <x:c r="C123" s="218" t="str">
        <x:v>10</x:v>
      </x:c>
      <x:c r="D123" s="218" t="str">
        <x:v>609659</x:v>
      </x:c>
      <x:c r="E123" s="218" t="str">
        <x:v>2010700601</x:v>
      </x:c>
      <x:c r="F123" s="218" t="str">
        <x:v>BATENTE</x:v>
      </x:c>
      <x:c r="G123" s="184" t="str">
        <x:v>P M ULTRA PET BCO CAR 2110X110X30 42X10</x:v>
      </x:c>
      <x:c r="H123" s="184" t="str"/>
      <x:c r="I123" s="184" t="str"/>
      <x:c r="J123" s="184" t="str"/>
      <x:c r="K123" s="184" t="str">
        <x:v>ESMALTE</x:v>
      </x:c>
      <x:c r="L123" s="184" t="str">
        <x:v>BRANCO CARRARA</x:v>
      </x:c>
      <x:c r="M123" s="205" t="n">
        <x:v>44</x:v>
      </x:c>
      <x:c r="N123" s="205" t="n">
        <x:v>2110</x:v>
      </x:c>
      <x:c r="O123" s="205" t="n">
        <x:v>110</x:v>
      </x:c>
      <x:c r="P123" s="205" t="n">
        <x:v>30</x:v>
      </x:c>
      <x:c r="Q123" s="206" t="n">
        <x:v>0.306</x:v>
      </x:c>
      <x:c r="R123" s="207" t="str"/>
      <x:c r="S123" s="207" t="str"/>
      <x:c r="T123" s="207" t="str"/>
      <x:c r="U123" s="207" t="n">
        <x:v>0</x:v>
      </x:c>
      <x:c r="V123" s="208" t="n">
        <x:f>MAX(0,M123-U123)</x:f>
        <x:v>44</x:v>
      </x:c>
      <x:c r="W123" s="209" t="n">
        <x:f>IFERROR(U123/M123,0)</x:f>
        <x:v>0</x:v>
      </x:c>
      <x:c r="X123" s="201" t="str">
        <x:f>IF(U123=0,"Não iniciado",IF(U123&gt;=M123,"Concluído","Parcial"))</x:f>
        <x:v>Não iniciado</x:v>
      </x:c>
      <x:c r="Y123" s="199" t="str"/>
      <x:c r="Z123" s="188" t="str">
        <x:v>Normal</x:v>
      </x:c>
    </x:row>
    <x:row r="124" ht="22" customHeight="1">
      <x:c r="A124" s="219" t="n">
        <x:v>120</x:v>
      </x:c>
      <x:c r="B124" s="220" t="str">
        <x:v>26739</x:v>
      </x:c>
      <x:c r="C124" s="220" t="str">
        <x:v>19</x:v>
      </x:c>
      <x:c r="D124" s="220" t="str">
        <x:v>609711</x:v>
      </x:c>
      <x:c r="E124" s="220" t="str">
        <x:v>959077</x:v>
      </x:c>
      <x:c r="F124" s="220" t="str">
        <x:v>BATENTE</x:v>
      </x:c>
      <x:c r="G124" s="190" t="str">
        <x:v>2110x110x30 42x10 R2 RT BIA PET BC U(UL)</x:v>
      </x:c>
      <x:c r="H124" s="190" t="str"/>
      <x:c r="I124" s="190" t="str"/>
      <x:c r="J124" s="190" t="str"/>
      <x:c r="K124" s="190" t="str">
        <x:v>ESMALTE</x:v>
      </x:c>
      <x:c r="L124" s="190" t="str">
        <x:v>BRANCO CARRARA</x:v>
      </x:c>
      <x:c r="M124" s="210" t="n">
        <x:v>54</x:v>
      </x:c>
      <x:c r="N124" s="210" t="n">
        <x:v>2110</x:v>
      </x:c>
      <x:c r="O124" s="210" t="n">
        <x:v>110</x:v>
      </x:c>
      <x:c r="P124" s="210" t="n">
        <x:v>30</x:v>
      </x:c>
      <x:c r="Q124" s="211" t="n">
        <x:v>0</x:v>
      </x:c>
      <x:c r="R124" s="207" t="str"/>
      <x:c r="S124" s="207" t="str"/>
      <x:c r="T124" s="207" t="str"/>
      <x:c r="U124" s="207" t="n">
        <x:v>0</x:v>
      </x:c>
      <x:c r="V124" s="208" t="n">
        <x:f>MAX(0,M124-U124)</x:f>
        <x:v>54</x:v>
      </x:c>
      <x:c r="W124" s="209" t="n">
        <x:f>IFERROR(U124/M124,0)</x:f>
        <x:v>0</x:v>
      </x:c>
      <x:c r="X124" s="201" t="str">
        <x:f>IF(U124=0,"Não iniciado",IF(U124&gt;=M124,"Concluído","Parcial"))</x:f>
        <x:v>Não iniciado</x:v>
      </x:c>
      <x:c r="Y124" s="199" t="str"/>
      <x:c r="Z124" s="188" t="str">
        <x:v>Normal</x:v>
      </x:c>
    </x:row>
    <x:row r="125" ht="22" customHeight="1">
      <x:c r="A125" s="217" t="n">
        <x:v>121</x:v>
      </x:c>
      <x:c r="B125" s="218" t="str">
        <x:v>26739</x:v>
      </x:c>
      <x:c r="C125" s="218" t="str">
        <x:v>24</x:v>
      </x:c>
      <x:c r="D125" s="218" t="str">
        <x:v>609756</x:v>
      </x:c>
      <x:c r="E125" s="218" t="str">
        <x:v>959077</x:v>
      </x:c>
      <x:c r="F125" s="218" t="str">
        <x:v>BATENTE</x:v>
      </x:c>
      <x:c r="G125" s="184" t="str">
        <x:v>2110x110x30 42x10 R2 RT BIA PET BC U(UL)</x:v>
      </x:c>
      <x:c r="H125" s="184" t="str"/>
      <x:c r="I125" s="184" t="str"/>
      <x:c r="J125" s="184" t="str"/>
      <x:c r="K125" s="184" t="str">
        <x:v>ESMALTE</x:v>
      </x:c>
      <x:c r="L125" s="184" t="str">
        <x:v>BRANCO CARRARA</x:v>
      </x:c>
      <x:c r="M125" s="205" t="n">
        <x:v>4</x:v>
      </x:c>
      <x:c r="N125" s="205" t="n">
        <x:v>2110</x:v>
      </x:c>
      <x:c r="O125" s="205" t="n">
        <x:v>110</x:v>
      </x:c>
      <x:c r="P125" s="205" t="n">
        <x:v>30</x:v>
      </x:c>
      <x:c r="Q125" s="206" t="n">
        <x:v>0</x:v>
      </x:c>
      <x:c r="R125" s="207" t="str"/>
      <x:c r="S125" s="207" t="str"/>
      <x:c r="T125" s="207" t="str"/>
      <x:c r="U125" s="207" t="n">
        <x:v>0</x:v>
      </x:c>
      <x:c r="V125" s="208" t="n">
        <x:f>MAX(0,M125-U125)</x:f>
        <x:v>4</x:v>
      </x:c>
      <x:c r="W125" s="209" t="n">
        <x:f>IFERROR(U125/M125,0)</x:f>
        <x:v>0</x:v>
      </x:c>
      <x:c r="X125" s="201" t="str">
        <x:f>IF(U125=0,"Não iniciado",IF(U125&gt;=M125,"Concluído","Parcial"))</x:f>
        <x:v>Não iniciado</x:v>
      </x:c>
      <x:c r="Y125" s="199" t="str"/>
      <x:c r="Z125" s="188" t="str">
        <x:v>Normal</x:v>
      </x:c>
    </x:row>
    <x:row r="126" ht="22" customHeight="1">
      <x:c r="A126" s="219" t="n">
        <x:v>122</x:v>
      </x:c>
      <x:c r="B126" s="220" t="str">
        <x:v>26750</x:v>
      </x:c>
      <x:c r="C126" s="220" t="str">
        <x:v>13</x:v>
      </x:c>
      <x:c r="D126" s="220" t="str">
        <x:v>609832</x:v>
      </x:c>
      <x:c r="E126" s="220" t="str">
        <x:v>2010700601</x:v>
      </x:c>
      <x:c r="F126" s="220" t="str">
        <x:v>BATENTE</x:v>
      </x:c>
      <x:c r="G126" s="190" t="str">
        <x:v>P M ULTRA PET BCO CAR 2110X110X30 42X10</x:v>
      </x:c>
      <x:c r="H126" s="190" t="str"/>
      <x:c r="I126" s="190" t="str"/>
      <x:c r="J126" s="190" t="str"/>
      <x:c r="K126" s="190" t="str">
        <x:v>ESMALTE</x:v>
      </x:c>
      <x:c r="L126" s="190" t="str">
        <x:v>BRANCO CARRARA</x:v>
      </x:c>
      <x:c r="M126" s="210" t="n">
        <x:v>56</x:v>
      </x:c>
      <x:c r="N126" s="210" t="n">
        <x:v>2110</x:v>
      </x:c>
      <x:c r="O126" s="210" t="n">
        <x:v>110</x:v>
      </x:c>
      <x:c r="P126" s="210" t="n">
        <x:v>30</x:v>
      </x:c>
      <x:c r="Q126" s="211" t="n">
        <x:v>0.39</x:v>
      </x:c>
      <x:c r="R126" s="207" t="str"/>
      <x:c r="S126" s="207" t="str"/>
      <x:c r="T126" s="207" t="str"/>
      <x:c r="U126" s="207" t="n">
        <x:v>0</x:v>
      </x:c>
      <x:c r="V126" s="208" t="n">
        <x:f>MAX(0,M126-U126)</x:f>
        <x:v>56</x:v>
      </x:c>
      <x:c r="W126" s="209" t="n">
        <x:f>IFERROR(U126/M126,0)</x:f>
        <x:v>0</x:v>
      </x:c>
      <x:c r="X126" s="201" t="str">
        <x:f>IF(U126=0,"Não iniciado",IF(U126&gt;=M126,"Concluído","Parcial"))</x:f>
        <x:v>Não iniciado</x:v>
      </x:c>
      <x:c r="Y126" s="199" t="str"/>
      <x:c r="Z126" s="188" t="str">
        <x:v>Normal</x:v>
      </x:c>
    </x:row>
    <x:row r="127" ht="22" customHeight="1">
      <x:c r="A127" s="217" t="n">
        <x:v>123</x:v>
      </x:c>
      <x:c r="B127" s="218" t="str">
        <x:v>26750</x:v>
      </x:c>
      <x:c r="C127" s="218" t="str">
        <x:v>22</x:v>
      </x:c>
      <x:c r="D127" s="218" t="str">
        <x:v>609884</x:v>
      </x:c>
      <x:c r="E127" s="218" t="str">
        <x:v>959077</x:v>
      </x:c>
      <x:c r="F127" s="218" t="str">
        <x:v>BATENTE</x:v>
      </x:c>
      <x:c r="G127" s="184" t="str">
        <x:v>2110x110x30 42x10 R2 RT BIA PET BC U(UL)</x:v>
      </x:c>
      <x:c r="H127" s="184" t="str"/>
      <x:c r="I127" s="184" t="str"/>
      <x:c r="J127" s="184" t="str"/>
      <x:c r="K127" s="184" t="str">
        <x:v>ESMALTE</x:v>
      </x:c>
      <x:c r="L127" s="184" t="str">
        <x:v>BRANCO CARRARA</x:v>
      </x:c>
      <x:c r="M127" s="205" t="n">
        <x:v>38</x:v>
      </x:c>
      <x:c r="N127" s="205" t="n">
        <x:v>2110</x:v>
      </x:c>
      <x:c r="O127" s="205" t="n">
        <x:v>110</x:v>
      </x:c>
      <x:c r="P127" s="205" t="n">
        <x:v>30</x:v>
      </x:c>
      <x:c r="Q127" s="206" t="n">
        <x:v>0</x:v>
      </x:c>
      <x:c r="R127" s="207" t="str"/>
      <x:c r="S127" s="207" t="str"/>
      <x:c r="T127" s="207" t="str"/>
      <x:c r="U127" s="207" t="n">
        <x:v>0</x:v>
      </x:c>
      <x:c r="V127" s="208" t="n">
        <x:f>MAX(0,M127-U127)</x:f>
        <x:v>38</x:v>
      </x:c>
      <x:c r="W127" s="209" t="n">
        <x:f>IFERROR(U127/M127,0)</x:f>
        <x:v>0</x:v>
      </x:c>
      <x:c r="X127" s="201" t="str">
        <x:f>IF(U127=0,"Não iniciado",IF(U127&gt;=M127,"Concluído","Parcial"))</x:f>
        <x:v>Não iniciado</x:v>
      </x:c>
      <x:c r="Y127" s="199" t="str"/>
      <x:c r="Z127" s="188" t="str">
        <x:v>Normal</x:v>
      </x:c>
    </x:row>
    <x:row r="128" ht="22" customHeight="1">
      <x:c r="A128" s="219" t="n">
        <x:v>124</x:v>
      </x:c>
      <x:c r="B128" s="220" t="str">
        <x:v>26750</x:v>
      </x:c>
      <x:c r="C128" s="220" t="str">
        <x:v>26</x:v>
      </x:c>
      <x:c r="D128" s="220" t="str">
        <x:v>609917</x:v>
      </x:c>
      <x:c r="E128" s="220" t="str">
        <x:v>959077</x:v>
      </x:c>
      <x:c r="F128" s="220" t="str">
        <x:v>BATENTE</x:v>
      </x:c>
      <x:c r="G128" s="190" t="str">
        <x:v>2110x110x30 42x10 R2 RT BIA PET BC U(UL)</x:v>
      </x:c>
      <x:c r="H128" s="190" t="str"/>
      <x:c r="I128" s="190" t="str"/>
      <x:c r="J128" s="190" t="str"/>
      <x:c r="K128" s="190" t="str">
        <x:v>ESMALTE</x:v>
      </x:c>
      <x:c r="L128" s="190" t="str">
        <x:v>BRANCO CARRARA</x:v>
      </x:c>
      <x:c r="M128" s="210" t="n">
        <x:v>4</x:v>
      </x:c>
      <x:c r="N128" s="210" t="n">
        <x:v>2110</x:v>
      </x:c>
      <x:c r="O128" s="210" t="n">
        <x:v>110</x:v>
      </x:c>
      <x:c r="P128" s="210" t="n">
        <x:v>30</x:v>
      </x:c>
      <x:c r="Q128" s="211" t="n">
        <x:v>0</x:v>
      </x:c>
      <x:c r="R128" s="207" t="str"/>
      <x:c r="S128" s="207" t="str"/>
      <x:c r="T128" s="207" t="str"/>
      <x:c r="U128" s="207" t="n">
        <x:v>0</x:v>
      </x:c>
      <x:c r="V128" s="208" t="n">
        <x:f>MAX(0,M128-U128)</x:f>
        <x:v>4</x:v>
      </x:c>
      <x:c r="W128" s="209" t="n">
        <x:f>IFERROR(U128/M128,0)</x:f>
        <x:v>0</x:v>
      </x:c>
      <x:c r="X128" s="201" t="str">
        <x:f>IF(U128=0,"Não iniciado",IF(U128&gt;=M128,"Concluído","Parcial"))</x:f>
        <x:v>Não iniciado</x:v>
      </x:c>
      <x:c r="Y128" s="199" t="str"/>
      <x:c r="Z128" s="188" t="str">
        <x:v>Normal</x:v>
      </x:c>
    </x:row>
    <x:row r="129" ht="22" customHeight="1">
      <x:c r="A129" s="217" t="n">
        <x:v>125</x:v>
      </x:c>
      <x:c r="B129" s="218" t="str">
        <x:v>26808</x:v>
      </x:c>
      <x:c r="C129" s="218" t="str">
        <x:v>1</x:v>
      </x:c>
      <x:c r="D129" s="218" t="str">
        <x:v>608896</x:v>
      </x:c>
      <x:c r="E129" s="218" t="str">
        <x:v>674786</x:v>
      </x:c>
      <x:c r="F129" s="218" t="str">
        <x:v>BATENTE</x:v>
      </x:c>
      <x:c r="G129" s="184" t="str">
        <x:v>2110x110x30 42x10 R2L BIA R PET U PREMIU</x:v>
      </x:c>
      <x:c r="H129" s="184" t="str"/>
      <x:c r="I129" s="184" t="str"/>
      <x:c r="J129" s="184" t="str"/>
      <x:c r="K129" s="184" t="str">
        <x:v>ESMALTE</x:v>
      </x:c>
      <x:c r="L129" s="184" t="str">
        <x:v>BRANCO CARRARA</x:v>
      </x:c>
      <x:c r="M129" s="205" t="n">
        <x:v>288</x:v>
      </x:c>
      <x:c r="N129" s="205" t="n">
        <x:v>2110</x:v>
      </x:c>
      <x:c r="O129" s="205" t="n">
        <x:v>110</x:v>
      </x:c>
      <x:c r="P129" s="205" t="n">
        <x:v>30</x:v>
      </x:c>
      <x:c r="Q129" s="206" t="n">
        <x:v>2.005</x:v>
      </x:c>
      <x:c r="R129" s="207" t="str"/>
      <x:c r="S129" s="207" t="str"/>
      <x:c r="T129" s="207" t="str"/>
      <x:c r="U129" s="207" t="n">
        <x:v>0</x:v>
      </x:c>
      <x:c r="V129" s="208" t="n">
        <x:f>MAX(0,M129-U129)</x:f>
        <x:v>288</x:v>
      </x:c>
      <x:c r="W129" s="209" t="n">
        <x:f>IFERROR(U129/M129,0)</x:f>
        <x:v>0</x:v>
      </x:c>
      <x:c r="X129" s="201" t="str">
        <x:f>IF(U129=0,"Não iniciado",IF(U129&gt;=M129,"Concluído","Parcial"))</x:f>
        <x:v>Não iniciado</x:v>
      </x:c>
      <x:c r="Y129" s="199" t="str"/>
      <x:c r="Z129" s="188" t="str">
        <x:v>Normal</x:v>
      </x:c>
    </x:row>
    <x:row r="130" ht="22" customHeight="1">
      <x:c r="A130" s="219" t="n">
        <x:v>126</x:v>
      </x:c>
      <x:c r="B130" s="220" t="str">
        <x:v>26808</x:v>
      </x:c>
      <x:c r="C130" s="220" t="str">
        <x:v>4</x:v>
      </x:c>
      <x:c r="D130" s="220" t="str">
        <x:v>608920</x:v>
      </x:c>
      <x:c r="E130" s="220" t="str">
        <x:v>674786</x:v>
      </x:c>
      <x:c r="F130" s="220" t="str">
        <x:v>BATENTE</x:v>
      </x:c>
      <x:c r="G130" s="190" t="str">
        <x:v>2110x110x30 42x10 R2L BIA R PET U PREMIU</x:v>
      </x:c>
      <x:c r="H130" s="190" t="str"/>
      <x:c r="I130" s="190" t="str"/>
      <x:c r="J130" s="190" t="str"/>
      <x:c r="K130" s="190" t="str">
        <x:v>ESMALTE</x:v>
      </x:c>
      <x:c r="L130" s="190" t="str">
        <x:v>BRANCO CARRARA</x:v>
      </x:c>
      <x:c r="M130" s="210" t="n">
        <x:v>126</x:v>
      </x:c>
      <x:c r="N130" s="210" t="n">
        <x:v>2110</x:v>
      </x:c>
      <x:c r="O130" s="210" t="n">
        <x:v>110</x:v>
      </x:c>
      <x:c r="P130" s="210" t="n">
        <x:v>30</x:v>
      </x:c>
      <x:c r="Q130" s="211" t="n">
        <x:v>0.877</x:v>
      </x:c>
      <x:c r="R130" s="207" t="str"/>
      <x:c r="S130" s="207" t="str"/>
      <x:c r="T130" s="207" t="str"/>
      <x:c r="U130" s="207" t="n">
        <x:v>0</x:v>
      </x:c>
      <x:c r="V130" s="208" t="n">
        <x:f>MAX(0,M130-U130)</x:f>
        <x:v>126</x:v>
      </x:c>
      <x:c r="W130" s="209" t="n">
        <x:f>IFERROR(U130/M130,0)</x:f>
        <x:v>0</x:v>
      </x:c>
      <x:c r="X130" s="201" t="str">
        <x:f>IF(U130=0,"Não iniciado",IF(U130&gt;=M130,"Concluído","Parcial"))</x:f>
        <x:v>Não iniciado</x:v>
      </x:c>
      <x:c r="Y130" s="199" t="str"/>
      <x:c r="Z130" s="188" t="str">
        <x:v>Normal</x:v>
      </x:c>
    </x:row>
    <x:row r="131" ht="22" customHeight="1">
      <x:c r="A131" s="217" t="n">
        <x:v>127</x:v>
      </x:c>
      <x:c r="B131" s="218" t="str">
        <x:v>26808</x:v>
      </x:c>
      <x:c r="C131" s="218" t="str">
        <x:v>6</x:v>
      </x:c>
      <x:c r="D131" s="218" t="str">
        <x:v>608940</x:v>
      </x:c>
      <x:c r="E131" s="218" t="str">
        <x:v>973935</x:v>
      </x:c>
      <x:c r="F131" s="218" t="str">
        <x:v>BATENTE</x:v>
      </x:c>
      <x:c r="G131" s="184" t="str">
        <x:v>2110x110x30 42x10 R2 BIA PET BCO U PREM</x:v>
      </x:c>
      <x:c r="H131" s="184" t="str"/>
      <x:c r="I131" s="184" t="str"/>
      <x:c r="J131" s="184" t="str"/>
      <x:c r="K131" s="184" t="str">
        <x:v>ESMALTE</x:v>
      </x:c>
      <x:c r="L131" s="184" t="str">
        <x:v>BRANCO CARRARA</x:v>
      </x:c>
      <x:c r="M131" s="205" t="n">
        <x:v>12</x:v>
      </x:c>
      <x:c r="N131" s="205" t="n">
        <x:v>2110</x:v>
      </x:c>
      <x:c r="O131" s="205" t="n">
        <x:v>110</x:v>
      </x:c>
      <x:c r="P131" s="205" t="n">
        <x:v>30</x:v>
      </x:c>
      <x:c r="Q131" s="206" t="n">
        <x:v>0</x:v>
      </x:c>
      <x:c r="R131" s="207" t="str"/>
      <x:c r="S131" s="207" t="str"/>
      <x:c r="T131" s="207" t="str"/>
      <x:c r="U131" s="207" t="n">
        <x:v>0</x:v>
      </x:c>
      <x:c r="V131" s="208" t="n">
        <x:f>MAX(0,M131-U131)</x:f>
        <x:v>12</x:v>
      </x:c>
      <x:c r="W131" s="209" t="n">
        <x:f>IFERROR(U131/M131,0)</x:f>
        <x:v>0</x:v>
      </x:c>
      <x:c r="X131" s="201" t="str">
        <x:f>IF(U131=0,"Não iniciado",IF(U131&gt;=M131,"Concluído","Parcial"))</x:f>
        <x:v>Não iniciado</x:v>
      </x:c>
      <x:c r="Y131" s="199" t="str"/>
      <x:c r="Z131" s="188" t="str">
        <x:v>Normal</x:v>
      </x:c>
    </x:row>
    <x:row r="132" ht="22" customHeight="1">
      <x:c r="A132" s="219" t="n">
        <x:v>128</x:v>
      </x:c>
      <x:c r="B132" s="220" t="str">
        <x:v>26808</x:v>
      </x:c>
      <x:c r="C132" s="220" t="str">
        <x:v>9</x:v>
      </x:c>
      <x:c r="D132" s="220" t="str">
        <x:v>610975</x:v>
      </x:c>
      <x:c r="E132" s="220" t="str">
        <x:v>674786</x:v>
      </x:c>
      <x:c r="F132" s="220" t="str">
        <x:v>BATENTE</x:v>
      </x:c>
      <x:c r="G132" s="190" t="str">
        <x:v>2110x110x30 42x10 R2L BIA R PET U PREMIU</x:v>
      </x:c>
      <x:c r="H132" s="190" t="str"/>
      <x:c r="I132" s="190" t="str"/>
      <x:c r="J132" s="190" t="str"/>
      <x:c r="K132" s="190" t="str">
        <x:v>ESMALTE</x:v>
      </x:c>
      <x:c r="L132" s="190" t="str">
        <x:v>BRANCO CARRARA</x:v>
      </x:c>
      <x:c r="M132" s="210" t="n">
        <x:v>142</x:v>
      </x:c>
      <x:c r="N132" s="210" t="n">
        <x:v>2110</x:v>
      </x:c>
      <x:c r="O132" s="210" t="n">
        <x:v>110</x:v>
      </x:c>
      <x:c r="P132" s="210" t="n">
        <x:v>30</x:v>
      </x:c>
      <x:c r="Q132" s="211" t="n">
        <x:v>0.989</x:v>
      </x:c>
      <x:c r="R132" s="207" t="str"/>
      <x:c r="S132" s="207" t="str"/>
      <x:c r="T132" s="207" t="str"/>
      <x:c r="U132" s="207" t="n">
        <x:v>0</x:v>
      </x:c>
      <x:c r="V132" s="208" t="n">
        <x:f>MAX(0,M132-U132)</x:f>
        <x:v>142</x:v>
      </x:c>
      <x:c r="W132" s="209" t="n">
        <x:f>IFERROR(U132/M132,0)</x:f>
        <x:v>0</x:v>
      </x:c>
      <x:c r="X132" s="201" t="str">
        <x:f>IF(U132=0,"Não iniciado",IF(U132&gt;=M132,"Concluído","Parcial"))</x:f>
        <x:v>Não iniciado</x:v>
      </x:c>
      <x:c r="Y132" s="199" t="str"/>
      <x:c r="Z132" s="188" t="str">
        <x:v>Normal</x:v>
      </x:c>
    </x:row>
    <x:row r="133" ht="22" customHeight="1">
      <x:c r="A133" s="217" t="n">
        <x:v>129</x:v>
      </x:c>
      <x:c r="B133" s="218" t="str">
        <x:v>26520</x:v>
      </x:c>
      <x:c r="C133" s="218" t="str">
        <x:v>2</x:v>
      </x:c>
      <x:c r="D133" s="218" t="str">
        <x:v>610073</x:v>
      </x:c>
      <x:c r="E133" s="218" t="str">
        <x:v>975453</x:v>
      </x:c>
      <x:c r="F133" s="218" t="str">
        <x:v>BATENTE</x:v>
      </x:c>
      <x:c r="G133" s="184" t="str">
        <x:v>2110x110x30 42x10 R2L RT BIA PET CNZ U(U</x:v>
      </x:c>
      <x:c r="H133" s="184" t="str"/>
      <x:c r="I133" s="184" t="str"/>
      <x:c r="J133" s="184" t="str"/>
      <x:c r="K133" s="184" t="str">
        <x:v>RECOBERTO PET</x:v>
      </x:c>
      <x:c r="L133" s="184" t="str">
        <x:v>CINZA VERONA</x:v>
      </x:c>
      <x:c r="M133" s="205" t="n">
        <x:v>12</x:v>
      </x:c>
      <x:c r="N133" s="205" t="n">
        <x:v>2110</x:v>
      </x:c>
      <x:c r="O133" s="205" t="n">
        <x:v>110</x:v>
      </x:c>
      <x:c r="P133" s="205" t="n">
        <x:v>30</x:v>
      </x:c>
      <x:c r="Q133" s="206" t="n">
        <x:v>0.084</x:v>
      </x:c>
      <x:c r="R133" s="207" t="str"/>
      <x:c r="S133" s="207" t="str"/>
      <x:c r="T133" s="207" t="str"/>
      <x:c r="U133" s="207" t="n">
        <x:v>0</x:v>
      </x:c>
      <x:c r="V133" s="208" t="n">
        <x:f>MAX(0,M133-U133)</x:f>
        <x:v>12</x:v>
      </x:c>
      <x:c r="W133" s="209" t="n">
        <x:f>IFERROR(U133/M133,0)</x:f>
        <x:v>0</x:v>
      </x:c>
      <x:c r="X133" s="201" t="str">
        <x:f>IF(U133=0,"Não iniciado",IF(U133&gt;=M133,"Concluído","Parcial"))</x:f>
        <x:v>Não iniciado</x:v>
      </x:c>
      <x:c r="Y133" s="199" t="str"/>
      <x:c r="Z133" s="188" t="str">
        <x:v>Normal</x:v>
      </x:c>
    </x:row>
    <x:row r="134" ht="22" customHeight="1">
      <x:c r="A134" s="219" t="n">
        <x:v>130</x:v>
      </x:c>
      <x:c r="B134" s="220" t="str">
        <x:v>26520</x:v>
      </x:c>
      <x:c r="C134" s="220" t="str">
        <x:v>4</x:v>
      </x:c>
      <x:c r="D134" s="220" t="str">
        <x:v>610091</x:v>
      </x:c>
      <x:c r="E134" s="220" t="str">
        <x:v>2010700177</x:v>
      </x:c>
      <x:c r="F134" s="220" t="str">
        <x:v>BATENTE</x:v>
      </x:c>
      <x:c r="G134" s="190" t="str">
        <x:v>M P ULTRA PET CI VE 2110X110X30 42X10 R2</x:v>
      </x:c>
      <x:c r="H134" s="190" t="str"/>
      <x:c r="I134" s="190" t="str"/>
      <x:c r="J134" s="190" t="str"/>
      <x:c r="K134" s="190" t="str">
        <x:v>RECOBERTO PET</x:v>
      </x:c>
      <x:c r="L134" s="190" t="str">
        <x:v>CINZA VERONA</x:v>
      </x:c>
      <x:c r="M134" s="210" t="n">
        <x:v>8</x:v>
      </x:c>
      <x:c r="N134" s="210" t="n">
        <x:v>2110</x:v>
      </x:c>
      <x:c r="O134" s="210" t="n">
        <x:v>110</x:v>
      </x:c>
      <x:c r="P134" s="210" t="n">
        <x:v>30</x:v>
      </x:c>
      <x:c r="Q134" s="211" t="n">
        <x:v>0.056</x:v>
      </x:c>
      <x:c r="R134" s="207" t="str"/>
      <x:c r="S134" s="207" t="str"/>
      <x:c r="T134" s="207" t="str"/>
      <x:c r="U134" s="207" t="n">
        <x:v>0</x:v>
      </x:c>
      <x:c r="V134" s="208" t="n">
        <x:f>MAX(0,M134-U134)</x:f>
        <x:v>8</x:v>
      </x:c>
      <x:c r="W134" s="209" t="n">
        <x:f>IFERROR(U134/M134,0)</x:f>
        <x:v>0</x:v>
      </x:c>
      <x:c r="X134" s="201" t="str">
        <x:f>IF(U134=0,"Não iniciado",IF(U134&gt;=M134,"Concluído","Parcial"))</x:f>
        <x:v>Não iniciado</x:v>
      </x:c>
      <x:c r="Y134" s="199" t="str"/>
      <x:c r="Z134" s="188" t="str">
        <x:v>Normal</x:v>
      </x:c>
    </x:row>
    <x:row r="135" ht="22" customHeight="1">
      <x:c r="A135" s="217" t="n">
        <x:v>131</x:v>
      </x:c>
      <x:c r="B135" s="218" t="str">
        <x:v>26520</x:v>
      </x:c>
      <x:c r="C135" s="218" t="str">
        <x:v>11</x:v>
      </x:c>
      <x:c r="D135" s="218" t="str">
        <x:v>610128</x:v>
      </x:c>
      <x:c r="E135" s="218" t="str">
        <x:v>2010701218</x:v>
      </x:c>
      <x:c r="F135" s="218" t="str">
        <x:v>BATENTE</x:v>
      </x:c>
      <x:c r="G135" s="184" t="str">
        <x:v>M ULTRA PET C RA 2110X110X30 42X10 R2L M</x:v>
      </x:c>
      <x:c r="H135" s="184" t="str"/>
      <x:c r="I135" s="184" t="str"/>
      <x:c r="J135" s="184" t="str"/>
      <x:c r="K135" s="184" t="str">
        <x:v>RECOBERTO PET</x:v>
      </x:c>
      <x:c r="L135" s="184" t="str">
        <x:v>CURUPIXA RAVENNA</x:v>
      </x:c>
      <x:c r="M135" s="205" t="n">
        <x:v>6</x:v>
      </x:c>
      <x:c r="N135" s="205" t="n">
        <x:v>2110</x:v>
      </x:c>
      <x:c r="O135" s="205" t="n">
        <x:v>110</x:v>
      </x:c>
      <x:c r="P135" s="205" t="n">
        <x:v>30</x:v>
      </x:c>
      <x:c r="Q135" s="206" t="n">
        <x:v>0.042</x:v>
      </x:c>
      <x:c r="R135" s="207" t="str"/>
      <x:c r="S135" s="207" t="str"/>
      <x:c r="T135" s="207" t="str"/>
      <x:c r="U135" s="207" t="n">
        <x:v>0</x:v>
      </x:c>
      <x:c r="V135" s="208" t="n">
        <x:f>MAX(0,M135-U135)</x:f>
        <x:v>6</x:v>
      </x:c>
      <x:c r="W135" s="209" t="n">
        <x:f>IFERROR(U135/M135,0)</x:f>
        <x:v>0</x:v>
      </x:c>
      <x:c r="X135" s="201" t="str">
        <x:f>IF(U135=0,"Não iniciado",IF(U135&gt;=M135,"Concluído","Parcial"))</x:f>
        <x:v>Não iniciado</x:v>
      </x:c>
      <x:c r="Y135" s="199" t="str"/>
      <x:c r="Z135" s="188" t="str">
        <x:v>Normal</x:v>
      </x:c>
    </x:row>
    <x:row r="136" ht="22" customHeight="1">
      <x:c r="A136" s="219" t="n">
        <x:v>132</x:v>
      </x:c>
      <x:c r="B136" s="220" t="str">
        <x:v>26520</x:v>
      </x:c>
      <x:c r="C136" s="220" t="str">
        <x:v>12</x:v>
      </x:c>
      <x:c r="D136" s="220" t="str">
        <x:v>610136</x:v>
      </x:c>
      <x:c r="E136" s="220" t="str">
        <x:v>2010701220</x:v>
      </x:c>
      <x:c r="F136" s="220" t="str">
        <x:v>BATENTE</x:v>
      </x:c>
      <x:c r="G136" s="190" t="str">
        <x:v>M ULTRA PET C RA 2110X110X30 42X10 R2L M</x:v>
      </x:c>
      <x:c r="H136" s="190" t="str"/>
      <x:c r="I136" s="190" t="str"/>
      <x:c r="J136" s="190" t="str"/>
      <x:c r="K136" s="190" t="str">
        <x:v>RECOBERTO PET</x:v>
      </x:c>
      <x:c r="L136" s="190" t="str">
        <x:v>CURUPIXA RAVENNA</x:v>
      </x:c>
      <x:c r="M136" s="210" t="n">
        <x:v>2</x:v>
      </x:c>
      <x:c r="N136" s="210" t="n">
        <x:v>2110</x:v>
      </x:c>
      <x:c r="O136" s="210" t="n">
        <x:v>110</x:v>
      </x:c>
      <x:c r="P136" s="210" t="n">
        <x:v>30</x:v>
      </x:c>
      <x:c r="Q136" s="211" t="n">
        <x:v>0.014</x:v>
      </x:c>
      <x:c r="R136" s="207" t="str"/>
      <x:c r="S136" s="207" t="str"/>
      <x:c r="T136" s="207" t="str"/>
      <x:c r="U136" s="207" t="n">
        <x:v>0</x:v>
      </x:c>
      <x:c r="V136" s="208" t="n">
        <x:f>MAX(0,M136-U136)</x:f>
        <x:v>2</x:v>
      </x:c>
      <x:c r="W136" s="209" t="n">
        <x:f>IFERROR(U136/M136,0)</x:f>
        <x:v>0</x:v>
      </x:c>
      <x:c r="X136" s="201" t="str">
        <x:f>IF(U136=0,"Não iniciado",IF(U136&gt;=M136,"Concluído","Parcial"))</x:f>
        <x:v>Não iniciado</x:v>
      </x:c>
      <x:c r="Y136" s="199" t="str"/>
      <x:c r="Z136" s="188" t="str">
        <x:v>Normal</x:v>
      </x:c>
    </x:row>
    <x:row r="137" ht="22" customHeight="1">
      <x:c r="A137" s="217" t="n">
        <x:v>133</x:v>
      </x:c>
      <x:c r="B137" s="218" t="str">
        <x:v>26800</x:v>
      </x:c>
      <x:c r="C137" s="218" t="str">
        <x:v>2</x:v>
      </x:c>
      <x:c r="D137" s="218" t="str">
        <x:v>612115</x:v>
      </x:c>
      <x:c r="E137" s="218" t="str">
        <x:v>2010701286</x:v>
      </x:c>
      <x:c r="F137" s="218" t="str">
        <x:v>BATENTE</x:v>
      </x:c>
      <x:c r="G137" s="184" t="str">
        <x:v>M ULTRA PET CA MA 2110X110X30 42X10 R2L</x:v>
      </x:c>
      <x:c r="H137" s="184" t="str">
        <x:v>MDF ULTRA</x:v>
      </x:c>
      <x:c r="I137" s="184" t="str">
        <x:v>C/BORRACHA I APLICADA</x:v>
      </x:c>
      <x:c r="J137" s="184" t="str">
        <x:v>C/REB 42X10</x:v>
      </x:c>
      <x:c r="K137" s="184" t="str">
        <x:v>RECOBERTO PET</x:v>
      </x:c>
      <x:c r="L137" s="184" t="str">
        <x:v>CARVALHO MALVA</x:v>
      </x:c>
      <x:c r="M137" s="205" t="n">
        <x:v>2</x:v>
      </x:c>
      <x:c r="N137" s="205" t="n">
        <x:v>2110</x:v>
      </x:c>
      <x:c r="O137" s="205" t="n">
        <x:v>110</x:v>
      </x:c>
      <x:c r="P137" s="205" t="n">
        <x:v>30</x:v>
      </x:c>
      <x:c r="Q137" s="206" t="n">
        <x:v>0.014</x:v>
      </x:c>
      <x:c r="R137" s="207" t="str"/>
      <x:c r="S137" s="207" t="str"/>
      <x:c r="T137" s="207" t="str"/>
      <x:c r="U137" s="207" t="n">
        <x:v>0</x:v>
      </x:c>
      <x:c r="V137" s="208" t="n">
        <x:f>MAX(0,M137-U137)</x:f>
        <x:v>2</x:v>
      </x:c>
      <x:c r="W137" s="209" t="n">
        <x:f>IFERROR(U137/M137,0)</x:f>
        <x:v>0</x:v>
      </x:c>
      <x:c r="X137" s="201" t="str">
        <x:f>IF(U137=0,"Não iniciado",IF(U137&gt;=M137,"Concluído","Parcial"))</x:f>
        <x:v>Não iniciado</x:v>
      </x:c>
      <x:c r="Y137" s="199" t="str"/>
      <x:c r="Z137" s="188" t="str">
        <x:v>Normal</x:v>
      </x:c>
    </x:row>
    <x:row r="138" ht="22" customHeight="1">
      <x:c r="A138" s="219" t="n">
        <x:v>134</x:v>
      </x:c>
      <x:c r="B138" s="220" t="str">
        <x:v>26766</x:v>
      </x:c>
      <x:c r="C138" s="220" t="str">
        <x:v>3</x:v>
      </x:c>
      <x:c r="D138" s="220" t="str">
        <x:v>610146</x:v>
      </x:c>
      <x:c r="E138" s="220" t="str">
        <x:v>985754</x:v>
      </x:c>
      <x:c r="F138" s="220" t="str">
        <x:v>BATENTE</x:v>
      </x:c>
      <x:c r="G138" s="190" t="str">
        <x:v>2110x110x30 42x10R2LR1 BIA PET MOG STD U</x:v>
      </x:c>
      <x:c r="H138" s="190" t="str">
        <x:v>MDF STD</x:v>
      </x:c>
      <x:c r="I138" s="190" t="str">
        <x:v>C/BORRACHA I APLICADA</x:v>
      </x:c>
      <x:c r="J138" s="190" t="str">
        <x:v>C/REB 42X10</x:v>
      </x:c>
      <x:c r="K138" s="190" t="str">
        <x:v>RECOBERTO PET TXT</x:v>
      </x:c>
      <x:c r="L138" s="190" t="str">
        <x:v>MOGNO BRASILEIRO</x:v>
      </x:c>
      <x:c r="M138" s="210" t="n">
        <x:v>216</x:v>
      </x:c>
      <x:c r="N138" s="210" t="n">
        <x:v>2110</x:v>
      </x:c>
      <x:c r="O138" s="210" t="n">
        <x:v>110</x:v>
      </x:c>
      <x:c r="P138" s="210" t="n">
        <x:v>30</x:v>
      </x:c>
      <x:c r="Q138" s="211" t="n">
        <x:v>0</x:v>
      </x:c>
      <x:c r="R138" s="207" t="str"/>
      <x:c r="S138" s="207" t="str"/>
      <x:c r="T138" s="207" t="str"/>
      <x:c r="U138" s="207" t="n">
        <x:v>0</x:v>
      </x:c>
      <x:c r="V138" s="208" t="n">
        <x:f>MAX(0,M138-U138)</x:f>
        <x:v>216</x:v>
      </x:c>
      <x:c r="W138" s="209" t="n">
        <x:f>IFERROR(U138/M138,0)</x:f>
        <x:v>0</x:v>
      </x:c>
      <x:c r="X138" s="201" t="str">
        <x:f>IF(U138=0,"Não iniciado",IF(U138&gt;=M138,"Concluído","Parcial"))</x:f>
        <x:v>Não iniciado</x:v>
      </x:c>
      <x:c r="Y138" s="199" t="str"/>
      <x:c r="Z138" s="188" t="str">
        <x:v>Normal</x:v>
      </x:c>
    </x:row>
    <x:row r="139" ht="22" customHeight="1">
      <x:c r="A139" s="217" t="n">
        <x:v>135</x:v>
      </x:c>
      <x:c r="B139" s="218" t="str">
        <x:v>26766</x:v>
      </x:c>
      <x:c r="C139" s="218" t="str">
        <x:v>5</x:v>
      </x:c>
      <x:c r="D139" s="218" t="str">
        <x:v>610150</x:v>
      </x:c>
      <x:c r="E139" s="218" t="str">
        <x:v>985754</x:v>
      </x:c>
      <x:c r="F139" s="218" t="str">
        <x:v>BATENTE</x:v>
      </x:c>
      <x:c r="G139" s="184" t="str">
        <x:v>2110x110x30 42x10R2LR1 BIA PET MOG STD U</x:v>
      </x:c>
      <x:c r="H139" s="184" t="str">
        <x:v>MDF STD</x:v>
      </x:c>
      <x:c r="I139" s="184" t="str">
        <x:v>C/BORRACHA I APLICADA</x:v>
      </x:c>
      <x:c r="J139" s="184" t="str">
        <x:v>C/REB 42X10</x:v>
      </x:c>
      <x:c r="K139" s="184" t="str">
        <x:v>RECOBERTO PET TXT</x:v>
      </x:c>
      <x:c r="L139" s="184" t="str">
        <x:v>MOGNO BRASILEIRO</x:v>
      </x:c>
      <x:c r="M139" s="205" t="n">
        <x:v>648</x:v>
      </x:c>
      <x:c r="N139" s="205" t="n">
        <x:v>2110</x:v>
      </x:c>
      <x:c r="O139" s="205" t="n">
        <x:v>110</x:v>
      </x:c>
      <x:c r="P139" s="205" t="n">
        <x:v>30</x:v>
      </x:c>
      <x:c r="Q139" s="206" t="n">
        <x:v>0</x:v>
      </x:c>
      <x:c r="R139" s="207" t="str"/>
      <x:c r="S139" s="207" t="str"/>
      <x:c r="T139" s="207" t="str"/>
      <x:c r="U139" s="207" t="n">
        <x:v>0</x:v>
      </x:c>
      <x:c r="V139" s="208" t="n">
        <x:f>MAX(0,M139-U139)</x:f>
        <x:v>648</x:v>
      </x:c>
      <x:c r="W139" s="209" t="n">
        <x:f>IFERROR(U139/M139,0)</x:f>
        <x:v>0</x:v>
      </x:c>
      <x:c r="X139" s="201" t="str">
        <x:f>IF(U139=0,"Não iniciado",IF(U139&gt;=M139,"Concluído","Parcial"))</x:f>
        <x:v>Não iniciado</x:v>
      </x:c>
      <x:c r="Y139" s="199" t="str"/>
      <x:c r="Z139" s="188" t="str">
        <x:v>Normal</x:v>
      </x:c>
    </x:row>
    <x:row r="140" ht="22" customHeight="1">
      <x:c r="A140" s="219" t="n">
        <x:v>136</x:v>
      </x:c>
      <x:c r="B140" s="220" t="str">
        <x:v>26766</x:v>
      </x:c>
      <x:c r="C140" s="220" t="str">
        <x:v>7</x:v>
      </x:c>
      <x:c r="D140" s="220" t="str">
        <x:v>610154</x:v>
      </x:c>
      <x:c r="E140" s="220" t="str">
        <x:v>985754</x:v>
      </x:c>
      <x:c r="F140" s="220" t="str">
        <x:v>BATENTE</x:v>
      </x:c>
      <x:c r="G140" s="190" t="str">
        <x:v>2110x110x30 42x10R2LR1 BIA PET MOG STD U</x:v>
      </x:c>
      <x:c r="H140" s="190" t="str">
        <x:v>MDF STD</x:v>
      </x:c>
      <x:c r="I140" s="190" t="str">
        <x:v>C/BORRACHA I APLICADA</x:v>
      </x:c>
      <x:c r="J140" s="190" t="str">
        <x:v>C/REB 42X10</x:v>
      </x:c>
      <x:c r="K140" s="190" t="str">
        <x:v>RECOBERTO PET TXT</x:v>
      </x:c>
      <x:c r="L140" s="190" t="str">
        <x:v>MOGNO BRASILEIRO</x:v>
      </x:c>
      <x:c r="M140" s="210" t="n">
        <x:v>288</x:v>
      </x:c>
      <x:c r="N140" s="210" t="n">
        <x:v>2110</x:v>
      </x:c>
      <x:c r="O140" s="210" t="n">
        <x:v>110</x:v>
      </x:c>
      <x:c r="P140" s="210" t="n">
        <x:v>30</x:v>
      </x:c>
      <x:c r="Q140" s="211" t="n">
        <x:v>0</x:v>
      </x:c>
      <x:c r="R140" s="207" t="str"/>
      <x:c r="S140" s="207" t="str"/>
      <x:c r="T140" s="207" t="str"/>
      <x:c r="U140" s="207" t="n">
        <x:v>0</x:v>
      </x:c>
      <x:c r="V140" s="208" t="n">
        <x:f>MAX(0,M140-U140)</x:f>
        <x:v>288</x:v>
      </x:c>
      <x:c r="W140" s="209" t="n">
        <x:f>IFERROR(U140/M140,0)</x:f>
        <x:v>0</x:v>
      </x:c>
      <x:c r="X140" s="201" t="str">
        <x:f>IF(U140=0,"Não iniciado",IF(U140&gt;=M140,"Concluído","Parcial"))</x:f>
        <x:v>Não iniciado</x:v>
      </x:c>
      <x:c r="Y140" s="199" t="str"/>
      <x:c r="Z140" s="188" t="str">
        <x:v>Normal</x:v>
      </x:c>
    </x:row>
    <x:row r="141" ht="22" customHeight="1">
      <x:c r="A141" s="217" t="n">
        <x:v>137</x:v>
      </x:c>
      <x:c r="B141" s="218" t="str">
        <x:v>26824</x:v>
      </x:c>
      <x:c r="C141" s="218" t="str">
        <x:v>1</x:v>
      </x:c>
      <x:c r="D141" s="218" t="str">
        <x:v>609583</x:v>
      </x:c>
      <x:c r="E141" s="218" t="str">
        <x:v>2010600020</x:v>
      </x:c>
      <x:c r="F141" s="218" t="str">
        <x:v>OUTROS</x:v>
      </x:c>
      <x:c r="G141" s="184" t="str">
        <x:v>M CJ MDF STD PET TXT BCO 2110X110X30 42X</x:v>
      </x:c>
      <x:c r="H141" s="184" t="str"/>
      <x:c r="I141" s="184" t="str"/>
      <x:c r="J141" s="184" t="str"/>
      <x:c r="K141" s="184" t="str">
        <x:v>ESMALTE</x:v>
      </x:c>
      <x:c r="L141" s="184" t="str">
        <x:v>BRANCO CARRARA</x:v>
      </x:c>
      <x:c r="M141" s="205" t="n">
        <x:v>246</x:v>
      </x:c>
      <x:c r="N141" s="205" t="n">
        <x:v>2110</x:v>
      </x:c>
      <x:c r="O141" s="205" t="n">
        <x:v>110</x:v>
      </x:c>
      <x:c r="P141" s="205" t="n">
        <x:v>30</x:v>
      </x:c>
      <x:c r="Q141" s="206" t="n">
        <x:v>1.713</x:v>
      </x:c>
      <x:c r="R141" s="207" t="str"/>
      <x:c r="S141" s="207" t="str"/>
      <x:c r="T141" s="207" t="str"/>
      <x:c r="U141" s="207" t="n">
        <x:v>0</x:v>
      </x:c>
      <x:c r="V141" s="208" t="n">
        <x:f>MAX(0,M141-U141)</x:f>
        <x:v>246</x:v>
      </x:c>
      <x:c r="W141" s="209" t="n">
        <x:f>IFERROR(U141/M141,0)</x:f>
        <x:v>0</x:v>
      </x:c>
      <x:c r="X141" s="201" t="str">
        <x:f>IF(U141=0,"Não iniciado",IF(U141&gt;=M141,"Concluído","Parcial"))</x:f>
        <x:v>Não iniciado</x:v>
      </x:c>
      <x:c r="Y141" s="199" t="str"/>
      <x:c r="Z141" s="188" t="str">
        <x:v>Normal</x:v>
      </x:c>
    </x:row>
    <x:row r="142" ht="22" customHeight="1">
      <x:c r="A142" s="219" t="n">
        <x:v>138</x:v>
      </x:c>
      <x:c r="B142" s="220" t="str">
        <x:v>26825</x:v>
      </x:c>
      <x:c r="C142" s="220" t="str">
        <x:v>2</x:v>
      </x:c>
      <x:c r="D142" s="220" t="str">
        <x:v>609045</x:v>
      </x:c>
      <x:c r="E142" s="220" t="str">
        <x:v>2010701244</x:v>
      </x:c>
      <x:c r="F142" s="220" t="str">
        <x:v>BATENTE</x:v>
      </x:c>
      <x:c r="G142" s="190" t="str">
        <x:v>M ULTRA PET BCO CAR 1100X110X30 S/REB RG</x:v>
      </x:c>
      <x:c r="H142" s="190" t="str">
        <x:v>MDF ULTRA</x:v>
      </x:c>
      <x:c r="I142" s="190" t="str">
        <x:v>S/CANAL</x:v>
      </x:c>
      <x:c r="J142" s="190" t="str">
        <x:v>S/REB</x:v>
      </x:c>
      <x:c r="K142" s="190" t="str">
        <x:v>RECOBERTO PET</x:v>
      </x:c>
      <x:c r="L142" s="190" t="str">
        <x:v>BRANCO CARRARA</x:v>
      </x:c>
      <x:c r="M142" s="210" t="n">
        <x:v>32</x:v>
      </x:c>
      <x:c r="N142" s="210" t="n">
        <x:v>1100</x:v>
      </x:c>
      <x:c r="O142" s="210" t="n">
        <x:v>110</x:v>
      </x:c>
      <x:c r="P142" s="210" t="n">
        <x:v>30</x:v>
      </x:c>
      <x:c r="Q142" s="211" t="n">
        <x:v>0.116</x:v>
      </x:c>
      <x:c r="R142" s="207" t="str"/>
      <x:c r="S142" s="207" t="str"/>
      <x:c r="T142" s="207" t="str"/>
      <x:c r="U142" s="207" t="n">
        <x:v>0</x:v>
      </x:c>
      <x:c r="V142" s="208" t="n">
        <x:f>MAX(0,M142-U142)</x:f>
        <x:v>32</x:v>
      </x:c>
      <x:c r="W142" s="209" t="n">
        <x:f>IFERROR(U142/M142,0)</x:f>
        <x:v>0</x:v>
      </x:c>
      <x:c r="X142" s="201" t="str">
        <x:f>IF(U142=0,"Não iniciado",IF(U142&gt;=M142,"Concluído","Parcial"))</x:f>
        <x:v>Não iniciado</x:v>
      </x:c>
      <x:c r="Y142" s="199" t="str"/>
      <x:c r="Z142" s="188" t="str">
        <x:v>Normal</x:v>
      </x:c>
    </x:row>
    <x:row r="143" ht="22" customHeight="1">
      <x:c r="A143" s="217" t="n">
        <x:v>139</x:v>
      </x:c>
      <x:c r="B143" s="218" t="str">
        <x:v>26520</x:v>
      </x:c>
      <x:c r="C143" s="218" t="str">
        <x:v>8</x:v>
      </x:c>
      <x:c r="D143" s="218" t="str">
        <x:v>610113</x:v>
      </x:c>
      <x:c r="E143" s="218" t="str">
        <x:v>2010701223</x:v>
      </x:c>
      <x:c r="F143" s="218" t="str">
        <x:v>BATENTE</x:v>
      </x:c>
      <x:c r="G143" s="184" t="str">
        <x:v>M ULTRA PET C RA 1000X110X30 S/REB RG 1</x:v>
      </x:c>
      <x:c r="H143" s="184" t="str">
        <x:v>MDF ULTRA</x:v>
      </x:c>
      <x:c r="I143" s="184" t="str">
        <x:v>S/CANAL</x:v>
      </x:c>
      <x:c r="J143" s="184" t="str">
        <x:v>S/REB</x:v>
      </x:c>
      <x:c r="K143" s="184" t="str">
        <x:v>RECOBERTO PET</x:v>
      </x:c>
      <x:c r="L143" s="184" t="str">
        <x:v>CURUPIXA RAVENNA</x:v>
      </x:c>
      <x:c r="M143" s="205" t="n">
        <x:v>1</x:v>
      </x:c>
      <x:c r="N143" s="205" t="n">
        <x:v>1000</x:v>
      </x:c>
      <x:c r="O143" s="205" t="n">
        <x:v>110</x:v>
      </x:c>
      <x:c r="P143" s="205" t="n">
        <x:v>30</x:v>
      </x:c>
      <x:c r="Q143" s="206" t="n">
        <x:v>0.003</x:v>
      </x:c>
      <x:c r="R143" s="207" t="str"/>
      <x:c r="S143" s="207" t="str"/>
      <x:c r="T143" s="207" t="str"/>
      <x:c r="U143" s="207" t="n">
        <x:v>0</x:v>
      </x:c>
      <x:c r="V143" s="208" t="n">
        <x:f>MAX(0,M143-U143)</x:f>
        <x:v>1</x:v>
      </x:c>
      <x:c r="W143" s="209" t="n">
        <x:f>IFERROR(U143/M143,0)</x:f>
        <x:v>0</x:v>
      </x:c>
      <x:c r="X143" s="201" t="str">
        <x:f>IF(U143=0,"Não iniciado",IF(U143&gt;=M143,"Concluído","Parcial"))</x:f>
        <x:v>Não iniciado</x:v>
      </x:c>
      <x:c r="Y143" s="199" t="str"/>
      <x:c r="Z143" s="188" t="str">
        <x:v>Normal</x:v>
      </x:c>
    </x:row>
    <x:row r="144" ht="22" customHeight="1">
      <x:c r="A144" s="219" t="n">
        <x:v>140</x:v>
      </x:c>
      <x:c r="B144" s="220" t="str">
        <x:v>26826</x:v>
      </x:c>
      <x:c r="C144" s="220" t="str">
        <x:v>2</x:v>
      </x:c>
      <x:c r="D144" s="220" t="str">
        <x:v>609060</x:v>
      </x:c>
      <x:c r="E144" s="220" t="str">
        <x:v>2010600173</x:v>
      </x:c>
      <x:c r="F144" s="220" t="str">
        <x:v>OUTROS</x:v>
      </x:c>
      <x:c r="G144" s="190" t="str">
        <x:v>M T MDF STD PET TXT BCO 1000X110X30 S/RE</x:v>
      </x:c>
      <x:c r="H144" s="190" t="str">
        <x:v>MDF STD</x:v>
      </x:c>
      <x:c r="I144" s="190" t="str">
        <x:v>S/CANAL</x:v>
      </x:c>
      <x:c r="J144" s="190" t="str">
        <x:v>S/REB</x:v>
      </x:c>
      <x:c r="K144" s="190" t="str">
        <x:v>RECOBERTO PET TXT</x:v>
      </x:c>
      <x:c r="L144" s="190" t="str">
        <x:v>BRANCO</x:v>
      </x:c>
      <x:c r="M144" s="210" t="n">
        <x:v>62</x:v>
      </x:c>
      <x:c r="N144" s="210" t="n">
        <x:v>1000</x:v>
      </x:c>
      <x:c r="O144" s="210" t="n">
        <x:v>110</x:v>
      </x:c>
      <x:c r="P144" s="210" t="n">
        <x:v>30</x:v>
      </x:c>
      <x:c r="Q144" s="211" t="n">
        <x:v>0.205</x:v>
      </x:c>
      <x:c r="R144" s="207" t="str"/>
      <x:c r="S144" s="207" t="str"/>
      <x:c r="T144" s="207" t="str"/>
      <x:c r="U144" s="207" t="n">
        <x:v>0</x:v>
      </x:c>
      <x:c r="V144" s="208" t="n">
        <x:f>MAX(0,M144-U144)</x:f>
        <x:v>62</x:v>
      </x:c>
      <x:c r="W144" s="209" t="n">
        <x:f>IFERROR(U144/M144,0)</x:f>
        <x:v>0</x:v>
      </x:c>
      <x:c r="X144" s="201" t="str">
        <x:f>IF(U144=0,"Não iniciado",IF(U144&gt;=M144,"Concluído","Parcial"))</x:f>
        <x:v>Não iniciado</x:v>
      </x:c>
      <x:c r="Y144" s="199" t="str"/>
      <x:c r="Z144" s="188" t="str">
        <x:v>Normal</x:v>
      </x:c>
    </x:row>
    <x:row r="145" ht="22" customHeight="1">
      <x:c r="A145" s="217" t="n">
        <x:v>141</x:v>
      </x:c>
      <x:c r="B145" s="218" t="str">
        <x:v>26684</x:v>
      </x:c>
      <x:c r="C145" s="218" t="str">
        <x:v>1</x:v>
      </x:c>
      <x:c r="D145" s="218" t="str">
        <x:v>609112</x:v>
      </x:c>
      <x:c r="E145" s="218" t="str">
        <x:v>966816</x:v>
      </x:c>
      <x:c r="F145" s="218" t="str">
        <x:v>BATENTE</x:v>
      </x:c>
      <x:c r="G145" s="184" t="str">
        <x:v>867x110x30 42x10 R2L RT BIA PET STD PREM</x:v>
      </x:c>
      <x:c r="H145" s="184" t="str"/>
      <x:c r="I145" s="184" t="str"/>
      <x:c r="J145" s="184" t="str"/>
      <x:c r="K145" s="184" t="str">
        <x:v>ESMALTE</x:v>
      </x:c>
      <x:c r="L145" s="184" t="str">
        <x:v>BRANCO CARRARA</x:v>
      </x:c>
      <x:c r="M145" s="205" t="n">
        <x:v>1</x:v>
      </x:c>
      <x:c r="N145" s="205" t="n">
        <x:v>867</x:v>
      </x:c>
      <x:c r="O145" s="205" t="n">
        <x:v>110</x:v>
      </x:c>
      <x:c r="P145" s="205" t="n">
        <x:v>30</x:v>
      </x:c>
      <x:c r="Q145" s="206" t="n">
        <x:v>0</x:v>
      </x:c>
      <x:c r="R145" s="207" t="str"/>
      <x:c r="S145" s="207" t="str"/>
      <x:c r="T145" s="207" t="str"/>
      <x:c r="U145" s="207" t="n">
        <x:v>0</x:v>
      </x:c>
      <x:c r="V145" s="208" t="n">
        <x:f>MAX(0,M145-U145)</x:f>
        <x:v>1</x:v>
      </x:c>
      <x:c r="W145" s="209" t="n">
        <x:f>IFERROR(U145/M145,0)</x:f>
        <x:v>0</x:v>
      </x:c>
      <x:c r="X145" s="201" t="str">
        <x:f>IF(U145=0,"Não iniciado",IF(U145&gt;=M145,"Concluído","Parcial"))</x:f>
        <x:v>Não iniciado</x:v>
      </x:c>
      <x:c r="Y145" s="199" t="str"/>
      <x:c r="Z145" s="188" t="str">
        <x:v>Normal</x:v>
      </x:c>
    </x:row>
    <x:row r="146" ht="22" customHeight="1">
      <x:c r="A146" s="219" t="n">
        <x:v>142</x:v>
      </x:c>
      <x:c r="B146" s="220" t="str">
        <x:v>26520</x:v>
      </x:c>
      <x:c r="C146" s="220" t="str">
        <x:v>2</x:v>
      </x:c>
      <x:c r="D146" s="220" t="str">
        <x:v>610076</x:v>
      </x:c>
      <x:c r="E146" s="220" t="str">
        <x:v>985066</x:v>
      </x:c>
      <x:c r="F146" s="220" t="str">
        <x:v>BATENTE</x:v>
      </x:c>
      <x:c r="G146" s="190" t="str">
        <x:v>867x110x30 42x10 R2L R1 BIA PET CNZ (UL)</x:v>
      </x:c>
      <x:c r="H146" s="190" t="str"/>
      <x:c r="I146" s="190" t="str"/>
      <x:c r="J146" s="190" t="str"/>
      <x:c r="K146" s="190" t="str">
        <x:v>RECOBERTO PET</x:v>
      </x:c>
      <x:c r="L146" s="190" t="str">
        <x:v>CINZA VERONA</x:v>
      </x:c>
      <x:c r="M146" s="210" t="n">
        <x:v>6</x:v>
      </x:c>
      <x:c r="N146" s="210" t="n">
        <x:v>867</x:v>
      </x:c>
      <x:c r="O146" s="210" t="n">
        <x:v>110</x:v>
      </x:c>
      <x:c r="P146" s="210" t="n">
        <x:v>30</x:v>
      </x:c>
      <x:c r="Q146" s="211" t="n">
        <x:v>0.017</x:v>
      </x:c>
      <x:c r="R146" s="207" t="str"/>
      <x:c r="S146" s="207" t="str"/>
      <x:c r="T146" s="207" t="str"/>
      <x:c r="U146" s="207" t="n">
        <x:v>0</x:v>
      </x:c>
      <x:c r="V146" s="208" t="n">
        <x:f>MAX(0,M146-U146)</x:f>
        <x:v>6</x:v>
      </x:c>
      <x:c r="W146" s="209" t="n">
        <x:f>IFERROR(U146/M146,0)</x:f>
        <x:v>0</x:v>
      </x:c>
      <x:c r="X146" s="201" t="str">
        <x:f>IF(U146=0,"Não iniciado",IF(U146&gt;=M146,"Concluído","Parcial"))</x:f>
        <x:v>Não iniciado</x:v>
      </x:c>
      <x:c r="Y146" s="199" t="str"/>
      <x:c r="Z146" s="188" t="str">
        <x:v>Normal</x:v>
      </x:c>
    </x:row>
    <x:row r="147" ht="22" customHeight="1">
      <x:c r="A147" s="217" t="n">
        <x:v>143</x:v>
      </x:c>
      <x:c r="B147" s="218" t="str">
        <x:v>26766</x:v>
      </x:c>
      <x:c r="C147" s="218" t="str">
        <x:v>7</x:v>
      </x:c>
      <x:c r="D147" s="218" t="str">
        <x:v>610155</x:v>
      </x:c>
      <x:c r="E147" s="218" t="str">
        <x:v>985764</x:v>
      </x:c>
      <x:c r="F147" s="218" t="str">
        <x:v>BATENTE</x:v>
      </x:c>
      <x:c r="G147" s="184" t="str">
        <x:v>867x110x30 42x10 R2L RT BIA PET MOG STD</x:v>
      </x:c>
      <x:c r="H147" s="184" t="str">
        <x:v>MDF STD</x:v>
      </x:c>
      <x:c r="I147" s="184" t="str">
        <x:v>C/BORRACHA I APLICADA</x:v>
      </x:c>
      <x:c r="J147" s="184" t="str">
        <x:v>C/REB 42X10</x:v>
      </x:c>
      <x:c r="K147" s="184" t="str">
        <x:v>RECOBERTO PET TXT</x:v>
      </x:c>
      <x:c r="L147" s="184" t="str">
        <x:v>MOGNO BRASILEIRO</x:v>
      </x:c>
      <x:c r="M147" s="205" t="n">
        <x:v>144</x:v>
      </x:c>
      <x:c r="N147" s="205" t="n">
        <x:v>867</x:v>
      </x:c>
      <x:c r="O147" s="205" t="n">
        <x:v>110</x:v>
      </x:c>
      <x:c r="P147" s="205" t="n">
        <x:v>30</x:v>
      </x:c>
      <x:c r="Q147" s="206" t="n">
        <x:v>0</x:v>
      </x:c>
      <x:c r="R147" s="207" t="str"/>
      <x:c r="S147" s="207" t="str"/>
      <x:c r="T147" s="207" t="str"/>
      <x:c r="U147" s="207" t="n">
        <x:v>0</x:v>
      </x:c>
      <x:c r="V147" s="208" t="n">
        <x:f>MAX(0,M147-U147)</x:f>
        <x:v>144</x:v>
      </x:c>
      <x:c r="W147" s="209" t="n">
        <x:f>IFERROR(U147/M147,0)</x:f>
        <x:v>0</x:v>
      </x:c>
      <x:c r="X147" s="201" t="str">
        <x:f>IF(U147=0,"Não iniciado",IF(U147&gt;=M147,"Concluído","Parcial"))</x:f>
        <x:v>Não iniciado</x:v>
      </x:c>
      <x:c r="Y147" s="199" t="str"/>
      <x:c r="Z147" s="188" t="str">
        <x:v>Normal</x:v>
      </x:c>
    </x:row>
    <x:row r="148" ht="22" customHeight="1">
      <x:c r="A148" s="219" t="n">
        <x:v>144</x:v>
      </x:c>
      <x:c r="B148" s="220" t="str">
        <x:v>26808</x:v>
      </x:c>
      <x:c r="C148" s="220" t="str">
        <x:v>6</x:v>
      </x:c>
      <x:c r="D148" s="220" t="str">
        <x:v>608941</x:v>
      </x:c>
      <x:c r="E148" s="220" t="str">
        <x:v>973936</x:v>
      </x:c>
      <x:c r="F148" s="220" t="str">
        <x:v>BATENTE</x:v>
      </x:c>
      <x:c r="G148" s="190" t="str">
        <x:v>847x110x30 42x10 R2L BIA PET BCO PRE</x:v>
      </x:c>
      <x:c r="H148" s="190" t="str"/>
      <x:c r="I148" s="190" t="str"/>
      <x:c r="J148" s="190" t="str"/>
      <x:c r="K148" s="190" t="str">
        <x:v>ESMALTE</x:v>
      </x:c>
      <x:c r="L148" s="190" t="str">
        <x:v>BRANCO CARRARA</x:v>
      </x:c>
      <x:c r="M148" s="210" t="n">
        <x:v>6</x:v>
      </x:c>
      <x:c r="N148" s="210" t="n">
        <x:v>847</x:v>
      </x:c>
      <x:c r="O148" s="210" t="n">
        <x:v>110</x:v>
      </x:c>
      <x:c r="P148" s="210" t="n">
        <x:v>30</x:v>
      </x:c>
      <x:c r="Q148" s="211" t="n">
        <x:v>0</x:v>
      </x:c>
      <x:c r="R148" s="207" t="str"/>
      <x:c r="S148" s="207" t="str"/>
      <x:c r="T148" s="207" t="str"/>
      <x:c r="U148" s="207" t="n">
        <x:v>0</x:v>
      </x:c>
      <x:c r="V148" s="208" t="n">
        <x:f>MAX(0,M148-U148)</x:f>
        <x:v>6</x:v>
      </x:c>
      <x:c r="W148" s="209" t="n">
        <x:f>IFERROR(U148/M148,0)</x:f>
        <x:v>0</x:v>
      </x:c>
      <x:c r="X148" s="201" t="str">
        <x:f>IF(U148=0,"Não iniciado",IF(U148&gt;=M148,"Concluído","Parcial"))</x:f>
        <x:v>Não iniciado</x:v>
      </x:c>
      <x:c r="Y148" s="199" t="str"/>
      <x:c r="Z148" s="188" t="str">
        <x:v>Normal</x:v>
      </x:c>
    </x:row>
    <x:row r="149" ht="22" customHeight="1">
      <x:c r="A149" s="217" t="n">
        <x:v>145</x:v>
      </x:c>
      <x:c r="B149" s="218" t="str">
        <x:v>26808</x:v>
      </x:c>
      <x:c r="C149" s="218" t="str">
        <x:v>9</x:v>
      </x:c>
      <x:c r="D149" s="218" t="str">
        <x:v>610976</x:v>
      </x:c>
      <x:c r="E149" s="218" t="str">
        <x:v>675670</x:v>
      </x:c>
      <x:c r="F149" s="218" t="str">
        <x:v>BATENTE</x:v>
      </x:c>
      <x:c r="G149" s="184" t="str">
        <x:v>847x110x30 42x10 R2L BIA PET BCO PREMIUM</x:v>
      </x:c>
      <x:c r="H149" s="184" t="str"/>
      <x:c r="I149" s="184" t="str"/>
      <x:c r="J149" s="184" t="str"/>
      <x:c r="K149" s="184" t="str">
        <x:v>ESMALTE</x:v>
      </x:c>
      <x:c r="L149" s="184" t="str">
        <x:v>BRANCO CARRARA</x:v>
      </x:c>
      <x:c r="M149" s="205" t="n">
        <x:v>71</x:v>
      </x:c>
      <x:c r="N149" s="205" t="n">
        <x:v>847</x:v>
      </x:c>
      <x:c r="O149" s="205" t="n">
        <x:v>110</x:v>
      </x:c>
      <x:c r="P149" s="205" t="n">
        <x:v>30</x:v>
      </x:c>
      <x:c r="Q149" s="206" t="n">
        <x:v>0</x:v>
      </x:c>
      <x:c r="R149" s="207" t="str"/>
      <x:c r="S149" s="207" t="str"/>
      <x:c r="T149" s="207" t="str"/>
      <x:c r="U149" s="207" t="n">
        <x:v>0</x:v>
      </x:c>
      <x:c r="V149" s="208" t="n">
        <x:f>MAX(0,M149-U149)</x:f>
        <x:v>71</x:v>
      </x:c>
      <x:c r="W149" s="209" t="n">
        <x:f>IFERROR(U149/M149,0)</x:f>
        <x:v>0</x:v>
      </x:c>
      <x:c r="X149" s="201" t="str">
        <x:f>IF(U149=0,"Não iniciado",IF(U149&gt;=M149,"Concluído","Parcial"))</x:f>
        <x:v>Não iniciado</x:v>
      </x:c>
      <x:c r="Y149" s="199" t="str"/>
      <x:c r="Z149" s="188" t="str">
        <x:v>Normal</x:v>
      </x:c>
    </x:row>
    <x:row r="150" ht="22" customHeight="1">
      <x:c r="A150" s="219" t="n">
        <x:v>146</x:v>
      </x:c>
      <x:c r="B150" s="220" t="str">
        <x:v>26766</x:v>
      </x:c>
      <x:c r="C150" s="220" t="str">
        <x:v>5</x:v>
      </x:c>
      <x:c r="D150" s="220" t="str">
        <x:v>610151</x:v>
      </x:c>
      <x:c r="E150" s="220" t="str">
        <x:v>985762</x:v>
      </x:c>
      <x:c r="F150" s="220" t="str">
        <x:v>BATENTE</x:v>
      </x:c>
      <x:c r="G150" s="190" t="str">
        <x:v>847x110x30 42x10 R2L RT BIA PET MOG STD</x:v>
      </x:c>
      <x:c r="H150" s="190" t="str">
        <x:v>MDF STD</x:v>
      </x:c>
      <x:c r="I150" s="190" t="str">
        <x:v>C/BORRACHA I APLICADA</x:v>
      </x:c>
      <x:c r="J150" s="190" t="str">
        <x:v>C/REB 42X10</x:v>
      </x:c>
      <x:c r="K150" s="190" t="str">
        <x:v>RECOBERTO PET TXT</x:v>
      </x:c>
      <x:c r="L150" s="190" t="str">
        <x:v>MOGNO BRASILEIRO</x:v>
      </x:c>
      <x:c r="M150" s="210" t="n">
        <x:v>324</x:v>
      </x:c>
      <x:c r="N150" s="210" t="n">
        <x:v>847</x:v>
      </x:c>
      <x:c r="O150" s="210" t="n">
        <x:v>110</x:v>
      </x:c>
      <x:c r="P150" s="210" t="n">
        <x:v>30</x:v>
      </x:c>
      <x:c r="Q150" s="211" t="n">
        <x:v>0</x:v>
      </x:c>
      <x:c r="R150" s="207" t="str"/>
      <x:c r="S150" s="207" t="str"/>
      <x:c r="T150" s="207" t="str"/>
      <x:c r="U150" s="207" t="n">
        <x:v>0</x:v>
      </x:c>
      <x:c r="V150" s="208" t="n">
        <x:f>MAX(0,M150-U150)</x:f>
        <x:v>324</x:v>
      </x:c>
      <x:c r="W150" s="209" t="n">
        <x:f>IFERROR(U150/M150,0)</x:f>
        <x:v>0</x:v>
      </x:c>
      <x:c r="X150" s="201" t="str">
        <x:f>IF(U150=0,"Não iniciado",IF(U150&gt;=M150,"Concluído","Parcial"))</x:f>
        <x:v>Não iniciado</x:v>
      </x:c>
      <x:c r="Y150" s="199" t="str"/>
      <x:c r="Z150" s="188" t="str">
        <x:v>Normal</x:v>
      </x:c>
    </x:row>
    <x:row r="151" ht="22" customHeight="1">
      <x:c r="A151" s="217" t="n">
        <x:v>147</x:v>
      </x:c>
      <x:c r="B151" s="218" t="str">
        <x:v>26739</x:v>
      </x:c>
      <x:c r="C151" s="218" t="str">
        <x:v>10</x:v>
      </x:c>
      <x:c r="D151" s="218" t="str">
        <x:v>609660</x:v>
      </x:c>
      <x:c r="E151" s="218" t="str">
        <x:v>2010700634</x:v>
      </x:c>
      <x:c r="F151" s="218" t="str">
        <x:v>BATENTE</x:v>
      </x:c>
      <x:c r="G151" s="184" t="str">
        <x:v>M ULTRA PET BCO CAR 767X110X30 42X10 R2L</x:v>
      </x:c>
      <x:c r="H151" s="184" t="str"/>
      <x:c r="I151" s="184" t="str"/>
      <x:c r="J151" s="184" t="str"/>
      <x:c r="K151" s="184" t="str">
        <x:v>ESMALTE</x:v>
      </x:c>
      <x:c r="L151" s="184" t="str">
        <x:v>BRANCO CARRARA</x:v>
      </x:c>
      <x:c r="M151" s="205" t="n">
        <x:v>22</x:v>
      </x:c>
      <x:c r="N151" s="205" t="n">
        <x:v>767</x:v>
      </x:c>
      <x:c r="O151" s="205" t="n">
        <x:v>110</x:v>
      </x:c>
      <x:c r="P151" s="205" t="n">
        <x:v>30</x:v>
      </x:c>
      <x:c r="Q151" s="206" t="n">
        <x:v>0.056</x:v>
      </x:c>
      <x:c r="R151" s="207" t="str"/>
      <x:c r="S151" s="207" t="str"/>
      <x:c r="T151" s="207" t="str"/>
      <x:c r="U151" s="207" t="n">
        <x:v>0</x:v>
      </x:c>
      <x:c r="V151" s="208" t="n">
        <x:f>MAX(0,M151-U151)</x:f>
        <x:v>22</x:v>
      </x:c>
      <x:c r="W151" s="209" t="n">
        <x:f>IFERROR(U151/M151,0)</x:f>
        <x:v>0</x:v>
      </x:c>
      <x:c r="X151" s="201" t="str">
        <x:f>IF(U151=0,"Não iniciado",IF(U151&gt;=M151,"Concluído","Parcial"))</x:f>
        <x:v>Não iniciado</x:v>
      </x:c>
      <x:c r="Y151" s="199" t="str"/>
      <x:c r="Z151" s="188" t="str">
        <x:v>Normal</x:v>
      </x:c>
    </x:row>
    <x:row r="152" ht="22" customHeight="1">
      <x:c r="A152" s="219" t="n">
        <x:v>148</x:v>
      </x:c>
      <x:c r="B152" s="220" t="str">
        <x:v>26750</x:v>
      </x:c>
      <x:c r="C152" s="220" t="str">
        <x:v>13</x:v>
      </x:c>
      <x:c r="D152" s="220" t="str">
        <x:v>609833</x:v>
      </x:c>
      <x:c r="E152" s="220" t="str">
        <x:v>2010700634</x:v>
      </x:c>
      <x:c r="F152" s="220" t="str">
        <x:v>BATENTE</x:v>
      </x:c>
      <x:c r="G152" s="190" t="str">
        <x:v>M ULTRA PET BCO CAR 767X110X30 42X10 R2L</x:v>
      </x:c>
      <x:c r="H152" s="190" t="str"/>
      <x:c r="I152" s="190" t="str"/>
      <x:c r="J152" s="190" t="str"/>
      <x:c r="K152" s="190" t="str">
        <x:v>ESMALTE</x:v>
      </x:c>
      <x:c r="L152" s="190" t="str">
        <x:v>BRANCO CARRARA</x:v>
      </x:c>
      <x:c r="M152" s="210" t="n">
        <x:v>28</x:v>
      </x:c>
      <x:c r="N152" s="210" t="n">
        <x:v>767</x:v>
      </x:c>
      <x:c r="O152" s="210" t="n">
        <x:v>110</x:v>
      </x:c>
      <x:c r="P152" s="210" t="n">
        <x:v>30</x:v>
      </x:c>
      <x:c r="Q152" s="211" t="n">
        <x:v>0.071</x:v>
      </x:c>
      <x:c r="R152" s="207" t="str"/>
      <x:c r="S152" s="207" t="str"/>
      <x:c r="T152" s="207" t="str"/>
      <x:c r="U152" s="207" t="n">
        <x:v>0</x:v>
      </x:c>
      <x:c r="V152" s="208" t="n">
        <x:f>MAX(0,M152-U152)</x:f>
        <x:v>28</x:v>
      </x:c>
      <x:c r="W152" s="209" t="n">
        <x:f>IFERROR(U152/M152,0)</x:f>
        <x:v>0</x:v>
      </x:c>
      <x:c r="X152" s="201" t="str">
        <x:f>IF(U152=0,"Não iniciado",IF(U152&gt;=M152,"Concluído","Parcial"))</x:f>
        <x:v>Não iniciado</x:v>
      </x:c>
      <x:c r="Y152" s="199" t="str"/>
      <x:c r="Z152" s="188" t="str">
        <x:v>Normal</x:v>
      </x:c>
    </x:row>
    <x:row r="153" ht="22" customHeight="1">
      <x:c r="A153" s="217" t="n">
        <x:v>149</x:v>
      </x:c>
      <x:c r="B153" s="218" t="str">
        <x:v>26520</x:v>
      </x:c>
      <x:c r="C153" s="218" t="str">
        <x:v>4</x:v>
      </x:c>
      <x:c r="D153" s="218" t="str">
        <x:v>610092</x:v>
      </x:c>
      <x:c r="E153" s="218" t="str">
        <x:v>2010701216</x:v>
      </x:c>
      <x:c r="F153" s="218" t="str">
        <x:v>BATENTE</x:v>
      </x:c>
      <x:c r="G153" s="184" t="str">
        <x:v>M ULTRA PET CI VE 767X110X30 42X10 R2L M</x:v>
      </x:c>
      <x:c r="H153" s="184" t="str"/>
      <x:c r="I153" s="184" t="str"/>
      <x:c r="J153" s="184" t="str"/>
      <x:c r="K153" s="184" t="str">
        <x:v>RECOBERTO PET</x:v>
      </x:c>
      <x:c r="L153" s="184" t="str">
        <x:v>CINZA VERONA</x:v>
      </x:c>
      <x:c r="M153" s="205" t="n">
        <x:v>4</x:v>
      </x:c>
      <x:c r="N153" s="205" t="n">
        <x:v>767</x:v>
      </x:c>
      <x:c r="O153" s="205" t="n">
        <x:v>110</x:v>
      </x:c>
      <x:c r="P153" s="205" t="n">
        <x:v>30</x:v>
      </x:c>
      <x:c r="Q153" s="206" t="n">
        <x:v>0.01</x:v>
      </x:c>
      <x:c r="R153" s="207" t="str"/>
      <x:c r="S153" s="207" t="str"/>
      <x:c r="T153" s="207" t="str"/>
      <x:c r="U153" s="207" t="n">
        <x:v>0</x:v>
      </x:c>
      <x:c r="V153" s="208" t="n">
        <x:f>MAX(0,M153-U153)</x:f>
        <x:v>4</x:v>
      </x:c>
      <x:c r="W153" s="209" t="n">
        <x:f>IFERROR(U153/M153,0)</x:f>
        <x:v>0</x:v>
      </x:c>
      <x:c r="X153" s="201" t="str">
        <x:f>IF(U153=0,"Não iniciado",IF(U153&gt;=M153,"Concluído","Parcial"))</x:f>
        <x:v>Não iniciado</x:v>
      </x:c>
      <x:c r="Y153" s="199" t="str"/>
      <x:c r="Z153" s="188" t="str">
        <x:v>Normal</x:v>
      </x:c>
    </x:row>
    <x:row r="154" ht="22" customHeight="1">
      <x:c r="A154" s="219" t="n">
        <x:v>150</x:v>
      </x:c>
      <x:c r="B154" s="220" t="str">
        <x:v>26520</x:v>
      </x:c>
      <x:c r="C154" s="220" t="str">
        <x:v>11</x:v>
      </x:c>
      <x:c r="D154" s="220" t="str">
        <x:v>610129</x:v>
      </x:c>
      <x:c r="E154" s="220" t="str">
        <x:v>2010701219</x:v>
      </x:c>
      <x:c r="F154" s="220" t="str">
        <x:v>BATENTE</x:v>
      </x:c>
      <x:c r="G154" s="190" t="str">
        <x:v>M ULTRA PET C RA 767X110X30 42X10 R2L ME</x:v>
      </x:c>
      <x:c r="H154" s="190" t="str"/>
      <x:c r="I154" s="190" t="str"/>
      <x:c r="J154" s="190" t="str"/>
      <x:c r="K154" s="190" t="str">
        <x:v>RECOBERTO PET</x:v>
      </x:c>
      <x:c r="L154" s="190" t="str">
        <x:v>CURUPIXA RAVENNA</x:v>
      </x:c>
      <x:c r="M154" s="210" t="n">
        <x:v>3</x:v>
      </x:c>
      <x:c r="N154" s="210" t="n">
        <x:v>767</x:v>
      </x:c>
      <x:c r="O154" s="210" t="n">
        <x:v>110</x:v>
      </x:c>
      <x:c r="P154" s="210" t="n">
        <x:v>30</x:v>
      </x:c>
      <x:c r="Q154" s="211" t="n">
        <x:v>0.008</x:v>
      </x:c>
      <x:c r="R154" s="207" t="str"/>
      <x:c r="S154" s="207" t="str"/>
      <x:c r="T154" s="207" t="str"/>
      <x:c r="U154" s="207" t="n">
        <x:v>0</x:v>
      </x:c>
      <x:c r="V154" s="208" t="n">
        <x:f>MAX(0,M154-U154)</x:f>
        <x:v>3</x:v>
      </x:c>
      <x:c r="W154" s="209" t="n">
        <x:f>IFERROR(U154/M154,0)</x:f>
        <x:v>0</x:v>
      </x:c>
      <x:c r="X154" s="201" t="str">
        <x:f>IF(U154=0,"Não iniciado",IF(U154&gt;=M154,"Concluído","Parcial"))</x:f>
        <x:v>Não iniciado</x:v>
      </x:c>
      <x:c r="Y154" s="199" t="str"/>
      <x:c r="Z154" s="188" t="str">
        <x:v>Normal</x:v>
      </x:c>
    </x:row>
    <x:row r="155" ht="22" customHeight="1">
      <x:c r="A155" s="217" t="n">
        <x:v>151</x:v>
      </x:c>
      <x:c r="B155" s="218" t="str">
        <x:v>26808</x:v>
      </x:c>
      <x:c r="C155" s="218" t="str">
        <x:v>4</x:v>
      </x:c>
      <x:c r="D155" s="218" t="str">
        <x:v>608921</x:v>
      </x:c>
      <x:c r="E155" s="218" t="str">
        <x:v>675804</x:v>
      </x:c>
      <x:c r="F155" s="218" t="str">
        <x:v>BATENTE</x:v>
      </x:c>
      <x:c r="G155" s="184" t="str">
        <x:v>747x110x30 42X10 R2L BIA PET BCO (GOLD)</x:v>
      </x:c>
      <x:c r="H155" s="184" t="str"/>
      <x:c r="I155" s="184" t="str"/>
      <x:c r="J155" s="184" t="str"/>
      <x:c r="K155" s="184" t="str">
        <x:v>ESMALTE</x:v>
      </x:c>
      <x:c r="L155" s="184" t="str">
        <x:v>BRANCO CARRARA</x:v>
      </x:c>
      <x:c r="M155" s="205" t="n">
        <x:v>63</x:v>
      </x:c>
      <x:c r="N155" s="205" t="n">
        <x:v>747</x:v>
      </x:c>
      <x:c r="O155" s="205" t="n">
        <x:v>110</x:v>
      </x:c>
      <x:c r="P155" s="205" t="n">
        <x:v>30</x:v>
      </x:c>
      <x:c r="Q155" s="206" t="n">
        <x:v>0</x:v>
      </x:c>
      <x:c r="R155" s="207" t="str"/>
      <x:c r="S155" s="207" t="str"/>
      <x:c r="T155" s="207" t="str"/>
      <x:c r="U155" s="207" t="n">
        <x:v>0</x:v>
      </x:c>
      <x:c r="V155" s="208" t="n">
        <x:f>MAX(0,M155-U155)</x:f>
        <x:v>63</x:v>
      </x:c>
      <x:c r="W155" s="209" t="n">
        <x:f>IFERROR(U155/M155,0)</x:f>
        <x:v>0</x:v>
      </x:c>
      <x:c r="X155" s="201" t="str">
        <x:f>IF(U155=0,"Não iniciado",IF(U155&gt;=M155,"Concluído","Parcial"))</x:f>
        <x:v>Não iniciado</x:v>
      </x:c>
      <x:c r="Y155" s="199" t="str"/>
      <x:c r="Z155" s="188" t="str">
        <x:v>Normal</x:v>
      </x:c>
    </x:row>
    <x:row r="156" ht="22" customHeight="1">
      <x:c r="A156" s="219" t="n">
        <x:v>152</x:v>
      </x:c>
      <x:c r="B156" s="220" t="str">
        <x:v>26766</x:v>
      </x:c>
      <x:c r="C156" s="220" t="str">
        <x:v>3</x:v>
      </x:c>
      <x:c r="D156" s="220" t="str">
        <x:v>610147</x:v>
      </x:c>
      <x:c r="E156" s="220" t="str">
        <x:v>985755</x:v>
      </x:c>
      <x:c r="F156" s="220" t="str">
        <x:v>BATENTE</x:v>
      </x:c>
      <x:c r="G156" s="190" t="str">
        <x:v>747x110x30 42x10 R2L RT BIA PET MOG STD</x:v>
      </x:c>
      <x:c r="H156" s="190" t="str">
        <x:v>MDF STD</x:v>
      </x:c>
      <x:c r="I156" s="190" t="str">
        <x:v>C/BORRACHA I APLICADA</x:v>
      </x:c>
      <x:c r="J156" s="190" t="str">
        <x:v>C/REB 42X10</x:v>
      </x:c>
      <x:c r="K156" s="190" t="str">
        <x:v>RECOBERTO PET TXT</x:v>
      </x:c>
      <x:c r="L156" s="190" t="str">
        <x:v>MOGNO BRASILEIRO</x:v>
      </x:c>
      <x:c r="M156" s="210" t="n">
        <x:v>108</x:v>
      </x:c>
      <x:c r="N156" s="210" t="n">
        <x:v>747</x:v>
      </x:c>
      <x:c r="O156" s="210" t="n">
        <x:v>110</x:v>
      </x:c>
      <x:c r="P156" s="210" t="n">
        <x:v>30</x:v>
      </x:c>
      <x:c r="Q156" s="211" t="n">
        <x:v>0</x:v>
      </x:c>
      <x:c r="R156" s="207" t="str"/>
      <x:c r="S156" s="207" t="str"/>
      <x:c r="T156" s="207" t="str"/>
      <x:c r="U156" s="207" t="n">
        <x:v>0</x:v>
      </x:c>
      <x:c r="V156" s="208" t="n">
        <x:f>MAX(0,M156-U156)</x:f>
        <x:v>108</x:v>
      </x:c>
      <x:c r="W156" s="209" t="n">
        <x:f>IFERROR(U156/M156,0)</x:f>
        <x:v>0</x:v>
      </x:c>
      <x:c r="X156" s="201" t="str">
        <x:f>IF(U156=0,"Não iniciado",IF(U156&gt;=M156,"Concluído","Parcial"))</x:f>
        <x:v>Não iniciado</x:v>
      </x:c>
      <x:c r="Y156" s="199" t="str"/>
      <x:c r="Z156" s="188" t="str">
        <x:v>Normal</x:v>
      </x:c>
    </x:row>
    <x:row r="157" ht="22" customHeight="1">
      <x:c r="A157" s="217" t="n">
        <x:v>153</x:v>
      </x:c>
      <x:c r="B157" s="218" t="str">
        <x:v>26739</x:v>
      </x:c>
      <x:c r="C157" s="218" t="str">
        <x:v>19</x:v>
      </x:c>
      <x:c r="D157" s="218" t="str">
        <x:v>609715</x:v>
      </x:c>
      <x:c r="E157" s="218" t="str">
        <x:v>974316</x:v>
      </x:c>
      <x:c r="F157" s="218" t="str">
        <x:v>BATENTE</x:v>
      </x:c>
      <x:c r="G157" s="184" t="str">
        <x:v>667x110x30 42x10 R2L RT BIA PET BC (UL)</x:v>
      </x:c>
      <x:c r="H157" s="184" t="str"/>
      <x:c r="I157" s="184" t="str"/>
      <x:c r="J157" s="184" t="str"/>
      <x:c r="K157" s="184" t="str">
        <x:v>ESMALTE</x:v>
      </x:c>
      <x:c r="L157" s="184" t="str">
        <x:v>BRANCO CARRARA</x:v>
      </x:c>
      <x:c r="M157" s="205" t="n">
        <x:v>27</x:v>
      </x:c>
      <x:c r="N157" s="205" t="n">
        <x:v>667</x:v>
      </x:c>
      <x:c r="O157" s="205" t="n">
        <x:v>110</x:v>
      </x:c>
      <x:c r="P157" s="205" t="n">
        <x:v>30</x:v>
      </x:c>
      <x:c r="Q157" s="206" t="n">
        <x:v>0.059</x:v>
      </x:c>
      <x:c r="R157" s="207" t="str"/>
      <x:c r="S157" s="207" t="str"/>
      <x:c r="T157" s="207" t="str"/>
      <x:c r="U157" s="207" t="n">
        <x:v>0</x:v>
      </x:c>
      <x:c r="V157" s="208" t="n">
        <x:f>MAX(0,M157-U157)</x:f>
        <x:v>27</x:v>
      </x:c>
      <x:c r="W157" s="209" t="n">
        <x:f>IFERROR(U157/M157,0)</x:f>
        <x:v>0</x:v>
      </x:c>
      <x:c r="X157" s="201" t="str">
        <x:f>IF(U157=0,"Não iniciado",IF(U157&gt;=M157,"Concluído","Parcial"))</x:f>
        <x:v>Não iniciado</x:v>
      </x:c>
      <x:c r="Y157" s="199" t="str"/>
      <x:c r="Z157" s="188" t="str">
        <x:v>Normal</x:v>
      </x:c>
    </x:row>
    <x:row r="158" ht="22" customHeight="1">
      <x:c r="A158" s="219" t="n">
        <x:v>154</x:v>
      </x:c>
      <x:c r="B158" s="220" t="str">
        <x:v>26739</x:v>
      </x:c>
      <x:c r="C158" s="220" t="str">
        <x:v>24</x:v>
      </x:c>
      <x:c r="D158" s="220" t="str">
        <x:v>609763</x:v>
      </x:c>
      <x:c r="E158" s="220" t="str">
        <x:v>974316</x:v>
      </x:c>
      <x:c r="F158" s="220" t="str">
        <x:v>BATENTE</x:v>
      </x:c>
      <x:c r="G158" s="190" t="str">
        <x:v>667x110x30 42x10 R2L RT BIA PET BC (UL)</x:v>
      </x:c>
      <x:c r="H158" s="190" t="str"/>
      <x:c r="I158" s="190" t="str"/>
      <x:c r="J158" s="190" t="str"/>
      <x:c r="K158" s="190" t="str">
        <x:v>ESMALTE</x:v>
      </x:c>
      <x:c r="L158" s="190" t="str">
        <x:v>BRANCO CARRARA</x:v>
      </x:c>
      <x:c r="M158" s="210" t="n">
        <x:v>2</x:v>
      </x:c>
      <x:c r="N158" s="210" t="n">
        <x:v>667</x:v>
      </x:c>
      <x:c r="O158" s="210" t="n">
        <x:v>110</x:v>
      </x:c>
      <x:c r="P158" s="210" t="n">
        <x:v>30</x:v>
      </x:c>
      <x:c r="Q158" s="211" t="n">
        <x:v>0.004</x:v>
      </x:c>
      <x:c r="R158" s="207" t="str"/>
      <x:c r="S158" s="207" t="str"/>
      <x:c r="T158" s="207" t="str"/>
      <x:c r="U158" s="207" t="n">
        <x:v>0</x:v>
      </x:c>
      <x:c r="V158" s="208" t="n">
        <x:f>MAX(0,M158-U158)</x:f>
        <x:v>2</x:v>
      </x:c>
      <x:c r="W158" s="209" t="n">
        <x:f>IFERROR(U158/M158,0)</x:f>
        <x:v>0</x:v>
      </x:c>
      <x:c r="X158" s="201" t="str">
        <x:f>IF(U158=0,"Não iniciado",IF(U158&gt;=M158,"Concluído","Parcial"))</x:f>
        <x:v>Não iniciado</x:v>
      </x:c>
      <x:c r="Y158" s="199" t="str"/>
      <x:c r="Z158" s="188" t="str">
        <x:v>Normal</x:v>
      </x:c>
    </x:row>
    <x:row r="159" ht="22" customHeight="1">
      <x:c r="A159" s="217" t="n">
        <x:v>155</x:v>
      </x:c>
      <x:c r="B159" s="218" t="str">
        <x:v>26750</x:v>
      </x:c>
      <x:c r="C159" s="218" t="str">
        <x:v>22</x:v>
      </x:c>
      <x:c r="D159" s="218" t="str">
        <x:v>609888</x:v>
      </x:c>
      <x:c r="E159" s="218" t="str">
        <x:v>974316</x:v>
      </x:c>
      <x:c r="F159" s="218" t="str">
        <x:v>BATENTE</x:v>
      </x:c>
      <x:c r="G159" s="184" t="str">
        <x:v>667x110x30 42x10 R2L RT BIA PET BC (UL)</x:v>
      </x:c>
      <x:c r="H159" s="184" t="str"/>
      <x:c r="I159" s="184" t="str"/>
      <x:c r="J159" s="184" t="str"/>
      <x:c r="K159" s="184" t="str">
        <x:v>ESMALTE</x:v>
      </x:c>
      <x:c r="L159" s="184" t="str">
        <x:v>BRANCO CARRARA</x:v>
      </x:c>
      <x:c r="M159" s="205" t="n">
        <x:v>19</x:v>
      </x:c>
      <x:c r="N159" s="205" t="n">
        <x:v>667</x:v>
      </x:c>
      <x:c r="O159" s="205" t="n">
        <x:v>110</x:v>
      </x:c>
      <x:c r="P159" s="205" t="n">
        <x:v>30</x:v>
      </x:c>
      <x:c r="Q159" s="206" t="n">
        <x:v>0.042</x:v>
      </x:c>
      <x:c r="R159" s="207" t="str"/>
      <x:c r="S159" s="207" t="str"/>
      <x:c r="T159" s="207" t="str"/>
      <x:c r="U159" s="207" t="n">
        <x:v>0</x:v>
      </x:c>
      <x:c r="V159" s="208" t="n">
        <x:f>MAX(0,M159-U159)</x:f>
        <x:v>19</x:v>
      </x:c>
      <x:c r="W159" s="209" t="n">
        <x:f>IFERROR(U159/M159,0)</x:f>
        <x:v>0</x:v>
      </x:c>
      <x:c r="X159" s="201" t="str">
        <x:f>IF(U159=0,"Não iniciado",IF(U159&gt;=M159,"Concluído","Parcial"))</x:f>
        <x:v>Não iniciado</x:v>
      </x:c>
      <x:c r="Y159" s="199" t="str"/>
      <x:c r="Z159" s="188" t="str">
        <x:v>Normal</x:v>
      </x:c>
    </x:row>
    <x:row r="160" ht="22" customHeight="1">
      <x:c r="A160" s="219" t="n">
        <x:v>156</x:v>
      </x:c>
      <x:c r="B160" s="220" t="str">
        <x:v>26750</x:v>
      </x:c>
      <x:c r="C160" s="220" t="str">
        <x:v>26</x:v>
      </x:c>
      <x:c r="D160" s="220" t="str">
        <x:v>609924</x:v>
      </x:c>
      <x:c r="E160" s="220" t="str">
        <x:v>974316</x:v>
      </x:c>
      <x:c r="F160" s="220" t="str">
        <x:v>BATENTE</x:v>
      </x:c>
      <x:c r="G160" s="190" t="str">
        <x:v>667x110x30 42x10 R2L RT BIA PET BC (UL)</x:v>
      </x:c>
      <x:c r="H160" s="190" t="str"/>
      <x:c r="I160" s="190" t="str"/>
      <x:c r="J160" s="190" t="str"/>
      <x:c r="K160" s="190" t="str">
        <x:v>ESMALTE</x:v>
      </x:c>
      <x:c r="L160" s="190" t="str">
        <x:v>BRANCO CARRARA</x:v>
      </x:c>
      <x:c r="M160" s="210" t="n">
        <x:v>2</x:v>
      </x:c>
      <x:c r="N160" s="210" t="n">
        <x:v>667</x:v>
      </x:c>
      <x:c r="O160" s="210" t="n">
        <x:v>110</x:v>
      </x:c>
      <x:c r="P160" s="210" t="n">
        <x:v>30</x:v>
      </x:c>
      <x:c r="Q160" s="211" t="n">
        <x:v>0.004</x:v>
      </x:c>
      <x:c r="R160" s="207" t="str"/>
      <x:c r="S160" s="207" t="str"/>
      <x:c r="T160" s="207" t="str"/>
      <x:c r="U160" s="207" t="n">
        <x:v>0</x:v>
      </x:c>
      <x:c r="V160" s="208" t="n">
        <x:f>MAX(0,M160-U160)</x:f>
        <x:v>2</x:v>
      </x:c>
      <x:c r="W160" s="209" t="n">
        <x:f>IFERROR(U160/M160,0)</x:f>
        <x:v>0</x:v>
      </x:c>
      <x:c r="X160" s="201" t="str">
        <x:f>IF(U160=0,"Não iniciado",IF(U160&gt;=M160,"Concluído","Parcial"))</x:f>
        <x:v>Não iniciado</x:v>
      </x:c>
      <x:c r="Y160" s="199" t="str"/>
      <x:c r="Z160" s="188" t="str">
        <x:v>Normal</x:v>
      </x:c>
    </x:row>
    <x:row r="161" ht="22" customHeight="1">
      <x:c r="A161" s="217" t="n">
        <x:v>157</x:v>
      </x:c>
      <x:c r="B161" s="218" t="str">
        <x:v>26808</x:v>
      </x:c>
      <x:c r="C161" s="218" t="str">
        <x:v>1</x:v>
      </x:c>
      <x:c r="D161" s="218" t="str">
        <x:v>608897</x:v>
      </x:c>
      <x:c r="E161" s="218" t="str">
        <x:v>675802</x:v>
      </x:c>
      <x:c r="F161" s="218" t="str">
        <x:v>BATENTE</x:v>
      </x:c>
      <x:c r="G161" s="184" t="str">
        <x:v>647x110x30 42X10 R2L BIA PET BCO (GOLD)</x:v>
      </x:c>
      <x:c r="H161" s="184" t="str"/>
      <x:c r="I161" s="184" t="str"/>
      <x:c r="J161" s="184" t="str"/>
      <x:c r="K161" s="184" t="str">
        <x:v>ESMALTE</x:v>
      </x:c>
      <x:c r="L161" s="184" t="str">
        <x:v>BRANCO CARRARA</x:v>
      </x:c>
      <x:c r="M161" s="205" t="n">
        <x:v>144</x:v>
      </x:c>
      <x:c r="N161" s="205" t="n">
        <x:v>647</x:v>
      </x:c>
      <x:c r="O161" s="205" t="n">
        <x:v>110</x:v>
      </x:c>
      <x:c r="P161" s="205" t="n">
        <x:v>30</x:v>
      </x:c>
      <x:c r="Q161" s="206" t="n">
        <x:v>0.307</x:v>
      </x:c>
      <x:c r="R161" s="207" t="str"/>
      <x:c r="S161" s="207" t="str"/>
      <x:c r="T161" s="207" t="str"/>
      <x:c r="U161" s="207" t="n">
        <x:v>0</x:v>
      </x:c>
      <x:c r="V161" s="208" t="n">
        <x:f>MAX(0,M161-U161)</x:f>
        <x:v>144</x:v>
      </x:c>
      <x:c r="W161" s="209" t="n">
        <x:f>IFERROR(U161/M161,0)</x:f>
        <x:v>0</x:v>
      </x:c>
      <x:c r="X161" s="201" t="str">
        <x:f>IF(U161=0,"Não iniciado",IF(U161&gt;=M161,"Concluído","Parcial"))</x:f>
        <x:v>Não iniciado</x:v>
      </x:c>
      <x:c r="Y161" s="199" t="str"/>
      <x:c r="Z161" s="188" t="str">
        <x:v>Normal</x:v>
      </x:c>
    </x:row>
    <x:row r="162" ht="22" customHeight="1">
      <x:c r="A162" s="219" t="n">
        <x:v>158</x:v>
      </x:c>
      <x:c r="B162" s="220" t="str">
        <x:v>26520</x:v>
      </x:c>
      <x:c r="C162" s="220" t="str">
        <x:v>12</x:v>
      </x:c>
      <x:c r="D162" s="220" t="str">
        <x:v>610137</x:v>
      </x:c>
      <x:c r="E162" s="220" t="str">
        <x:v>2010701221</x:v>
      </x:c>
      <x:c r="F162" s="220" t="str">
        <x:v>BATENTE</x:v>
      </x:c>
      <x:c r="G162" s="190" t="str">
        <x:v>M ULTRA PET C RA 647X110X30 42X10 R2L ME</x:v>
      </x:c>
      <x:c r="H162" s="190" t="str"/>
      <x:c r="I162" s="190" t="str"/>
      <x:c r="J162" s="190" t="str"/>
      <x:c r="K162" s="190" t="str">
        <x:v>RECOBERTO PET</x:v>
      </x:c>
      <x:c r="L162" s="190" t="str">
        <x:v>CURUPIXA RAVENNA</x:v>
      </x:c>
      <x:c r="M162" s="210" t="n">
        <x:v>1</x:v>
      </x:c>
      <x:c r="N162" s="210" t="n">
        <x:v>647</x:v>
      </x:c>
      <x:c r="O162" s="210" t="n">
        <x:v>110</x:v>
      </x:c>
      <x:c r="P162" s="210" t="n">
        <x:v>30</x:v>
      </x:c>
      <x:c r="Q162" s="211" t="n">
        <x:v>0.002</x:v>
      </x:c>
      <x:c r="R162" s="207" t="str"/>
      <x:c r="S162" s="207" t="str"/>
      <x:c r="T162" s="207" t="str"/>
      <x:c r="U162" s="207" t="n">
        <x:v>0</x:v>
      </x:c>
      <x:c r="V162" s="208" t="n">
        <x:f>MAX(0,M162-U162)</x:f>
        <x:v>1</x:v>
      </x:c>
      <x:c r="W162" s="209" t="n">
        <x:f>IFERROR(U162/M162,0)</x:f>
        <x:v>0</x:v>
      </x:c>
      <x:c r="X162" s="201" t="str">
        <x:f>IF(U162=0,"Não iniciado",IF(U162&gt;=M162,"Concluído","Parcial"))</x:f>
        <x:v>Não iniciado</x:v>
      </x:c>
      <x:c r="Y162" s="199" t="str"/>
      <x:c r="Z162" s="188" t="str">
        <x:v>Normal</x:v>
      </x:c>
    </x:row>
    <x:row r="163" ht="22" customHeight="1">
      <x:c r="A163" s="217" t="n">
        <x:v>159</x:v>
      </x:c>
      <x:c r="B163" s="218" t="str">
        <x:v>26800</x:v>
      </x:c>
      <x:c r="C163" s="218" t="str">
        <x:v>2</x:v>
      </x:c>
      <x:c r="D163" s="218" t="str">
        <x:v>612114</x:v>
      </x:c>
      <x:c r="E163" s="218" t="str">
        <x:v>2010700966</x:v>
      </x:c>
      <x:c r="F163" s="218" t="str">
        <x:v>BATENTE</x:v>
      </x:c>
      <x:c r="G163" s="184" t="str">
        <x:v>M ULTRA PET CA MA 647X110X30 42X10 R2L M</x:v>
      </x:c>
      <x:c r="H163" s="184" t="str">
        <x:v>MDF ULTRA</x:v>
      </x:c>
      <x:c r="I163" s="184" t="str">
        <x:v>C/BORRACHA I APLICADA</x:v>
      </x:c>
      <x:c r="J163" s="184" t="str">
        <x:v>C/REB 42X10</x:v>
      </x:c>
      <x:c r="K163" s="184" t="str">
        <x:v>RECOBERTO PET</x:v>
      </x:c>
      <x:c r="L163" s="184" t="str">
        <x:v>CARVALHO MALVA</x:v>
      </x:c>
      <x:c r="M163" s="205" t="n">
        <x:v>1</x:v>
      </x:c>
      <x:c r="N163" s="205" t="n">
        <x:v>647</x:v>
      </x:c>
      <x:c r="O163" s="205" t="n">
        <x:v>110</x:v>
      </x:c>
      <x:c r="P163" s="205" t="n">
        <x:v>30</x:v>
      </x:c>
      <x:c r="Q163" s="206" t="n">
        <x:v>0.002</x:v>
      </x:c>
      <x:c r="R163" s="207" t="str"/>
      <x:c r="S163" s="207" t="str"/>
      <x:c r="T163" s="207" t="str"/>
      <x:c r="U163" s="207" t="n">
        <x:v>0</x:v>
      </x:c>
      <x:c r="V163" s="208" t="n">
        <x:f>MAX(0,M163-U163)</x:f>
        <x:v>1</x:v>
      </x:c>
      <x:c r="W163" s="209" t="n">
        <x:f>IFERROR(U163/M163,0)</x:f>
        <x:v>0</x:v>
      </x:c>
      <x:c r="X163" s="201" t="str">
        <x:f>IF(U163=0,"Não iniciado",IF(U163&gt;=M163,"Concluído","Parcial"))</x:f>
        <x:v>Não iniciado</x:v>
      </x:c>
      <x:c r="Y163" s="199" t="str"/>
      <x:c r="Z163" s="188" t="str">
        <x:v>Normal</x:v>
      </x:c>
    </x:row>
    <x:row r="164" ht="22" customHeight="1">
      <x:c r="A164" s="219" t="n">
        <x:v>160</x:v>
      </x:c>
      <x:c r="B164" s="220" t="str">
        <x:v>26824</x:v>
      </x:c>
      <x:c r="C164" s="220" t="str">
        <x:v>1</x:v>
      </x:c>
      <x:c r="D164" s="220" t="str">
        <x:v>609584</x:v>
      </x:c>
      <x:c r="E164" s="220" t="str">
        <x:v>2010600021</x:v>
      </x:c>
      <x:c r="F164" s="220" t="str">
        <x:v>OUTROS</x:v>
      </x:c>
      <x:c r="G164" s="190" t="str">
        <x:v>M CJ MDF STD PET TXT BCO 647X110X30 42X1</x:v>
      </x:c>
      <x:c r="H164" s="190" t="str"/>
      <x:c r="I164" s="190" t="str"/>
      <x:c r="J164" s="190" t="str"/>
      <x:c r="K164" s="190" t="str">
        <x:v>ESMALTE</x:v>
      </x:c>
      <x:c r="L164" s="190" t="str">
        <x:v>BRANCO CARRARA</x:v>
      </x:c>
      <x:c r="M164" s="210" t="n">
        <x:v>123</x:v>
      </x:c>
      <x:c r="N164" s="210" t="n">
        <x:v>647</x:v>
      </x:c>
      <x:c r="O164" s="210" t="n">
        <x:v>110</x:v>
      </x:c>
      <x:c r="P164" s="210" t="n">
        <x:v>30</x:v>
      </x:c>
      <x:c r="Q164" s="211" t="n">
        <x:v>0</x:v>
      </x:c>
      <x:c r="R164" s="207" t="str"/>
      <x:c r="S164" s="207" t="str"/>
      <x:c r="T164" s="207" t="str"/>
      <x:c r="U164" s="207" t="n">
        <x:v>0</x:v>
      </x:c>
      <x:c r="V164" s="208" t="n">
        <x:f>MAX(0,M164-U164)</x:f>
        <x:v>123</x:v>
      </x:c>
      <x:c r="W164" s="209" t="n">
        <x:f>IFERROR(U164/M164,0)</x:f>
        <x:v>0</x:v>
      </x:c>
      <x:c r="X164" s="201" t="str">
        <x:f>IF(U164=0,"Não iniciado",IF(U164&gt;=M164,"Concluído","Parcial"))</x:f>
        <x:v>Não iniciado</x:v>
      </x:c>
      <x:c r="Y164" s="199" t="str"/>
      <x:c r="Z164" s="188" t="str">
        <x:v>Normal</x:v>
      </x:c>
    </x:row>
    <x:row r="165" ht="22" customHeight="1">
      <x:c r="A165" s="217" t="n">
        <x:v>161</x:v>
      </x:c>
      <x:c r="B165" s="218" t="str">
        <x:v>26739</x:v>
      </x:c>
      <x:c r="C165" s="218" t="str">
        <x:v>3</x:v>
      </x:c>
      <x:c r="D165" s="218" t="str">
        <x:v>609631</x:v>
      </x:c>
      <x:c r="E165" s="218" t="str">
        <x:v>2020700627</x:v>
      </x:c>
      <x:c r="F165" s="218" t="str">
        <x:v>OUTROS</x:v>
      </x:c>
      <x:c r="G165" s="184" t="str">
        <x:v>A ULTRA PVC R BCO 2250X100X9 RG(80) RTO</x:v>
      </x:c>
      <x:c r="H165" s="184" t="str">
        <x:v>REG 1L(MAIOR 80MM)</x:v>
      </x:c>
      <x:c r="I165" s="184" t="str"/>
      <x:c r="J165" s="184" t="str"/>
      <x:c r="K165" s="184" t="str">
        <x:v>RECOBERTO PVC RENOLIT</x:v>
      </x:c>
      <x:c r="L165" s="184" t="str">
        <x:v>BRANCO</x:v>
      </x:c>
      <x:c r="M165" s="205" t="n">
        <x:v>8</x:v>
      </x:c>
      <x:c r="N165" s="205" t="n">
        <x:v>2250</x:v>
      </x:c>
      <x:c r="O165" s="205" t="n">
        <x:v>100</x:v>
      </x:c>
      <x:c r="P165" s="205" t="n">
        <x:v>9</x:v>
      </x:c>
      <x:c r="Q165" s="206" t="n">
        <x:v>0</x:v>
      </x:c>
      <x:c r="R165" s="207" t="str"/>
      <x:c r="S165" s="207" t="str"/>
      <x:c r="T165" s="207" t="str"/>
      <x:c r="U165" s="207" t="n">
        <x:v>0</x:v>
      </x:c>
      <x:c r="V165" s="208" t="n">
        <x:f>MAX(0,M165-U165)</x:f>
        <x:v>8</x:v>
      </x:c>
      <x:c r="W165" s="209" t="n">
        <x:f>IFERROR(U165/M165,0)</x:f>
        <x:v>0</x:v>
      </x:c>
      <x:c r="X165" s="201" t="str">
        <x:f>IF(U165=0,"Não iniciado",IF(U165&gt;=M165,"Concluído","Parcial"))</x:f>
        <x:v>Não iniciado</x:v>
      </x:c>
      <x:c r="Y165" s="199" t="str"/>
      <x:c r="Z165" s="188" t="str">
        <x:v>Normal</x:v>
      </x:c>
    </x:row>
    <x:row r="166" ht="22" customHeight="1">
      <x:c r="A166" s="219" t="n">
        <x:v>162</x:v>
      </x:c>
      <x:c r="B166" s="220" t="str">
        <x:v>26750</x:v>
      </x:c>
      <x:c r="C166" s="220" t="str">
        <x:v>4</x:v>
      </x:c>
      <x:c r="D166" s="220" t="str">
        <x:v>609794</x:v>
      </x:c>
      <x:c r="E166" s="220" t="str">
        <x:v>2020700627</x:v>
      </x:c>
      <x:c r="F166" s="220" t="str">
        <x:v>OUTROS</x:v>
      </x:c>
      <x:c r="G166" s="190" t="str">
        <x:v>A ULTRA PVC R BCO 2250X100X9 RG(80) RTO</x:v>
      </x:c>
      <x:c r="H166" s="190" t="str">
        <x:v>REG 1L(MAIOR 80MM)</x:v>
      </x:c>
      <x:c r="I166" s="190" t="str"/>
      <x:c r="J166" s="190" t="str"/>
      <x:c r="K166" s="190" t="str">
        <x:v>RECOBERTO PVC RENOLIT</x:v>
      </x:c>
      <x:c r="L166" s="190" t="str">
        <x:v>BRANCO</x:v>
      </x:c>
      <x:c r="M166" s="210" t="n">
        <x:v>6</x:v>
      </x:c>
      <x:c r="N166" s="210" t="n">
        <x:v>2250</x:v>
      </x:c>
      <x:c r="O166" s="210" t="n">
        <x:v>100</x:v>
      </x:c>
      <x:c r="P166" s="210" t="n">
        <x:v>9</x:v>
      </x:c>
      <x:c r="Q166" s="211" t="n">
        <x:v>0</x:v>
      </x:c>
      <x:c r="R166" s="207" t="str"/>
      <x:c r="S166" s="207" t="str"/>
      <x:c r="T166" s="207" t="str"/>
      <x:c r="U166" s="207" t="n">
        <x:v>0</x:v>
      </x:c>
      <x:c r="V166" s="208" t="n">
        <x:f>MAX(0,M166-U166)</x:f>
        <x:v>6</x:v>
      </x:c>
      <x:c r="W166" s="209" t="n">
        <x:f>IFERROR(U166/M166,0)</x:f>
        <x:v>0</x:v>
      </x:c>
      <x:c r="X166" s="201" t="str">
        <x:f>IF(U166=0,"Não iniciado",IF(U166&gt;=M166,"Concluído","Parcial"))</x:f>
        <x:v>Não iniciado</x:v>
      </x:c>
      <x:c r="Y166" s="199" t="str"/>
      <x:c r="Z166" s="188" t="str">
        <x:v>Normal</x:v>
      </x:c>
    </x:row>
    <x:row r="167" ht="22" customHeight="1">
      <x:c r="A167" s="217" t="n">
        <x:v>163</x:v>
      </x:c>
      <x:c r="B167" s="218" t="str">
        <x:v>26766</x:v>
      </x:c>
      <x:c r="C167" s="218" t="str">
        <x:v>8</x:v>
      </x:c>
      <x:c r="D167" s="218" t="str">
        <x:v>610157</x:v>
      </x:c>
      <x:c r="E167" s="218" t="str">
        <x:v>985771</x:v>
      </x:c>
      <x:c r="F167" s="218" t="str">
        <x:v>OUTROS</x:v>
      </x:c>
      <x:c r="G167" s="184" t="str">
        <x:v>TRA ALI 1100X100X9 RT RL80 PET MOG STD</x:v>
      </x:c>
      <x:c r="H167" s="184" t="str">
        <x:v>REG 2L(MAIOR 80MM)</x:v>
      </x:c>
      <x:c r="I167" s="184" t="str"/>
      <x:c r="J167" s="184" t="str"/>
      <x:c r="K167" s="184" t="str">
        <x:v>RECOBERTO PET TXT</x:v>
      </x:c>
      <x:c r="L167" s="184" t="str">
        <x:v>MOGNO BRASILEIRO</x:v>
      </x:c>
      <x:c r="M167" s="205" t="n">
        <x:v>756</x:v>
      </x:c>
      <x:c r="N167" s="205" t="n">
        <x:v>1100</x:v>
      </x:c>
      <x:c r="O167" s="205" t="n">
        <x:v>100</x:v>
      </x:c>
      <x:c r="P167" s="205" t="n">
        <x:v>9</x:v>
      </x:c>
      <x:c r="Q167" s="206" t="n">
        <x:v>0.748</x:v>
      </x:c>
      <x:c r="R167" s="207" t="str"/>
      <x:c r="S167" s="207" t="str"/>
      <x:c r="T167" s="207" t="str"/>
      <x:c r="U167" s="207" t="n">
        <x:v>0</x:v>
      </x:c>
      <x:c r="V167" s="208" t="n">
        <x:f>MAX(0,M167-U167)</x:f>
        <x:v>756</x:v>
      </x:c>
      <x:c r="W167" s="209" t="n">
        <x:f>IFERROR(U167/M167,0)</x:f>
        <x:v>0</x:v>
      </x:c>
      <x:c r="X167" s="201" t="str">
        <x:f>IF(U167=0,"Não iniciado",IF(U167&gt;=M167,"Concluído","Parcial"))</x:f>
        <x:v>Não iniciado</x:v>
      </x:c>
      <x:c r="Y167" s="199" t="str"/>
      <x:c r="Z167" s="188" t="str">
        <x:v>Normal</x:v>
      </x:c>
    </x:row>
    <x:row r="168" ht="22" customHeight="1">
      <x:c r="A168" s="219" t="n">
        <x:v>164</x:v>
      </x:c>
      <x:c r="B168" s="220" t="str">
        <x:v>26766</x:v>
      </x:c>
      <x:c r="C168" s="220" t="str">
        <x:v>8</x:v>
      </x:c>
      <x:c r="D168" s="220" t="str">
        <x:v>610158</x:v>
      </x:c>
      <x:c r="E168" s="220" t="str">
        <x:v>985778</x:v>
      </x:c>
      <x:c r="F168" s="220" t="str">
        <x:v>OUTROS</x:v>
      </x:c>
      <x:c r="G168" s="190" t="str">
        <x:v>TRA ALI 1100X100X9 RT LME PET MOG STD</x:v>
      </x:c>
      <x:c r="H168" s="190" t="str">
        <x:v>REG 2L(MAIOR 80MM)</x:v>
      </x:c>
      <x:c r="I168" s="190" t="str"/>
      <x:c r="J168" s="190" t="str"/>
      <x:c r="K168" s="190" t="str">
        <x:v>RECOBERTO PET TXT</x:v>
      </x:c>
      <x:c r="L168" s="190" t="str">
        <x:v>MOGNO BRASILEIRO</x:v>
      </x:c>
      <x:c r="M168" s="210" t="n">
        <x:v>756</x:v>
      </x:c>
      <x:c r="N168" s="210" t="n">
        <x:v>1100</x:v>
      </x:c>
      <x:c r="O168" s="210" t="n">
        <x:v>100</x:v>
      </x:c>
      <x:c r="P168" s="210" t="n">
        <x:v>9</x:v>
      </x:c>
      <x:c r="Q168" s="211" t="n">
        <x:v>0.748</x:v>
      </x:c>
      <x:c r="R168" s="207" t="str"/>
      <x:c r="S168" s="207" t="str"/>
      <x:c r="T168" s="207" t="str"/>
      <x:c r="U168" s="207" t="n">
        <x:v>0</x:v>
      </x:c>
      <x:c r="V168" s="208" t="n">
        <x:f>MAX(0,M168-U168)</x:f>
        <x:v>756</x:v>
      </x:c>
      <x:c r="W168" s="209" t="n">
        <x:f>IFERROR(U168/M168,0)</x:f>
        <x:v>0</x:v>
      </x:c>
      <x:c r="X168" s="201" t="str">
        <x:f>IF(U168=0,"Não iniciado",IF(U168&gt;=M168,"Concluído","Parcial"))</x:f>
        <x:v>Não iniciado</x:v>
      </x:c>
      <x:c r="Y168" s="199" t="str"/>
      <x:c r="Z168" s="188" t="str">
        <x:v>Normal</x:v>
      </x:c>
    </x:row>
    <x:row r="169" ht="22" customHeight="1">
      <x:c r="A169" s="217" t="n">
        <x:v>165</x:v>
      </x:c>
      <x:c r="B169" s="218" t="str">
        <x:v>26739</x:v>
      </x:c>
      <x:c r="C169" s="218" t="str">
        <x:v>14</x:v>
      </x:c>
      <x:c r="D169" s="218" t="str">
        <x:v>609681</x:v>
      </x:c>
      <x:c r="E169" s="218" t="str">
        <x:v>2010700372</x:v>
      </x:c>
      <x:c r="F169" s="218" t="str">
        <x:v>BATENTE</x:v>
      </x:c>
      <x:c r="G169" s="184" t="str">
        <x:v>M P ULTRA PET BCO CAR 2130X90X30 S/REB R</x:v>
      </x:c>
      <x:c r="H169" s="184" t="str">
        <x:v>MDF ULTRA</x:v>
      </x:c>
      <x:c r="I169" s="184" t="str">
        <x:v>S/CANAL</x:v>
      </x:c>
      <x:c r="J169" s="184" t="str">
        <x:v>S/REB</x:v>
      </x:c>
      <x:c r="K169" s="184" t="str">
        <x:v>RECOBERTO PET</x:v>
      </x:c>
      <x:c r="L169" s="184" t="str">
        <x:v>BRANCO CARRARA</x:v>
      </x:c>
      <x:c r="M169" s="205" t="n">
        <x:v>14</x:v>
      </x:c>
      <x:c r="N169" s="205" t="n">
        <x:v>2130</x:v>
      </x:c>
      <x:c r="O169" s="205" t="n">
        <x:v>90</x:v>
      </x:c>
      <x:c r="P169" s="205" t="n">
        <x:v>30</x:v>
      </x:c>
      <x:c r="Q169" s="206" t="n">
        <x:v>0.081</x:v>
      </x:c>
      <x:c r="R169" s="207" t="str"/>
      <x:c r="S169" s="207" t="str"/>
      <x:c r="T169" s="207" t="str"/>
      <x:c r="U169" s="207" t="n">
        <x:v>0</x:v>
      </x:c>
      <x:c r="V169" s="208" t="n">
        <x:f>MAX(0,M169-U169)</x:f>
        <x:v>14</x:v>
      </x:c>
      <x:c r="W169" s="209" t="n">
        <x:f>IFERROR(U169/M169,0)</x:f>
        <x:v>0</x:v>
      </x:c>
      <x:c r="X169" s="201" t="str">
        <x:f>IF(U169=0,"Não iniciado",IF(U169&gt;=M169,"Concluído","Parcial"))</x:f>
        <x:v>Não iniciado</x:v>
      </x:c>
      <x:c r="Y169" s="199" t="str"/>
      <x:c r="Z169" s="188" t="str">
        <x:v>Normal</x:v>
      </x:c>
    </x:row>
    <x:row r="170" ht="22" customHeight="1">
      <x:c r="A170" s="219" t="n">
        <x:v>166</x:v>
      </x:c>
      <x:c r="B170" s="220" t="str">
        <x:v>26750</x:v>
      </x:c>
      <x:c r="C170" s="220" t="str">
        <x:v>17</x:v>
      </x:c>
      <x:c r="D170" s="220" t="str">
        <x:v>609854</x:v>
      </x:c>
      <x:c r="E170" s="220" t="str">
        <x:v>2010700372</x:v>
      </x:c>
      <x:c r="F170" s="220" t="str">
        <x:v>BATENTE</x:v>
      </x:c>
      <x:c r="G170" s="190" t="str">
        <x:v>M P ULTRA PET BCO CAR 2130X90X30 S/REB R</x:v>
      </x:c>
      <x:c r="H170" s="190" t="str">
        <x:v>MDF ULTRA</x:v>
      </x:c>
      <x:c r="I170" s="190" t="str">
        <x:v>S/CANAL</x:v>
      </x:c>
      <x:c r="J170" s="190" t="str">
        <x:v>S/REB</x:v>
      </x:c>
      <x:c r="K170" s="190" t="str">
        <x:v>RECOBERTO PET</x:v>
      </x:c>
      <x:c r="L170" s="190" t="str">
        <x:v>BRANCO CARRARA</x:v>
      </x:c>
      <x:c r="M170" s="210" t="n">
        <x:v>14</x:v>
      </x:c>
      <x:c r="N170" s="210" t="n">
        <x:v>2130</x:v>
      </x:c>
      <x:c r="O170" s="210" t="n">
        <x:v>90</x:v>
      </x:c>
      <x:c r="P170" s="210" t="n">
        <x:v>30</x:v>
      </x:c>
      <x:c r="Q170" s="211" t="n">
        <x:v>0.081</x:v>
      </x:c>
      <x:c r="R170" s="207" t="str"/>
      <x:c r="S170" s="207" t="str"/>
      <x:c r="T170" s="207" t="str"/>
      <x:c r="U170" s="207" t="n">
        <x:v>0</x:v>
      </x:c>
      <x:c r="V170" s="208" t="n">
        <x:f>MAX(0,M170-U170)</x:f>
        <x:v>14</x:v>
      </x:c>
      <x:c r="W170" s="209" t="n">
        <x:f>IFERROR(U170/M170,0)</x:f>
        <x:v>0</x:v>
      </x:c>
      <x:c r="X170" s="201" t="str">
        <x:f>IF(U170=0,"Não iniciado",IF(U170&gt;=M170,"Concluído","Parcial"))</x:f>
        <x:v>Não iniciado</x:v>
      </x:c>
      <x:c r="Y170" s="199" t="str"/>
      <x:c r="Z170" s="188" t="str">
        <x:v>Normal</x:v>
      </x:c>
    </x:row>
    <x:row r="171" ht="22" customHeight="1">
      <x:c r="A171" s="217" t="n">
        <x:v>167</x:v>
      </x:c>
      <x:c r="B171" s="218" t="str">
        <x:v>26824</x:v>
      </x:c>
      <x:c r="C171" s="218" t="str">
        <x:v>4</x:v>
      </x:c>
      <x:c r="D171" s="218" t="str">
        <x:v>609607</x:v>
      </x:c>
      <x:c r="E171" s="218" t="str">
        <x:v>2010600026</x:v>
      </x:c>
      <x:c r="F171" s="218" t="str">
        <x:v>BATENTE</x:v>
      </x:c>
      <x:c r="G171" s="184" t="str">
        <x:v>M P MDF STD PET TXT BCO 2110X90X30 42X10</x:v>
      </x:c>
      <x:c r="H171" s="184" t="str"/>
      <x:c r="I171" s="184" t="str"/>
      <x:c r="J171" s="184" t="str"/>
      <x:c r="K171" s="184" t="str">
        <x:v>ESMALTE</x:v>
      </x:c>
      <x:c r="L171" s="184" t="str">
        <x:v>BRANCO</x:v>
      </x:c>
      <x:c r="M171" s="205" t="n">
        <x:v>84</x:v>
      </x:c>
      <x:c r="N171" s="205" t="n">
        <x:v>2110</x:v>
      </x:c>
      <x:c r="O171" s="205" t="n">
        <x:v>90</x:v>
      </x:c>
      <x:c r="P171" s="205" t="n">
        <x:v>30</x:v>
      </x:c>
      <x:c r="Q171" s="206" t="n">
        <x:v>0.479</x:v>
      </x:c>
      <x:c r="R171" s="207" t="str"/>
      <x:c r="S171" s="207" t="str"/>
      <x:c r="T171" s="207" t="str"/>
      <x:c r="U171" s="207" t="n">
        <x:v>0</x:v>
      </x:c>
      <x:c r="V171" s="208" t="n">
        <x:f>MAX(0,M171-U171)</x:f>
        <x:v>84</x:v>
      </x:c>
      <x:c r="W171" s="209" t="n">
        <x:f>IFERROR(U171/M171,0)</x:f>
        <x:v>0</x:v>
      </x:c>
      <x:c r="X171" s="201" t="str">
        <x:f>IF(U171=0,"Não iniciado",IF(U171&gt;=M171,"Concluído","Parcial"))</x:f>
        <x:v>Não iniciado</x:v>
      </x:c>
      <x:c r="Y171" s="199" t="str"/>
      <x:c r="Z171" s="188" t="str">
        <x:v>Normal</x:v>
      </x:c>
    </x:row>
    <x:row r="172" ht="22" customHeight="1">
      <x:c r="A172" s="219" t="n">
        <x:v>168</x:v>
      </x:c>
      <x:c r="B172" s="220" t="str">
        <x:v>26824</x:v>
      </x:c>
      <x:c r="C172" s="220" t="str">
        <x:v>5</x:v>
      </x:c>
      <x:c r="D172" s="220" t="str">
        <x:v>609615</x:v>
      </x:c>
      <x:c r="E172" s="220" t="str">
        <x:v>2010600026</x:v>
      </x:c>
      <x:c r="F172" s="220" t="str">
        <x:v>BATENTE</x:v>
      </x:c>
      <x:c r="G172" s="190" t="str">
        <x:v>M P MDF STD PET TXT BCO 2110X90X30 42X10</x:v>
      </x:c>
      <x:c r="H172" s="190" t="str"/>
      <x:c r="I172" s="190" t="str"/>
      <x:c r="J172" s="190" t="str"/>
      <x:c r="K172" s="190" t="str">
        <x:v>ESMALTE</x:v>
      </x:c>
      <x:c r="L172" s="190" t="str">
        <x:v>BRANCO</x:v>
      </x:c>
      <x:c r="M172" s="210" t="n">
        <x:v>42</x:v>
      </x:c>
      <x:c r="N172" s="210" t="n">
        <x:v>2110</x:v>
      </x:c>
      <x:c r="O172" s="210" t="n">
        <x:v>90</x:v>
      </x:c>
      <x:c r="P172" s="210" t="n">
        <x:v>30</x:v>
      </x:c>
      <x:c r="Q172" s="211" t="n">
        <x:v>0.239</x:v>
      </x:c>
      <x:c r="R172" s="207" t="str"/>
      <x:c r="S172" s="207" t="str"/>
      <x:c r="T172" s="207" t="str"/>
      <x:c r="U172" s="207" t="n">
        <x:v>0</x:v>
      </x:c>
      <x:c r="V172" s="208" t="n">
        <x:f>MAX(0,M172-U172)</x:f>
        <x:v>42</x:v>
      </x:c>
      <x:c r="W172" s="209" t="n">
        <x:f>IFERROR(U172/M172,0)</x:f>
        <x:v>0</x:v>
      </x:c>
      <x:c r="X172" s="201" t="str">
        <x:f>IF(U172=0,"Não iniciado",IF(U172&gt;=M172,"Concluído","Parcial"))</x:f>
        <x:v>Não iniciado</x:v>
      </x:c>
      <x:c r="Y172" s="199" t="str"/>
      <x:c r="Z172" s="188" t="str">
        <x:v>Normal</x:v>
      </x:c>
    </x:row>
    <x:row r="173" ht="22" customHeight="1">
      <x:c r="A173" s="217" t="n">
        <x:v>169</x:v>
      </x:c>
      <x:c r="B173" s="218" t="str">
        <x:v>26824</x:v>
      </x:c>
      <x:c r="C173" s="218" t="str">
        <x:v>6</x:v>
      </x:c>
      <x:c r="D173" s="218" t="str">
        <x:v>609623</x:v>
      </x:c>
      <x:c r="E173" s="218" t="str">
        <x:v>2010600026</x:v>
      </x:c>
      <x:c r="F173" s="218" t="str">
        <x:v>BATENTE</x:v>
      </x:c>
      <x:c r="G173" s="184" t="str">
        <x:v>M P MDF STD PET TXT BCO 2110X90X30 42X10</x:v>
      </x:c>
      <x:c r="H173" s="184" t="str"/>
      <x:c r="I173" s="184" t="str"/>
      <x:c r="J173" s="184" t="str"/>
      <x:c r="K173" s="184" t="str">
        <x:v>ESMALTE</x:v>
      </x:c>
      <x:c r="L173" s="184" t="str">
        <x:v>BRANCO</x:v>
      </x:c>
      <x:c r="M173" s="205" t="n">
        <x:v>4</x:v>
      </x:c>
      <x:c r="N173" s="205" t="n">
        <x:v>2110</x:v>
      </x:c>
      <x:c r="O173" s="205" t="n">
        <x:v>90</x:v>
      </x:c>
      <x:c r="P173" s="205" t="n">
        <x:v>30</x:v>
      </x:c>
      <x:c r="Q173" s="206" t="n">
        <x:v>0.023</x:v>
      </x:c>
      <x:c r="R173" s="207" t="str"/>
      <x:c r="S173" s="207" t="str"/>
      <x:c r="T173" s="207" t="str"/>
      <x:c r="U173" s="207" t="n">
        <x:v>0</x:v>
      </x:c>
      <x:c r="V173" s="208" t="n">
        <x:f>MAX(0,M173-U173)</x:f>
        <x:v>4</x:v>
      </x:c>
      <x:c r="W173" s="209" t="n">
        <x:f>IFERROR(U173/M173,0)</x:f>
        <x:v>0</x:v>
      </x:c>
      <x:c r="X173" s="201" t="str">
        <x:f>IF(U173=0,"Não iniciado",IF(U173&gt;=M173,"Concluído","Parcial"))</x:f>
        <x:v>Não iniciado</x:v>
      </x:c>
      <x:c r="Y173" s="199" t="str"/>
      <x:c r="Z173" s="188" t="str">
        <x:v>Normal</x:v>
      </x:c>
    </x:row>
    <x:row r="174" ht="22" customHeight="1">
      <x:c r="A174" s="219" t="n">
        <x:v>170</x:v>
      </x:c>
      <x:c r="B174" s="220" t="str">
        <x:v>26739</x:v>
      </x:c>
      <x:c r="C174" s="220" t="str">
        <x:v>9</x:v>
      </x:c>
      <x:c r="D174" s="220" t="str">
        <x:v>609647</x:v>
      </x:c>
      <x:c r="E174" s="220" t="str">
        <x:v>918484</x:v>
      </x:c>
      <x:c r="F174" s="220" t="str">
        <x:v>BATENTE</x:v>
      </x:c>
      <x:c r="G174" s="190" t="str">
        <x:v>2110x90x30 42x10 R2 R1 BIA PET BC U(UL)</x:v>
      </x:c>
      <x:c r="H174" s="190" t="str"/>
      <x:c r="I174" s="190" t="str"/>
      <x:c r="J174" s="190" t="str"/>
      <x:c r="K174" s="190" t="str">
        <x:v>ESMALTE</x:v>
      </x:c>
      <x:c r="L174" s="190" t="str">
        <x:v>BRANCO CARRARA</x:v>
      </x:c>
      <x:c r="M174" s="210" t="n">
        <x:v>12</x:v>
      </x:c>
      <x:c r="N174" s="210" t="n">
        <x:v>2110</x:v>
      </x:c>
      <x:c r="O174" s="210" t="n">
        <x:v>90</x:v>
      </x:c>
      <x:c r="P174" s="210" t="n">
        <x:v>30</x:v>
      </x:c>
      <x:c r="Q174" s="211" t="n">
        <x:v>0</x:v>
      </x:c>
      <x:c r="R174" s="207" t="str"/>
      <x:c r="S174" s="207" t="str"/>
      <x:c r="T174" s="207" t="str"/>
      <x:c r="U174" s="207" t="n">
        <x:v>0</x:v>
      </x:c>
      <x:c r="V174" s="208" t="n">
        <x:f>MAX(0,M174-U174)</x:f>
        <x:v>12</x:v>
      </x:c>
      <x:c r="W174" s="209" t="n">
        <x:f>IFERROR(U174/M174,0)</x:f>
        <x:v>0</x:v>
      </x:c>
      <x:c r="X174" s="201" t="str">
        <x:f>IF(U174=0,"Não iniciado",IF(U174&gt;=M174,"Concluído","Parcial"))</x:f>
        <x:v>Não iniciado</x:v>
      </x:c>
      <x:c r="Y174" s="199" t="str"/>
      <x:c r="Z174" s="188" t="str">
        <x:v>Normal</x:v>
      </x:c>
    </x:row>
    <x:row r="175" ht="22" customHeight="1">
      <x:c r="A175" s="217" t="n">
        <x:v>171</x:v>
      </x:c>
      <x:c r="B175" s="218" t="str">
        <x:v>26739</x:v>
      </x:c>
      <x:c r="C175" s="218" t="str">
        <x:v>18</x:v>
      </x:c>
      <x:c r="D175" s="218" t="str">
        <x:v>609707</x:v>
      </x:c>
      <x:c r="E175" s="218" t="str">
        <x:v>2010700591</x:v>
      </x:c>
      <x:c r="F175" s="218" t="str">
        <x:v>BATENTE</x:v>
      </x:c>
      <x:c r="G175" s="184" t="str">
        <x:v>CJ M ULTRA PET BCO CAR 2110X90X30 42X10</x:v>
      </x:c>
      <x:c r="H175" s="184" t="str"/>
      <x:c r="I175" s="184" t="str"/>
      <x:c r="J175" s="184" t="str"/>
      <x:c r="K175" s="184" t="str">
        <x:v>ESMALTE</x:v>
      </x:c>
      <x:c r="L175" s="184" t="str">
        <x:v>BRANCO CARRARA</x:v>
      </x:c>
      <x:c r="M175" s="205" t="n">
        <x:v>10</x:v>
      </x:c>
      <x:c r="N175" s="205" t="n">
        <x:v>2110</x:v>
      </x:c>
      <x:c r="O175" s="205" t="n">
        <x:v>90</x:v>
      </x:c>
      <x:c r="P175" s="205" t="n">
        <x:v>30</x:v>
      </x:c>
      <x:c r="Q175" s="206" t="n">
        <x:v>0.057</x:v>
      </x:c>
      <x:c r="R175" s="207" t="str"/>
      <x:c r="S175" s="207" t="str"/>
      <x:c r="T175" s="207" t="str"/>
      <x:c r="U175" s="207" t="n">
        <x:v>0</x:v>
      </x:c>
      <x:c r="V175" s="208" t="n">
        <x:f>MAX(0,M175-U175)</x:f>
        <x:v>10</x:v>
      </x:c>
      <x:c r="W175" s="209" t="n">
        <x:f>IFERROR(U175/M175,0)</x:f>
        <x:v>0</x:v>
      </x:c>
      <x:c r="X175" s="201" t="str">
        <x:f>IF(U175=0,"Não iniciado",IF(U175&gt;=M175,"Concluído","Parcial"))</x:f>
        <x:v>Não iniciado</x:v>
      </x:c>
      <x:c r="Y175" s="199" t="str"/>
      <x:c r="Z175" s="188" t="str">
        <x:v>Normal</x:v>
      </x:c>
    </x:row>
    <x:row r="176" ht="22" customHeight="1">
      <x:c r="A176" s="219" t="n">
        <x:v>172</x:v>
      </x:c>
      <x:c r="B176" s="220" t="str">
        <x:v>26750</x:v>
      </x:c>
      <x:c r="C176" s="220" t="str">
        <x:v>12</x:v>
      </x:c>
      <x:c r="D176" s="220" t="str">
        <x:v>609820</x:v>
      </x:c>
      <x:c r="E176" s="220" t="str">
        <x:v>918484</x:v>
      </x:c>
      <x:c r="F176" s="220" t="str">
        <x:v>BATENTE</x:v>
      </x:c>
      <x:c r="G176" s="190" t="str">
        <x:v>2110x90x30 42x10 R2 R1 BIA PET BC U(UL)</x:v>
      </x:c>
      <x:c r="H176" s="190" t="str"/>
      <x:c r="I176" s="190" t="str"/>
      <x:c r="J176" s="190" t="str"/>
      <x:c r="K176" s="190" t="str">
        <x:v>ESMALTE</x:v>
      </x:c>
      <x:c r="L176" s="190" t="str">
        <x:v>BRANCO CARRARA</x:v>
      </x:c>
      <x:c r="M176" s="210" t="n">
        <x:v>8</x:v>
      </x:c>
      <x:c r="N176" s="210" t="n">
        <x:v>2110</x:v>
      </x:c>
      <x:c r="O176" s="210" t="n">
        <x:v>90</x:v>
      </x:c>
      <x:c r="P176" s="210" t="n">
        <x:v>30</x:v>
      </x:c>
      <x:c r="Q176" s="211" t="n">
        <x:v>0</x:v>
      </x:c>
      <x:c r="R176" s="207" t="str"/>
      <x:c r="S176" s="207" t="str"/>
      <x:c r="T176" s="207" t="str"/>
      <x:c r="U176" s="207" t="n">
        <x:v>0</x:v>
      </x:c>
      <x:c r="V176" s="208" t="n">
        <x:f>MAX(0,M176-U176)</x:f>
        <x:v>8</x:v>
      </x:c>
      <x:c r="W176" s="209" t="n">
        <x:f>IFERROR(U176/M176,0)</x:f>
        <x:v>0</x:v>
      </x:c>
      <x:c r="X176" s="201" t="str">
        <x:f>IF(U176=0,"Não iniciado",IF(U176&gt;=M176,"Concluído","Parcial"))</x:f>
        <x:v>Não iniciado</x:v>
      </x:c>
      <x:c r="Y176" s="199" t="str"/>
      <x:c r="Z176" s="188" t="str">
        <x:v>Normal</x:v>
      </x:c>
    </x:row>
    <x:row r="177" ht="22" customHeight="1">
      <x:c r="A177" s="217" t="n">
        <x:v>173</x:v>
      </x:c>
      <x:c r="B177" s="218" t="str">
        <x:v>26750</x:v>
      </x:c>
      <x:c r="C177" s="218" t="str">
        <x:v>21</x:v>
      </x:c>
      <x:c r="D177" s="218" t="str">
        <x:v>609880</x:v>
      </x:c>
      <x:c r="E177" s="218" t="str">
        <x:v>2010700591</x:v>
      </x:c>
      <x:c r="F177" s="218" t="str">
        <x:v>BATENTE</x:v>
      </x:c>
      <x:c r="G177" s="184" t="str">
        <x:v>CJ M ULTRA PET BCO CAR 2110X90X30 42X10</x:v>
      </x:c>
      <x:c r="H177" s="184" t="str"/>
      <x:c r="I177" s="184" t="str"/>
      <x:c r="J177" s="184" t="str"/>
      <x:c r="K177" s="184" t="str">
        <x:v>ESMALTE</x:v>
      </x:c>
      <x:c r="L177" s="184" t="str">
        <x:v>BRANCO CARRARA</x:v>
      </x:c>
      <x:c r="M177" s="205" t="n">
        <x:v>10</x:v>
      </x:c>
      <x:c r="N177" s="205" t="n">
        <x:v>2110</x:v>
      </x:c>
      <x:c r="O177" s="205" t="n">
        <x:v>90</x:v>
      </x:c>
      <x:c r="P177" s="205" t="n">
        <x:v>30</x:v>
      </x:c>
      <x:c r="Q177" s="206" t="n">
        <x:v>0.057</x:v>
      </x:c>
      <x:c r="R177" s="207" t="str"/>
      <x:c r="S177" s="207" t="str"/>
      <x:c r="T177" s="207" t="str"/>
      <x:c r="U177" s="207" t="n">
        <x:v>0</x:v>
      </x:c>
      <x:c r="V177" s="208" t="n">
        <x:f>MAX(0,M177-U177)</x:f>
        <x:v>10</x:v>
      </x:c>
      <x:c r="W177" s="209" t="n">
        <x:f>IFERROR(U177/M177,0)</x:f>
        <x:v>0</x:v>
      </x:c>
      <x:c r="X177" s="201" t="str">
        <x:f>IF(U177=0,"Não iniciado",IF(U177&gt;=M177,"Concluído","Parcial"))</x:f>
        <x:v>Não iniciado</x:v>
      </x:c>
      <x:c r="Y177" s="199" t="str"/>
      <x:c r="Z177" s="188" t="str">
        <x:v>Normal</x:v>
      </x:c>
    </x:row>
    <x:row r="178" ht="22" customHeight="1">
      <x:c r="A178" s="219" t="n">
        <x:v>174</x:v>
      </x:c>
      <x:c r="B178" s="220" t="str">
        <x:v>26792</x:v>
      </x:c>
      <x:c r="C178" s="220" t="str">
        <x:v>2</x:v>
      </x:c>
      <x:c r="D178" s="220" t="str">
        <x:v>609425</x:v>
      </x:c>
      <x:c r="E178" s="220" t="str">
        <x:v>2010600197</x:v>
      </x:c>
      <x:c r="F178" s="220" t="str">
        <x:v>BATENTE</x:v>
      </x:c>
      <x:c r="G178" s="190" t="str">
        <x:v>M P MDF STD PET TXT BCO 2110X90X30 42X10</x:v>
      </x:c>
      <x:c r="H178" s="190" t="str"/>
      <x:c r="I178" s="190" t="str"/>
      <x:c r="J178" s="190" t="str"/>
      <x:c r="K178" s="190" t="str">
        <x:v>ESMALTE</x:v>
      </x:c>
      <x:c r="L178" s="190" t="str">
        <x:v>BRANCO CARRARA</x:v>
      </x:c>
      <x:c r="M178" s="210" t="n">
        <x:v>34</x:v>
      </x:c>
      <x:c r="N178" s="210" t="n">
        <x:v>2110</x:v>
      </x:c>
      <x:c r="O178" s="210" t="n">
        <x:v>90</x:v>
      </x:c>
      <x:c r="P178" s="210" t="n">
        <x:v>30</x:v>
      </x:c>
      <x:c r="Q178" s="211" t="n">
        <x:v>0.194</x:v>
      </x:c>
      <x:c r="R178" s="207" t="str"/>
      <x:c r="S178" s="207" t="str"/>
      <x:c r="T178" s="207" t="str"/>
      <x:c r="U178" s="207" t="n">
        <x:v>0</x:v>
      </x:c>
      <x:c r="V178" s="208" t="n">
        <x:f>MAX(0,M178-U178)</x:f>
        <x:v>34</x:v>
      </x:c>
      <x:c r="W178" s="209" t="n">
        <x:f>IFERROR(U178/M178,0)</x:f>
        <x:v>0</x:v>
      </x:c>
      <x:c r="X178" s="201" t="str">
        <x:f>IF(U178=0,"Não iniciado",IF(U178&gt;=M178,"Concluído","Parcial"))</x:f>
        <x:v>Não iniciado</x:v>
      </x:c>
      <x:c r="Y178" s="199" t="str"/>
      <x:c r="Z178" s="188" t="str">
        <x:v>Normal</x:v>
      </x:c>
    </x:row>
    <x:row r="179" ht="22" customHeight="1">
      <x:c r="A179" s="217" t="n">
        <x:v>175</x:v>
      </x:c>
      <x:c r="B179" s="218" t="str">
        <x:v>26792</x:v>
      </x:c>
      <x:c r="C179" s="218" t="str">
        <x:v>3</x:v>
      </x:c>
      <x:c r="D179" s="218" t="str">
        <x:v>609433</x:v>
      </x:c>
      <x:c r="E179" s="218" t="str">
        <x:v>2010600197</x:v>
      </x:c>
      <x:c r="F179" s="218" t="str">
        <x:v>BATENTE</x:v>
      </x:c>
      <x:c r="G179" s="184" t="str">
        <x:v>M P MDF STD PET TXT BCO 2110X90X30 42X10</x:v>
      </x:c>
      <x:c r="H179" s="184" t="str"/>
      <x:c r="I179" s="184" t="str"/>
      <x:c r="J179" s="184" t="str"/>
      <x:c r="K179" s="184" t="str">
        <x:v>ESMALTE</x:v>
      </x:c>
      <x:c r="L179" s="184" t="str">
        <x:v>BRANCO CARRARA</x:v>
      </x:c>
      <x:c r="M179" s="205" t="n">
        <x:v>2</x:v>
      </x:c>
      <x:c r="N179" s="205" t="n">
        <x:v>2110</x:v>
      </x:c>
      <x:c r="O179" s="205" t="n">
        <x:v>90</x:v>
      </x:c>
      <x:c r="P179" s="205" t="n">
        <x:v>30</x:v>
      </x:c>
      <x:c r="Q179" s="206" t="n">
        <x:v>0.011</x:v>
      </x:c>
      <x:c r="R179" s="207" t="str"/>
      <x:c r="S179" s="207" t="str"/>
      <x:c r="T179" s="207" t="str"/>
      <x:c r="U179" s="207" t="n">
        <x:v>0</x:v>
      </x:c>
      <x:c r="V179" s="208" t="n">
        <x:f>MAX(0,M179-U179)</x:f>
        <x:v>2</x:v>
      </x:c>
      <x:c r="W179" s="209" t="n">
        <x:f>IFERROR(U179/M179,0)</x:f>
        <x:v>0</x:v>
      </x:c>
      <x:c r="X179" s="201" t="str">
        <x:f>IF(U179=0,"Não iniciado",IF(U179&gt;=M179,"Concluído","Parcial"))</x:f>
        <x:v>Não iniciado</x:v>
      </x:c>
      <x:c r="Y179" s="199" t="str"/>
      <x:c r="Z179" s="188" t="str">
        <x:v>Normal</x:v>
      </x:c>
    </x:row>
    <x:row r="180" ht="22" customHeight="1">
      <x:c r="A180" s="219" t="n">
        <x:v>176</x:v>
      </x:c>
      <x:c r="B180" s="220" t="str">
        <x:v>26808</x:v>
      </x:c>
      <x:c r="C180" s="220" t="str">
        <x:v>3</x:v>
      </x:c>
      <x:c r="D180" s="220" t="str">
        <x:v>608912</x:v>
      </x:c>
      <x:c r="E180" s="220" t="str">
        <x:v>674638</x:v>
      </x:c>
      <x:c r="F180" s="220" t="str">
        <x:v>BATENTE</x:v>
      </x:c>
      <x:c r="G180" s="190" t="str">
        <x:v>2110x90x30 42X10 R2 BIA PET BC U (MCMV)</x:v>
      </x:c>
      <x:c r="H180" s="190" t="str"/>
      <x:c r="I180" s="190" t="str"/>
      <x:c r="J180" s="190" t="str"/>
      <x:c r="K180" s="190" t="str">
        <x:v>ESMALTE</x:v>
      </x:c>
      <x:c r="L180" s="190" t="str">
        <x:v>BRANCO CARRARA</x:v>
      </x:c>
      <x:c r="M180" s="210" t="n">
        <x:v>120</x:v>
      </x:c>
      <x:c r="N180" s="210" t="n">
        <x:v>2110</x:v>
      </x:c>
      <x:c r="O180" s="210" t="n">
        <x:v>90</x:v>
      </x:c>
      <x:c r="P180" s="210" t="n">
        <x:v>30</x:v>
      </x:c>
      <x:c r="Q180" s="211" t="n">
        <x:v>0.684</x:v>
      </x:c>
      <x:c r="R180" s="207" t="str"/>
      <x:c r="S180" s="207" t="str"/>
      <x:c r="T180" s="207" t="str"/>
      <x:c r="U180" s="207" t="n">
        <x:v>0</x:v>
      </x:c>
      <x:c r="V180" s="208" t="n">
        <x:f>MAX(0,M180-U180)</x:f>
        <x:v>120</x:v>
      </x:c>
      <x:c r="W180" s="209" t="n">
        <x:f>IFERROR(U180/M180,0)</x:f>
        <x:v>0</x:v>
      </x:c>
      <x:c r="X180" s="201" t="str">
        <x:f>IF(U180=0,"Não iniciado",IF(U180&gt;=M180,"Concluído","Parcial"))</x:f>
        <x:v>Não iniciado</x:v>
      </x:c>
      <x:c r="Y180" s="199" t="str"/>
      <x:c r="Z180" s="188" t="str">
        <x:v>Normal</x:v>
      </x:c>
    </x:row>
    <x:row r="181" ht="22" customHeight="1">
      <x:c r="A181" s="217" t="n">
        <x:v>177</x:v>
      </x:c>
      <x:c r="B181" s="218" t="str">
        <x:v>26808</x:v>
      </x:c>
      <x:c r="C181" s="218" t="str">
        <x:v>5</x:v>
      </x:c>
      <x:c r="D181" s="218" t="str">
        <x:v>608928</x:v>
      </x:c>
      <x:c r="E181" s="218" t="str">
        <x:v>674638</x:v>
      </x:c>
      <x:c r="F181" s="218" t="str">
        <x:v>BATENTE</x:v>
      </x:c>
      <x:c r="G181" s="184" t="str">
        <x:v>2110x90x30 42X10 R2 BIA PET BC U (MCMV)</x:v>
      </x:c>
      <x:c r="H181" s="184" t="str"/>
      <x:c r="I181" s="184" t="str"/>
      <x:c r="J181" s="184" t="str"/>
      <x:c r="K181" s="184" t="str">
        <x:v>ESMALTE</x:v>
      </x:c>
      <x:c r="L181" s="184" t="str">
        <x:v>BRANCO CARRARA</x:v>
      </x:c>
      <x:c r="M181" s="205" t="n">
        <x:v>2</x:v>
      </x:c>
      <x:c r="N181" s="205" t="n">
        <x:v>2110</x:v>
      </x:c>
      <x:c r="O181" s="205" t="n">
        <x:v>90</x:v>
      </x:c>
      <x:c r="P181" s="205" t="n">
        <x:v>30</x:v>
      </x:c>
      <x:c r="Q181" s="206" t="n">
        <x:v>0.011</x:v>
      </x:c>
      <x:c r="R181" s="207" t="str"/>
      <x:c r="S181" s="207" t="str"/>
      <x:c r="T181" s="207" t="str"/>
      <x:c r="U181" s="207" t="n">
        <x:v>0</x:v>
      </x:c>
      <x:c r="V181" s="208" t="n">
        <x:f>MAX(0,M181-U181)</x:f>
        <x:v>2</x:v>
      </x:c>
      <x:c r="W181" s="209" t="n">
        <x:f>IFERROR(U181/M181,0)</x:f>
        <x:v>0</x:v>
      </x:c>
      <x:c r="X181" s="201" t="str">
        <x:f>IF(U181=0,"Não iniciado",IF(U181&gt;=M181,"Concluído","Parcial"))</x:f>
        <x:v>Não iniciado</x:v>
      </x:c>
      <x:c r="Y181" s="199" t="str"/>
      <x:c r="Z181" s="188" t="str">
        <x:v>Normal</x:v>
      </x:c>
    </x:row>
    <x:row r="182" ht="22" customHeight="1">
      <x:c r="A182" s="219" t="n">
        <x:v>178</x:v>
      </x:c>
      <x:c r="B182" s="220" t="str">
        <x:v>26808</x:v>
      </x:c>
      <x:c r="C182" s="220" t="str">
        <x:v>8</x:v>
      </x:c>
      <x:c r="D182" s="220" t="str">
        <x:v>608952</x:v>
      </x:c>
      <x:c r="E182" s="220" t="str">
        <x:v>674638</x:v>
      </x:c>
      <x:c r="F182" s="220" t="str">
        <x:v>BATENTE</x:v>
      </x:c>
      <x:c r="G182" s="190" t="str">
        <x:v>2110x90x30 42X10 R2 BIA PET BC U (MCMV)</x:v>
      </x:c>
      <x:c r="H182" s="190" t="str"/>
      <x:c r="I182" s="190" t="str"/>
      <x:c r="J182" s="190" t="str"/>
      <x:c r="K182" s="190" t="str">
        <x:v>ESMALTE</x:v>
      </x:c>
      <x:c r="L182" s="190" t="str">
        <x:v>BRANCO CARRARA</x:v>
      </x:c>
      <x:c r="M182" s="210" t="n">
        <x:v>44</x:v>
      </x:c>
      <x:c r="N182" s="210" t="n">
        <x:v>2110</x:v>
      </x:c>
      <x:c r="O182" s="210" t="n">
        <x:v>90</x:v>
      </x:c>
      <x:c r="P182" s="210" t="n">
        <x:v>30</x:v>
      </x:c>
      <x:c r="Q182" s="211" t="n">
        <x:v>0.251</x:v>
      </x:c>
      <x:c r="R182" s="207" t="str"/>
      <x:c r="S182" s="207" t="str"/>
      <x:c r="T182" s="207" t="str"/>
      <x:c r="U182" s="207" t="n">
        <x:v>0</x:v>
      </x:c>
      <x:c r="V182" s="208" t="n">
        <x:f>MAX(0,M182-U182)</x:f>
        <x:v>44</x:v>
      </x:c>
      <x:c r="W182" s="209" t="n">
        <x:f>IFERROR(U182/M182,0)</x:f>
        <x:v>0</x:v>
      </x:c>
      <x:c r="X182" s="201" t="str">
        <x:f>IF(U182=0,"Não iniciado",IF(U182&gt;=M182,"Concluído","Parcial"))</x:f>
        <x:v>Não iniciado</x:v>
      </x:c>
      <x:c r="Y182" s="199" t="str"/>
      <x:c r="Z182" s="188" t="str">
        <x:v>Normal</x:v>
      </x:c>
    </x:row>
    <x:row r="183" ht="22" customHeight="1">
      <x:c r="A183" s="217" t="n">
        <x:v>179</x:v>
      </x:c>
      <x:c r="B183" s="218" t="str">
        <x:v>26808</x:v>
      </x:c>
      <x:c r="C183" s="218" t="str">
        <x:v>11</x:v>
      </x:c>
      <x:c r="D183" s="218" t="str">
        <x:v>608980</x:v>
      </x:c>
      <x:c r="E183" s="218" t="str">
        <x:v>2010500025</x:v>
      </x:c>
      <x:c r="F183" s="218" t="str">
        <x:v>BATENTE</x:v>
      </x:c>
      <x:c r="G183" s="184" t="str">
        <x:v>M P PINUS PET BCO CAR 2110X90X30 42X10 R</x:v>
      </x:c>
      <x:c r="H183" s="184" t="str"/>
      <x:c r="I183" s="184" t="str"/>
      <x:c r="J183" s="184" t="str"/>
      <x:c r="K183" s="184" t="str">
        <x:v>ESMALTE</x:v>
      </x:c>
      <x:c r="L183" s="184" t="str">
        <x:v>BRANCO CARRARA</x:v>
      </x:c>
      <x:c r="M183" s="205" t="n">
        <x:v>2</x:v>
      </x:c>
      <x:c r="N183" s="205" t="n">
        <x:v>2110</x:v>
      </x:c>
      <x:c r="O183" s="205" t="n">
        <x:v>90</x:v>
      </x:c>
      <x:c r="P183" s="205" t="n">
        <x:v>30</x:v>
      </x:c>
      <x:c r="Q183" s="206" t="n">
        <x:v>0.011</x:v>
      </x:c>
      <x:c r="R183" s="207" t="str"/>
      <x:c r="S183" s="207" t="str"/>
      <x:c r="T183" s="207" t="str"/>
      <x:c r="U183" s="207" t="n">
        <x:v>0</x:v>
      </x:c>
      <x:c r="V183" s="208" t="n">
        <x:f>MAX(0,M183-U183)</x:f>
        <x:v>2</x:v>
      </x:c>
      <x:c r="W183" s="209" t="n">
        <x:f>IFERROR(U183/M183,0)</x:f>
        <x:v>0</x:v>
      </x:c>
      <x:c r="X183" s="201" t="str">
        <x:f>IF(U183=0,"Não iniciado",IF(U183&gt;=M183,"Concluído","Parcial"))</x:f>
        <x:v>Não iniciado</x:v>
      </x:c>
      <x:c r="Y183" s="199" t="str"/>
      <x:c r="Z183" s="188" t="str">
        <x:v>Normal</x:v>
      </x:c>
    </x:row>
    <x:row r="184" ht="22" customHeight="1">
      <x:c r="A184" s="219" t="n">
        <x:v>180</x:v>
      </x:c>
      <x:c r="B184" s="220" t="str">
        <x:v>26815</x:v>
      </x:c>
      <x:c r="C184" s="220" t="str">
        <x:v>2</x:v>
      </x:c>
      <x:c r="D184" s="220" t="str">
        <x:v>609494</x:v>
      </x:c>
      <x:c r="E184" s="220" t="str">
        <x:v>2010600197</x:v>
      </x:c>
      <x:c r="F184" s="220" t="str">
        <x:v>BATENTE</x:v>
      </x:c>
      <x:c r="G184" s="190" t="str">
        <x:v>M P MDF STD PET TXT BCO 2110X90X30 42X10</x:v>
      </x:c>
      <x:c r="H184" s="190" t="str"/>
      <x:c r="I184" s="190" t="str"/>
      <x:c r="J184" s="190" t="str"/>
      <x:c r="K184" s="190" t="str">
        <x:v>ESMALTE</x:v>
      </x:c>
      <x:c r="L184" s="190" t="str">
        <x:v>BRANCO CARRARA</x:v>
      </x:c>
      <x:c r="M184" s="210" t="n">
        <x:v>20</x:v>
      </x:c>
      <x:c r="N184" s="210" t="n">
        <x:v>2110</x:v>
      </x:c>
      <x:c r="O184" s="210" t="n">
        <x:v>90</x:v>
      </x:c>
      <x:c r="P184" s="210" t="n">
        <x:v>30</x:v>
      </x:c>
      <x:c r="Q184" s="211" t="n">
        <x:v>0.114</x:v>
      </x:c>
      <x:c r="R184" s="207" t="str"/>
      <x:c r="S184" s="207" t="str"/>
      <x:c r="T184" s="207" t="str"/>
      <x:c r="U184" s="207" t="n">
        <x:v>0</x:v>
      </x:c>
      <x:c r="V184" s="208" t="n">
        <x:f>MAX(0,M184-U184)</x:f>
        <x:v>20</x:v>
      </x:c>
      <x:c r="W184" s="209" t="n">
        <x:f>IFERROR(U184/M184,0)</x:f>
        <x:v>0</x:v>
      </x:c>
      <x:c r="X184" s="201" t="str">
        <x:f>IF(U184=0,"Não iniciado",IF(U184&gt;=M184,"Concluído","Parcial"))</x:f>
        <x:v>Não iniciado</x:v>
      </x:c>
      <x:c r="Y184" s="199" t="str"/>
      <x:c r="Z184" s="188" t="str">
        <x:v>Normal</x:v>
      </x:c>
    </x:row>
    <x:row r="185" ht="22" customHeight="1">
      <x:c r="A185" s="217" t="n">
        <x:v>181</x:v>
      </x:c>
      <x:c r="B185" s="218" t="str">
        <x:v>26824</x:v>
      </x:c>
      <x:c r="C185" s="218" t="str">
        <x:v>3</x:v>
      </x:c>
      <x:c r="D185" s="218" t="str">
        <x:v>609599</x:v>
      </x:c>
      <x:c r="E185" s="218" t="str">
        <x:v>2010600026</x:v>
      </x:c>
      <x:c r="F185" s="218" t="str">
        <x:v>BATENTE</x:v>
      </x:c>
      <x:c r="G185" s="184" t="str">
        <x:v>M P MDF STD PET TXT BCO 2110X90X30 42X10</x:v>
      </x:c>
      <x:c r="H185" s="184" t="str"/>
      <x:c r="I185" s="184" t="str"/>
      <x:c r="J185" s="184" t="str"/>
      <x:c r="K185" s="184" t="str">
        <x:v>ESMALTE</x:v>
      </x:c>
      <x:c r="L185" s="184" t="str">
        <x:v>BRANCO CARRARA</x:v>
      </x:c>
      <x:c r="M185" s="205" t="n">
        <x:v>10</x:v>
      </x:c>
      <x:c r="N185" s="205" t="n">
        <x:v>2110</x:v>
      </x:c>
      <x:c r="O185" s="205" t="n">
        <x:v>90</x:v>
      </x:c>
      <x:c r="P185" s="205" t="n">
        <x:v>30</x:v>
      </x:c>
      <x:c r="Q185" s="206" t="n">
        <x:v>0.057</x:v>
      </x:c>
      <x:c r="R185" s="207" t="str"/>
      <x:c r="S185" s="207" t="str"/>
      <x:c r="T185" s="207" t="str"/>
      <x:c r="U185" s="207" t="n">
        <x:v>0</x:v>
      </x:c>
      <x:c r="V185" s="208" t="n">
        <x:f>MAX(0,M185-U185)</x:f>
        <x:v>10</x:v>
      </x:c>
      <x:c r="W185" s="209" t="n">
        <x:f>IFERROR(U185/M185,0)</x:f>
        <x:v>0</x:v>
      </x:c>
      <x:c r="X185" s="201" t="str">
        <x:f>IF(U185=0,"Não iniciado",IF(U185&gt;=M185,"Concluído","Parcial"))</x:f>
        <x:v>Não iniciado</x:v>
      </x:c>
      <x:c r="Y185" s="199" t="str"/>
      <x:c r="Z185" s="188" t="str">
        <x:v>Normal</x:v>
      </x:c>
    </x:row>
    <x:row r="186" ht="22" customHeight="1">
      <x:c r="A186" s="219" t="n">
        <x:v>182</x:v>
      </x:c>
      <x:c r="B186" s="220" t="str">
        <x:v>26807</x:v>
      </x:c>
      <x:c r="C186" s="220" t="str">
        <x:v>1</x:v>
      </x:c>
      <x:c r="D186" s="220" t="str">
        <x:v>610043</x:v>
      </x:c>
      <x:c r="E186" s="220" t="str">
        <x:v>2010701233</x:v>
      </x:c>
      <x:c r="F186" s="220" t="str">
        <x:v>BATENTE</x:v>
      </x:c>
      <x:c r="G186" s="190" t="str">
        <x:v>M ULTRA PET CA PE 2110X90X30 42X10 R2L M</x:v>
      </x:c>
      <x:c r="H186" s="190" t="str">
        <x:v>MDF ULTRA</x:v>
      </x:c>
      <x:c r="I186" s="190" t="str">
        <x:v>C/BORRACHA I APLICADA</x:v>
      </x:c>
      <x:c r="J186" s="190" t="str">
        <x:v>C/REB 42X10</x:v>
      </x:c>
      <x:c r="K186" s="190" t="str">
        <x:v>RECOBERTO PET</x:v>
      </x:c>
      <x:c r="L186" s="190" t="str">
        <x:v>CARVALHO PESCARA</x:v>
      </x:c>
      <x:c r="M186" s="210" t="n">
        <x:v>40</x:v>
      </x:c>
      <x:c r="N186" s="210" t="n">
        <x:v>2110</x:v>
      </x:c>
      <x:c r="O186" s="210" t="n">
        <x:v>90</x:v>
      </x:c>
      <x:c r="P186" s="210" t="n">
        <x:v>30</x:v>
      </x:c>
      <x:c r="Q186" s="211" t="n">
        <x:v>0.228</x:v>
      </x:c>
      <x:c r="R186" s="207" t="str"/>
      <x:c r="S186" s="207" t="str"/>
      <x:c r="T186" s="207" t="str"/>
      <x:c r="U186" s="207" t="n">
        <x:v>0</x:v>
      </x:c>
      <x:c r="V186" s="208" t="n">
        <x:f>MAX(0,M186-U186)</x:f>
        <x:v>40</x:v>
      </x:c>
      <x:c r="W186" s="209" t="n">
        <x:f>IFERROR(U186/M186,0)</x:f>
        <x:v>0</x:v>
      </x:c>
      <x:c r="X186" s="201" t="str">
        <x:f>IF(U186=0,"Não iniciado",IF(U186&gt;=M186,"Concluído","Parcial"))</x:f>
        <x:v>Não iniciado</x:v>
      </x:c>
      <x:c r="Y186" s="199" t="str"/>
      <x:c r="Z186" s="188" t="str">
        <x:v>Normal</x:v>
      </x:c>
    </x:row>
    <x:row r="187" ht="22" customHeight="1">
      <x:c r="A187" s="217" t="n">
        <x:v>183</x:v>
      </x:c>
      <x:c r="B187" s="218" t="str">
        <x:v>26807</x:v>
      </x:c>
      <x:c r="C187" s="218" t="str">
        <x:v>1</x:v>
      </x:c>
      <x:c r="D187" s="218" t="str">
        <x:v>610044</x:v>
      </x:c>
      <x:c r="E187" s="218" t="str">
        <x:v>2010701234</x:v>
      </x:c>
      <x:c r="F187" s="218" t="str">
        <x:v>BATENTE</x:v>
      </x:c>
      <x:c r="G187" s="184" t="str">
        <x:v>M ULTRA PET CA PE 1100X90X30 42X10 R2L M</x:v>
      </x:c>
      <x:c r="H187" s="184" t="str">
        <x:v>MDF ULTRA</x:v>
      </x:c>
      <x:c r="I187" s="184" t="str">
        <x:v>C/BORRACHA I APLICADA</x:v>
      </x:c>
      <x:c r="J187" s="184" t="str">
        <x:v>C/REB 42X10</x:v>
      </x:c>
      <x:c r="K187" s="184" t="str">
        <x:v>RECOBERTO PET</x:v>
      </x:c>
      <x:c r="L187" s="184" t="str">
        <x:v>CARVALHO PESCARA</x:v>
      </x:c>
      <x:c r="M187" s="205" t="n">
        <x:v>20</x:v>
      </x:c>
      <x:c r="N187" s="205" t="n">
        <x:v>1100</x:v>
      </x:c>
      <x:c r="O187" s="205" t="n">
        <x:v>90</x:v>
      </x:c>
      <x:c r="P187" s="205" t="n">
        <x:v>30</x:v>
      </x:c>
      <x:c r="Q187" s="206" t="n">
        <x:v>0.059</x:v>
      </x:c>
      <x:c r="R187" s="207" t="str"/>
      <x:c r="S187" s="207" t="str"/>
      <x:c r="T187" s="207" t="str"/>
      <x:c r="U187" s="207" t="n">
        <x:v>0</x:v>
      </x:c>
      <x:c r="V187" s="208" t="n">
        <x:f>MAX(0,M187-U187)</x:f>
        <x:v>20</x:v>
      </x:c>
      <x:c r="W187" s="209" t="n">
        <x:f>IFERROR(U187/M187,0)</x:f>
        <x:v>0</x:v>
      </x:c>
      <x:c r="X187" s="201" t="str">
        <x:f>IF(U187=0,"Não iniciado",IF(U187&gt;=M187,"Concluído","Parcial"))</x:f>
        <x:v>Não iniciado</x:v>
      </x:c>
      <x:c r="Y187" s="199" t="str"/>
      <x:c r="Z187" s="188" t="str">
        <x:v>Normal</x:v>
      </x:c>
    </x:row>
    <x:row r="188" ht="22" customHeight="1">
      <x:c r="A188" s="219" t="n">
        <x:v>184</x:v>
      </x:c>
      <x:c r="B188" s="220" t="str">
        <x:v>26808</x:v>
      </x:c>
      <x:c r="C188" s="220" t="str">
        <x:v>11</x:v>
      </x:c>
      <x:c r="D188" s="220" t="str">
        <x:v>608981</x:v>
      </x:c>
      <x:c r="E188" s="220" t="str">
        <x:v>2010500059</x:v>
      </x:c>
      <x:c r="F188" s="220" t="str">
        <x:v>BATENTE</x:v>
      </x:c>
      <x:c r="G188" s="190" t="str">
        <x:v>M T PINUS PET BCO CAR 1047X90X30 42X10 R</x:v>
      </x:c>
      <x:c r="H188" s="190" t="str"/>
      <x:c r="I188" s="190" t="str"/>
      <x:c r="J188" s="190" t="str"/>
      <x:c r="K188" s="190" t="str">
        <x:v>ESMALTE</x:v>
      </x:c>
      <x:c r="L188" s="190" t="str">
        <x:v>BRANCO CARRARA</x:v>
      </x:c>
      <x:c r="M188" s="210" t="n">
        <x:v>1</x:v>
      </x:c>
      <x:c r="N188" s="210" t="n">
        <x:v>1047</x:v>
      </x:c>
      <x:c r="O188" s="210" t="n">
        <x:v>90</x:v>
      </x:c>
      <x:c r="P188" s="210" t="n">
        <x:v>30</x:v>
      </x:c>
      <x:c r="Q188" s="211" t="n">
        <x:v>0</x:v>
      </x:c>
      <x:c r="R188" s="207" t="str"/>
      <x:c r="S188" s="207" t="str"/>
      <x:c r="T188" s="207" t="str"/>
      <x:c r="U188" s="207" t="n">
        <x:v>0</x:v>
      </x:c>
      <x:c r="V188" s="208" t="n">
        <x:f>MAX(0,M188-U188)</x:f>
        <x:v>1</x:v>
      </x:c>
      <x:c r="W188" s="209" t="n">
        <x:f>IFERROR(U188/M188,0)</x:f>
        <x:v>0</x:v>
      </x:c>
      <x:c r="X188" s="201" t="str">
        <x:f>IF(U188=0,"Não iniciado",IF(U188&gt;=M188,"Concluído","Parcial"))</x:f>
        <x:v>Não iniciado</x:v>
      </x:c>
      <x:c r="Y188" s="199" t="str"/>
      <x:c r="Z188" s="188" t="str">
        <x:v>Normal</x:v>
      </x:c>
    </x:row>
    <x:row r="189" ht="22" customHeight="1">
      <x:c r="A189" s="217" t="n">
        <x:v>185</x:v>
      </x:c>
      <x:c r="B189" s="218" t="str">
        <x:v>26739</x:v>
      </x:c>
      <x:c r="C189" s="218" t="str">
        <x:v>14</x:v>
      </x:c>
      <x:c r="D189" s="218" t="str">
        <x:v>609680</x:v>
      </x:c>
      <x:c r="E189" s="218" t="str">
        <x:v>2010700216</x:v>
      </x:c>
      <x:c r="F189" s="218" t="str">
        <x:v>BATENTE</x:v>
      </x:c>
      <x:c r="G189" s="184" t="str">
        <x:v>M T ULTRA PET BCO CAR 1000X90X30 S/REB R</x:v>
      </x:c>
      <x:c r="H189" s="184" t="str">
        <x:v>MDF ULTRA</x:v>
      </x:c>
      <x:c r="I189" s="184" t="str">
        <x:v>S/CANAL</x:v>
      </x:c>
      <x:c r="J189" s="184" t="str">
        <x:v>S/REB</x:v>
      </x:c>
      <x:c r="K189" s="184" t="str">
        <x:v>RECOBERTO PET</x:v>
      </x:c>
      <x:c r="L189" s="184" t="str">
        <x:v>BRANCO CARRARA</x:v>
      </x:c>
      <x:c r="M189" s="205" t="n">
        <x:v>7</x:v>
      </x:c>
      <x:c r="N189" s="205" t="n">
        <x:v>1000</x:v>
      </x:c>
      <x:c r="O189" s="205" t="n">
        <x:v>90</x:v>
      </x:c>
      <x:c r="P189" s="205" t="n">
        <x:v>30</x:v>
      </x:c>
      <x:c r="Q189" s="206" t="n">
        <x:v>0.019</x:v>
      </x:c>
      <x:c r="R189" s="207" t="str"/>
      <x:c r="S189" s="207" t="str"/>
      <x:c r="T189" s="207" t="str"/>
      <x:c r="U189" s="207" t="n">
        <x:v>0</x:v>
      </x:c>
      <x:c r="V189" s="208" t="n">
        <x:f>MAX(0,M189-U189)</x:f>
        <x:v>7</x:v>
      </x:c>
      <x:c r="W189" s="209" t="n">
        <x:f>IFERROR(U189/M189,0)</x:f>
        <x:v>0</x:v>
      </x:c>
      <x:c r="X189" s="201" t="str">
        <x:f>IF(U189=0,"Não iniciado",IF(U189&gt;=M189,"Concluído","Parcial"))</x:f>
        <x:v>Não iniciado</x:v>
      </x:c>
      <x:c r="Y189" s="199" t="str"/>
      <x:c r="Z189" s="188" t="str">
        <x:v>Normal</x:v>
      </x:c>
    </x:row>
    <x:row r="190" ht="22" customHeight="1">
      <x:c r="A190" s="219" t="n">
        <x:v>186</x:v>
      </x:c>
      <x:c r="B190" s="220" t="str">
        <x:v>26750</x:v>
      </x:c>
      <x:c r="C190" s="220" t="str">
        <x:v>17</x:v>
      </x:c>
      <x:c r="D190" s="220" t="str">
        <x:v>609853</x:v>
      </x:c>
      <x:c r="E190" s="220" t="str">
        <x:v>2010700216</x:v>
      </x:c>
      <x:c r="F190" s="220" t="str">
        <x:v>BATENTE</x:v>
      </x:c>
      <x:c r="G190" s="190" t="str">
        <x:v>M T ULTRA PET BCO CAR 1000X90X30 S/REB R</x:v>
      </x:c>
      <x:c r="H190" s="190" t="str">
        <x:v>MDF ULTRA</x:v>
      </x:c>
      <x:c r="I190" s="190" t="str">
        <x:v>S/CANAL</x:v>
      </x:c>
      <x:c r="J190" s="190" t="str">
        <x:v>S/REB</x:v>
      </x:c>
      <x:c r="K190" s="190" t="str">
        <x:v>RECOBERTO PET</x:v>
      </x:c>
      <x:c r="L190" s="190" t="str">
        <x:v>BRANCO CARRARA</x:v>
      </x:c>
      <x:c r="M190" s="210" t="n">
        <x:v>7</x:v>
      </x:c>
      <x:c r="N190" s="210" t="n">
        <x:v>1000</x:v>
      </x:c>
      <x:c r="O190" s="210" t="n">
        <x:v>90</x:v>
      </x:c>
      <x:c r="P190" s="210" t="n">
        <x:v>30</x:v>
      </x:c>
      <x:c r="Q190" s="211" t="n">
        <x:v>0.019</x:v>
      </x:c>
      <x:c r="R190" s="207" t="str"/>
      <x:c r="S190" s="207" t="str"/>
      <x:c r="T190" s="207" t="str"/>
      <x:c r="U190" s="207" t="n">
        <x:v>0</x:v>
      </x:c>
      <x:c r="V190" s="208" t="n">
        <x:f>MAX(0,M190-U190)</x:f>
        <x:v>7</x:v>
      </x:c>
      <x:c r="W190" s="209" t="n">
        <x:f>IFERROR(U190/M190,0)</x:f>
        <x:v>0</x:v>
      </x:c>
      <x:c r="X190" s="201" t="str">
        <x:f>IF(U190=0,"Não iniciado",IF(U190&gt;=M190,"Concluído","Parcial"))</x:f>
        <x:v>Não iniciado</x:v>
      </x:c>
      <x:c r="Y190" s="199" t="str"/>
      <x:c r="Z190" s="188" t="str">
        <x:v>Normal</x:v>
      </x:c>
    </x:row>
    <x:row r="191" ht="22" customHeight="1">
      <x:c r="A191" s="217" t="n">
        <x:v>187</x:v>
      </x:c>
      <x:c r="B191" s="218" t="str">
        <x:v>26824</x:v>
      </x:c>
      <x:c r="C191" s="218" t="str">
        <x:v>6</x:v>
      </x:c>
      <x:c r="D191" s="218" t="str">
        <x:v>609624</x:v>
      </x:c>
      <x:c r="E191" s="218" t="str">
        <x:v>2010600034</x:v>
      </x:c>
      <x:c r="F191" s="218" t="str">
        <x:v>BATENTE</x:v>
      </x:c>
      <x:c r="G191" s="184" t="str">
        <x:v>M T MDF STD PET TXT BCO 947X90X30 42X10</x:v>
      </x:c>
      <x:c r="H191" s="184" t="str"/>
      <x:c r="I191" s="184" t="str"/>
      <x:c r="J191" s="184" t="str"/>
      <x:c r="K191" s="184" t="str">
        <x:v>ESMALTE</x:v>
      </x:c>
      <x:c r="L191" s="184" t="str">
        <x:v>BRANCO</x:v>
      </x:c>
      <x:c r="M191" s="205" t="n">
        <x:v>2</x:v>
      </x:c>
      <x:c r="N191" s="205" t="n">
        <x:v>947</x:v>
      </x:c>
      <x:c r="O191" s="205" t="n">
        <x:v>90</x:v>
      </x:c>
      <x:c r="P191" s="205" t="n">
        <x:v>30</x:v>
      </x:c>
      <x:c r="Q191" s="206" t="n">
        <x:v>0</x:v>
      </x:c>
      <x:c r="R191" s="207" t="str"/>
      <x:c r="S191" s="207" t="str"/>
      <x:c r="T191" s="207" t="str"/>
      <x:c r="U191" s="207" t="n">
        <x:v>0</x:v>
      </x:c>
      <x:c r="V191" s="208" t="n">
        <x:f>MAX(0,M191-U191)</x:f>
        <x:v>2</x:v>
      </x:c>
      <x:c r="W191" s="209" t="n">
        <x:f>IFERROR(U191/M191,0)</x:f>
        <x:v>0</x:v>
      </x:c>
      <x:c r="X191" s="201" t="str">
        <x:f>IF(U191=0,"Não iniciado",IF(U191&gt;=M191,"Concluído","Parcial"))</x:f>
        <x:v>Não iniciado</x:v>
      </x:c>
      <x:c r="Y191" s="199" t="str"/>
      <x:c r="Z191" s="188" t="str">
        <x:v>Normal</x:v>
      </x:c>
    </x:row>
    <x:row r="192" ht="22" customHeight="1">
      <x:c r="A192" s="219" t="n">
        <x:v>188</x:v>
      </x:c>
      <x:c r="B192" s="220" t="str">
        <x:v>26824</x:v>
      </x:c>
      <x:c r="C192" s="220" t="str">
        <x:v>4</x:v>
      </x:c>
      <x:c r="D192" s="220" t="str">
        <x:v>609608</x:v>
      </x:c>
      <x:c r="E192" s="220" t="str">
        <x:v>2010600199</x:v>
      </x:c>
      <x:c r="F192" s="220" t="str">
        <x:v>BATENTE</x:v>
      </x:c>
      <x:c r="G192" s="190" t="str">
        <x:v>M T MDF STD PET TXT BCO 847X90X30 42X10</x:v>
      </x:c>
      <x:c r="H192" s="190" t="str"/>
      <x:c r="I192" s="190" t="str"/>
      <x:c r="J192" s="190" t="str"/>
      <x:c r="K192" s="190" t="str">
        <x:v>ESMALTE</x:v>
      </x:c>
      <x:c r="L192" s="190" t="str">
        <x:v>BRANCO</x:v>
      </x:c>
      <x:c r="M192" s="210" t="n">
        <x:v>42</x:v>
      </x:c>
      <x:c r="N192" s="210" t="n">
        <x:v>847</x:v>
      </x:c>
      <x:c r="O192" s="210" t="n">
        <x:v>90</x:v>
      </x:c>
      <x:c r="P192" s="210" t="n">
        <x:v>30</x:v>
      </x:c>
      <x:c r="Q192" s="211" t="n">
        <x:v>0.096</x:v>
      </x:c>
      <x:c r="R192" s="207" t="str"/>
      <x:c r="S192" s="207" t="str"/>
      <x:c r="T192" s="207" t="str"/>
      <x:c r="U192" s="207" t="n">
        <x:v>0</x:v>
      </x:c>
      <x:c r="V192" s="208" t="n">
        <x:f>MAX(0,M192-U192)</x:f>
        <x:v>42</x:v>
      </x:c>
      <x:c r="W192" s="209" t="n">
        <x:f>IFERROR(U192/M192,0)</x:f>
        <x:v>0</x:v>
      </x:c>
      <x:c r="X192" s="201" t="str">
        <x:f>IF(U192=0,"Não iniciado",IF(U192&gt;=M192,"Concluído","Parcial"))</x:f>
        <x:v>Não iniciado</x:v>
      </x:c>
      <x:c r="Y192" s="199" t="str"/>
      <x:c r="Z192" s="188" t="str">
        <x:v>Normal</x:v>
      </x:c>
    </x:row>
    <x:row r="193" ht="22" customHeight="1">
      <x:c r="A193" s="217" t="n">
        <x:v>189</x:v>
      </x:c>
      <x:c r="B193" s="218" t="str">
        <x:v>26824</x:v>
      </x:c>
      <x:c r="C193" s="218" t="str">
        <x:v>5</x:v>
      </x:c>
      <x:c r="D193" s="218" t="str">
        <x:v>609616</x:v>
      </x:c>
      <x:c r="E193" s="218" t="str">
        <x:v>2010600199</x:v>
      </x:c>
      <x:c r="F193" s="218" t="str">
        <x:v>BATENTE</x:v>
      </x:c>
      <x:c r="G193" s="184" t="str">
        <x:v>M T MDF STD PET TXT BCO 847X90X30 42X10</x:v>
      </x:c>
      <x:c r="H193" s="184" t="str"/>
      <x:c r="I193" s="184" t="str"/>
      <x:c r="J193" s="184" t="str"/>
      <x:c r="K193" s="184" t="str">
        <x:v>ESMALTE</x:v>
      </x:c>
      <x:c r="L193" s="184" t="str">
        <x:v>BRANCO</x:v>
      </x:c>
      <x:c r="M193" s="205" t="n">
        <x:v>21</x:v>
      </x:c>
      <x:c r="N193" s="205" t="n">
        <x:v>847</x:v>
      </x:c>
      <x:c r="O193" s="205" t="n">
        <x:v>90</x:v>
      </x:c>
      <x:c r="P193" s="205" t="n">
        <x:v>30</x:v>
      </x:c>
      <x:c r="Q193" s="206" t="n">
        <x:v>0.048</x:v>
      </x:c>
      <x:c r="R193" s="207" t="str"/>
      <x:c r="S193" s="207" t="str"/>
      <x:c r="T193" s="207" t="str"/>
      <x:c r="U193" s="207" t="n">
        <x:v>0</x:v>
      </x:c>
      <x:c r="V193" s="208" t="n">
        <x:f>MAX(0,M193-U193)</x:f>
        <x:v>21</x:v>
      </x:c>
      <x:c r="W193" s="209" t="n">
        <x:f>IFERROR(U193/M193,0)</x:f>
        <x:v>0</x:v>
      </x:c>
      <x:c r="X193" s="201" t="str">
        <x:f>IF(U193=0,"Não iniciado",IF(U193&gt;=M193,"Concluído","Parcial"))</x:f>
        <x:v>Não iniciado</x:v>
      </x:c>
      <x:c r="Y193" s="199" t="str"/>
      <x:c r="Z193" s="188" t="str">
        <x:v>Normal</x:v>
      </x:c>
    </x:row>
    <x:row r="194" ht="22" customHeight="1">
      <x:c r="A194" s="219" t="n">
        <x:v>190</x:v>
      </x:c>
      <x:c r="B194" s="220" t="str">
        <x:v>26808</x:v>
      </x:c>
      <x:c r="C194" s="220" t="str">
        <x:v>5</x:v>
      </x:c>
      <x:c r="D194" s="220" t="str">
        <x:v>608929</x:v>
      </x:c>
      <x:c r="E194" s="220" t="str">
        <x:v>675810</x:v>
      </x:c>
      <x:c r="F194" s="220" t="str">
        <x:v>BATENTE</x:v>
      </x:c>
      <x:c r="G194" s="190" t="str">
        <x:v>847x90x30 42x10 R2L BIA PET BCO(PREMIUM)</x:v>
      </x:c>
      <x:c r="H194" s="190" t="str"/>
      <x:c r="I194" s="190" t="str"/>
      <x:c r="J194" s="190" t="str"/>
      <x:c r="K194" s="190" t="str">
        <x:v>ESMALTE</x:v>
      </x:c>
      <x:c r="L194" s="190" t="str">
        <x:v>BRANCO CARRARA</x:v>
      </x:c>
      <x:c r="M194" s="210" t="n">
        <x:v>1</x:v>
      </x:c>
      <x:c r="N194" s="210" t="n">
        <x:v>847</x:v>
      </x:c>
      <x:c r="O194" s="210" t="n">
        <x:v>90</x:v>
      </x:c>
      <x:c r="P194" s="210" t="n">
        <x:v>30</x:v>
      </x:c>
      <x:c r="Q194" s="211" t="n">
        <x:v>0</x:v>
      </x:c>
      <x:c r="R194" s="207" t="str"/>
      <x:c r="S194" s="207" t="str"/>
      <x:c r="T194" s="207" t="str"/>
      <x:c r="U194" s="207" t="n">
        <x:v>0</x:v>
      </x:c>
      <x:c r="V194" s="208" t="n">
        <x:f>MAX(0,M194-U194)</x:f>
        <x:v>1</x:v>
      </x:c>
      <x:c r="W194" s="209" t="n">
        <x:f>IFERROR(U194/M194,0)</x:f>
        <x:v>0</x:v>
      </x:c>
      <x:c r="X194" s="201" t="str">
        <x:f>IF(U194=0,"Não iniciado",IF(U194&gt;=M194,"Concluído","Parcial"))</x:f>
        <x:v>Não iniciado</x:v>
      </x:c>
      <x:c r="Y194" s="199" t="str"/>
      <x:c r="Z194" s="188" t="str">
        <x:v>Normal</x:v>
      </x:c>
    </x:row>
    <x:row r="195" ht="22" customHeight="1">
      <x:c r="A195" s="217" t="n">
        <x:v>191</x:v>
      </x:c>
      <x:c r="B195" s="218" t="str">
        <x:v>26808</x:v>
      </x:c>
      <x:c r="C195" s="218" t="str">
        <x:v>8</x:v>
      </x:c>
      <x:c r="D195" s="218" t="str">
        <x:v>608953</x:v>
      </x:c>
      <x:c r="E195" s="218" t="str">
        <x:v>675810</x:v>
      </x:c>
      <x:c r="F195" s="218" t="str">
        <x:v>BATENTE</x:v>
      </x:c>
      <x:c r="G195" s="184" t="str">
        <x:v>847x90x30 42x10 R2L BIA PET BCO(PREMIUM)</x:v>
      </x:c>
      <x:c r="H195" s="184" t="str"/>
      <x:c r="I195" s="184" t="str"/>
      <x:c r="J195" s="184" t="str"/>
      <x:c r="K195" s="184" t="str">
        <x:v>ESMALTE</x:v>
      </x:c>
      <x:c r="L195" s="184" t="str">
        <x:v>BRANCO CARRARA</x:v>
      </x:c>
      <x:c r="M195" s="205" t="n">
        <x:v>22</x:v>
      </x:c>
      <x:c r="N195" s="205" t="n">
        <x:v>847</x:v>
      </x:c>
      <x:c r="O195" s="205" t="n">
        <x:v>90</x:v>
      </x:c>
      <x:c r="P195" s="205" t="n">
        <x:v>30</x:v>
      </x:c>
      <x:c r="Q195" s="206" t="n">
        <x:v>0</x:v>
      </x:c>
      <x:c r="R195" s="207" t="str"/>
      <x:c r="S195" s="207" t="str"/>
      <x:c r="T195" s="207" t="str"/>
      <x:c r="U195" s="207" t="n">
        <x:v>0</x:v>
      </x:c>
      <x:c r="V195" s="208" t="n">
        <x:f>MAX(0,M195-U195)</x:f>
        <x:v>22</x:v>
      </x:c>
      <x:c r="W195" s="209" t="n">
        <x:f>IFERROR(U195/M195,0)</x:f>
        <x:v>0</x:v>
      </x:c>
      <x:c r="X195" s="201" t="str">
        <x:f>IF(U195=0,"Não iniciado",IF(U195&gt;=M195,"Concluído","Parcial"))</x:f>
        <x:v>Não iniciado</x:v>
      </x:c>
      <x:c r="Y195" s="199" t="str"/>
      <x:c r="Z195" s="188" t="str">
        <x:v>Normal</x:v>
      </x:c>
    </x:row>
    <x:row r="196" ht="22" customHeight="1">
      <x:c r="A196" s="219" t="n">
        <x:v>192</x:v>
      </x:c>
      <x:c r="B196" s="220" t="str">
        <x:v>26824</x:v>
      </x:c>
      <x:c r="C196" s="220" t="str">
        <x:v>3</x:v>
      </x:c>
      <x:c r="D196" s="220" t="str">
        <x:v>609600</x:v>
      </x:c>
      <x:c r="E196" s="220" t="str">
        <x:v>2010600199</x:v>
      </x:c>
      <x:c r="F196" s="220" t="str">
        <x:v>BATENTE</x:v>
      </x:c>
      <x:c r="G196" s="190" t="str">
        <x:v>M T MDF STD PET TXT BCO 847X90X30 42X10</x:v>
      </x:c>
      <x:c r="H196" s="190" t="str"/>
      <x:c r="I196" s="190" t="str"/>
      <x:c r="J196" s="190" t="str"/>
      <x:c r="K196" s="190" t="str">
        <x:v>ESMALTE</x:v>
      </x:c>
      <x:c r="L196" s="190" t="str">
        <x:v>BRANCO CARRARA</x:v>
      </x:c>
      <x:c r="M196" s="210" t="n">
        <x:v>5</x:v>
      </x:c>
      <x:c r="N196" s="210" t="n">
        <x:v>847</x:v>
      </x:c>
      <x:c r="O196" s="210" t="n">
        <x:v>90</x:v>
      </x:c>
      <x:c r="P196" s="210" t="n">
        <x:v>30</x:v>
      </x:c>
      <x:c r="Q196" s="211" t="n">
        <x:v>0.011</x:v>
      </x:c>
      <x:c r="R196" s="207" t="str"/>
      <x:c r="S196" s="207" t="str"/>
      <x:c r="T196" s="207" t="str"/>
      <x:c r="U196" s="207" t="n">
        <x:v>0</x:v>
      </x:c>
      <x:c r="V196" s="208" t="n">
        <x:f>MAX(0,M196-U196)</x:f>
        <x:v>5</x:v>
      </x:c>
      <x:c r="W196" s="209" t="n">
        <x:f>IFERROR(U196/M196,0)</x:f>
        <x:v>0</x:v>
      </x:c>
      <x:c r="X196" s="201" t="str">
        <x:f>IF(U196=0,"Não iniciado",IF(U196&gt;=M196,"Concluído","Parcial"))</x:f>
        <x:v>Não iniciado</x:v>
      </x:c>
      <x:c r="Y196" s="199" t="str"/>
      <x:c r="Z196" s="188" t="str">
        <x:v>Normal</x:v>
      </x:c>
    </x:row>
    <x:row r="197" ht="22" customHeight="1">
      <x:c r="A197" s="217" t="n">
        <x:v>193</x:v>
      </x:c>
      <x:c r="B197" s="218" t="str">
        <x:v>26739</x:v>
      </x:c>
      <x:c r="C197" s="218" t="str">
        <x:v>9</x:v>
      </x:c>
      <x:c r="D197" s="218" t="str">
        <x:v>609651</x:v>
      </x:c>
      <x:c r="E197" s="218" t="str">
        <x:v>968118</x:v>
      </x:c>
      <x:c r="F197" s="218" t="str">
        <x:v>BATENTE</x:v>
      </x:c>
      <x:c r="G197" s="184" t="str">
        <x:v>767x90x30 42x10 R2L R1 BIA PET BRC (UL)</x:v>
      </x:c>
      <x:c r="H197" s="184" t="str"/>
      <x:c r="I197" s="184" t="str"/>
      <x:c r="J197" s="184" t="str"/>
      <x:c r="K197" s="184" t="str">
        <x:v>ESMALTE</x:v>
      </x:c>
      <x:c r="L197" s="184" t="str">
        <x:v>BRANCO CARRARA</x:v>
      </x:c>
      <x:c r="M197" s="205" t="n">
        <x:v>6</x:v>
      </x:c>
      <x:c r="N197" s="205" t="n">
        <x:v>767</x:v>
      </x:c>
      <x:c r="O197" s="205" t="n">
        <x:v>90</x:v>
      </x:c>
      <x:c r="P197" s="205" t="n">
        <x:v>30</x:v>
      </x:c>
      <x:c r="Q197" s="206" t="n">
        <x:v>0.012</x:v>
      </x:c>
      <x:c r="R197" s="207" t="str"/>
      <x:c r="S197" s="207" t="str"/>
      <x:c r="T197" s="207" t="str"/>
      <x:c r="U197" s="207" t="n">
        <x:v>0</x:v>
      </x:c>
      <x:c r="V197" s="208" t="n">
        <x:f>MAX(0,M197-U197)</x:f>
        <x:v>6</x:v>
      </x:c>
      <x:c r="W197" s="209" t="n">
        <x:f>IFERROR(U197/M197,0)</x:f>
        <x:v>0</x:v>
      </x:c>
      <x:c r="X197" s="201" t="str">
        <x:f>IF(U197=0,"Não iniciado",IF(U197&gt;=M197,"Concluído","Parcial"))</x:f>
        <x:v>Não iniciado</x:v>
      </x:c>
      <x:c r="Y197" s="199" t="str"/>
      <x:c r="Z197" s="188" t="str">
        <x:v>Normal</x:v>
      </x:c>
    </x:row>
    <x:row r="198" ht="22" customHeight="1">
      <x:c r="A198" s="219" t="n">
        <x:v>194</x:v>
      </x:c>
      <x:c r="B198" s="220" t="str">
        <x:v>26750</x:v>
      </x:c>
      <x:c r="C198" s="220" t="str">
        <x:v>12</x:v>
      </x:c>
      <x:c r="D198" s="220" t="str">
        <x:v>609824</x:v>
      </x:c>
      <x:c r="E198" s="220" t="str">
        <x:v>968118</x:v>
      </x:c>
      <x:c r="F198" s="220" t="str">
        <x:v>BATENTE</x:v>
      </x:c>
      <x:c r="G198" s="190" t="str">
        <x:v>767x90x30 42x10 R2L R1 BIA PET BRC (UL)</x:v>
      </x:c>
      <x:c r="H198" s="190" t="str"/>
      <x:c r="I198" s="190" t="str"/>
      <x:c r="J198" s="190" t="str"/>
      <x:c r="K198" s="190" t="str">
        <x:v>ESMALTE</x:v>
      </x:c>
      <x:c r="L198" s="190" t="str">
        <x:v>BRANCO CARRARA</x:v>
      </x:c>
      <x:c r="M198" s="210" t="n">
        <x:v>4</x:v>
      </x:c>
      <x:c r="N198" s="210" t="n">
        <x:v>767</x:v>
      </x:c>
      <x:c r="O198" s="210" t="n">
        <x:v>90</x:v>
      </x:c>
      <x:c r="P198" s="210" t="n">
        <x:v>30</x:v>
      </x:c>
      <x:c r="Q198" s="211" t="n">
        <x:v>0.008</x:v>
      </x:c>
      <x:c r="R198" s="207" t="str"/>
      <x:c r="S198" s="207" t="str"/>
      <x:c r="T198" s="207" t="str"/>
      <x:c r="U198" s="207" t="n">
        <x:v>0</x:v>
      </x:c>
      <x:c r="V198" s="208" t="n">
        <x:f>MAX(0,M198-U198)</x:f>
        <x:v>4</x:v>
      </x:c>
      <x:c r="W198" s="209" t="n">
        <x:f>IFERROR(U198/M198,0)</x:f>
        <x:v>0</x:v>
      </x:c>
      <x:c r="X198" s="201" t="str">
        <x:f>IF(U198=0,"Não iniciado",IF(U198&gt;=M198,"Concluído","Parcial"))</x:f>
        <x:v>Não iniciado</x:v>
      </x:c>
      <x:c r="Y198" s="199" t="str"/>
      <x:c r="Z198" s="188" t="str">
        <x:v>Normal</x:v>
      </x:c>
    </x:row>
    <x:row r="199" ht="22" customHeight="1">
      <x:c r="A199" s="217" t="n">
        <x:v>195</x:v>
      </x:c>
      <x:c r="B199" s="218" t="str">
        <x:v>26808</x:v>
      </x:c>
      <x:c r="C199" s="218" t="str">
        <x:v>3</x:v>
      </x:c>
      <x:c r="D199" s="218" t="str">
        <x:v>608913</x:v>
      </x:c>
      <x:c r="E199" s="218" t="str">
        <x:v>674639</x:v>
      </x:c>
      <x:c r="F199" s="218" t="str">
        <x:v>BATENTE</x:v>
      </x:c>
      <x:c r="G199" s="184" t="str">
        <x:v>747x90x30 42x10 R2L BIA RC PET BCO (REC)</x:v>
      </x:c>
      <x:c r="H199" s="184" t="str"/>
      <x:c r="I199" s="184" t="str"/>
      <x:c r="J199" s="184" t="str"/>
      <x:c r="K199" s="184" t="str">
        <x:v>ESMALTE</x:v>
      </x:c>
      <x:c r="L199" s="184" t="str">
        <x:v>BRANCO CARRARA</x:v>
      </x:c>
      <x:c r="M199" s="205" t="n">
        <x:v>60</x:v>
      </x:c>
      <x:c r="N199" s="205" t="n">
        <x:v>747</x:v>
      </x:c>
      <x:c r="O199" s="205" t="n">
        <x:v>90</x:v>
      </x:c>
      <x:c r="P199" s="205" t="n">
        <x:v>30</x:v>
      </x:c>
      <x:c r="Q199" s="206" t="n">
        <x:v>0</x:v>
      </x:c>
      <x:c r="R199" s="207" t="str"/>
      <x:c r="S199" s="207" t="str"/>
      <x:c r="T199" s="207" t="str"/>
      <x:c r="U199" s="207" t="n">
        <x:v>0</x:v>
      </x:c>
      <x:c r="V199" s="208" t="n">
        <x:f>MAX(0,M199-U199)</x:f>
        <x:v>60</x:v>
      </x:c>
      <x:c r="W199" s="209" t="n">
        <x:f>IFERROR(U199/M199,0)</x:f>
        <x:v>0</x:v>
      </x:c>
      <x:c r="X199" s="201" t="str">
        <x:f>IF(U199=0,"Não iniciado",IF(U199&gt;=M199,"Concluído","Parcial"))</x:f>
        <x:v>Não iniciado</x:v>
      </x:c>
      <x:c r="Y199" s="199" t="str"/>
      <x:c r="Z199" s="188" t="str">
        <x:v>Normal</x:v>
      </x:c>
    </x:row>
    <x:row r="200" ht="22" customHeight="1">
      <x:c r="A200" s="219" t="n">
        <x:v>196</x:v>
      </x:c>
      <x:c r="B200" s="220" t="str">
        <x:v>26739</x:v>
      </x:c>
      <x:c r="C200" s="220" t="str">
        <x:v>18</x:v>
      </x:c>
      <x:c r="D200" s="220" t="str">
        <x:v>609708</x:v>
      </x:c>
      <x:c r="E200" s="220" t="str">
        <x:v>2010700704</x:v>
      </x:c>
      <x:c r="F200" s="220" t="str">
        <x:v>BATENTE</x:v>
      </x:c>
      <x:c r="G200" s="190" t="str">
        <x:v>M ULTRA PET BCO CAR 667X90X30 42X10 R2L</x:v>
      </x:c>
      <x:c r="H200" s="190" t="str"/>
      <x:c r="I200" s="190" t="str"/>
      <x:c r="J200" s="190" t="str"/>
      <x:c r="K200" s="190" t="str">
        <x:v>ESMALTE</x:v>
      </x:c>
      <x:c r="L200" s="190" t="str">
        <x:v>BRANCO CARRARA</x:v>
      </x:c>
      <x:c r="M200" s="210" t="n">
        <x:v>5</x:v>
      </x:c>
      <x:c r="N200" s="210" t="n">
        <x:v>667</x:v>
      </x:c>
      <x:c r="O200" s="210" t="n">
        <x:v>90</x:v>
      </x:c>
      <x:c r="P200" s="210" t="n">
        <x:v>30</x:v>
      </x:c>
      <x:c r="Q200" s="211" t="n">
        <x:v>0.009</x:v>
      </x:c>
      <x:c r="R200" s="207" t="str"/>
      <x:c r="S200" s="207" t="str"/>
      <x:c r="T200" s="207" t="str"/>
      <x:c r="U200" s="207" t="n">
        <x:v>0</x:v>
      </x:c>
      <x:c r="V200" s="208" t="n">
        <x:f>MAX(0,M200-U200)</x:f>
        <x:v>5</x:v>
      </x:c>
      <x:c r="W200" s="209" t="n">
        <x:f>IFERROR(U200/M200,0)</x:f>
        <x:v>0</x:v>
      </x:c>
      <x:c r="X200" s="201" t="str">
        <x:f>IF(U200=0,"Não iniciado",IF(U200&gt;=M200,"Concluído","Parcial"))</x:f>
        <x:v>Não iniciado</x:v>
      </x:c>
      <x:c r="Y200" s="199" t="str"/>
      <x:c r="Z200" s="188" t="str">
        <x:v>Normal</x:v>
      </x:c>
    </x:row>
    <x:row r="201" ht="22" customHeight="1">
      <x:c r="A201" s="217" t="n">
        <x:v>197</x:v>
      </x:c>
      <x:c r="B201" s="218" t="str">
        <x:v>26750</x:v>
      </x:c>
      <x:c r="C201" s="218" t="str">
        <x:v>21</x:v>
      </x:c>
      <x:c r="D201" s="218" t="str">
        <x:v>609881</x:v>
      </x:c>
      <x:c r="E201" s="218" t="str">
        <x:v>2010700704</x:v>
      </x:c>
      <x:c r="F201" s="218" t="str">
        <x:v>BATENTE</x:v>
      </x:c>
      <x:c r="G201" s="184" t="str">
        <x:v>M ULTRA PET BCO CAR 667X90X30 42X10 R2L</x:v>
      </x:c>
      <x:c r="H201" s="184" t="str"/>
      <x:c r="I201" s="184" t="str"/>
      <x:c r="J201" s="184" t="str"/>
      <x:c r="K201" s="184" t="str">
        <x:v>ESMALTE</x:v>
      </x:c>
      <x:c r="L201" s="184" t="str">
        <x:v>BRANCO CARRARA</x:v>
      </x:c>
      <x:c r="M201" s="205" t="n">
        <x:v>5</x:v>
      </x:c>
      <x:c r="N201" s="205" t="n">
        <x:v>667</x:v>
      </x:c>
      <x:c r="O201" s="205" t="n">
        <x:v>90</x:v>
      </x:c>
      <x:c r="P201" s="205" t="n">
        <x:v>30</x:v>
      </x:c>
      <x:c r="Q201" s="206" t="n">
        <x:v>0.009</x:v>
      </x:c>
      <x:c r="R201" s="207" t="str"/>
      <x:c r="S201" s="207" t="str"/>
      <x:c r="T201" s="207" t="str"/>
      <x:c r="U201" s="207" t="n">
        <x:v>0</x:v>
      </x:c>
      <x:c r="V201" s="208" t="n">
        <x:f>MAX(0,M201-U201)</x:f>
        <x:v>5</x:v>
      </x:c>
      <x:c r="W201" s="209" t="n">
        <x:f>IFERROR(U201/M201,0)</x:f>
        <x:v>0</x:v>
      </x:c>
      <x:c r="X201" s="201" t="str">
        <x:f>IF(U201=0,"Não iniciado",IF(U201&gt;=M201,"Concluído","Parcial"))</x:f>
        <x:v>Não iniciado</x:v>
      </x:c>
      <x:c r="Y201" s="199" t="str"/>
      <x:c r="Z201" s="188" t="str">
        <x:v>Normal</x:v>
      </x:c>
    </x:row>
    <x:row r="202" ht="22" customHeight="1">
      <x:c r="A202" s="219" t="n">
        <x:v>198</x:v>
      </x:c>
      <x:c r="B202" s="220" t="str">
        <x:v>26792</x:v>
      </x:c>
      <x:c r="C202" s="220" t="str">
        <x:v>2</x:v>
      </x:c>
      <x:c r="D202" s="220" t="str">
        <x:v>609426</x:v>
      </x:c>
      <x:c r="E202" s="220" t="str">
        <x:v>2010600198</x:v>
      </x:c>
      <x:c r="F202" s="220" t="str">
        <x:v>BATENTE</x:v>
      </x:c>
      <x:c r="G202" s="190" t="str">
        <x:v>M T MDF STD PET TXT BCO 647X90X30 42X10</x:v>
      </x:c>
      <x:c r="H202" s="190" t="str"/>
      <x:c r="I202" s="190" t="str"/>
      <x:c r="J202" s="190" t="str"/>
      <x:c r="K202" s="190" t="str">
        <x:v>ESMALTE</x:v>
      </x:c>
      <x:c r="L202" s="190" t="str">
        <x:v>BRANCO CARRARA</x:v>
      </x:c>
      <x:c r="M202" s="210" t="n">
        <x:v>17</x:v>
      </x:c>
      <x:c r="N202" s="210" t="n">
        <x:v>647</x:v>
      </x:c>
      <x:c r="O202" s="210" t="n">
        <x:v>90</x:v>
      </x:c>
      <x:c r="P202" s="210" t="n">
        <x:v>30</x:v>
      </x:c>
      <x:c r="Q202" s="211" t="n">
        <x:v>0.03</x:v>
      </x:c>
      <x:c r="R202" s="207" t="str"/>
      <x:c r="S202" s="207" t="str"/>
      <x:c r="T202" s="207" t="str"/>
      <x:c r="U202" s="207" t="n">
        <x:v>0</x:v>
      </x:c>
      <x:c r="V202" s="208" t="n">
        <x:f>MAX(0,M202-U202)</x:f>
        <x:v>17</x:v>
      </x:c>
      <x:c r="W202" s="209" t="n">
        <x:f>IFERROR(U202/M202,0)</x:f>
        <x:v>0</x:v>
      </x:c>
      <x:c r="X202" s="201" t="str">
        <x:f>IF(U202=0,"Não iniciado",IF(U202&gt;=M202,"Concluído","Parcial"))</x:f>
        <x:v>Não iniciado</x:v>
      </x:c>
      <x:c r="Y202" s="199" t="str"/>
      <x:c r="Z202" s="188" t="str">
        <x:v>Normal</x:v>
      </x:c>
    </x:row>
    <x:row r="203" ht="22" customHeight="1">
      <x:c r="A203" s="217" t="n">
        <x:v>199</x:v>
      </x:c>
      <x:c r="B203" s="218" t="str">
        <x:v>26792</x:v>
      </x:c>
      <x:c r="C203" s="218" t="str">
        <x:v>3</x:v>
      </x:c>
      <x:c r="D203" s="218" t="str">
        <x:v>609434</x:v>
      </x:c>
      <x:c r="E203" s="218" t="str">
        <x:v>2010600198</x:v>
      </x:c>
      <x:c r="F203" s="218" t="str">
        <x:v>BATENTE</x:v>
      </x:c>
      <x:c r="G203" s="184" t="str">
        <x:v>M T MDF STD PET TXT BCO 647X90X30 42X10</x:v>
      </x:c>
      <x:c r="H203" s="184" t="str"/>
      <x:c r="I203" s="184" t="str"/>
      <x:c r="J203" s="184" t="str"/>
      <x:c r="K203" s="184" t="str">
        <x:v>ESMALTE</x:v>
      </x:c>
      <x:c r="L203" s="184" t="str">
        <x:v>BRANCO CARRARA</x:v>
      </x:c>
      <x:c r="M203" s="205" t="n">
        <x:v>1</x:v>
      </x:c>
      <x:c r="N203" s="205" t="n">
        <x:v>647</x:v>
      </x:c>
      <x:c r="O203" s="205" t="n">
        <x:v>90</x:v>
      </x:c>
      <x:c r="P203" s="205" t="n">
        <x:v>30</x:v>
      </x:c>
      <x:c r="Q203" s="206" t="n">
        <x:v>0.002</x:v>
      </x:c>
      <x:c r="R203" s="207" t="str"/>
      <x:c r="S203" s="207" t="str"/>
      <x:c r="T203" s="207" t="str"/>
      <x:c r="U203" s="207" t="n">
        <x:v>0</x:v>
      </x:c>
      <x:c r="V203" s="208" t="n">
        <x:f>MAX(0,M203-U203)</x:f>
        <x:v>1</x:v>
      </x:c>
      <x:c r="W203" s="209" t="n">
        <x:f>IFERROR(U203/M203,0)</x:f>
        <x:v>0</x:v>
      </x:c>
      <x:c r="X203" s="201" t="str">
        <x:f>IF(U203=0,"Não iniciado",IF(U203&gt;=M203,"Concluído","Parcial"))</x:f>
        <x:v>Não iniciado</x:v>
      </x:c>
      <x:c r="Y203" s="199" t="str"/>
      <x:c r="Z203" s="188" t="str">
        <x:v>Normal</x:v>
      </x:c>
    </x:row>
    <x:row r="204" ht="22" customHeight="1">
      <x:c r="A204" s="219" t="n">
        <x:v>200</x:v>
      </x:c>
      <x:c r="B204" s="220" t="str">
        <x:v>26815</x:v>
      </x:c>
      <x:c r="C204" s="220" t="str">
        <x:v>2</x:v>
      </x:c>
      <x:c r="D204" s="220" t="str">
        <x:v>609495</x:v>
      </x:c>
      <x:c r="E204" s="220" t="str">
        <x:v>2010600198</x:v>
      </x:c>
      <x:c r="F204" s="220" t="str">
        <x:v>BATENTE</x:v>
      </x:c>
      <x:c r="G204" s="190" t="str">
        <x:v>M T MDF STD PET TXT BCO 647X90X30 42X10</x:v>
      </x:c>
      <x:c r="H204" s="190" t="str"/>
      <x:c r="I204" s="190" t="str"/>
      <x:c r="J204" s="190" t="str"/>
      <x:c r="K204" s="190" t="str">
        <x:v>ESMALTE</x:v>
      </x:c>
      <x:c r="L204" s="190" t="str">
        <x:v>BRANCO CARRARA</x:v>
      </x:c>
      <x:c r="M204" s="210" t="n">
        <x:v>10</x:v>
      </x:c>
      <x:c r="N204" s="210" t="n">
        <x:v>647</x:v>
      </x:c>
      <x:c r="O204" s="210" t="n">
        <x:v>90</x:v>
      </x:c>
      <x:c r="P204" s="210" t="n">
        <x:v>30</x:v>
      </x:c>
      <x:c r="Q204" s="211" t="n">
        <x:v>0.017</x:v>
      </x:c>
      <x:c r="R204" s="207" t="str"/>
      <x:c r="S204" s="207" t="str"/>
      <x:c r="T204" s="207" t="str"/>
      <x:c r="U204" s="207" t="n">
        <x:v>0</x:v>
      </x:c>
      <x:c r="V204" s="208" t="n">
        <x:f>MAX(0,M204-U204)</x:f>
        <x:v>10</x:v>
      </x:c>
      <x:c r="W204" s="209" t="n">
        <x:f>IFERROR(U204/M204,0)</x:f>
        <x:v>0</x:v>
      </x:c>
      <x:c r="X204" s="201" t="str">
        <x:f>IF(U204=0,"Não iniciado",IF(U204&gt;=M204,"Concluído","Parcial"))</x:f>
        <x:v>Não iniciado</x:v>
      </x:c>
      <x:c r="Y204" s="199" t="str"/>
      <x:c r="Z204" s="188" t="str">
        <x:v>Normal</x:v>
      </x:c>
    </x:row>
    <x:row r="205" ht="22" customHeight="1">
      <x:c r="A205" s="217" t="n">
        <x:v>201</x:v>
      </x:c>
      <x:c r="B205" s="218" t="str">
        <x:v>26792</x:v>
      </x:c>
      <x:c r="C205" s="218" t="str">
        <x:v>4</x:v>
      </x:c>
      <x:c r="D205" s="218" t="str">
        <x:v>609441</x:v>
      </x:c>
      <x:c r="E205" s="218" t="str">
        <x:v>2010600024</x:v>
      </x:c>
      <x:c r="F205" s="218" t="str">
        <x:v>BATENTE</x:v>
      </x:c>
      <x:c r="G205" s="184" t="str">
        <x:v>M P MDF STD PET TXT BCO 2110X80X30 42X10</x:v>
      </x:c>
      <x:c r="H205" s="184" t="str"/>
      <x:c r="I205" s="184" t="str"/>
      <x:c r="J205" s="184" t="str"/>
      <x:c r="K205" s="184" t="str">
        <x:v>ESMALTE</x:v>
      </x:c>
      <x:c r="L205" s="184" t="str">
        <x:v>BRANCO</x:v>
      </x:c>
      <x:c r="M205" s="205" t="n">
        <x:v>288</x:v>
      </x:c>
      <x:c r="N205" s="205" t="n">
        <x:v>2110</x:v>
      </x:c>
      <x:c r="O205" s="205" t="n">
        <x:v>80</x:v>
      </x:c>
      <x:c r="P205" s="205" t="n">
        <x:v>30</x:v>
      </x:c>
      <x:c r="Q205" s="206" t="n">
        <x:v>1.458</x:v>
      </x:c>
      <x:c r="R205" s="207" t="str"/>
      <x:c r="S205" s="207" t="str"/>
      <x:c r="T205" s="207" t="str"/>
      <x:c r="U205" s="207" t="n">
        <x:v>0</x:v>
      </x:c>
      <x:c r="V205" s="208" t="n">
        <x:f>MAX(0,M205-U205)</x:f>
        <x:v>288</x:v>
      </x:c>
      <x:c r="W205" s="209" t="n">
        <x:f>IFERROR(U205/M205,0)</x:f>
        <x:v>0</x:v>
      </x:c>
      <x:c r="X205" s="201" t="str">
        <x:f>IF(U205=0,"Não iniciado",IF(U205&gt;=M205,"Concluído","Parcial"))</x:f>
        <x:v>Não iniciado</x:v>
      </x:c>
      <x:c r="Y205" s="199" t="str"/>
      <x:c r="Z205" s="188" t="str">
        <x:v>Normal</x:v>
      </x:c>
    </x:row>
    <x:row r="206" ht="22" customHeight="1">
      <x:c r="A206" s="219" t="n">
        <x:v>202</x:v>
      </x:c>
      <x:c r="B206" s="220" t="str">
        <x:v>26796</x:v>
      </x:c>
      <x:c r="C206" s="220" t="str">
        <x:v>2</x:v>
      </x:c>
      <x:c r="D206" s="220" t="str">
        <x:v>609296</x:v>
      </x:c>
      <x:c r="E206" s="220" t="str">
        <x:v>2010600024</x:v>
      </x:c>
      <x:c r="F206" s="220" t="str">
        <x:v>BATENTE</x:v>
      </x:c>
      <x:c r="G206" s="190" t="str">
        <x:v>M P MDF STD PET TXT BCO 2110X80X30 42X10</x:v>
      </x:c>
      <x:c r="H206" s="190" t="str"/>
      <x:c r="I206" s="190" t="str"/>
      <x:c r="J206" s="190" t="str"/>
      <x:c r="K206" s="190" t="str">
        <x:v>ESMALTE</x:v>
      </x:c>
      <x:c r="L206" s="190" t="str">
        <x:v>BRANCO</x:v>
      </x:c>
      <x:c r="M206" s="210" t="n">
        <x:v>96</x:v>
      </x:c>
      <x:c r="N206" s="210" t="n">
        <x:v>2110</x:v>
      </x:c>
      <x:c r="O206" s="210" t="n">
        <x:v>80</x:v>
      </x:c>
      <x:c r="P206" s="210" t="n">
        <x:v>30</x:v>
      </x:c>
      <x:c r="Q206" s="211" t="n">
        <x:v>0.486</x:v>
      </x:c>
      <x:c r="R206" s="207" t="str"/>
      <x:c r="S206" s="207" t="str"/>
      <x:c r="T206" s="207" t="str"/>
      <x:c r="U206" s="207" t="n">
        <x:v>0</x:v>
      </x:c>
      <x:c r="V206" s="208" t="n">
        <x:f>MAX(0,M206-U206)</x:f>
        <x:v>96</x:v>
      </x:c>
      <x:c r="W206" s="209" t="n">
        <x:f>IFERROR(U206/M206,0)</x:f>
        <x:v>0</x:v>
      </x:c>
      <x:c r="X206" s="201" t="str">
        <x:f>IF(U206=0,"Não iniciado",IF(U206&gt;=M206,"Concluído","Parcial"))</x:f>
        <x:v>Não iniciado</x:v>
      </x:c>
      <x:c r="Y206" s="199" t="str"/>
      <x:c r="Z206" s="188" t="str">
        <x:v>Normal</x:v>
      </x:c>
    </x:row>
    <x:row r="207" ht="22" customHeight="1">
      <x:c r="A207" s="217" t="n">
        <x:v>203</x:v>
      </x:c>
      <x:c r="B207" s="218" t="str">
        <x:v>26799</x:v>
      </x:c>
      <x:c r="C207" s="218" t="str">
        <x:v>2</x:v>
      </x:c>
      <x:c r="D207" s="218" t="str">
        <x:v>609401</x:v>
      </x:c>
      <x:c r="E207" s="218" t="str">
        <x:v>2010600024</x:v>
      </x:c>
      <x:c r="F207" s="218" t="str">
        <x:v>BATENTE</x:v>
      </x:c>
      <x:c r="G207" s="184" t="str">
        <x:v>M P MDF STD PET TXT BCO 2110X80X30 42X10</x:v>
      </x:c>
      <x:c r="H207" s="184" t="str"/>
      <x:c r="I207" s="184" t="str"/>
      <x:c r="J207" s="184" t="str"/>
      <x:c r="K207" s="184" t="str">
        <x:v>ESMALTE</x:v>
      </x:c>
      <x:c r="L207" s="184" t="str">
        <x:v>BRANCO</x:v>
      </x:c>
      <x:c r="M207" s="205" t="n">
        <x:v>32</x:v>
      </x:c>
      <x:c r="N207" s="205" t="n">
        <x:v>2110</x:v>
      </x:c>
      <x:c r="O207" s="205" t="n">
        <x:v>80</x:v>
      </x:c>
      <x:c r="P207" s="205" t="n">
        <x:v>30</x:v>
      </x:c>
      <x:c r="Q207" s="206" t="n">
        <x:v>0.162</x:v>
      </x:c>
      <x:c r="R207" s="207" t="str"/>
      <x:c r="S207" s="207" t="str"/>
      <x:c r="T207" s="207" t="str"/>
      <x:c r="U207" s="207" t="n">
        <x:v>0</x:v>
      </x:c>
      <x:c r="V207" s="208" t="n">
        <x:f>MAX(0,M207-U207)</x:f>
        <x:v>32</x:v>
      </x:c>
      <x:c r="W207" s="209" t="n">
        <x:f>IFERROR(U207/M207,0)</x:f>
        <x:v>0</x:v>
      </x:c>
      <x:c r="X207" s="201" t="str">
        <x:f>IF(U207=0,"Não iniciado",IF(U207&gt;=M207,"Concluído","Parcial"))</x:f>
        <x:v>Não iniciado</x:v>
      </x:c>
      <x:c r="Y207" s="199" t="str"/>
      <x:c r="Z207" s="188" t="str">
        <x:v>Normal</x:v>
      </x:c>
    </x:row>
    <x:row r="208" ht="22" customHeight="1">
      <x:c r="A208" s="219" t="n">
        <x:v>204</x:v>
      </x:c>
      <x:c r="B208" s="220" t="str">
        <x:v>26815</x:v>
      </x:c>
      <x:c r="C208" s="220" t="str">
        <x:v>3</x:v>
      </x:c>
      <x:c r="D208" s="220" t="str">
        <x:v>609502</x:v>
      </x:c>
      <x:c r="E208" s="220" t="str">
        <x:v>2010600024</x:v>
      </x:c>
      <x:c r="F208" s="220" t="str">
        <x:v>BATENTE</x:v>
      </x:c>
      <x:c r="G208" s="190" t="str">
        <x:v>M P MDF STD PET TXT BCO 2110X80X30 42X10</x:v>
      </x:c>
      <x:c r="H208" s="190" t="str"/>
      <x:c r="I208" s="190" t="str"/>
      <x:c r="J208" s="190" t="str"/>
      <x:c r="K208" s="190" t="str">
        <x:v>ESMALTE</x:v>
      </x:c>
      <x:c r="L208" s="190" t="str">
        <x:v>BRANCO</x:v>
      </x:c>
      <x:c r="M208" s="210" t="n">
        <x:v>184</x:v>
      </x:c>
      <x:c r="N208" s="210" t="n">
        <x:v>2110</x:v>
      </x:c>
      <x:c r="O208" s="210" t="n">
        <x:v>80</x:v>
      </x:c>
      <x:c r="P208" s="210" t="n">
        <x:v>30</x:v>
      </x:c>
      <x:c r="Q208" s="211" t="n">
        <x:v>0.932</x:v>
      </x:c>
      <x:c r="R208" s="207" t="str"/>
      <x:c r="S208" s="207" t="str"/>
      <x:c r="T208" s="207" t="str"/>
      <x:c r="U208" s="207" t="n">
        <x:v>0</x:v>
      </x:c>
      <x:c r="V208" s="208" t="n">
        <x:f>MAX(0,M208-U208)</x:f>
        <x:v>184</x:v>
      </x:c>
      <x:c r="W208" s="209" t="n">
        <x:f>IFERROR(U208/M208,0)</x:f>
        <x:v>0</x:v>
      </x:c>
      <x:c r="X208" s="201" t="str">
        <x:f>IF(U208=0,"Não iniciado",IF(U208&gt;=M208,"Concluído","Parcial"))</x:f>
        <x:v>Não iniciado</x:v>
      </x:c>
      <x:c r="Y208" s="199" t="str"/>
      <x:c r="Z208" s="188" t="str">
        <x:v>Normal</x:v>
      </x:c>
    </x:row>
    <x:row r="209" ht="22" customHeight="1">
      <x:c r="A209" s="217" t="n">
        <x:v>205</x:v>
      </x:c>
      <x:c r="B209" s="218" t="str">
        <x:v>26739</x:v>
      </x:c>
      <x:c r="C209" s="218" t="str">
        <x:v>8</x:v>
      </x:c>
      <x:c r="D209" s="218" t="str">
        <x:v>609643</x:v>
      </x:c>
      <x:c r="E209" s="218" t="str">
        <x:v>2010701021</x:v>
      </x:c>
      <x:c r="F209" s="218" t="str">
        <x:v>BATENTE</x:v>
      </x:c>
      <x:c r="G209" s="184" t="str">
        <x:v>M ULTRA PET BCO CAR 2110X80X30 42X10 R2L</x:v>
      </x:c>
      <x:c r="H209" s="184" t="str"/>
      <x:c r="I209" s="184" t="str"/>
      <x:c r="J209" s="184" t="str"/>
      <x:c r="K209" s="184" t="str">
        <x:v>ESMALTE</x:v>
      </x:c>
      <x:c r="L209" s="184" t="str">
        <x:v>BRANCO CARRARA</x:v>
      </x:c>
      <x:c r="M209" s="205" t="n">
        <x:v>36</x:v>
      </x:c>
      <x:c r="N209" s="205" t="n">
        <x:v>2110</x:v>
      </x:c>
      <x:c r="O209" s="205" t="n">
        <x:v>80</x:v>
      </x:c>
      <x:c r="P209" s="205" t="n">
        <x:v>30</x:v>
      </x:c>
      <x:c r="Q209" s="206" t="n">
        <x:v>36</x:v>
      </x:c>
      <x:c r="R209" s="207" t="str"/>
      <x:c r="S209" s="207" t="str"/>
      <x:c r="T209" s="207" t="str"/>
      <x:c r="U209" s="207" t="n">
        <x:v>0</x:v>
      </x:c>
      <x:c r="V209" s="208" t="n">
        <x:f>MAX(0,M209-U209)</x:f>
        <x:v>36</x:v>
      </x:c>
      <x:c r="W209" s="209" t="n">
        <x:f>IFERROR(U209/M209,0)</x:f>
        <x:v>0</x:v>
      </x:c>
      <x:c r="X209" s="201" t="str">
        <x:f>IF(U209=0,"Não iniciado",IF(U209&gt;=M209,"Concluído","Parcial"))</x:f>
        <x:v>Não iniciado</x:v>
      </x:c>
      <x:c r="Y209" s="199" t="str"/>
      <x:c r="Z209" s="188" t="str">
        <x:v>Normal</x:v>
      </x:c>
    </x:row>
    <x:row r="210" ht="22" customHeight="1">
      <x:c r="A210" s="219" t="n">
        <x:v>206</x:v>
      </x:c>
      <x:c r="B210" s="220" t="str">
        <x:v>26739</x:v>
      </x:c>
      <x:c r="C210" s="220" t="str">
        <x:v>17</x:v>
      </x:c>
      <x:c r="D210" s="220" t="str">
        <x:v>609699</x:v>
      </x:c>
      <x:c r="E210" s="220" t="str">
        <x:v>2010701021</x:v>
      </x:c>
      <x:c r="F210" s="220" t="str">
        <x:v>BATENTE</x:v>
      </x:c>
      <x:c r="G210" s="190" t="str">
        <x:v>M ULTRA PET BCO CAR 2110X80X30 42X10 R2L</x:v>
      </x:c>
      <x:c r="H210" s="190" t="str"/>
      <x:c r="I210" s="190" t="str"/>
      <x:c r="J210" s="190" t="str"/>
      <x:c r="K210" s="190" t="str">
        <x:v>ESMALTE</x:v>
      </x:c>
      <x:c r="L210" s="190" t="str">
        <x:v>BRANCO CARRARA</x:v>
      </x:c>
      <x:c r="M210" s="210" t="n">
        <x:v>18</x:v>
      </x:c>
      <x:c r="N210" s="210" t="n">
        <x:v>2110</x:v>
      </x:c>
      <x:c r="O210" s="210" t="n">
        <x:v>80</x:v>
      </x:c>
      <x:c r="P210" s="210" t="n">
        <x:v>30</x:v>
      </x:c>
      <x:c r="Q210" s="211" t="n">
        <x:v>18</x:v>
      </x:c>
      <x:c r="R210" s="207" t="str"/>
      <x:c r="S210" s="207" t="str"/>
      <x:c r="T210" s="207" t="str"/>
      <x:c r="U210" s="207" t="n">
        <x:v>0</x:v>
      </x:c>
      <x:c r="V210" s="208" t="n">
        <x:f>MAX(0,M210-U210)</x:f>
        <x:v>18</x:v>
      </x:c>
      <x:c r="W210" s="209" t="n">
        <x:f>IFERROR(U210/M210,0)</x:f>
        <x:v>0</x:v>
      </x:c>
      <x:c r="X210" s="201" t="str">
        <x:f>IF(U210=0,"Não iniciado",IF(U210&gt;=M210,"Concluído","Parcial"))</x:f>
        <x:v>Não iniciado</x:v>
      </x:c>
      <x:c r="Y210" s="199" t="str"/>
      <x:c r="Z210" s="188" t="str">
        <x:v>Normal</x:v>
      </x:c>
    </x:row>
    <x:row r="211" ht="22" customHeight="1">
      <x:c r="A211" s="217" t="n">
        <x:v>207</x:v>
      </x:c>
      <x:c r="B211" s="218" t="str">
        <x:v>26739</x:v>
      </x:c>
      <x:c r="C211" s="218" t="str">
        <x:v>23</x:v>
      </x:c>
      <x:c r="D211" s="218" t="str">
        <x:v>609749</x:v>
      </x:c>
      <x:c r="E211" s="218" t="str">
        <x:v>2010701021</x:v>
      </x:c>
      <x:c r="F211" s="218" t="str">
        <x:v>BATENTE</x:v>
      </x:c>
      <x:c r="G211" s="184" t="str">
        <x:v>M ULTRA PET BCO CAR 2110X80X30 42X10 R2L</x:v>
      </x:c>
      <x:c r="H211" s="184" t="str"/>
      <x:c r="I211" s="184" t="str"/>
      <x:c r="J211" s="184" t="str"/>
      <x:c r="K211" s="184" t="str">
        <x:v>ESMALTE</x:v>
      </x:c>
      <x:c r="L211" s="184" t="str">
        <x:v>BRANCO CARRARA</x:v>
      </x:c>
      <x:c r="M211" s="205" t="n">
        <x:v>2</x:v>
      </x:c>
      <x:c r="N211" s="205" t="n">
        <x:v>2110</x:v>
      </x:c>
      <x:c r="O211" s="205" t="n">
        <x:v>80</x:v>
      </x:c>
      <x:c r="P211" s="205" t="n">
        <x:v>30</x:v>
      </x:c>
      <x:c r="Q211" s="206" t="n">
        <x:v>2</x:v>
      </x:c>
      <x:c r="R211" s="207" t="str"/>
      <x:c r="S211" s="207" t="str"/>
      <x:c r="T211" s="207" t="str"/>
      <x:c r="U211" s="207" t="n">
        <x:v>0</x:v>
      </x:c>
      <x:c r="V211" s="208" t="n">
        <x:f>MAX(0,M211-U211)</x:f>
        <x:v>2</x:v>
      </x:c>
      <x:c r="W211" s="209" t="n">
        <x:f>IFERROR(U211/M211,0)</x:f>
        <x:v>0</x:v>
      </x:c>
      <x:c r="X211" s="201" t="str">
        <x:f>IF(U211=0,"Não iniciado",IF(U211&gt;=M211,"Concluído","Parcial"))</x:f>
        <x:v>Não iniciado</x:v>
      </x:c>
      <x:c r="Y211" s="199" t="str"/>
      <x:c r="Z211" s="188" t="str">
        <x:v>Normal</x:v>
      </x:c>
    </x:row>
    <x:row r="212" ht="22" customHeight="1">
      <x:c r="A212" s="219" t="n">
        <x:v>208</x:v>
      </x:c>
      <x:c r="B212" s="220" t="str">
        <x:v>26750</x:v>
      </x:c>
      <x:c r="C212" s="220" t="str">
        <x:v>11</x:v>
      </x:c>
      <x:c r="D212" s="220" t="str">
        <x:v>609816</x:v>
      </x:c>
      <x:c r="E212" s="220" t="str">
        <x:v>2010701021</x:v>
      </x:c>
      <x:c r="F212" s="220" t="str">
        <x:v>BATENTE</x:v>
      </x:c>
      <x:c r="G212" s="190" t="str">
        <x:v>M ULTRA PET BCO CAR 2110X80X30 42X10 R2L</x:v>
      </x:c>
      <x:c r="H212" s="190" t="str"/>
      <x:c r="I212" s="190" t="str"/>
      <x:c r="J212" s="190" t="str"/>
      <x:c r="K212" s="190" t="str">
        <x:v>ESMALTE</x:v>
      </x:c>
      <x:c r="L212" s="190" t="str">
        <x:v>BRANCO CARRARA</x:v>
      </x:c>
      <x:c r="M212" s="210" t="n">
        <x:v>24</x:v>
      </x:c>
      <x:c r="N212" s="210" t="n">
        <x:v>2110</x:v>
      </x:c>
      <x:c r="O212" s="210" t="n">
        <x:v>80</x:v>
      </x:c>
      <x:c r="P212" s="210" t="n">
        <x:v>30</x:v>
      </x:c>
      <x:c r="Q212" s="211" t="n">
        <x:v>0.122</x:v>
      </x:c>
      <x:c r="R212" s="207" t="str"/>
      <x:c r="S212" s="207" t="str"/>
      <x:c r="T212" s="207" t="str"/>
      <x:c r="U212" s="207" t="n">
        <x:v>0</x:v>
      </x:c>
      <x:c r="V212" s="208" t="n">
        <x:f>MAX(0,M212-U212)</x:f>
        <x:v>24</x:v>
      </x:c>
      <x:c r="W212" s="209" t="n">
        <x:f>IFERROR(U212/M212,0)</x:f>
        <x:v>0</x:v>
      </x:c>
      <x:c r="X212" s="201" t="str">
        <x:f>IF(U212=0,"Não iniciado",IF(U212&gt;=M212,"Concluído","Parcial"))</x:f>
        <x:v>Não iniciado</x:v>
      </x:c>
      <x:c r="Y212" s="199" t="str"/>
      <x:c r="Z212" s="188" t="str">
        <x:v>Normal</x:v>
      </x:c>
    </x:row>
    <x:row r="213" ht="22" customHeight="1">
      <x:c r="A213" s="217" t="n">
        <x:v>209</x:v>
      </x:c>
      <x:c r="B213" s="218" t="str">
        <x:v>26750</x:v>
      </x:c>
      <x:c r="C213" s="218" t="str">
        <x:v>20</x:v>
      </x:c>
      <x:c r="D213" s="218" t="str">
        <x:v>609872</x:v>
      </x:c>
      <x:c r="E213" s="218" t="str">
        <x:v>2010701021</x:v>
      </x:c>
      <x:c r="F213" s="218" t="str">
        <x:v>BATENTE</x:v>
      </x:c>
      <x:c r="G213" s="184" t="str">
        <x:v>M ULTRA PET BCO CAR 2110X80X30 42X10 R2L</x:v>
      </x:c>
      <x:c r="H213" s="184" t="str"/>
      <x:c r="I213" s="184" t="str"/>
      <x:c r="J213" s="184" t="str"/>
      <x:c r="K213" s="184" t="str">
        <x:v>ESMALTE</x:v>
      </x:c>
      <x:c r="L213" s="184" t="str">
        <x:v>BRANCO CARRARA</x:v>
      </x:c>
      <x:c r="M213" s="205" t="n">
        <x:v>18</x:v>
      </x:c>
      <x:c r="N213" s="205" t="n">
        <x:v>2110</x:v>
      </x:c>
      <x:c r="O213" s="205" t="n">
        <x:v>80</x:v>
      </x:c>
      <x:c r="P213" s="205" t="n">
        <x:v>30</x:v>
      </x:c>
      <x:c r="Q213" s="206" t="n">
        <x:v>0.091</x:v>
      </x:c>
      <x:c r="R213" s="207" t="str"/>
      <x:c r="S213" s="207" t="str"/>
      <x:c r="T213" s="207" t="str"/>
      <x:c r="U213" s="207" t="n">
        <x:v>0</x:v>
      </x:c>
      <x:c r="V213" s="208" t="n">
        <x:f>MAX(0,M213-U213)</x:f>
        <x:v>18</x:v>
      </x:c>
      <x:c r="W213" s="209" t="n">
        <x:f>IFERROR(U213/M213,0)</x:f>
        <x:v>0</x:v>
      </x:c>
      <x:c r="X213" s="201" t="str">
        <x:f>IF(U213=0,"Não iniciado",IF(U213&gt;=M213,"Concluído","Parcial"))</x:f>
        <x:v>Não iniciado</x:v>
      </x:c>
      <x:c r="Y213" s="199" t="str"/>
      <x:c r="Z213" s="188" t="str">
        <x:v>Normal</x:v>
      </x:c>
    </x:row>
    <x:row r="214" ht="22" customHeight="1">
      <x:c r="A214" s="219" t="n">
        <x:v>210</x:v>
      </x:c>
      <x:c r="B214" s="220" t="str">
        <x:v>26792</x:v>
      </x:c>
      <x:c r="C214" s="220" t="str">
        <x:v>1</x:v>
      </x:c>
      <x:c r="D214" s="220" t="str">
        <x:v>609417</x:v>
      </x:c>
      <x:c r="E214" s="220" t="str">
        <x:v>2010600024</x:v>
      </x:c>
      <x:c r="F214" s="220" t="str">
        <x:v>BATENTE</x:v>
      </x:c>
      <x:c r="G214" s="190" t="str">
        <x:v>M P MDF STD PET TXT BCO 2110X80X30 42X10</x:v>
      </x:c>
      <x:c r="H214" s="190" t="str"/>
      <x:c r="I214" s="190" t="str"/>
      <x:c r="J214" s="190" t="str"/>
      <x:c r="K214" s="190" t="str">
        <x:v>ESMALTE</x:v>
      </x:c>
      <x:c r="L214" s="190" t="str">
        <x:v>BRANCO CARRARA</x:v>
      </x:c>
      <x:c r="M214" s="210" t="n">
        <x:v>274</x:v>
      </x:c>
      <x:c r="N214" s="210" t="n">
        <x:v>2110</x:v>
      </x:c>
      <x:c r="O214" s="210" t="n">
        <x:v>80</x:v>
      </x:c>
      <x:c r="P214" s="210" t="n">
        <x:v>30</x:v>
      </x:c>
      <x:c r="Q214" s="211" t="n">
        <x:v>1.388</x:v>
      </x:c>
      <x:c r="R214" s="207" t="str"/>
      <x:c r="S214" s="207" t="str"/>
      <x:c r="T214" s="207" t="str"/>
      <x:c r="U214" s="207" t="n">
        <x:v>0</x:v>
      </x:c>
      <x:c r="V214" s="208" t="n">
        <x:f>MAX(0,M214-U214)</x:f>
        <x:v>274</x:v>
      </x:c>
      <x:c r="W214" s="209" t="n">
        <x:f>IFERROR(U214/M214,0)</x:f>
        <x:v>0</x:v>
      </x:c>
      <x:c r="X214" s="201" t="str">
        <x:f>IF(U214=0,"Não iniciado",IF(U214&gt;=M214,"Concluído","Parcial"))</x:f>
        <x:v>Não iniciado</x:v>
      </x:c>
      <x:c r="Y214" s="199" t="str"/>
      <x:c r="Z214" s="188" t="str">
        <x:v>Normal</x:v>
      </x:c>
    </x:row>
    <x:row r="215" ht="22" customHeight="1">
      <x:c r="A215" s="217" t="n">
        <x:v>211</x:v>
      </x:c>
      <x:c r="B215" s="218" t="str">
        <x:v>26796</x:v>
      </x:c>
      <x:c r="C215" s="218" t="str">
        <x:v>1</x:v>
      </x:c>
      <x:c r="D215" s="218" t="str">
        <x:v>609288</x:v>
      </x:c>
      <x:c r="E215" s="218" t="str">
        <x:v>2010600024</x:v>
      </x:c>
      <x:c r="F215" s="218" t="str">
        <x:v>BATENTE</x:v>
      </x:c>
      <x:c r="G215" s="184" t="str">
        <x:v>M P MDF STD PET TXT BCO 2110X80X30 42X10</x:v>
      </x:c>
      <x:c r="H215" s="184" t="str"/>
      <x:c r="I215" s="184" t="str"/>
      <x:c r="J215" s="184" t="str"/>
      <x:c r="K215" s="184" t="str">
        <x:v>ESMALTE</x:v>
      </x:c>
      <x:c r="L215" s="184" t="str">
        <x:v>BRANCO CARRARA</x:v>
      </x:c>
      <x:c r="M215" s="205" t="n">
        <x:v>432</x:v>
      </x:c>
      <x:c r="N215" s="205" t="n">
        <x:v>2110</x:v>
      </x:c>
      <x:c r="O215" s="205" t="n">
        <x:v>80</x:v>
      </x:c>
      <x:c r="P215" s="205" t="n">
        <x:v>30</x:v>
      </x:c>
      <x:c r="Q215" s="206" t="n">
        <x:v>2.188</x:v>
      </x:c>
      <x:c r="R215" s="207" t="str"/>
      <x:c r="S215" s="207" t="str"/>
      <x:c r="T215" s="207" t="str"/>
      <x:c r="U215" s="207" t="n">
        <x:v>0</x:v>
      </x:c>
      <x:c r="V215" s="208" t="n">
        <x:f>MAX(0,M215-U215)</x:f>
        <x:v>432</x:v>
      </x:c>
      <x:c r="W215" s="209" t="n">
        <x:f>IFERROR(U215/M215,0)</x:f>
        <x:v>0</x:v>
      </x:c>
      <x:c r="X215" s="201" t="str">
        <x:f>IF(U215=0,"Não iniciado",IF(U215&gt;=M215,"Concluído","Parcial"))</x:f>
        <x:v>Não iniciado</x:v>
      </x:c>
      <x:c r="Y215" s="199" t="str"/>
      <x:c r="Z215" s="188" t="str">
        <x:v>Normal</x:v>
      </x:c>
    </x:row>
    <x:row r="216" ht="22" customHeight="1">
      <x:c r="A216" s="219" t="n">
        <x:v>212</x:v>
      </x:c>
      <x:c r="B216" s="220" t="str">
        <x:v>26799</x:v>
      </x:c>
      <x:c r="C216" s="220" t="str">
        <x:v>1</x:v>
      </x:c>
      <x:c r="D216" s="220" t="str">
        <x:v>609393</x:v>
      </x:c>
      <x:c r="E216" s="220" t="str">
        <x:v>2010600024</x:v>
      </x:c>
      <x:c r="F216" s="220" t="str">
        <x:v>BATENTE</x:v>
      </x:c>
      <x:c r="G216" s="190" t="str">
        <x:v>M P MDF STD PET TXT BCO 2110X80X30 42X10</x:v>
      </x:c>
      <x:c r="H216" s="190" t="str"/>
      <x:c r="I216" s="190" t="str"/>
      <x:c r="J216" s="190" t="str"/>
      <x:c r="K216" s="190" t="str">
        <x:v>ESMALTE</x:v>
      </x:c>
      <x:c r="L216" s="190" t="str">
        <x:v>BRANCO CARRARA</x:v>
      </x:c>
      <x:c r="M216" s="210" t="n">
        <x:v>144</x:v>
      </x:c>
      <x:c r="N216" s="210" t="n">
        <x:v>2110</x:v>
      </x:c>
      <x:c r="O216" s="210" t="n">
        <x:v>80</x:v>
      </x:c>
      <x:c r="P216" s="210" t="n">
        <x:v>30</x:v>
      </x:c>
      <x:c r="Q216" s="211" t="n">
        <x:v>0.729</x:v>
      </x:c>
      <x:c r="R216" s="207" t="str"/>
      <x:c r="S216" s="207" t="str"/>
      <x:c r="T216" s="207" t="str"/>
      <x:c r="U216" s="207" t="n">
        <x:v>0</x:v>
      </x:c>
      <x:c r="V216" s="208" t="n">
        <x:f>MAX(0,M216-U216)</x:f>
        <x:v>144</x:v>
      </x:c>
      <x:c r="W216" s="209" t="n">
        <x:f>IFERROR(U216/M216,0)</x:f>
        <x:v>0</x:v>
      </x:c>
      <x:c r="X216" s="201" t="str">
        <x:f>IF(U216=0,"Não iniciado",IF(U216&gt;=M216,"Concluído","Parcial"))</x:f>
        <x:v>Não iniciado</x:v>
      </x:c>
      <x:c r="Y216" s="199" t="str"/>
      <x:c r="Z216" s="188" t="str">
        <x:v>Normal</x:v>
      </x:c>
    </x:row>
    <x:row r="217" ht="22" customHeight="1">
      <x:c r="A217" s="217" t="n">
        <x:v>213</x:v>
      </x:c>
      <x:c r="B217" s="218" t="str">
        <x:v>26815</x:v>
      </x:c>
      <x:c r="C217" s="218" t="str">
        <x:v>1</x:v>
      </x:c>
      <x:c r="D217" s="218" t="str">
        <x:v>609486</x:v>
      </x:c>
      <x:c r="E217" s="218" t="str">
        <x:v>2010600024</x:v>
      </x:c>
      <x:c r="F217" s="218" t="str">
        <x:v>BATENTE</x:v>
      </x:c>
      <x:c r="G217" s="184" t="str">
        <x:v>M P MDF STD PET TXT BCO 2110X80X30 42X10</x:v>
      </x:c>
      <x:c r="H217" s="184" t="str"/>
      <x:c r="I217" s="184" t="str"/>
      <x:c r="J217" s="184" t="str"/>
      <x:c r="K217" s="184" t="str">
        <x:v>ESMALTE</x:v>
      </x:c>
      <x:c r="L217" s="184" t="str">
        <x:v>BRANCO CARRARA</x:v>
      </x:c>
      <x:c r="M217" s="205" t="n">
        <x:v>308</x:v>
      </x:c>
      <x:c r="N217" s="205" t="n">
        <x:v>2110</x:v>
      </x:c>
      <x:c r="O217" s="205" t="n">
        <x:v>80</x:v>
      </x:c>
      <x:c r="P217" s="205" t="n">
        <x:v>30</x:v>
      </x:c>
      <x:c r="Q217" s="206" t="n">
        <x:v>1.56</x:v>
      </x:c>
      <x:c r="R217" s="207" t="str"/>
      <x:c r="S217" s="207" t="str"/>
      <x:c r="T217" s="207" t="str"/>
      <x:c r="U217" s="207" t="n">
        <x:v>0</x:v>
      </x:c>
      <x:c r="V217" s="208" t="n">
        <x:f>MAX(0,M217-U217)</x:f>
        <x:v>308</x:v>
      </x:c>
      <x:c r="W217" s="209" t="n">
        <x:f>IFERROR(U217/M217,0)</x:f>
        <x:v>0</x:v>
      </x:c>
      <x:c r="X217" s="201" t="str">
        <x:f>IF(U217=0,"Não iniciado",IF(U217&gt;=M217,"Concluído","Parcial"))</x:f>
        <x:v>Não iniciado</x:v>
      </x:c>
      <x:c r="Y217" s="199" t="str"/>
      <x:c r="Z217" s="188" t="str">
        <x:v>Normal</x:v>
      </x:c>
    </x:row>
    <x:row r="218" ht="22" customHeight="1">
      <x:c r="A218" s="219" t="n">
        <x:v>214</x:v>
      </x:c>
      <x:c r="B218" s="220" t="str">
        <x:v>26766</x:v>
      </x:c>
      <x:c r="C218" s="220" t="str">
        <x:v>2</x:v>
      </x:c>
      <x:c r="D218" s="220" t="str">
        <x:v>610143</x:v>
      </x:c>
      <x:c r="E218" s="220" t="str">
        <x:v>985752</x:v>
      </x:c>
      <x:c r="F218" s="220" t="str">
        <x:v>BATENTE</x:v>
      </x:c>
      <x:c r="G218" s="190" t="str">
        <x:v>2110x80x30 42x10R2L R1 BIA PET MOG STD U</x:v>
      </x:c>
      <x:c r="H218" s="190" t="str">
        <x:v>MDF STD</x:v>
      </x:c>
      <x:c r="I218" s="190" t="str">
        <x:v>C/BORRACHA I APLICADA</x:v>
      </x:c>
      <x:c r="J218" s="190" t="str">
        <x:v>C/REB 42X10</x:v>
      </x:c>
      <x:c r="K218" s="190" t="str">
        <x:v>RECOBERTO PET TXT</x:v>
      </x:c>
      <x:c r="L218" s="190" t="str">
        <x:v>MOGNO BRASILEIRO</x:v>
      </x:c>
      <x:c r="M218" s="210" t="n">
        <x:v>360</x:v>
      </x:c>
      <x:c r="N218" s="210" t="n">
        <x:v>2110</x:v>
      </x:c>
      <x:c r="O218" s="210" t="n">
        <x:v>80</x:v>
      </x:c>
      <x:c r="P218" s="210" t="n">
        <x:v>30</x:v>
      </x:c>
      <x:c r="Q218" s="211" t="n">
        <x:v>0</x:v>
      </x:c>
      <x:c r="R218" s="207" t="str"/>
      <x:c r="S218" s="207" t="str"/>
      <x:c r="T218" s="207" t="str"/>
      <x:c r="U218" s="207" t="n">
        <x:v>0</x:v>
      </x:c>
      <x:c r="V218" s="208" t="n">
        <x:f>MAX(0,M218-U218)</x:f>
        <x:v>360</x:v>
      </x:c>
      <x:c r="W218" s="209" t="n">
        <x:f>IFERROR(U218/M218,0)</x:f>
        <x:v>0</x:v>
      </x:c>
      <x:c r="X218" s="201" t="str">
        <x:f>IF(U218=0,"Não iniciado",IF(U218&gt;=M218,"Concluído","Parcial"))</x:f>
        <x:v>Não iniciado</x:v>
      </x:c>
      <x:c r="Y218" s="199" t="str"/>
      <x:c r="Z218" s="188" t="str">
        <x:v>Normal</x:v>
      </x:c>
    </x:row>
    <x:row r="219" ht="22" customHeight="1">
      <x:c r="A219" s="217" t="n">
        <x:v>215</x:v>
      </x:c>
      <x:c r="B219" s="218" t="str">
        <x:v>26796</x:v>
      </x:c>
      <x:c r="C219" s="218" t="str">
        <x:v>3</x:v>
      </x:c>
      <x:c r="D219" s="218" t="str">
        <x:v>609304</x:v>
      </x:c>
      <x:c r="E219" s="218" t="str">
        <x:v>2010600056</x:v>
      </x:c>
      <x:c r="F219" s="218" t="str">
        <x:v>OUTROS</x:v>
      </x:c>
      <x:c r="G219" s="184" t="str">
        <x:v>M CJ MDF STD PET TXT BCO 2110X80X30 42X1</x:v>
      </x:c>
      <x:c r="H219" s="184" t="str"/>
      <x:c r="I219" s="184" t="str"/>
      <x:c r="J219" s="184" t="str"/>
      <x:c r="K219" s="184" t="str">
        <x:v>ESMALTE</x:v>
      </x:c>
      <x:c r="L219" s="184" t="str">
        <x:v>BRANCO CARRARA</x:v>
      </x:c>
      <x:c r="M219" s="205" t="n">
        <x:v>384</x:v>
      </x:c>
      <x:c r="N219" s="205" t="n">
        <x:v>2110</x:v>
      </x:c>
      <x:c r="O219" s="205" t="n">
        <x:v>80</x:v>
      </x:c>
      <x:c r="P219" s="205" t="n">
        <x:v>30</x:v>
      </x:c>
      <x:c r="Q219" s="206" t="n">
        <x:v>1.945</x:v>
      </x:c>
      <x:c r="R219" s="207" t="str"/>
      <x:c r="S219" s="207" t="str"/>
      <x:c r="T219" s="207" t="str"/>
      <x:c r="U219" s="207" t="n">
        <x:v>0</x:v>
      </x:c>
      <x:c r="V219" s="208" t="n">
        <x:f>MAX(0,M219-U219)</x:f>
        <x:v>384</x:v>
      </x:c>
      <x:c r="W219" s="209" t="n">
        <x:f>IFERROR(U219/M219,0)</x:f>
        <x:v>0</x:v>
      </x:c>
      <x:c r="X219" s="201" t="str">
        <x:f>IF(U219=0,"Não iniciado",IF(U219&gt;=M219,"Concluído","Parcial"))</x:f>
        <x:v>Não iniciado</x:v>
      </x:c>
      <x:c r="Y219" s="199" t="str"/>
      <x:c r="Z219" s="188" t="str">
        <x:v>Normal</x:v>
      </x:c>
    </x:row>
    <x:row r="220" ht="22" customHeight="1">
      <x:c r="A220" s="219" t="n">
        <x:v>216</x:v>
      </x:c>
      <x:c r="B220" s="220" t="str">
        <x:v>26799</x:v>
      </x:c>
      <x:c r="C220" s="220" t="str">
        <x:v>3</x:v>
      </x:c>
      <x:c r="D220" s="220" t="str">
        <x:v>609409</x:v>
      </x:c>
      <x:c r="E220" s="220" t="str">
        <x:v>2010600056</x:v>
      </x:c>
      <x:c r="F220" s="220" t="str">
        <x:v>OUTROS</x:v>
      </x:c>
      <x:c r="G220" s="190" t="str">
        <x:v>M CJ MDF STD PET TXT BCO 2110X80X30 42X1</x:v>
      </x:c>
      <x:c r="H220" s="190" t="str"/>
      <x:c r="I220" s="190" t="str"/>
      <x:c r="J220" s="190" t="str"/>
      <x:c r="K220" s="190" t="str">
        <x:v>ESMALTE</x:v>
      </x:c>
      <x:c r="L220" s="190" t="str">
        <x:v>BRANCO CARRARA</x:v>
      </x:c>
      <x:c r="M220" s="210" t="n">
        <x:v>128</x:v>
      </x:c>
      <x:c r="N220" s="210" t="n">
        <x:v>2110</x:v>
      </x:c>
      <x:c r="O220" s="210" t="n">
        <x:v>80</x:v>
      </x:c>
      <x:c r="P220" s="210" t="n">
        <x:v>30</x:v>
      </x:c>
      <x:c r="Q220" s="211" t="n">
        <x:v>0.648</x:v>
      </x:c>
      <x:c r="R220" s="207" t="str"/>
      <x:c r="S220" s="207" t="str"/>
      <x:c r="T220" s="207" t="str"/>
      <x:c r="U220" s="207" t="n">
        <x:v>0</x:v>
      </x:c>
      <x:c r="V220" s="208" t="n">
        <x:f>MAX(0,M220-U220)</x:f>
        <x:v>128</x:v>
      </x:c>
      <x:c r="W220" s="209" t="n">
        <x:f>IFERROR(U220/M220,0)</x:f>
        <x:v>0</x:v>
      </x:c>
      <x:c r="X220" s="201" t="str">
        <x:f>IF(U220=0,"Não iniciado",IF(U220&gt;=M220,"Concluído","Parcial"))</x:f>
        <x:v>Não iniciado</x:v>
      </x:c>
      <x:c r="Y220" s="199" t="str"/>
      <x:c r="Z220" s="188" t="str">
        <x:v>Normal</x:v>
      </x:c>
    </x:row>
    <x:row r="221" ht="22" customHeight="1">
      <x:c r="A221" s="217" t="n">
        <x:v>217</x:v>
      </x:c>
      <x:c r="B221" s="218" t="str">
        <x:v>26796</x:v>
      </x:c>
      <x:c r="C221" s="218" t="str">
        <x:v>3</x:v>
      </x:c>
      <x:c r="D221" s="218" t="str">
        <x:v>609305</x:v>
      </x:c>
      <x:c r="E221" s="218" t="str">
        <x:v>2010600379</x:v>
      </x:c>
      <x:c r="F221" s="218" t="str">
        <x:v>BATENTE</x:v>
      </x:c>
      <x:c r="G221" s="184" t="str">
        <x:v>M STD PET TXT BCO 847X80X30 42X10 R2L ME</x:v>
      </x:c>
      <x:c r="H221" s="184" t="str"/>
      <x:c r="I221" s="184" t="str"/>
      <x:c r="J221" s="184" t="str"/>
      <x:c r="K221" s="184" t="str">
        <x:v>ESMALTE</x:v>
      </x:c>
      <x:c r="L221" s="184" t="str">
        <x:v>BRANCO CARRARA</x:v>
      </x:c>
      <x:c r="M221" s="205" t="n">
        <x:v>192</x:v>
      </x:c>
      <x:c r="N221" s="205" t="n">
        <x:v>847</x:v>
      </x:c>
      <x:c r="O221" s="205" t="n">
        <x:v>80</x:v>
      </x:c>
      <x:c r="P221" s="205" t="n">
        <x:v>30</x:v>
      </x:c>
      <x:c r="Q221" s="206" t="n">
        <x:v>0.39</x:v>
      </x:c>
      <x:c r="R221" s="207" t="str"/>
      <x:c r="S221" s="207" t="str"/>
      <x:c r="T221" s="207" t="str"/>
      <x:c r="U221" s="207" t="n">
        <x:v>0</x:v>
      </x:c>
      <x:c r="V221" s="208" t="n">
        <x:f>MAX(0,M221-U221)</x:f>
        <x:v>192</x:v>
      </x:c>
      <x:c r="W221" s="209" t="n">
        <x:f>IFERROR(U221/M221,0)</x:f>
        <x:v>0</x:v>
      </x:c>
      <x:c r="X221" s="201" t="str">
        <x:f>IF(U221=0,"Não iniciado",IF(U221&gt;=M221,"Concluído","Parcial"))</x:f>
        <x:v>Não iniciado</x:v>
      </x:c>
      <x:c r="Y221" s="199" t="str"/>
      <x:c r="Z221" s="188" t="str">
        <x:v>Normal</x:v>
      </x:c>
    </x:row>
    <x:row r="222" ht="22" customHeight="1">
      <x:c r="A222" s="219" t="n">
        <x:v>218</x:v>
      </x:c>
      <x:c r="B222" s="220" t="str">
        <x:v>26799</x:v>
      </x:c>
      <x:c r="C222" s="220" t="str">
        <x:v>3</x:v>
      </x:c>
      <x:c r="D222" s="220" t="str">
        <x:v>609410</x:v>
      </x:c>
      <x:c r="E222" s="220" t="str">
        <x:v>2010600379</x:v>
      </x:c>
      <x:c r="F222" s="220" t="str">
        <x:v>BATENTE</x:v>
      </x:c>
      <x:c r="G222" s="190" t="str">
        <x:v>M STD PET TXT BCO 847X80X30 42X10 R2L ME</x:v>
      </x:c>
      <x:c r="H222" s="190" t="str"/>
      <x:c r="I222" s="190" t="str"/>
      <x:c r="J222" s="190" t="str"/>
      <x:c r="K222" s="190" t="str">
        <x:v>ESMALTE</x:v>
      </x:c>
      <x:c r="L222" s="190" t="str">
        <x:v>BRANCO CARRARA</x:v>
      </x:c>
      <x:c r="M222" s="210" t="n">
        <x:v>64</x:v>
      </x:c>
      <x:c r="N222" s="210" t="n">
        <x:v>847</x:v>
      </x:c>
      <x:c r="O222" s="210" t="n">
        <x:v>80</x:v>
      </x:c>
      <x:c r="P222" s="210" t="n">
        <x:v>30</x:v>
      </x:c>
      <x:c r="Q222" s="211" t="n">
        <x:v>0.13</x:v>
      </x:c>
      <x:c r="R222" s="207" t="str"/>
      <x:c r="S222" s="207" t="str"/>
      <x:c r="T222" s="207" t="str"/>
      <x:c r="U222" s="207" t="n">
        <x:v>0</x:v>
      </x:c>
      <x:c r="V222" s="208" t="n">
        <x:f>MAX(0,M222-U222)</x:f>
        <x:v>64</x:v>
      </x:c>
      <x:c r="W222" s="209" t="n">
        <x:f>IFERROR(U222/M222,0)</x:f>
        <x:v>0</x:v>
      </x:c>
      <x:c r="X222" s="201" t="str">
        <x:f>IF(U222=0,"Não iniciado",IF(U222&gt;=M222,"Concluído","Parcial"))</x:f>
        <x:v>Não iniciado</x:v>
      </x:c>
      <x:c r="Y222" s="199" t="str"/>
      <x:c r="Z222" s="188" t="str">
        <x:v>Normal</x:v>
      </x:c>
    </x:row>
    <x:row r="223" ht="22" customHeight="1">
      <x:c r="A223" s="217" t="n">
        <x:v>219</x:v>
      </x:c>
      <x:c r="B223" s="218" t="str">
        <x:v>26739</x:v>
      </x:c>
      <x:c r="C223" s="218" t="str">
        <x:v>8</x:v>
      </x:c>
      <x:c r="D223" s="218" t="str">
        <x:v>609644</x:v>
      </x:c>
      <x:c r="E223" s="218" t="str">
        <x:v>2010701245</x:v>
      </x:c>
      <x:c r="F223" s="218" t="str">
        <x:v>BATENTE</x:v>
      </x:c>
      <x:c r="G223" s="184" t="str">
        <x:v>M ULTRA PET BCO CAR 767X80X30 42X10 R2L</x:v>
      </x:c>
      <x:c r="H223" s="184" t="str"/>
      <x:c r="I223" s="184" t="str"/>
      <x:c r="J223" s="184" t="str"/>
      <x:c r="K223" s="184" t="str">
        <x:v>ESMALTE</x:v>
      </x:c>
      <x:c r="L223" s="184" t="str">
        <x:v>BRANCO CARRARA</x:v>
      </x:c>
      <x:c r="M223" s="205" t="n">
        <x:v>18</x:v>
      </x:c>
      <x:c r="N223" s="205" t="n">
        <x:v>767</x:v>
      </x:c>
      <x:c r="O223" s="205" t="n">
        <x:v>80</x:v>
      </x:c>
      <x:c r="P223" s="205" t="n">
        <x:v>30</x:v>
      </x:c>
      <x:c r="Q223" s="206" t="n">
        <x:v>18</x:v>
      </x:c>
      <x:c r="R223" s="207" t="str"/>
      <x:c r="S223" s="207" t="str"/>
      <x:c r="T223" s="207" t="str"/>
      <x:c r="U223" s="207" t="n">
        <x:v>0</x:v>
      </x:c>
      <x:c r="V223" s="208" t="n">
        <x:f>MAX(0,M223-U223)</x:f>
        <x:v>18</x:v>
      </x:c>
      <x:c r="W223" s="209" t="n">
        <x:f>IFERROR(U223/M223,0)</x:f>
        <x:v>0</x:v>
      </x:c>
      <x:c r="X223" s="201" t="str">
        <x:f>IF(U223=0,"Não iniciado",IF(U223&gt;=M223,"Concluído","Parcial"))</x:f>
        <x:v>Não iniciado</x:v>
      </x:c>
      <x:c r="Y223" s="199" t="str"/>
      <x:c r="Z223" s="188" t="str">
        <x:v>Normal</x:v>
      </x:c>
    </x:row>
    <x:row r="224" ht="22" customHeight="1">
      <x:c r="A224" s="219" t="n">
        <x:v>220</x:v>
      </x:c>
      <x:c r="B224" s="220" t="str">
        <x:v>26750</x:v>
      </x:c>
      <x:c r="C224" s="220" t="str">
        <x:v>11</x:v>
      </x:c>
      <x:c r="D224" s="220" t="str">
        <x:v>609817</x:v>
      </x:c>
      <x:c r="E224" s="220" t="str">
        <x:v>2010701245</x:v>
      </x:c>
      <x:c r="F224" s="220" t="str">
        <x:v>BATENTE</x:v>
      </x:c>
      <x:c r="G224" s="190" t="str">
        <x:v>M ULTRA PET BCO CAR 767X80X30 42X10 R2L</x:v>
      </x:c>
      <x:c r="H224" s="190" t="str"/>
      <x:c r="I224" s="190" t="str"/>
      <x:c r="J224" s="190" t="str"/>
      <x:c r="K224" s="190" t="str">
        <x:v>ESMALTE</x:v>
      </x:c>
      <x:c r="L224" s="190" t="str">
        <x:v>BRANCO CARRARA</x:v>
      </x:c>
      <x:c r="M224" s="210" t="n">
        <x:v>12</x:v>
      </x:c>
      <x:c r="N224" s="210" t="n">
        <x:v>767</x:v>
      </x:c>
      <x:c r="O224" s="210" t="n">
        <x:v>80</x:v>
      </x:c>
      <x:c r="P224" s="210" t="n">
        <x:v>30</x:v>
      </x:c>
      <x:c r="Q224" s="211" t="n">
        <x:v>0.022</x:v>
      </x:c>
      <x:c r="R224" s="207" t="str"/>
      <x:c r="S224" s="207" t="str"/>
      <x:c r="T224" s="207" t="str"/>
      <x:c r="U224" s="207" t="n">
        <x:v>0</x:v>
      </x:c>
      <x:c r="V224" s="208" t="n">
        <x:f>MAX(0,M224-U224)</x:f>
        <x:v>12</x:v>
      </x:c>
      <x:c r="W224" s="209" t="n">
        <x:f>IFERROR(U224/M224,0)</x:f>
        <x:v>0</x:v>
      </x:c>
      <x:c r="X224" s="201" t="str">
        <x:f>IF(U224=0,"Não iniciado",IF(U224&gt;=M224,"Concluído","Parcial"))</x:f>
        <x:v>Não iniciado</x:v>
      </x:c>
      <x:c r="Y224" s="199" t="str"/>
      <x:c r="Z224" s="188" t="str">
        <x:v>Normal</x:v>
      </x:c>
    </x:row>
    <x:row r="225" ht="22" customHeight="1">
      <x:c r="A225" s="217" t="n">
        <x:v>221</x:v>
      </x:c>
      <x:c r="B225" s="218" t="str">
        <x:v>26792</x:v>
      </x:c>
      <x:c r="C225" s="218" t="str">
        <x:v>4</x:v>
      </x:c>
      <x:c r="D225" s="218" t="str">
        <x:v>609442</x:v>
      </x:c>
      <x:c r="E225" s="218" t="str">
        <x:v>2010600025</x:v>
      </x:c>
      <x:c r="F225" s="218" t="str">
        <x:v>BATENTE</x:v>
      </x:c>
      <x:c r="G225" s="184" t="str">
        <x:v>M T MDF STD PET TXT BCO 747X80X30 42X10</x:v>
      </x:c>
      <x:c r="H225" s="184" t="str"/>
      <x:c r="I225" s="184" t="str"/>
      <x:c r="J225" s="184" t="str"/>
      <x:c r="K225" s="184" t="str">
        <x:v>ESMALTE</x:v>
      </x:c>
      <x:c r="L225" s="184" t="str">
        <x:v>BRANCO</x:v>
      </x:c>
      <x:c r="M225" s="205" t="n">
        <x:v>144</x:v>
      </x:c>
      <x:c r="N225" s="205" t="n">
        <x:v>747</x:v>
      </x:c>
      <x:c r="O225" s="205" t="n">
        <x:v>80</x:v>
      </x:c>
      <x:c r="P225" s="205" t="n">
        <x:v>30</x:v>
      </x:c>
      <x:c r="Q225" s="206" t="n">
        <x:v>0</x:v>
      </x:c>
      <x:c r="R225" s="207" t="str"/>
      <x:c r="S225" s="207" t="str"/>
      <x:c r="T225" s="207" t="str"/>
      <x:c r="U225" s="207" t="n">
        <x:v>0</x:v>
      </x:c>
      <x:c r="V225" s="208" t="n">
        <x:f>MAX(0,M225-U225)</x:f>
        <x:v>144</x:v>
      </x:c>
      <x:c r="W225" s="209" t="n">
        <x:f>IFERROR(U225/M225,0)</x:f>
        <x:v>0</x:v>
      </x:c>
      <x:c r="X225" s="201" t="str">
        <x:f>IF(U225=0,"Não iniciado",IF(U225&gt;=M225,"Concluído","Parcial"))</x:f>
        <x:v>Não iniciado</x:v>
      </x:c>
      <x:c r="Y225" s="199" t="str"/>
      <x:c r="Z225" s="188" t="str">
        <x:v>Normal</x:v>
      </x:c>
    </x:row>
    <x:row r="226" ht="22" customHeight="1">
      <x:c r="A226" s="219" t="n">
        <x:v>222</x:v>
      </x:c>
      <x:c r="B226" s="220" t="str">
        <x:v>26796</x:v>
      </x:c>
      <x:c r="C226" s="220" t="str">
        <x:v>2</x:v>
      </x:c>
      <x:c r="D226" s="220" t="str">
        <x:v>609297</x:v>
      </x:c>
      <x:c r="E226" s="220" t="str">
        <x:v>2010600025</x:v>
      </x:c>
      <x:c r="F226" s="220" t="str">
        <x:v>BATENTE</x:v>
      </x:c>
      <x:c r="G226" s="190" t="str">
        <x:v>M T MDF STD PET TXT BCO 747X80X30 42X10</x:v>
      </x:c>
      <x:c r="H226" s="190" t="str"/>
      <x:c r="I226" s="190" t="str"/>
      <x:c r="J226" s="190" t="str"/>
      <x:c r="K226" s="190" t="str">
        <x:v>ESMALTE</x:v>
      </x:c>
      <x:c r="L226" s="190" t="str">
        <x:v>BRANCO</x:v>
      </x:c>
      <x:c r="M226" s="210" t="n">
        <x:v>48</x:v>
      </x:c>
      <x:c r="N226" s="210" t="n">
        <x:v>747</x:v>
      </x:c>
      <x:c r="O226" s="210" t="n">
        <x:v>80</x:v>
      </x:c>
      <x:c r="P226" s="210" t="n">
        <x:v>30</x:v>
      </x:c>
      <x:c r="Q226" s="211" t="n">
        <x:v>0</x:v>
      </x:c>
      <x:c r="R226" s="207" t="str"/>
      <x:c r="S226" s="207" t="str"/>
      <x:c r="T226" s="207" t="str"/>
      <x:c r="U226" s="207" t="n">
        <x:v>0</x:v>
      </x:c>
      <x:c r="V226" s="208" t="n">
        <x:f>MAX(0,M226-U226)</x:f>
        <x:v>48</x:v>
      </x:c>
      <x:c r="W226" s="209" t="n">
        <x:f>IFERROR(U226/M226,0)</x:f>
        <x:v>0</x:v>
      </x:c>
      <x:c r="X226" s="201" t="str">
        <x:f>IF(U226=0,"Não iniciado",IF(U226&gt;=M226,"Concluído","Parcial"))</x:f>
        <x:v>Não iniciado</x:v>
      </x:c>
      <x:c r="Y226" s="199" t="str"/>
      <x:c r="Z226" s="188" t="str">
        <x:v>Normal</x:v>
      </x:c>
    </x:row>
    <x:row r="227" ht="22" customHeight="1">
      <x:c r="A227" s="217" t="n">
        <x:v>223</x:v>
      </x:c>
      <x:c r="B227" s="218" t="str">
        <x:v>26799</x:v>
      </x:c>
      <x:c r="C227" s="218" t="str">
        <x:v>2</x:v>
      </x:c>
      <x:c r="D227" s="218" t="str">
        <x:v>609402</x:v>
      </x:c>
      <x:c r="E227" s="218" t="str">
        <x:v>2010600025</x:v>
      </x:c>
      <x:c r="F227" s="218" t="str">
        <x:v>BATENTE</x:v>
      </x:c>
      <x:c r="G227" s="184" t="str">
        <x:v>M T MDF STD PET TXT BCO 747X80X30 42X10</x:v>
      </x:c>
      <x:c r="H227" s="184" t="str"/>
      <x:c r="I227" s="184" t="str"/>
      <x:c r="J227" s="184" t="str"/>
      <x:c r="K227" s="184" t="str">
        <x:v>ESMALTE</x:v>
      </x:c>
      <x:c r="L227" s="184" t="str">
        <x:v>BRANCO</x:v>
      </x:c>
      <x:c r="M227" s="205" t="n">
        <x:v>16</x:v>
      </x:c>
      <x:c r="N227" s="205" t="n">
        <x:v>747</x:v>
      </x:c>
      <x:c r="O227" s="205" t="n">
        <x:v>80</x:v>
      </x:c>
      <x:c r="P227" s="205" t="n">
        <x:v>30</x:v>
      </x:c>
      <x:c r="Q227" s="206" t="n">
        <x:v>0</x:v>
      </x:c>
      <x:c r="R227" s="207" t="str"/>
      <x:c r="S227" s="207" t="str"/>
      <x:c r="T227" s="207" t="str"/>
      <x:c r="U227" s="207" t="n">
        <x:v>0</x:v>
      </x:c>
      <x:c r="V227" s="208" t="n">
        <x:f>MAX(0,M227-U227)</x:f>
        <x:v>16</x:v>
      </x:c>
      <x:c r="W227" s="209" t="n">
        <x:f>IFERROR(U227/M227,0)</x:f>
        <x:v>0</x:v>
      </x:c>
      <x:c r="X227" s="201" t="str">
        <x:f>IF(U227=0,"Não iniciado",IF(U227&gt;=M227,"Concluído","Parcial"))</x:f>
        <x:v>Não iniciado</x:v>
      </x:c>
      <x:c r="Y227" s="199" t="str"/>
      <x:c r="Z227" s="188" t="str">
        <x:v>Normal</x:v>
      </x:c>
    </x:row>
    <x:row r="228" ht="22" customHeight="1">
      <x:c r="A228" s="219" t="n">
        <x:v>224</x:v>
      </x:c>
      <x:c r="B228" s="220" t="str">
        <x:v>26815</x:v>
      </x:c>
      <x:c r="C228" s="220" t="str">
        <x:v>3</x:v>
      </x:c>
      <x:c r="D228" s="220" t="str">
        <x:v>609503</x:v>
      </x:c>
      <x:c r="E228" s="220" t="str">
        <x:v>2010600025</x:v>
      </x:c>
      <x:c r="F228" s="220" t="str">
        <x:v>BATENTE</x:v>
      </x:c>
      <x:c r="G228" s="190" t="str">
        <x:v>M T MDF STD PET TXT BCO 747X80X30 42X10</x:v>
      </x:c>
      <x:c r="H228" s="190" t="str"/>
      <x:c r="I228" s="190" t="str"/>
      <x:c r="J228" s="190" t="str"/>
      <x:c r="K228" s="190" t="str">
        <x:v>ESMALTE</x:v>
      </x:c>
      <x:c r="L228" s="190" t="str">
        <x:v>BRANCO</x:v>
      </x:c>
      <x:c r="M228" s="210" t="n">
        <x:v>92</x:v>
      </x:c>
      <x:c r="N228" s="210" t="n">
        <x:v>747</x:v>
      </x:c>
      <x:c r="O228" s="210" t="n">
        <x:v>80</x:v>
      </x:c>
      <x:c r="P228" s="210" t="n">
        <x:v>30</x:v>
      </x:c>
      <x:c r="Q228" s="211" t="n">
        <x:v>0</x:v>
      </x:c>
      <x:c r="R228" s="207" t="str"/>
      <x:c r="S228" s="207" t="str"/>
      <x:c r="T228" s="207" t="str"/>
      <x:c r="U228" s="207" t="n">
        <x:v>0</x:v>
      </x:c>
      <x:c r="V228" s="208" t="n">
        <x:f>MAX(0,M228-U228)</x:f>
        <x:v>92</x:v>
      </x:c>
      <x:c r="W228" s="209" t="n">
        <x:f>IFERROR(U228/M228,0)</x:f>
        <x:v>0</x:v>
      </x:c>
      <x:c r="X228" s="201" t="str">
        <x:f>IF(U228=0,"Não iniciado",IF(U228&gt;=M228,"Concluído","Parcial"))</x:f>
        <x:v>Não iniciado</x:v>
      </x:c>
      <x:c r="Y228" s="199" t="str"/>
      <x:c r="Z228" s="188" t="str">
        <x:v>Normal</x:v>
      </x:c>
    </x:row>
    <x:row r="229" ht="22" customHeight="1">
      <x:c r="A229" s="217" t="n">
        <x:v>225</x:v>
      </x:c>
      <x:c r="B229" s="218" t="str">
        <x:v>26766</x:v>
      </x:c>
      <x:c r="C229" s="218" t="str">
        <x:v>2</x:v>
      </x:c>
      <x:c r="D229" s="218" t="str">
        <x:v>610144</x:v>
      </x:c>
      <x:c r="E229" s="218" t="str">
        <x:v>985753</x:v>
      </x:c>
      <x:c r="F229" s="218" t="str">
        <x:v>BATENTE</x:v>
      </x:c>
      <x:c r="G229" s="184" t="str">
        <x:v>747x80x30 42x10 R2L RT BIA PET MOG STD</x:v>
      </x:c>
      <x:c r="H229" s="184" t="str">
        <x:v>MDF STD</x:v>
      </x:c>
      <x:c r="I229" s="184" t="str">
        <x:v>C/BORRACHA I APLICADA</x:v>
      </x:c>
      <x:c r="J229" s="184" t="str">
        <x:v>C/REB 42X10</x:v>
      </x:c>
      <x:c r="K229" s="184" t="str">
        <x:v>RECOBERTO PET TXT</x:v>
      </x:c>
      <x:c r="L229" s="184" t="str">
        <x:v>MOGNO BRASILEIRO</x:v>
      </x:c>
      <x:c r="M229" s="205" t="n">
        <x:v>180</x:v>
      </x:c>
      <x:c r="N229" s="205" t="n">
        <x:v>747</x:v>
      </x:c>
      <x:c r="O229" s="205" t="n">
        <x:v>80</x:v>
      </x:c>
      <x:c r="P229" s="205" t="n">
        <x:v>30</x:v>
      </x:c>
      <x:c r="Q229" s="206" t="n">
        <x:v>0</x:v>
      </x:c>
      <x:c r="R229" s="207" t="str"/>
      <x:c r="S229" s="207" t="str"/>
      <x:c r="T229" s="207" t="str"/>
      <x:c r="U229" s="207" t="n">
        <x:v>0</x:v>
      </x:c>
      <x:c r="V229" s="208" t="n">
        <x:f>MAX(0,M229-U229)</x:f>
        <x:v>180</x:v>
      </x:c>
      <x:c r="W229" s="209" t="n">
        <x:f>IFERROR(U229/M229,0)</x:f>
        <x:v>0</x:v>
      </x:c>
      <x:c r="X229" s="201" t="str">
        <x:f>IF(U229=0,"Não iniciado",IF(U229&gt;=M229,"Concluído","Parcial"))</x:f>
        <x:v>Não iniciado</x:v>
      </x:c>
      <x:c r="Y229" s="199" t="str"/>
      <x:c r="Z229" s="188" t="str">
        <x:v>Normal</x:v>
      </x:c>
    </x:row>
    <x:row r="230" ht="22" customHeight="1">
      <x:c r="A230" s="219" t="n">
        <x:v>226</x:v>
      </x:c>
      <x:c r="B230" s="220" t="str">
        <x:v>26739</x:v>
      </x:c>
      <x:c r="C230" s="220" t="str">
        <x:v>17</x:v>
      </x:c>
      <x:c r="D230" s="220" t="str">
        <x:v>609700</x:v>
      </x:c>
      <x:c r="E230" s="220" t="str">
        <x:v>2010701246</x:v>
      </x:c>
      <x:c r="F230" s="220" t="str">
        <x:v>BATENTE</x:v>
      </x:c>
      <x:c r="G230" s="190" t="str">
        <x:v>M ULTRA PET BCO CAR 667X80X30 42X10 R2L</x:v>
      </x:c>
      <x:c r="H230" s="190" t="str"/>
      <x:c r="I230" s="190" t="str"/>
      <x:c r="J230" s="190" t="str"/>
      <x:c r="K230" s="190" t="str">
        <x:v>ESMALTE</x:v>
      </x:c>
      <x:c r="L230" s="190" t="str">
        <x:v>BRANCO CARRARA</x:v>
      </x:c>
      <x:c r="M230" s="210" t="n">
        <x:v>9</x:v>
      </x:c>
      <x:c r="N230" s="210" t="n">
        <x:v>667</x:v>
      </x:c>
      <x:c r="O230" s="210" t="n">
        <x:v>80</x:v>
      </x:c>
      <x:c r="P230" s="210" t="n">
        <x:v>30</x:v>
      </x:c>
      <x:c r="Q230" s="211" t="n">
        <x:v>3</x:v>
      </x:c>
      <x:c r="R230" s="207" t="str"/>
      <x:c r="S230" s="207" t="str"/>
      <x:c r="T230" s="207" t="str"/>
      <x:c r="U230" s="207" t="n">
        <x:v>0</x:v>
      </x:c>
      <x:c r="V230" s="208" t="n">
        <x:f>MAX(0,M230-U230)</x:f>
        <x:v>9</x:v>
      </x:c>
      <x:c r="W230" s="209" t="n">
        <x:f>IFERROR(U230/M230,0)</x:f>
        <x:v>0</x:v>
      </x:c>
      <x:c r="X230" s="201" t="str">
        <x:f>IF(U230=0,"Não iniciado",IF(U230&gt;=M230,"Concluído","Parcial"))</x:f>
        <x:v>Não iniciado</x:v>
      </x:c>
      <x:c r="Y230" s="199" t="str"/>
      <x:c r="Z230" s="188" t="str">
        <x:v>Normal</x:v>
      </x:c>
    </x:row>
    <x:row r="231" ht="22" customHeight="1">
      <x:c r="A231" s="217" t="n">
        <x:v>227</x:v>
      </x:c>
      <x:c r="B231" s="218" t="str">
        <x:v>26739</x:v>
      </x:c>
      <x:c r="C231" s="218" t="str">
        <x:v>23</x:v>
      </x:c>
      <x:c r="D231" s="218" t="str">
        <x:v>609750</x:v>
      </x:c>
      <x:c r="E231" s="218" t="str">
        <x:v>2010701246</x:v>
      </x:c>
      <x:c r="F231" s="218" t="str">
        <x:v>BATENTE</x:v>
      </x:c>
      <x:c r="G231" s="184" t="str">
        <x:v>M ULTRA PET BCO CAR 667X80X30 42X10 R2L</x:v>
      </x:c>
      <x:c r="H231" s="184" t="str"/>
      <x:c r="I231" s="184" t="str"/>
      <x:c r="J231" s="184" t="str"/>
      <x:c r="K231" s="184" t="str">
        <x:v>ESMALTE</x:v>
      </x:c>
      <x:c r="L231" s="184" t="str">
        <x:v>BRANCO CARRARA</x:v>
      </x:c>
      <x:c r="M231" s="205" t="n">
        <x:v>1</x:v>
      </x:c>
      <x:c r="N231" s="205" t="n">
        <x:v>667</x:v>
      </x:c>
      <x:c r="O231" s="205" t="n">
        <x:v>80</x:v>
      </x:c>
      <x:c r="P231" s="205" t="n">
        <x:v>30</x:v>
      </x:c>
      <x:c r="Q231" s="206" t="n">
        <x:v>0.5</x:v>
      </x:c>
      <x:c r="R231" s="207" t="str"/>
      <x:c r="S231" s="207" t="str"/>
      <x:c r="T231" s="207" t="str"/>
      <x:c r="U231" s="207" t="n">
        <x:v>0</x:v>
      </x:c>
      <x:c r="V231" s="208" t="n">
        <x:f>MAX(0,M231-U231)</x:f>
        <x:v>1</x:v>
      </x:c>
      <x:c r="W231" s="209" t="n">
        <x:f>IFERROR(U231/M231,0)</x:f>
        <x:v>0</x:v>
      </x:c>
      <x:c r="X231" s="201" t="str">
        <x:f>IF(U231=0,"Não iniciado",IF(U231&gt;=M231,"Concluído","Parcial"))</x:f>
        <x:v>Não iniciado</x:v>
      </x:c>
      <x:c r="Y231" s="199" t="str"/>
      <x:c r="Z231" s="188" t="str">
        <x:v>Normal</x:v>
      </x:c>
    </x:row>
    <x:row r="232" ht="22" customHeight="1">
      <x:c r="A232" s="219" t="n">
        <x:v>228</x:v>
      </x:c>
      <x:c r="B232" s="220" t="str">
        <x:v>26750</x:v>
      </x:c>
      <x:c r="C232" s="220" t="str">
        <x:v>20</x:v>
      </x:c>
      <x:c r="D232" s="220" t="str">
        <x:v>609873</x:v>
      </x:c>
      <x:c r="E232" s="220" t="str">
        <x:v>2010701246</x:v>
      </x:c>
      <x:c r="F232" s="220" t="str">
        <x:v>BATENTE</x:v>
      </x:c>
      <x:c r="G232" s="190" t="str">
        <x:v>M ULTRA PET BCO CAR 667X80X30 42X10 R2L</x:v>
      </x:c>
      <x:c r="H232" s="190" t="str"/>
      <x:c r="I232" s="190" t="str"/>
      <x:c r="J232" s="190" t="str"/>
      <x:c r="K232" s="190" t="str">
        <x:v>ESMALTE</x:v>
      </x:c>
      <x:c r="L232" s="190" t="str">
        <x:v>BRANCO CARRARA</x:v>
      </x:c>
      <x:c r="M232" s="210" t="n">
        <x:v>9</x:v>
      </x:c>
      <x:c r="N232" s="210" t="n">
        <x:v>667</x:v>
      </x:c>
      <x:c r="O232" s="210" t="n">
        <x:v>80</x:v>
      </x:c>
      <x:c r="P232" s="210" t="n">
        <x:v>30</x:v>
      </x:c>
      <x:c r="Q232" s="211" t="n">
        <x:v>0.014</x:v>
      </x:c>
      <x:c r="R232" s="207" t="str"/>
      <x:c r="S232" s="207" t="str"/>
      <x:c r="T232" s="207" t="str"/>
      <x:c r="U232" s="207" t="n">
        <x:v>0</x:v>
      </x:c>
      <x:c r="V232" s="208" t="n">
        <x:f>MAX(0,M232-U232)</x:f>
        <x:v>9</x:v>
      </x:c>
      <x:c r="W232" s="209" t="n">
        <x:f>IFERROR(U232/M232,0)</x:f>
        <x:v>0</x:v>
      </x:c>
      <x:c r="X232" s="201" t="str">
        <x:f>IF(U232=0,"Não iniciado",IF(U232&gt;=M232,"Concluído","Parcial"))</x:f>
        <x:v>Não iniciado</x:v>
      </x:c>
      <x:c r="Y232" s="199" t="str"/>
      <x:c r="Z232" s="188" t="str">
        <x:v>Normal</x:v>
      </x:c>
    </x:row>
    <x:row r="233" ht="22" customHeight="1">
      <x:c r="A233" s="217" t="n">
        <x:v>229</x:v>
      </x:c>
      <x:c r="B233" s="218" t="str">
        <x:v>26792</x:v>
      </x:c>
      <x:c r="C233" s="218" t="str">
        <x:v>1</x:v>
      </x:c>
      <x:c r="D233" s="218" t="str">
        <x:v>609418</x:v>
      </x:c>
      <x:c r="E233" s="218" t="str">
        <x:v>2010600170</x:v>
      </x:c>
      <x:c r="F233" s="218" t="str">
        <x:v>BATENTE</x:v>
      </x:c>
      <x:c r="G233" s="184" t="str">
        <x:v>M T MDF STD PET TXT BCO 647X80X30 42X10</x:v>
      </x:c>
      <x:c r="H233" s="184" t="str"/>
      <x:c r="I233" s="184" t="str"/>
      <x:c r="J233" s="184" t="str"/>
      <x:c r="K233" s="184" t="str">
        <x:v>ESMALTE</x:v>
      </x:c>
      <x:c r="L233" s="184" t="str">
        <x:v>BRANCO CARRARA</x:v>
      </x:c>
      <x:c r="M233" s="205" t="n">
        <x:v>137</x:v>
      </x:c>
      <x:c r="N233" s="205" t="n">
        <x:v>647</x:v>
      </x:c>
      <x:c r="O233" s="205" t="n">
        <x:v>80</x:v>
      </x:c>
      <x:c r="P233" s="205" t="n">
        <x:v>30</x:v>
      </x:c>
      <x:c r="Q233" s="206" t="n">
        <x:v>0.213</x:v>
      </x:c>
      <x:c r="R233" s="207" t="str"/>
      <x:c r="S233" s="207" t="str"/>
      <x:c r="T233" s="207" t="str"/>
      <x:c r="U233" s="207" t="n">
        <x:v>0</x:v>
      </x:c>
      <x:c r="V233" s="208" t="n">
        <x:f>MAX(0,M233-U233)</x:f>
        <x:v>137</x:v>
      </x:c>
      <x:c r="W233" s="209" t="n">
        <x:f>IFERROR(U233/M233,0)</x:f>
        <x:v>0</x:v>
      </x:c>
      <x:c r="X233" s="201" t="str">
        <x:f>IF(U233=0,"Não iniciado",IF(U233&gt;=M233,"Concluído","Parcial"))</x:f>
        <x:v>Não iniciado</x:v>
      </x:c>
      <x:c r="Y233" s="199" t="str"/>
      <x:c r="Z233" s="188" t="str">
        <x:v>Normal</x:v>
      </x:c>
    </x:row>
    <x:row r="234" ht="22" customHeight="1">
      <x:c r="A234" s="219" t="n">
        <x:v>230</x:v>
      </x:c>
      <x:c r="B234" s="220" t="str">
        <x:v>26796</x:v>
      </x:c>
      <x:c r="C234" s="220" t="str">
        <x:v>1</x:v>
      </x:c>
      <x:c r="D234" s="220" t="str">
        <x:v>609289</x:v>
      </x:c>
      <x:c r="E234" s="220" t="str">
        <x:v>2010600170</x:v>
      </x:c>
      <x:c r="F234" s="220" t="str">
        <x:v>BATENTE</x:v>
      </x:c>
      <x:c r="G234" s="190" t="str">
        <x:v>M T MDF STD PET TXT BCO 647X80X30 42X10</x:v>
      </x:c>
      <x:c r="H234" s="190" t="str"/>
      <x:c r="I234" s="190" t="str"/>
      <x:c r="J234" s="190" t="str"/>
      <x:c r="K234" s="190" t="str">
        <x:v>ESMALTE</x:v>
      </x:c>
      <x:c r="L234" s="190" t="str">
        <x:v>BRANCO CARRARA</x:v>
      </x:c>
      <x:c r="M234" s="210" t="n">
        <x:v>216</x:v>
      </x:c>
      <x:c r="N234" s="210" t="n">
        <x:v>647</x:v>
      </x:c>
      <x:c r="O234" s="210" t="n">
        <x:v>80</x:v>
      </x:c>
      <x:c r="P234" s="210" t="n">
        <x:v>30</x:v>
      </x:c>
      <x:c r="Q234" s="211" t="n">
        <x:v>0.335</x:v>
      </x:c>
      <x:c r="R234" s="207" t="str"/>
      <x:c r="S234" s="207" t="str"/>
      <x:c r="T234" s="207" t="str"/>
      <x:c r="U234" s="207" t="n">
        <x:v>0</x:v>
      </x:c>
      <x:c r="V234" s="208" t="n">
        <x:f>MAX(0,M234-U234)</x:f>
        <x:v>216</x:v>
      </x:c>
      <x:c r="W234" s="209" t="n">
        <x:f>IFERROR(U234/M234,0)</x:f>
        <x:v>0</x:v>
      </x:c>
      <x:c r="X234" s="201" t="str">
        <x:f>IF(U234=0,"Não iniciado",IF(U234&gt;=M234,"Concluído","Parcial"))</x:f>
        <x:v>Não iniciado</x:v>
      </x:c>
      <x:c r="Y234" s="199" t="str"/>
      <x:c r="Z234" s="188" t="str">
        <x:v>Normal</x:v>
      </x:c>
    </x:row>
    <x:row r="235" ht="22" customHeight="1">
      <x:c r="A235" s="217" t="n">
        <x:v>231</x:v>
      </x:c>
      <x:c r="B235" s="218" t="str">
        <x:v>26799</x:v>
      </x:c>
      <x:c r="C235" s="218" t="str">
        <x:v>1</x:v>
      </x:c>
      <x:c r="D235" s="218" t="str">
        <x:v>609394</x:v>
      </x:c>
      <x:c r="E235" s="218" t="str">
        <x:v>2010600170</x:v>
      </x:c>
      <x:c r="F235" s="218" t="str">
        <x:v>BATENTE</x:v>
      </x:c>
      <x:c r="G235" s="184" t="str">
        <x:v>M T MDF STD PET TXT BCO 647X80X30 42X10</x:v>
      </x:c>
      <x:c r="H235" s="184" t="str"/>
      <x:c r="I235" s="184" t="str"/>
      <x:c r="J235" s="184" t="str"/>
      <x:c r="K235" s="184" t="str">
        <x:v>ESMALTE</x:v>
      </x:c>
      <x:c r="L235" s="184" t="str">
        <x:v>BRANCO CARRARA</x:v>
      </x:c>
      <x:c r="M235" s="205" t="n">
        <x:v>72</x:v>
      </x:c>
      <x:c r="N235" s="205" t="n">
        <x:v>647</x:v>
      </x:c>
      <x:c r="O235" s="205" t="n">
        <x:v>80</x:v>
      </x:c>
      <x:c r="P235" s="205" t="n">
        <x:v>30</x:v>
      </x:c>
      <x:c r="Q235" s="206" t="n">
        <x:v>0.112</x:v>
      </x:c>
      <x:c r="R235" s="207" t="str"/>
      <x:c r="S235" s="207" t="str"/>
      <x:c r="T235" s="207" t="str"/>
      <x:c r="U235" s="207" t="n">
        <x:v>0</x:v>
      </x:c>
      <x:c r="V235" s="208" t="n">
        <x:f>MAX(0,M235-U235)</x:f>
        <x:v>72</x:v>
      </x:c>
      <x:c r="W235" s="209" t="n">
        <x:f>IFERROR(U235/M235,0)</x:f>
        <x:v>0</x:v>
      </x:c>
      <x:c r="X235" s="201" t="str">
        <x:f>IF(U235=0,"Não iniciado",IF(U235&gt;=M235,"Concluído","Parcial"))</x:f>
        <x:v>Não iniciado</x:v>
      </x:c>
      <x:c r="Y235" s="199" t="str"/>
      <x:c r="Z235" s="188" t="str">
        <x:v>Normal</x:v>
      </x:c>
    </x:row>
    <x:row r="236" ht="22" customHeight="1">
      <x:c r="A236" s="219" t="n">
        <x:v>232</x:v>
      </x:c>
      <x:c r="B236" s="220" t="str">
        <x:v>26815</x:v>
      </x:c>
      <x:c r="C236" s="220" t="str">
        <x:v>1</x:v>
      </x:c>
      <x:c r="D236" s="220" t="str">
        <x:v>609487</x:v>
      </x:c>
      <x:c r="E236" s="220" t="str">
        <x:v>2010600170</x:v>
      </x:c>
      <x:c r="F236" s="220" t="str">
        <x:v>BATENTE</x:v>
      </x:c>
      <x:c r="G236" s="190" t="str">
        <x:v>M T MDF STD PET TXT BCO 647X80X30 42X10</x:v>
      </x:c>
      <x:c r="H236" s="190" t="str"/>
      <x:c r="I236" s="190" t="str"/>
      <x:c r="J236" s="190" t="str"/>
      <x:c r="K236" s="190" t="str">
        <x:v>ESMALTE</x:v>
      </x:c>
      <x:c r="L236" s="190" t="str">
        <x:v>BRANCO CARRARA</x:v>
      </x:c>
      <x:c r="M236" s="210" t="n">
        <x:v>154</x:v>
      </x:c>
      <x:c r="N236" s="210" t="n">
        <x:v>647</x:v>
      </x:c>
      <x:c r="O236" s="210" t="n">
        <x:v>80</x:v>
      </x:c>
      <x:c r="P236" s="210" t="n">
        <x:v>30</x:v>
      </x:c>
      <x:c r="Q236" s="211" t="n">
        <x:v>0.239</x:v>
      </x:c>
      <x:c r="R236" s="207" t="str"/>
      <x:c r="S236" s="207" t="str"/>
      <x:c r="T236" s="207" t="str"/>
      <x:c r="U236" s="207" t="n">
        <x:v>0</x:v>
      </x:c>
      <x:c r="V236" s="208" t="n">
        <x:f>MAX(0,M236-U236)</x:f>
        <x:v>154</x:v>
      </x:c>
      <x:c r="W236" s="209" t="n">
        <x:f>IFERROR(U236/M236,0)</x:f>
        <x:v>0</x:v>
      </x:c>
      <x:c r="X236" s="201" t="str">
        <x:f>IF(U236=0,"Não iniciado",IF(U236&gt;=M236,"Concluído","Parcial"))</x:f>
        <x:v>Não iniciado</x:v>
      </x:c>
      <x:c r="Y236" s="199" t="str"/>
      <x:c r="Z236" s="188" t="str">
        <x:v>Normal</x:v>
      </x:c>
    </x:row>
    <x:row r="237" ht="22" customHeight="1">
      <x:c r="A237" s="217" t="n">
        <x:v>233</x:v>
      </x:c>
      <x:c r="B237" s="218" t="str">
        <x:v>26747</x:v>
      </x:c>
      <x:c r="C237" s="218" t="str">
        <x:v>3</x:v>
      </x:c>
      <x:c r="D237" s="218" t="str">
        <x:v>609002</x:v>
      </x:c>
      <x:c r="E237" s="218" t="str">
        <x:v>966183</x:v>
      </x:c>
      <x:c r="F237" s="218" t="str">
        <x:v>ALIZAR</x:v>
      </x:c>
      <x:c r="G237" s="184" t="str">
        <x:v>P A 2250X70X15 RTO RL55 RC PET BCO (UL)</x:v>
      </x:c>
      <x:c r="H237" s="184" t="str">
        <x:v>REG 2L(MAIOR 55MM)</x:v>
      </x:c>
      <x:c r="I237" s="184" t="str"/>
      <x:c r="J237" s="184" t="str"/>
      <x:c r="K237" s="184" t="str">
        <x:v>RECOBERTO PET</x:v>
      </x:c>
      <x:c r="L237" s="184" t="str">
        <x:v>BRANCO CARRARA</x:v>
      </x:c>
      <x:c r="M237" s="205" t="n">
        <x:v>18</x:v>
      </x:c>
      <x:c r="N237" s="205" t="n">
        <x:v>2250</x:v>
      </x:c>
      <x:c r="O237" s="205" t="n">
        <x:v>70</x:v>
      </x:c>
      <x:c r="P237" s="205" t="n">
        <x:v>15</x:v>
      </x:c>
      <x:c r="Q237" s="206" t="n">
        <x:v>0</x:v>
      </x:c>
      <x:c r="R237" s="207" t="str"/>
      <x:c r="S237" s="207" t="str"/>
      <x:c r="T237" s="207" t="str"/>
      <x:c r="U237" s="207" t="n">
        <x:v>0</x:v>
      </x:c>
      <x:c r="V237" s="208" t="n">
        <x:f>MAX(0,M237-U237)</x:f>
        <x:v>18</x:v>
      </x:c>
      <x:c r="W237" s="209" t="n">
        <x:f>IFERROR(U237/M237,0)</x:f>
        <x:v>0</x:v>
      </x:c>
      <x:c r="X237" s="201" t="str">
        <x:f>IF(U237=0,"Não iniciado",IF(U237&gt;=M237,"Concluído","Parcial"))</x:f>
        <x:v>Não iniciado</x:v>
      </x:c>
      <x:c r="Y237" s="199" t="str"/>
      <x:c r="Z237" s="188" t="str">
        <x:v>Normal</x:v>
      </x:c>
    </x:row>
    <x:row r="238" ht="22" customHeight="1">
      <x:c r="A238" s="219" t="n">
        <x:v>234</x:v>
      </x:c>
      <x:c r="B238" s="220" t="str">
        <x:v>26747</x:v>
      </x:c>
      <x:c r="C238" s="220" t="str">
        <x:v>3</x:v>
      </x:c>
      <x:c r="D238" s="220" t="str">
        <x:v>609003</x:v>
      </x:c>
      <x:c r="E238" s="220" t="str">
        <x:v>966186</x:v>
      </x:c>
      <x:c r="F238" s="220" t="str">
        <x:v>ALIZAR</x:v>
      </x:c>
      <x:c r="G238" s="190" t="str">
        <x:v>P A 2250X70X15 RTO LME RC PET BCO (UL)</x:v>
      </x:c>
      <x:c r="H238" s="190" t="str">
        <x:v>REG 2L(MAIOR 55MM)</x:v>
      </x:c>
      <x:c r="I238" s="190" t="str"/>
      <x:c r="J238" s="190" t="str"/>
      <x:c r="K238" s="190" t="str">
        <x:v>RECOBERTO PET</x:v>
      </x:c>
      <x:c r="L238" s="190" t="str">
        <x:v>BRANCO CARRARA</x:v>
      </x:c>
      <x:c r="M238" s="210" t="n">
        <x:v>18</x:v>
      </x:c>
      <x:c r="N238" s="210" t="n">
        <x:v>2250</x:v>
      </x:c>
      <x:c r="O238" s="210" t="n">
        <x:v>70</x:v>
      </x:c>
      <x:c r="P238" s="210" t="n">
        <x:v>15</x:v>
      </x:c>
      <x:c r="Q238" s="211" t="n">
        <x:v>0</x:v>
      </x:c>
      <x:c r="R238" s="207" t="str"/>
      <x:c r="S238" s="207" t="str"/>
      <x:c r="T238" s="207" t="str"/>
      <x:c r="U238" s="207" t="n">
        <x:v>0</x:v>
      </x:c>
      <x:c r="V238" s="208" t="n">
        <x:f>MAX(0,M238-U238)</x:f>
        <x:v>18</x:v>
      </x:c>
      <x:c r="W238" s="209" t="n">
        <x:f>IFERROR(U238/M238,0)</x:f>
        <x:v>0</x:v>
      </x:c>
      <x:c r="X238" s="201" t="str">
        <x:f>IF(U238=0,"Não iniciado",IF(U238&gt;=M238,"Concluído","Parcial"))</x:f>
        <x:v>Não iniciado</x:v>
      </x:c>
      <x:c r="Y238" s="199" t="str"/>
      <x:c r="Z238" s="188" t="str">
        <x:v>Normal</x:v>
      </x:c>
    </x:row>
    <x:row r="239" ht="22" customHeight="1">
      <x:c r="A239" s="217" t="n">
        <x:v>235</x:v>
      </x:c>
      <x:c r="B239" s="218" t="str">
        <x:v>26809</x:v>
      </x:c>
      <x:c r="C239" s="218" t="str">
        <x:v>11</x:v>
      </x:c>
      <x:c r="D239" s="218" t="str">
        <x:v>609957</x:v>
      </x:c>
      <x:c r="E239" s="218" t="str">
        <x:v>968525</x:v>
      </x:c>
      <x:c r="F239" s="218" t="str">
        <x:v>ALIZAR</x:v>
      </x:c>
      <x:c r="G239" s="184" t="str">
        <x:v>P A 2250X70X09 RTO RL55 RC PET CAPUCC UL</x:v>
      </x:c>
      <x:c r="H239" s="184" t="str">
        <x:v>REG 2L(MAIOR 55MM)</x:v>
      </x:c>
      <x:c r="I239" s="184" t="str"/>
      <x:c r="J239" s="184" t="str"/>
      <x:c r="K239" s="184" t="str">
        <x:v>RECOBERTO PET</x:v>
      </x:c>
      <x:c r="L239" s="184" t="str">
        <x:v>CAPUCCINO MARCHE</x:v>
      </x:c>
      <x:c r="M239" s="205" t="n">
        <x:v>24</x:v>
      </x:c>
      <x:c r="N239" s="205" t="n">
        <x:v>2250</x:v>
      </x:c>
      <x:c r="O239" s="205" t="n">
        <x:v>70</x:v>
      </x:c>
      <x:c r="P239" s="205" t="n">
        <x:v>9</x:v>
      </x:c>
      <x:c r="Q239" s="206" t="n">
        <x:v>0.034</x:v>
      </x:c>
      <x:c r="R239" s="207" t="str"/>
      <x:c r="S239" s="207" t="str"/>
      <x:c r="T239" s="207" t="str"/>
      <x:c r="U239" s="207" t="n">
        <x:v>0</x:v>
      </x:c>
      <x:c r="V239" s="208" t="n">
        <x:f>MAX(0,M239-U239)</x:f>
        <x:v>24</x:v>
      </x:c>
      <x:c r="W239" s="209" t="n">
        <x:f>IFERROR(U239/M239,0)</x:f>
        <x:v>0</x:v>
      </x:c>
      <x:c r="X239" s="201" t="str">
        <x:f>IF(U239=0,"Não iniciado",IF(U239&gt;=M239,"Concluído","Parcial"))</x:f>
        <x:v>Não iniciado</x:v>
      </x:c>
      <x:c r="Y239" s="199" t="str"/>
      <x:c r="Z239" s="188" t="str">
        <x:v>Normal</x:v>
      </x:c>
    </x:row>
    <x:row r="240" ht="22" customHeight="1">
      <x:c r="A240" s="219" t="n">
        <x:v>236</x:v>
      </x:c>
      <x:c r="B240" s="220" t="str">
        <x:v>26809</x:v>
      </x:c>
      <x:c r="C240" s="220" t="str">
        <x:v>11</x:v>
      </x:c>
      <x:c r="D240" s="220" t="str">
        <x:v>609959</x:v>
      </x:c>
      <x:c r="E240" s="220" t="str">
        <x:v>968527</x:v>
      </x:c>
      <x:c r="F240" s="220" t="str">
        <x:v>ALIZAR</x:v>
      </x:c>
      <x:c r="G240" s="190" t="str">
        <x:v>P A 2250X70X09 RTO LME RC PET CAPUCC (UL</x:v>
      </x:c>
      <x:c r="H240" s="190" t="str">
        <x:v>REG 2L(MAIOR 55MM)</x:v>
      </x:c>
      <x:c r="I240" s="190" t="str"/>
      <x:c r="J240" s="190" t="str"/>
      <x:c r="K240" s="190" t="str">
        <x:v>RECOBERTO PET</x:v>
      </x:c>
      <x:c r="L240" s="190" t="str">
        <x:v>CAPUCCINO MARCHE</x:v>
      </x:c>
      <x:c r="M240" s="210" t="n">
        <x:v>24</x:v>
      </x:c>
      <x:c r="N240" s="210" t="n">
        <x:v>2250</x:v>
      </x:c>
      <x:c r="O240" s="210" t="n">
        <x:v>70</x:v>
      </x:c>
      <x:c r="P240" s="210" t="n">
        <x:v>9</x:v>
      </x:c>
      <x:c r="Q240" s="211" t="n">
        <x:v>0.034</x:v>
      </x:c>
      <x:c r="R240" s="207" t="str"/>
      <x:c r="S240" s="207" t="str"/>
      <x:c r="T240" s="207" t="str"/>
      <x:c r="U240" s="207" t="n">
        <x:v>0</x:v>
      </x:c>
      <x:c r="V240" s="208" t="n">
        <x:f>MAX(0,M240-U240)</x:f>
        <x:v>24</x:v>
      </x:c>
      <x:c r="W240" s="209" t="n">
        <x:f>IFERROR(U240/M240,0)</x:f>
        <x:v>0</x:v>
      </x:c>
      <x:c r="X240" s="201" t="str">
        <x:f>IF(U240=0,"Não iniciado",IF(U240&gt;=M240,"Concluído","Parcial"))</x:f>
        <x:v>Não iniciado</x:v>
      </x:c>
      <x:c r="Y240" s="199" t="str"/>
      <x:c r="Z240" s="188" t="str">
        <x:v>Normal</x:v>
      </x:c>
    </x:row>
    <x:row r="241" ht="22" customHeight="1">
      <x:c r="A241" s="217" t="n">
        <x:v>237</x:v>
      </x:c>
      <x:c r="B241" s="218" t="str">
        <x:v>26800</x:v>
      </x:c>
      <x:c r="C241" s="218" t="str">
        <x:v>5</x:v>
      </x:c>
      <x:c r="D241" s="218" t="str">
        <x:v>609979</x:v>
      </x:c>
      <x:c r="E241" s="218" t="str">
        <x:v>979737</x:v>
      </x:c>
      <x:c r="F241" s="218" t="str">
        <x:v>ALIZAR</x:v>
      </x:c>
      <x:c r="G241" s="184" t="str">
        <x:v>P A 2250X70X9 RTO RL55 PET MALVA(ULTRA)</x:v>
      </x:c>
      <x:c r="H241" s="184" t="str">
        <x:v>REG 2L(MAIOR 55MM)</x:v>
      </x:c>
      <x:c r="I241" s="184" t="str"/>
      <x:c r="J241" s="184" t="str"/>
      <x:c r="K241" s="184" t="str">
        <x:v>RECOBERTO PET</x:v>
      </x:c>
      <x:c r="L241" s="184" t="str">
        <x:v>CARVALHO MALVA</x:v>
      </x:c>
      <x:c r="M241" s="205" t="n">
        <x:v>12</x:v>
      </x:c>
      <x:c r="N241" s="205" t="n">
        <x:v>2250</x:v>
      </x:c>
      <x:c r="O241" s="205" t="n">
        <x:v>70</x:v>
      </x:c>
      <x:c r="P241" s="205" t="n">
        <x:v>9</x:v>
      </x:c>
      <x:c r="Q241" s="206" t="n">
        <x:v>0</x:v>
      </x:c>
      <x:c r="R241" s="207" t="str"/>
      <x:c r="S241" s="207" t="str"/>
      <x:c r="T241" s="207" t="str"/>
      <x:c r="U241" s="207" t="n">
        <x:v>0</x:v>
      </x:c>
      <x:c r="V241" s="208" t="n">
        <x:f>MAX(0,M241-U241)</x:f>
        <x:v>12</x:v>
      </x:c>
      <x:c r="W241" s="209" t="n">
        <x:f>IFERROR(U241/M241,0)</x:f>
        <x:v>0</x:v>
      </x:c>
      <x:c r="X241" s="201" t="str">
        <x:f>IF(U241=0,"Não iniciado",IF(U241&gt;=M241,"Concluído","Parcial"))</x:f>
        <x:v>Não iniciado</x:v>
      </x:c>
      <x:c r="Y241" s="199" t="str"/>
      <x:c r="Z241" s="188" t="str">
        <x:v>Normal</x:v>
      </x:c>
    </x:row>
    <x:row r="242" ht="22" customHeight="1">
      <x:c r="A242" s="219" t="n">
        <x:v>238</x:v>
      </x:c>
      <x:c r="B242" s="220" t="str">
        <x:v>26684</x:v>
      </x:c>
      <x:c r="C242" s="220" t="str">
        <x:v>1</x:v>
      </x:c>
      <x:c r="D242" s="220" t="str">
        <x:v>609110</x:v>
      </x:c>
      <x:c r="E242" s="220" t="str">
        <x:v>956042</x:v>
      </x:c>
      <x:c r="F242" s="220" t="str">
        <x:v>OUTROS</x:v>
      </x:c>
      <x:c r="G242" s="190" t="str">
        <x:v>2250X70X15 RTO LME REC PET BCO IMP(STD)</x:v>
      </x:c>
      <x:c r="H242" s="190" t="str"/>
      <x:c r="I242" s="190" t="str"/>
      <x:c r="J242" s="190" t="str"/>
      <x:c r="K242" s="190" t="str">
        <x:v>ESMALTE</x:v>
      </x:c>
      <x:c r="L242" s="190" t="str">
        <x:v>BRANCO CARRARA</x:v>
      </x:c>
      <x:c r="M242" s="210" t="n">
        <x:v>2</x:v>
      </x:c>
      <x:c r="N242" s="210" t="n">
        <x:v>2250</x:v>
      </x:c>
      <x:c r="O242" s="210" t="n">
        <x:v>70</x:v>
      </x:c>
      <x:c r="P242" s="210" t="n">
        <x:v>15</x:v>
      </x:c>
      <x:c r="Q242" s="211" t="n">
        <x:v>0</x:v>
      </x:c>
      <x:c r="R242" s="207" t="str"/>
      <x:c r="S242" s="207" t="str"/>
      <x:c r="T242" s="207" t="str"/>
      <x:c r="U242" s="207" t="n">
        <x:v>0</x:v>
      </x:c>
      <x:c r="V242" s="208" t="n">
        <x:f>MAX(0,M242-U242)</x:f>
        <x:v>2</x:v>
      </x:c>
      <x:c r="W242" s="209" t="n">
        <x:f>IFERROR(U242/M242,0)</x:f>
        <x:v>0</x:v>
      </x:c>
      <x:c r="X242" s="201" t="str">
        <x:f>IF(U242=0,"Não iniciado",IF(U242&gt;=M242,"Concluído","Parcial"))</x:f>
        <x:v>Não iniciado</x:v>
      </x:c>
      <x:c r="Y242" s="199" t="str"/>
      <x:c r="Z242" s="188" t="str">
        <x:v>Normal</x:v>
      </x:c>
    </x:row>
    <x:row r="243" ht="22" customHeight="1">
      <x:c r="A243" s="217" t="n">
        <x:v>239</x:v>
      </x:c>
      <x:c r="B243" s="218" t="str">
        <x:v>26684</x:v>
      </x:c>
      <x:c r="C243" s="218" t="str">
        <x:v>1</x:v>
      </x:c>
      <x:c r="D243" s="218" t="str">
        <x:v>609113</x:v>
      </x:c>
      <x:c r="E243" s="218" t="str">
        <x:v>971354</x:v>
      </x:c>
      <x:c r="F243" s="218" t="str">
        <x:v>OUTROS</x:v>
      </x:c>
      <x:c r="G243" s="184" t="str">
        <x:v>PER ALI 2250X70X15 RT RL55RC PET BCO STD</x:v>
      </x:c>
      <x:c r="H243" s="184" t="str"/>
      <x:c r="I243" s="184" t="str"/>
      <x:c r="J243" s="184" t="str"/>
      <x:c r="K243" s="184" t="str">
        <x:v>ESMALTE</x:v>
      </x:c>
      <x:c r="L243" s="184" t="str">
        <x:v>BRANCO CARRARA</x:v>
      </x:c>
      <x:c r="M243" s="205" t="n">
        <x:v>2</x:v>
      </x:c>
      <x:c r="N243" s="205" t="n">
        <x:v>2250</x:v>
      </x:c>
      <x:c r="O243" s="205" t="n">
        <x:v>70</x:v>
      </x:c>
      <x:c r="P243" s="205" t="n">
        <x:v>15</x:v>
      </x:c>
      <x:c r="Q243" s="206" t="n">
        <x:v>0</x:v>
      </x:c>
      <x:c r="R243" s="207" t="str"/>
      <x:c r="S243" s="207" t="str"/>
      <x:c r="T243" s="207" t="str"/>
      <x:c r="U243" s="207" t="n">
        <x:v>0</x:v>
      </x:c>
      <x:c r="V243" s="208" t="n">
        <x:f>MAX(0,M243-U243)</x:f>
        <x:v>2</x:v>
      </x:c>
      <x:c r="W243" s="209" t="n">
        <x:f>IFERROR(U243/M243,0)</x:f>
        <x:v>0</x:v>
      </x:c>
      <x:c r="X243" s="201" t="str">
        <x:f>IF(U243=0,"Não iniciado",IF(U243&gt;=M243,"Concluído","Parcial"))</x:f>
        <x:v>Não iniciado</x:v>
      </x:c>
      <x:c r="Y243" s="199" t="str"/>
      <x:c r="Z243" s="188" t="str">
        <x:v>Normal</x:v>
      </x:c>
    </x:row>
    <x:row r="244" ht="22" customHeight="1">
      <x:c r="A244" s="219" t="n">
        <x:v>240</x:v>
      </x:c>
      <x:c r="B244" s="220" t="str">
        <x:v>26684</x:v>
      </x:c>
      <x:c r="C244" s="220" t="str">
        <x:v>2</x:v>
      </x:c>
      <x:c r="D244" s="220" t="str">
        <x:v>609118</x:v>
      </x:c>
      <x:c r="E244" s="220" t="str">
        <x:v>956042</x:v>
      </x:c>
      <x:c r="F244" s="220" t="str">
        <x:v>OUTROS</x:v>
      </x:c>
      <x:c r="G244" s="190" t="str">
        <x:v>2250X70X15 RTO LME REC PET BCO IMP(STD)</x:v>
      </x:c>
      <x:c r="H244" s="190" t="str"/>
      <x:c r="I244" s="190" t="str"/>
      <x:c r="J244" s="190" t="str"/>
      <x:c r="K244" s="190" t="str">
        <x:v>ESMALTE</x:v>
      </x:c>
      <x:c r="L244" s="190" t="str">
        <x:v>BRANCO CARRARA</x:v>
      </x:c>
      <x:c r="M244" s="210" t="n">
        <x:v>56</x:v>
      </x:c>
      <x:c r="N244" s="210" t="n">
        <x:v>2250</x:v>
      </x:c>
      <x:c r="O244" s="210" t="n">
        <x:v>70</x:v>
      </x:c>
      <x:c r="P244" s="210" t="n">
        <x:v>15</x:v>
      </x:c>
      <x:c r="Q244" s="211" t="n">
        <x:v>0</x:v>
      </x:c>
      <x:c r="R244" s="207" t="str"/>
      <x:c r="S244" s="207" t="str"/>
      <x:c r="T244" s="207" t="str"/>
      <x:c r="U244" s="207" t="n">
        <x:v>0</x:v>
      </x:c>
      <x:c r="V244" s="208" t="n">
        <x:f>MAX(0,M244-U244)</x:f>
        <x:v>56</x:v>
      </x:c>
      <x:c r="W244" s="209" t="n">
        <x:f>IFERROR(U244/M244,0)</x:f>
        <x:v>0</x:v>
      </x:c>
      <x:c r="X244" s="201" t="str">
        <x:f>IF(U244=0,"Não iniciado",IF(U244&gt;=M244,"Concluído","Parcial"))</x:f>
        <x:v>Não iniciado</x:v>
      </x:c>
      <x:c r="Y244" s="199" t="str"/>
      <x:c r="Z244" s="188" t="str">
        <x:v>Normal</x:v>
      </x:c>
    </x:row>
    <x:row r="245" ht="22" customHeight="1">
      <x:c r="A245" s="217" t="n">
        <x:v>241</x:v>
      </x:c>
      <x:c r="B245" s="218" t="str">
        <x:v>26684</x:v>
      </x:c>
      <x:c r="C245" s="218" t="str">
        <x:v>2</x:v>
      </x:c>
      <x:c r="D245" s="218" t="str">
        <x:v>609119</x:v>
      </x:c>
      <x:c r="E245" s="218" t="str">
        <x:v>971354</x:v>
      </x:c>
      <x:c r="F245" s="218" t="str">
        <x:v>OUTROS</x:v>
      </x:c>
      <x:c r="G245" s="184" t="str">
        <x:v>PER ALI 2250X70X15 RT RL55RC PET BCO STD</x:v>
      </x:c>
      <x:c r="H245" s="184" t="str"/>
      <x:c r="I245" s="184" t="str"/>
      <x:c r="J245" s="184" t="str"/>
      <x:c r="K245" s="184" t="str">
        <x:v>ESMALTE</x:v>
      </x:c>
      <x:c r="L245" s="184" t="str">
        <x:v>BRANCO CARRARA</x:v>
      </x:c>
      <x:c r="M245" s="205" t="n">
        <x:v>56</x:v>
      </x:c>
      <x:c r="N245" s="205" t="n">
        <x:v>2250</x:v>
      </x:c>
      <x:c r="O245" s="205" t="n">
        <x:v>70</x:v>
      </x:c>
      <x:c r="P245" s="205" t="n">
        <x:v>15</x:v>
      </x:c>
      <x:c r="Q245" s="206" t="n">
        <x:v>0</x:v>
      </x:c>
      <x:c r="R245" s="207" t="str"/>
      <x:c r="S245" s="207" t="str"/>
      <x:c r="T245" s="207" t="str"/>
      <x:c r="U245" s="207" t="n">
        <x:v>0</x:v>
      </x:c>
      <x:c r="V245" s="208" t="n">
        <x:f>MAX(0,M245-U245)</x:f>
        <x:v>56</x:v>
      </x:c>
      <x:c r="W245" s="209" t="n">
        <x:f>IFERROR(U245/M245,0)</x:f>
        <x:v>0</x:v>
      </x:c>
      <x:c r="X245" s="201" t="str">
        <x:f>IF(U245=0,"Não iniciado",IF(U245&gt;=M245,"Concluído","Parcial"))</x:f>
        <x:v>Não iniciado</x:v>
      </x:c>
      <x:c r="Y245" s="199" t="str"/>
      <x:c r="Z245" s="188" t="str">
        <x:v>Normal</x:v>
      </x:c>
    </x:row>
    <x:row r="246" ht="22" customHeight="1">
      <x:c r="A246" s="219" t="n">
        <x:v>242</x:v>
      </x:c>
      <x:c r="B246" s="220" t="str">
        <x:v>26684</x:v>
      </x:c>
      <x:c r="C246" s="220" t="str">
        <x:v>3</x:v>
      </x:c>
      <x:c r="D246" s="220" t="str">
        <x:v>609126</x:v>
      </x:c>
      <x:c r="E246" s="220" t="str">
        <x:v>956042</x:v>
      </x:c>
      <x:c r="F246" s="220" t="str">
        <x:v>OUTROS</x:v>
      </x:c>
      <x:c r="G246" s="190" t="str">
        <x:v>2250X70X15 RTO LME REC PET BCO IMP(STD)</x:v>
      </x:c>
      <x:c r="H246" s="190" t="str"/>
      <x:c r="I246" s="190" t="str"/>
      <x:c r="J246" s="190" t="str"/>
      <x:c r="K246" s="190" t="str">
        <x:v>ESMALTE</x:v>
      </x:c>
      <x:c r="L246" s="190" t="str">
        <x:v>BRANCO CARRARA</x:v>
      </x:c>
      <x:c r="M246" s="210" t="n">
        <x:v>6</x:v>
      </x:c>
      <x:c r="N246" s="210" t="n">
        <x:v>2250</x:v>
      </x:c>
      <x:c r="O246" s="210" t="n">
        <x:v>70</x:v>
      </x:c>
      <x:c r="P246" s="210" t="n">
        <x:v>15</x:v>
      </x:c>
      <x:c r="Q246" s="211" t="n">
        <x:v>0</x:v>
      </x:c>
      <x:c r="R246" s="207" t="str"/>
      <x:c r="S246" s="207" t="str"/>
      <x:c r="T246" s="207" t="str"/>
      <x:c r="U246" s="207" t="n">
        <x:v>0</x:v>
      </x:c>
      <x:c r="V246" s="208" t="n">
        <x:f>MAX(0,M246-U246)</x:f>
        <x:v>6</x:v>
      </x:c>
      <x:c r="W246" s="209" t="n">
        <x:f>IFERROR(U246/M246,0)</x:f>
        <x:v>0</x:v>
      </x:c>
      <x:c r="X246" s="201" t="str">
        <x:f>IF(U246=0,"Não iniciado",IF(U246&gt;=M246,"Concluído","Parcial"))</x:f>
        <x:v>Não iniciado</x:v>
      </x:c>
      <x:c r="Y246" s="199" t="str"/>
      <x:c r="Z246" s="188" t="str">
        <x:v>Normal</x:v>
      </x:c>
    </x:row>
    <x:row r="247" ht="22" customHeight="1">
      <x:c r="A247" s="217" t="n">
        <x:v>243</x:v>
      </x:c>
      <x:c r="B247" s="218" t="str">
        <x:v>26684</x:v>
      </x:c>
      <x:c r="C247" s="218" t="str">
        <x:v>3</x:v>
      </x:c>
      <x:c r="D247" s="218" t="str">
        <x:v>609129</x:v>
      </x:c>
      <x:c r="E247" s="218" t="str">
        <x:v>971354</x:v>
      </x:c>
      <x:c r="F247" s="218" t="str">
        <x:v>OUTROS</x:v>
      </x:c>
      <x:c r="G247" s="184" t="str">
        <x:v>PER ALI 2250X70X15 RT RL55RC PET BCO STD</x:v>
      </x:c>
      <x:c r="H247" s="184" t="str"/>
      <x:c r="I247" s="184" t="str"/>
      <x:c r="J247" s="184" t="str"/>
      <x:c r="K247" s="184" t="str">
        <x:v>ESMALTE</x:v>
      </x:c>
      <x:c r="L247" s="184" t="str">
        <x:v>BRANCO CARRARA</x:v>
      </x:c>
      <x:c r="M247" s="205" t="n">
        <x:v>6</x:v>
      </x:c>
      <x:c r="N247" s="205" t="n">
        <x:v>2250</x:v>
      </x:c>
      <x:c r="O247" s="205" t="n">
        <x:v>70</x:v>
      </x:c>
      <x:c r="P247" s="205" t="n">
        <x:v>15</x:v>
      </x:c>
      <x:c r="Q247" s="206" t="n">
        <x:v>0</x:v>
      </x:c>
      <x:c r="R247" s="207" t="str"/>
      <x:c r="S247" s="207" t="str"/>
      <x:c r="T247" s="207" t="str"/>
      <x:c r="U247" s="207" t="n">
        <x:v>0</x:v>
      </x:c>
      <x:c r="V247" s="208" t="n">
        <x:f>MAX(0,M247-U247)</x:f>
        <x:v>6</x:v>
      </x:c>
      <x:c r="W247" s="209" t="n">
        <x:f>IFERROR(U247/M247,0)</x:f>
        <x:v>0</x:v>
      </x:c>
      <x:c r="X247" s="201" t="str">
        <x:f>IF(U247=0,"Não iniciado",IF(U247&gt;=M247,"Concluído","Parcial"))</x:f>
        <x:v>Não iniciado</x:v>
      </x:c>
      <x:c r="Y247" s="199" t="str"/>
      <x:c r="Z247" s="188" t="str">
        <x:v>Normal</x:v>
      </x:c>
    </x:row>
    <x:row r="248" ht="22" customHeight="1">
      <x:c r="A248" s="219" t="n">
        <x:v>244</x:v>
      </x:c>
      <x:c r="B248" s="220" t="str">
        <x:v>26684</x:v>
      </x:c>
      <x:c r="C248" s="220" t="str">
        <x:v>4</x:v>
      </x:c>
      <x:c r="D248" s="220" t="str">
        <x:v>609134</x:v>
      </x:c>
      <x:c r="E248" s="220" t="str">
        <x:v>956042</x:v>
      </x:c>
      <x:c r="F248" s="220" t="str">
        <x:v>OUTROS</x:v>
      </x:c>
      <x:c r="G248" s="190" t="str">
        <x:v>2250X70X15 RTO LME REC PET BCO IMP(STD)</x:v>
      </x:c>
      <x:c r="H248" s="190" t="str"/>
      <x:c r="I248" s="190" t="str"/>
      <x:c r="J248" s="190" t="str"/>
      <x:c r="K248" s="190" t="str">
        <x:v>ESMALTE</x:v>
      </x:c>
      <x:c r="L248" s="190" t="str">
        <x:v>BRANCO CARRARA</x:v>
      </x:c>
      <x:c r="M248" s="210" t="n">
        <x:v>110</x:v>
      </x:c>
      <x:c r="N248" s="210" t="n">
        <x:v>2250</x:v>
      </x:c>
      <x:c r="O248" s="210" t="n">
        <x:v>70</x:v>
      </x:c>
      <x:c r="P248" s="210" t="n">
        <x:v>15</x:v>
      </x:c>
      <x:c r="Q248" s="211" t="n">
        <x:v>0</x:v>
      </x:c>
      <x:c r="R248" s="207" t="str"/>
      <x:c r="S248" s="207" t="str"/>
      <x:c r="T248" s="207" t="str"/>
      <x:c r="U248" s="207" t="n">
        <x:v>0</x:v>
      </x:c>
      <x:c r="V248" s="208" t="n">
        <x:f>MAX(0,M248-U248)</x:f>
        <x:v>110</x:v>
      </x:c>
      <x:c r="W248" s="209" t="n">
        <x:f>IFERROR(U248/M248,0)</x:f>
        <x:v>0</x:v>
      </x:c>
      <x:c r="X248" s="201" t="str">
        <x:f>IF(U248=0,"Não iniciado",IF(U248&gt;=M248,"Concluído","Parcial"))</x:f>
        <x:v>Não iniciado</x:v>
      </x:c>
      <x:c r="Y248" s="199" t="str"/>
      <x:c r="Z248" s="188" t="str">
        <x:v>Normal</x:v>
      </x:c>
    </x:row>
    <x:row r="249" ht="22" customHeight="1">
      <x:c r="A249" s="217" t="n">
        <x:v>245</x:v>
      </x:c>
      <x:c r="B249" s="218" t="str">
        <x:v>26684</x:v>
      </x:c>
      <x:c r="C249" s="218" t="str">
        <x:v>4</x:v>
      </x:c>
      <x:c r="D249" s="218" t="str">
        <x:v>609135</x:v>
      </x:c>
      <x:c r="E249" s="218" t="str">
        <x:v>971354</x:v>
      </x:c>
      <x:c r="F249" s="218" t="str">
        <x:v>OUTROS</x:v>
      </x:c>
      <x:c r="G249" s="184" t="str">
        <x:v>PER ALI 2250X70X15 RT RL55RC PET BCO STD</x:v>
      </x:c>
      <x:c r="H249" s="184" t="str"/>
      <x:c r="I249" s="184" t="str"/>
      <x:c r="J249" s="184" t="str"/>
      <x:c r="K249" s="184" t="str">
        <x:v>ESMALTE</x:v>
      </x:c>
      <x:c r="L249" s="184" t="str">
        <x:v>BRANCO CARRARA</x:v>
      </x:c>
      <x:c r="M249" s="205" t="n">
        <x:v>110</x:v>
      </x:c>
      <x:c r="N249" s="205" t="n">
        <x:v>2250</x:v>
      </x:c>
      <x:c r="O249" s="205" t="n">
        <x:v>70</x:v>
      </x:c>
      <x:c r="P249" s="205" t="n">
        <x:v>15</x:v>
      </x:c>
      <x:c r="Q249" s="206" t="n">
        <x:v>0</x:v>
      </x:c>
      <x:c r="R249" s="207" t="str"/>
      <x:c r="S249" s="207" t="str"/>
      <x:c r="T249" s="207" t="str"/>
      <x:c r="U249" s="207" t="n">
        <x:v>0</x:v>
      </x:c>
      <x:c r="V249" s="208" t="n">
        <x:f>MAX(0,M249-U249)</x:f>
        <x:v>110</x:v>
      </x:c>
      <x:c r="W249" s="209" t="n">
        <x:f>IFERROR(U249/M249,0)</x:f>
        <x:v>0</x:v>
      </x:c>
      <x:c r="X249" s="201" t="str">
        <x:f>IF(U249=0,"Não iniciado",IF(U249&gt;=M249,"Concluído","Parcial"))</x:f>
        <x:v>Não iniciado</x:v>
      </x:c>
      <x:c r="Y249" s="199" t="str"/>
      <x:c r="Z249" s="188" t="str">
        <x:v>Normal</x:v>
      </x:c>
    </x:row>
    <x:row r="250" ht="22" customHeight="1">
      <x:c r="A250" s="219" t="n">
        <x:v>246</x:v>
      </x:c>
      <x:c r="B250" s="220" t="str">
        <x:v>26684</x:v>
      </x:c>
      <x:c r="C250" s="220" t="str">
        <x:v>5</x:v>
      </x:c>
      <x:c r="D250" s="220" t="str">
        <x:v>609142</x:v>
      </x:c>
      <x:c r="E250" s="220" t="str">
        <x:v>956042</x:v>
      </x:c>
      <x:c r="F250" s="220" t="str">
        <x:v>OUTROS</x:v>
      </x:c>
      <x:c r="G250" s="190" t="str">
        <x:v>2250X70X15 RTO LME REC PET BCO IMP(STD)</x:v>
      </x:c>
      <x:c r="H250" s="190" t="str"/>
      <x:c r="I250" s="190" t="str"/>
      <x:c r="J250" s="190" t="str"/>
      <x:c r="K250" s="190" t="str">
        <x:v>ESMALTE</x:v>
      </x:c>
      <x:c r="L250" s="190" t="str">
        <x:v>BRANCO CARRARA</x:v>
      </x:c>
      <x:c r="M250" s="210" t="n">
        <x:v>12</x:v>
      </x:c>
      <x:c r="N250" s="210" t="n">
        <x:v>2250</x:v>
      </x:c>
      <x:c r="O250" s="210" t="n">
        <x:v>70</x:v>
      </x:c>
      <x:c r="P250" s="210" t="n">
        <x:v>15</x:v>
      </x:c>
      <x:c r="Q250" s="211" t="n">
        <x:v>0</x:v>
      </x:c>
      <x:c r="R250" s="207" t="str"/>
      <x:c r="S250" s="207" t="str"/>
      <x:c r="T250" s="207" t="str"/>
      <x:c r="U250" s="207" t="n">
        <x:v>0</x:v>
      </x:c>
      <x:c r="V250" s="208" t="n">
        <x:f>MAX(0,M250-U250)</x:f>
        <x:v>12</x:v>
      </x:c>
      <x:c r="W250" s="209" t="n">
        <x:f>IFERROR(U250/M250,0)</x:f>
        <x:v>0</x:v>
      </x:c>
      <x:c r="X250" s="201" t="str">
        <x:f>IF(U250=0,"Não iniciado",IF(U250&gt;=M250,"Concluído","Parcial"))</x:f>
        <x:v>Não iniciado</x:v>
      </x:c>
      <x:c r="Y250" s="199" t="str"/>
      <x:c r="Z250" s="188" t="str">
        <x:v>Normal</x:v>
      </x:c>
    </x:row>
    <x:row r="251" ht="22" customHeight="1">
      <x:c r="A251" s="217" t="n">
        <x:v>247</x:v>
      </x:c>
      <x:c r="B251" s="218" t="str">
        <x:v>26684</x:v>
      </x:c>
      <x:c r="C251" s="218" t="str">
        <x:v>5</x:v>
      </x:c>
      <x:c r="D251" s="218" t="str">
        <x:v>609145</x:v>
      </x:c>
      <x:c r="E251" s="218" t="str">
        <x:v>971354</x:v>
      </x:c>
      <x:c r="F251" s="218" t="str">
        <x:v>OUTROS</x:v>
      </x:c>
      <x:c r="G251" s="184" t="str">
        <x:v>PER ALI 2250X70X15 RT RL55RC PET BCO STD</x:v>
      </x:c>
      <x:c r="H251" s="184" t="str"/>
      <x:c r="I251" s="184" t="str"/>
      <x:c r="J251" s="184" t="str"/>
      <x:c r="K251" s="184" t="str">
        <x:v>ESMALTE</x:v>
      </x:c>
      <x:c r="L251" s="184" t="str">
        <x:v>BRANCO CARRARA</x:v>
      </x:c>
      <x:c r="M251" s="205" t="n">
        <x:v>12</x:v>
      </x:c>
      <x:c r="N251" s="205" t="n">
        <x:v>2250</x:v>
      </x:c>
      <x:c r="O251" s="205" t="n">
        <x:v>70</x:v>
      </x:c>
      <x:c r="P251" s="205" t="n">
        <x:v>15</x:v>
      </x:c>
      <x:c r="Q251" s="206" t="n">
        <x:v>0</x:v>
      </x:c>
      <x:c r="R251" s="207" t="str"/>
      <x:c r="S251" s="207" t="str"/>
      <x:c r="T251" s="207" t="str"/>
      <x:c r="U251" s="207" t="n">
        <x:v>0</x:v>
      </x:c>
      <x:c r="V251" s="208" t="n">
        <x:f>MAX(0,M251-U251)</x:f>
        <x:v>12</x:v>
      </x:c>
      <x:c r="W251" s="209" t="n">
        <x:f>IFERROR(U251/M251,0)</x:f>
        <x:v>0</x:v>
      </x:c>
      <x:c r="X251" s="201" t="str">
        <x:f>IF(U251=0,"Não iniciado",IF(U251&gt;=M251,"Concluído","Parcial"))</x:f>
        <x:v>Não iniciado</x:v>
      </x:c>
      <x:c r="Y251" s="199" t="str"/>
      <x:c r="Z251" s="188" t="str">
        <x:v>Normal</x:v>
      </x:c>
    </x:row>
    <x:row r="252" ht="22" customHeight="1">
      <x:c r="A252" s="219" t="n">
        <x:v>248</x:v>
      </x:c>
      <x:c r="B252" s="220" t="str">
        <x:v>26684</x:v>
      </x:c>
      <x:c r="C252" s="220" t="str">
        <x:v>7</x:v>
      </x:c>
      <x:c r="D252" s="220" t="str">
        <x:v>609158</x:v>
      </x:c>
      <x:c r="E252" s="220" t="str">
        <x:v>956042</x:v>
      </x:c>
      <x:c r="F252" s="220" t="str">
        <x:v>OUTROS</x:v>
      </x:c>
      <x:c r="G252" s="190" t="str">
        <x:v>2250X70X15 RTO LME REC PET BCO IMP(STD)</x:v>
      </x:c>
      <x:c r="H252" s="190" t="str"/>
      <x:c r="I252" s="190" t="str"/>
      <x:c r="J252" s="190" t="str"/>
      <x:c r="K252" s="190" t="str">
        <x:v>ESMALTE</x:v>
      </x:c>
      <x:c r="L252" s="190" t="str">
        <x:v>BRANCO CARRARA</x:v>
      </x:c>
      <x:c r="M252" s="210" t="n">
        <x:v>2</x:v>
      </x:c>
      <x:c r="N252" s="210" t="n">
        <x:v>2250</x:v>
      </x:c>
      <x:c r="O252" s="210" t="n">
        <x:v>70</x:v>
      </x:c>
      <x:c r="P252" s="210" t="n">
        <x:v>15</x:v>
      </x:c>
      <x:c r="Q252" s="211" t="n">
        <x:v>0</x:v>
      </x:c>
      <x:c r="R252" s="207" t="str"/>
      <x:c r="S252" s="207" t="str"/>
      <x:c r="T252" s="207" t="str"/>
      <x:c r="U252" s="207" t="n">
        <x:v>0</x:v>
      </x:c>
      <x:c r="V252" s="208" t="n">
        <x:f>MAX(0,M252-U252)</x:f>
        <x:v>2</x:v>
      </x:c>
      <x:c r="W252" s="209" t="n">
        <x:f>IFERROR(U252/M252,0)</x:f>
        <x:v>0</x:v>
      </x:c>
      <x:c r="X252" s="201" t="str">
        <x:f>IF(U252=0,"Não iniciado",IF(U252&gt;=M252,"Concluído","Parcial"))</x:f>
        <x:v>Não iniciado</x:v>
      </x:c>
      <x:c r="Y252" s="199" t="str"/>
      <x:c r="Z252" s="188" t="str">
        <x:v>Normal</x:v>
      </x:c>
    </x:row>
    <x:row r="253" ht="22" customHeight="1">
      <x:c r="A253" s="217" t="n">
        <x:v>249</x:v>
      </x:c>
      <x:c r="B253" s="218" t="str">
        <x:v>26684</x:v>
      </x:c>
      <x:c r="C253" s="218" t="str">
        <x:v>7</x:v>
      </x:c>
      <x:c r="D253" s="218" t="str">
        <x:v>609161</x:v>
      </x:c>
      <x:c r="E253" s="218" t="str">
        <x:v>971354</x:v>
      </x:c>
      <x:c r="F253" s="218" t="str">
        <x:v>OUTROS</x:v>
      </x:c>
      <x:c r="G253" s="184" t="str">
        <x:v>PER ALI 2250X70X15 RT RL55RC PET BCO STD</x:v>
      </x:c>
      <x:c r="H253" s="184" t="str"/>
      <x:c r="I253" s="184" t="str"/>
      <x:c r="J253" s="184" t="str"/>
      <x:c r="K253" s="184" t="str">
        <x:v>ESMALTE</x:v>
      </x:c>
      <x:c r="L253" s="184" t="str">
        <x:v>BRANCO CARRARA</x:v>
      </x:c>
      <x:c r="M253" s="205" t="n">
        <x:v>2</x:v>
      </x:c>
      <x:c r="N253" s="205" t="n">
        <x:v>2250</x:v>
      </x:c>
      <x:c r="O253" s="205" t="n">
        <x:v>70</x:v>
      </x:c>
      <x:c r="P253" s="205" t="n">
        <x:v>15</x:v>
      </x:c>
      <x:c r="Q253" s="206" t="n">
        <x:v>0</x:v>
      </x:c>
      <x:c r="R253" s="207" t="str"/>
      <x:c r="S253" s="207" t="str"/>
      <x:c r="T253" s="207" t="str"/>
      <x:c r="U253" s="207" t="n">
        <x:v>0</x:v>
      </x:c>
      <x:c r="V253" s="208" t="n">
        <x:f>MAX(0,M253-U253)</x:f>
        <x:v>2</x:v>
      </x:c>
      <x:c r="W253" s="209" t="n">
        <x:f>IFERROR(U253/M253,0)</x:f>
        <x:v>0</x:v>
      </x:c>
      <x:c r="X253" s="201" t="str">
        <x:f>IF(U253=0,"Não iniciado",IF(U253&gt;=M253,"Concluído","Parcial"))</x:f>
        <x:v>Não iniciado</x:v>
      </x:c>
      <x:c r="Y253" s="199" t="str"/>
      <x:c r="Z253" s="188" t="str">
        <x:v>Normal</x:v>
      </x:c>
    </x:row>
    <x:row r="254" ht="22" customHeight="1">
      <x:c r="A254" s="219" t="n">
        <x:v>250</x:v>
      </x:c>
      <x:c r="B254" s="220" t="str">
        <x:v>26684</x:v>
      </x:c>
      <x:c r="C254" s="220" t="str">
        <x:v>8</x:v>
      </x:c>
      <x:c r="D254" s="220" t="str">
        <x:v>609166</x:v>
      </x:c>
      <x:c r="E254" s="220" t="str">
        <x:v>956042</x:v>
      </x:c>
      <x:c r="F254" s="220" t="str">
        <x:v>OUTROS</x:v>
      </x:c>
      <x:c r="G254" s="190" t="str">
        <x:v>2250X70X15 RTO LME REC PET BCO IMP(STD)</x:v>
      </x:c>
      <x:c r="H254" s="190" t="str"/>
      <x:c r="I254" s="190" t="str"/>
      <x:c r="J254" s="190" t="str"/>
      <x:c r="K254" s="190" t="str">
        <x:v>ESMALTE</x:v>
      </x:c>
      <x:c r="L254" s="190" t="str">
        <x:v>BRANCO CARRARA</x:v>
      </x:c>
      <x:c r="M254" s="210" t="n">
        <x:v>10</x:v>
      </x:c>
      <x:c r="N254" s="210" t="n">
        <x:v>2250</x:v>
      </x:c>
      <x:c r="O254" s="210" t="n">
        <x:v>70</x:v>
      </x:c>
      <x:c r="P254" s="210" t="n">
        <x:v>15</x:v>
      </x:c>
      <x:c r="Q254" s="211" t="n">
        <x:v>0</x:v>
      </x:c>
      <x:c r="R254" s="207" t="str"/>
      <x:c r="S254" s="207" t="str"/>
      <x:c r="T254" s="207" t="str"/>
      <x:c r="U254" s="207" t="n">
        <x:v>0</x:v>
      </x:c>
      <x:c r="V254" s="208" t="n">
        <x:f>MAX(0,M254-U254)</x:f>
        <x:v>10</x:v>
      </x:c>
      <x:c r="W254" s="209" t="n">
        <x:f>IFERROR(U254/M254,0)</x:f>
        <x:v>0</x:v>
      </x:c>
      <x:c r="X254" s="201" t="str">
        <x:f>IF(U254=0,"Não iniciado",IF(U254&gt;=M254,"Concluído","Parcial"))</x:f>
        <x:v>Não iniciado</x:v>
      </x:c>
      <x:c r="Y254" s="199" t="str"/>
      <x:c r="Z254" s="188" t="str">
        <x:v>Normal</x:v>
      </x:c>
    </x:row>
    <x:row r="255" ht="22" customHeight="1">
      <x:c r="A255" s="217" t="n">
        <x:v>251</x:v>
      </x:c>
      <x:c r="B255" s="218" t="str">
        <x:v>26684</x:v>
      </x:c>
      <x:c r="C255" s="218" t="str">
        <x:v>8</x:v>
      </x:c>
      <x:c r="D255" s="218" t="str">
        <x:v>609167</x:v>
      </x:c>
      <x:c r="E255" s="218" t="str">
        <x:v>971354</x:v>
      </x:c>
      <x:c r="F255" s="218" t="str">
        <x:v>OUTROS</x:v>
      </x:c>
      <x:c r="G255" s="184" t="str">
        <x:v>PER ALI 2250X70X15 RT RL55RC PET BCO STD</x:v>
      </x:c>
      <x:c r="H255" s="184" t="str"/>
      <x:c r="I255" s="184" t="str"/>
      <x:c r="J255" s="184" t="str"/>
      <x:c r="K255" s="184" t="str">
        <x:v>ESMALTE</x:v>
      </x:c>
      <x:c r="L255" s="184" t="str">
        <x:v>BRANCO CARRARA</x:v>
      </x:c>
      <x:c r="M255" s="205" t="n">
        <x:v>10</x:v>
      </x:c>
      <x:c r="N255" s="205" t="n">
        <x:v>2250</x:v>
      </x:c>
      <x:c r="O255" s="205" t="n">
        <x:v>70</x:v>
      </x:c>
      <x:c r="P255" s="205" t="n">
        <x:v>15</x:v>
      </x:c>
      <x:c r="Q255" s="206" t="n">
        <x:v>0</x:v>
      </x:c>
      <x:c r="R255" s="207" t="str"/>
      <x:c r="S255" s="207" t="str"/>
      <x:c r="T255" s="207" t="str"/>
      <x:c r="U255" s="207" t="n">
        <x:v>0</x:v>
      </x:c>
      <x:c r="V255" s="208" t="n">
        <x:f>MAX(0,M255-U255)</x:f>
        <x:v>10</x:v>
      </x:c>
      <x:c r="W255" s="209" t="n">
        <x:f>IFERROR(U255/M255,0)</x:f>
        <x:v>0</x:v>
      </x:c>
      <x:c r="X255" s="201" t="str">
        <x:f>IF(U255=0,"Não iniciado",IF(U255&gt;=M255,"Concluído","Parcial"))</x:f>
        <x:v>Não iniciado</x:v>
      </x:c>
      <x:c r="Y255" s="199" t="str"/>
      <x:c r="Z255" s="188" t="str">
        <x:v>Normal</x:v>
      </x:c>
    </x:row>
    <x:row r="256" ht="22" customHeight="1">
      <x:c r="A256" s="219" t="n">
        <x:v>252</x:v>
      </x:c>
      <x:c r="B256" s="220" t="str">
        <x:v>26684</x:v>
      </x:c>
      <x:c r="C256" s="220" t="str">
        <x:v>9</x:v>
      </x:c>
      <x:c r="D256" s="220" t="str">
        <x:v>609174</x:v>
      </x:c>
      <x:c r="E256" s="220" t="str">
        <x:v>956042</x:v>
      </x:c>
      <x:c r="F256" s="220" t="str">
        <x:v>OUTROS</x:v>
      </x:c>
      <x:c r="G256" s="190" t="str">
        <x:v>2250X70X15 RTO LME REC PET BCO IMP(STD)</x:v>
      </x:c>
      <x:c r="H256" s="190" t="str"/>
      <x:c r="I256" s="190" t="str"/>
      <x:c r="J256" s="190" t="str"/>
      <x:c r="K256" s="190" t="str">
        <x:v>ESMALTE</x:v>
      </x:c>
      <x:c r="L256" s="190" t="str">
        <x:v>BRANCO CARRARA</x:v>
      </x:c>
      <x:c r="M256" s="210" t="n">
        <x:v>114</x:v>
      </x:c>
      <x:c r="N256" s="210" t="n">
        <x:v>2250</x:v>
      </x:c>
      <x:c r="O256" s="210" t="n">
        <x:v>70</x:v>
      </x:c>
      <x:c r="P256" s="210" t="n">
        <x:v>15</x:v>
      </x:c>
      <x:c r="Q256" s="211" t="n">
        <x:v>0</x:v>
      </x:c>
      <x:c r="R256" s="207" t="str"/>
      <x:c r="S256" s="207" t="str"/>
      <x:c r="T256" s="207" t="str"/>
      <x:c r="U256" s="207" t="n">
        <x:v>0</x:v>
      </x:c>
      <x:c r="V256" s="208" t="n">
        <x:f>MAX(0,M256-U256)</x:f>
        <x:v>114</x:v>
      </x:c>
      <x:c r="W256" s="209" t="n">
        <x:f>IFERROR(U256/M256,0)</x:f>
        <x:v>0</x:v>
      </x:c>
      <x:c r="X256" s="201" t="str">
        <x:f>IF(U256=0,"Não iniciado",IF(U256&gt;=M256,"Concluído","Parcial"))</x:f>
        <x:v>Não iniciado</x:v>
      </x:c>
      <x:c r="Y256" s="199" t="str"/>
      <x:c r="Z256" s="188" t="str">
        <x:v>Normal</x:v>
      </x:c>
    </x:row>
    <x:row r="257" ht="22" customHeight="1">
      <x:c r="A257" s="217" t="n">
        <x:v>253</x:v>
      </x:c>
      <x:c r="B257" s="218" t="str">
        <x:v>26684</x:v>
      </x:c>
      <x:c r="C257" s="218" t="str">
        <x:v>9</x:v>
      </x:c>
      <x:c r="D257" s="218" t="str">
        <x:v>609177</x:v>
      </x:c>
      <x:c r="E257" s="218" t="str">
        <x:v>971354</x:v>
      </x:c>
      <x:c r="F257" s="218" t="str">
        <x:v>OUTROS</x:v>
      </x:c>
      <x:c r="G257" s="184" t="str">
        <x:v>PER ALI 2250X70X15 RT RL55RC PET BCO STD</x:v>
      </x:c>
      <x:c r="H257" s="184" t="str"/>
      <x:c r="I257" s="184" t="str"/>
      <x:c r="J257" s="184" t="str"/>
      <x:c r="K257" s="184" t="str">
        <x:v>ESMALTE</x:v>
      </x:c>
      <x:c r="L257" s="184" t="str">
        <x:v>BRANCO CARRARA</x:v>
      </x:c>
      <x:c r="M257" s="205" t="n">
        <x:v>114</x:v>
      </x:c>
      <x:c r="N257" s="205" t="n">
        <x:v>2250</x:v>
      </x:c>
      <x:c r="O257" s="205" t="n">
        <x:v>70</x:v>
      </x:c>
      <x:c r="P257" s="205" t="n">
        <x:v>15</x:v>
      </x:c>
      <x:c r="Q257" s="206" t="n">
        <x:v>0</x:v>
      </x:c>
      <x:c r="R257" s="207" t="str"/>
      <x:c r="S257" s="207" t="str"/>
      <x:c r="T257" s="207" t="str"/>
      <x:c r="U257" s="207" t="n">
        <x:v>0</x:v>
      </x:c>
      <x:c r="V257" s="208" t="n">
        <x:f>MAX(0,M257-U257)</x:f>
        <x:v>114</x:v>
      </x:c>
      <x:c r="W257" s="209" t="n">
        <x:f>IFERROR(U257/M257,0)</x:f>
        <x:v>0</x:v>
      </x:c>
      <x:c r="X257" s="201" t="str">
        <x:f>IF(U257=0,"Não iniciado",IF(U257&gt;=M257,"Concluído","Parcial"))</x:f>
        <x:v>Não iniciado</x:v>
      </x:c>
      <x:c r="Y257" s="199" t="str"/>
      <x:c r="Z257" s="188" t="str">
        <x:v>Normal</x:v>
      </x:c>
    </x:row>
    <x:row r="258" ht="22" customHeight="1">
      <x:c r="A258" s="219" t="n">
        <x:v>254</x:v>
      </x:c>
      <x:c r="B258" s="220" t="str">
        <x:v>26689</x:v>
      </x:c>
      <x:c r="C258" s="220" t="str">
        <x:v>1</x:v>
      </x:c>
      <x:c r="D258" s="220" t="str">
        <x:v>609077</x:v>
      </x:c>
      <x:c r="E258" s="220" t="str">
        <x:v>956042</x:v>
      </x:c>
      <x:c r="F258" s="220" t="str">
        <x:v>OUTROS</x:v>
      </x:c>
      <x:c r="G258" s="190" t="str">
        <x:v>2250X70X15 RTO LME REC PET BCO IMP(STD)</x:v>
      </x:c>
      <x:c r="H258" s="190" t="str"/>
      <x:c r="I258" s="190" t="str"/>
      <x:c r="J258" s="190" t="str"/>
      <x:c r="K258" s="190" t="str">
        <x:v>ESMALTE</x:v>
      </x:c>
      <x:c r="L258" s="190" t="str">
        <x:v>BRANCO CARRARA</x:v>
      </x:c>
      <x:c r="M258" s="210" t="n">
        <x:v>64</x:v>
      </x:c>
      <x:c r="N258" s="210" t="n">
        <x:v>2250</x:v>
      </x:c>
      <x:c r="O258" s="210" t="n">
        <x:v>70</x:v>
      </x:c>
      <x:c r="P258" s="210" t="n">
        <x:v>15</x:v>
      </x:c>
      <x:c r="Q258" s="211" t="n">
        <x:v>0</x:v>
      </x:c>
      <x:c r="R258" s="207" t="str"/>
      <x:c r="S258" s="207" t="str"/>
      <x:c r="T258" s="207" t="str"/>
      <x:c r="U258" s="207" t="n">
        <x:v>0</x:v>
      </x:c>
      <x:c r="V258" s="208" t="n">
        <x:f>MAX(0,M258-U258)</x:f>
        <x:v>64</x:v>
      </x:c>
      <x:c r="W258" s="209" t="n">
        <x:f>IFERROR(U258/M258,0)</x:f>
        <x:v>0</x:v>
      </x:c>
      <x:c r="X258" s="201" t="str">
        <x:f>IF(U258=0,"Não iniciado",IF(U258&gt;=M258,"Concluído","Parcial"))</x:f>
        <x:v>Não iniciado</x:v>
      </x:c>
      <x:c r="Y258" s="199" t="str"/>
      <x:c r="Z258" s="188" t="str">
        <x:v>Normal</x:v>
      </x:c>
    </x:row>
    <x:row r="259" ht="22" customHeight="1">
      <x:c r="A259" s="217" t="n">
        <x:v>255</x:v>
      </x:c>
      <x:c r="B259" s="218" t="str">
        <x:v>26689</x:v>
      </x:c>
      <x:c r="C259" s="218" t="str">
        <x:v>1</x:v>
      </x:c>
      <x:c r="D259" s="218" t="str">
        <x:v>609078</x:v>
      </x:c>
      <x:c r="E259" s="218" t="str">
        <x:v>971354</x:v>
      </x:c>
      <x:c r="F259" s="218" t="str">
        <x:v>OUTROS</x:v>
      </x:c>
      <x:c r="G259" s="184" t="str">
        <x:v>PER ALI 2250X70X15 RT RL55RC PET BCO STD</x:v>
      </x:c>
      <x:c r="H259" s="184" t="str"/>
      <x:c r="I259" s="184" t="str"/>
      <x:c r="J259" s="184" t="str"/>
      <x:c r="K259" s="184" t="str">
        <x:v>ESMALTE</x:v>
      </x:c>
      <x:c r="L259" s="184" t="str">
        <x:v>BRANCO CARRARA</x:v>
      </x:c>
      <x:c r="M259" s="205" t="n">
        <x:v>64</x:v>
      </x:c>
      <x:c r="N259" s="205" t="n">
        <x:v>2250</x:v>
      </x:c>
      <x:c r="O259" s="205" t="n">
        <x:v>70</x:v>
      </x:c>
      <x:c r="P259" s="205" t="n">
        <x:v>15</x:v>
      </x:c>
      <x:c r="Q259" s="206" t="n">
        <x:v>0</x:v>
      </x:c>
      <x:c r="R259" s="207" t="str"/>
      <x:c r="S259" s="207" t="str"/>
      <x:c r="T259" s="207" t="str"/>
      <x:c r="U259" s="207" t="n">
        <x:v>0</x:v>
      </x:c>
      <x:c r="V259" s="208" t="n">
        <x:f>MAX(0,M259-U259)</x:f>
        <x:v>64</x:v>
      </x:c>
      <x:c r="W259" s="209" t="n">
        <x:f>IFERROR(U259/M259,0)</x:f>
        <x:v>0</x:v>
      </x:c>
      <x:c r="X259" s="201" t="str">
        <x:f>IF(U259=0,"Não iniciado",IF(U259&gt;=M259,"Concluído","Parcial"))</x:f>
        <x:v>Não iniciado</x:v>
      </x:c>
      <x:c r="Y259" s="199" t="str"/>
      <x:c r="Z259" s="188" t="str">
        <x:v>Normal</x:v>
      </x:c>
    </x:row>
    <x:row r="260" ht="22" customHeight="1">
      <x:c r="A260" s="219" t="n">
        <x:v>256</x:v>
      </x:c>
      <x:c r="B260" s="220" t="str">
        <x:v>26689</x:v>
      </x:c>
      <x:c r="C260" s="220" t="str">
        <x:v>2</x:v>
      </x:c>
      <x:c r="D260" s="220" t="str">
        <x:v>609085</x:v>
      </x:c>
      <x:c r="E260" s="220" t="str">
        <x:v>956042</x:v>
      </x:c>
      <x:c r="F260" s="220" t="str">
        <x:v>OUTROS</x:v>
      </x:c>
      <x:c r="G260" s="190" t="str">
        <x:v>2250X70X15 RTO LME REC PET BCO IMP(STD)</x:v>
      </x:c>
      <x:c r="H260" s="190" t="str"/>
      <x:c r="I260" s="190" t="str"/>
      <x:c r="J260" s="190" t="str"/>
      <x:c r="K260" s="190" t="str">
        <x:v>ESMALTE</x:v>
      </x:c>
      <x:c r="L260" s="190" t="str">
        <x:v>BRANCO CARRARA</x:v>
      </x:c>
      <x:c r="M260" s="210" t="n">
        <x:v>128</x:v>
      </x:c>
      <x:c r="N260" s="210" t="n">
        <x:v>2250</x:v>
      </x:c>
      <x:c r="O260" s="210" t="n">
        <x:v>70</x:v>
      </x:c>
      <x:c r="P260" s="210" t="n">
        <x:v>15</x:v>
      </x:c>
      <x:c r="Q260" s="211" t="n">
        <x:v>0</x:v>
      </x:c>
      <x:c r="R260" s="207" t="str"/>
      <x:c r="S260" s="207" t="str"/>
      <x:c r="T260" s="207" t="str"/>
      <x:c r="U260" s="207" t="n">
        <x:v>0</x:v>
      </x:c>
      <x:c r="V260" s="208" t="n">
        <x:f>MAX(0,M260-U260)</x:f>
        <x:v>128</x:v>
      </x:c>
      <x:c r="W260" s="209" t="n">
        <x:f>IFERROR(U260/M260,0)</x:f>
        <x:v>0</x:v>
      </x:c>
      <x:c r="X260" s="201" t="str">
        <x:f>IF(U260=0,"Não iniciado",IF(U260&gt;=M260,"Concluído","Parcial"))</x:f>
        <x:v>Não iniciado</x:v>
      </x:c>
      <x:c r="Y260" s="199" t="str"/>
      <x:c r="Z260" s="188" t="str">
        <x:v>Normal</x:v>
      </x:c>
    </x:row>
    <x:row r="261" ht="22" customHeight="1">
      <x:c r="A261" s="217" t="n">
        <x:v>257</x:v>
      </x:c>
      <x:c r="B261" s="218" t="str">
        <x:v>26689</x:v>
      </x:c>
      <x:c r="C261" s="218" t="str">
        <x:v>2</x:v>
      </x:c>
      <x:c r="D261" s="218" t="str">
        <x:v>609086</x:v>
      </x:c>
      <x:c r="E261" s="218" t="str">
        <x:v>971354</x:v>
      </x:c>
      <x:c r="F261" s="218" t="str">
        <x:v>OUTROS</x:v>
      </x:c>
      <x:c r="G261" s="184" t="str">
        <x:v>PER ALI 2250X70X15 RT RL55RC PET BCO STD</x:v>
      </x:c>
      <x:c r="H261" s="184" t="str"/>
      <x:c r="I261" s="184" t="str"/>
      <x:c r="J261" s="184" t="str"/>
      <x:c r="K261" s="184" t="str">
        <x:v>ESMALTE</x:v>
      </x:c>
      <x:c r="L261" s="184" t="str">
        <x:v>BRANCO CARRARA</x:v>
      </x:c>
      <x:c r="M261" s="205" t="n">
        <x:v>128</x:v>
      </x:c>
      <x:c r="N261" s="205" t="n">
        <x:v>2250</x:v>
      </x:c>
      <x:c r="O261" s="205" t="n">
        <x:v>70</x:v>
      </x:c>
      <x:c r="P261" s="205" t="n">
        <x:v>15</x:v>
      </x:c>
      <x:c r="Q261" s="206" t="n">
        <x:v>0</x:v>
      </x:c>
      <x:c r="R261" s="207" t="str"/>
      <x:c r="S261" s="207" t="str"/>
      <x:c r="T261" s="207" t="str"/>
      <x:c r="U261" s="207" t="n">
        <x:v>0</x:v>
      </x:c>
      <x:c r="V261" s="208" t="n">
        <x:f>MAX(0,M261-U261)</x:f>
        <x:v>128</x:v>
      </x:c>
      <x:c r="W261" s="209" t="n">
        <x:f>IFERROR(U261/M261,0)</x:f>
        <x:v>0</x:v>
      </x:c>
      <x:c r="X261" s="201" t="str">
        <x:f>IF(U261=0,"Não iniciado",IF(U261&gt;=M261,"Concluído","Parcial"))</x:f>
        <x:v>Não iniciado</x:v>
      </x:c>
      <x:c r="Y261" s="199" t="str"/>
      <x:c r="Z261" s="188" t="str">
        <x:v>Normal</x:v>
      </x:c>
    </x:row>
    <x:row r="262" ht="22" customHeight="1">
      <x:c r="A262" s="219" t="n">
        <x:v>258</x:v>
      </x:c>
      <x:c r="B262" s="220" t="str">
        <x:v>26689</x:v>
      </x:c>
      <x:c r="C262" s="220" t="str">
        <x:v>3</x:v>
      </x:c>
      <x:c r="D262" s="220" t="str">
        <x:v>609093</x:v>
      </x:c>
      <x:c r="E262" s="220" t="str">
        <x:v>956042</x:v>
      </x:c>
      <x:c r="F262" s="220" t="str">
        <x:v>OUTROS</x:v>
      </x:c>
      <x:c r="G262" s="190" t="str">
        <x:v>2250X70X15 RTO LME REC PET BCO IMP(STD)</x:v>
      </x:c>
      <x:c r="H262" s="190" t="str"/>
      <x:c r="I262" s="190" t="str"/>
      <x:c r="J262" s="190" t="str"/>
      <x:c r="K262" s="190" t="str">
        <x:v>ESMALTE</x:v>
      </x:c>
      <x:c r="L262" s="190" t="str">
        <x:v>BRANCO CARRARA</x:v>
      </x:c>
      <x:c r="M262" s="210" t="n">
        <x:v>122</x:v>
      </x:c>
      <x:c r="N262" s="210" t="n">
        <x:v>2250</x:v>
      </x:c>
      <x:c r="O262" s="210" t="n">
        <x:v>70</x:v>
      </x:c>
      <x:c r="P262" s="210" t="n">
        <x:v>15</x:v>
      </x:c>
      <x:c r="Q262" s="211" t="n">
        <x:v>0</x:v>
      </x:c>
      <x:c r="R262" s="207" t="str"/>
      <x:c r="S262" s="207" t="str"/>
      <x:c r="T262" s="207" t="str"/>
      <x:c r="U262" s="207" t="n">
        <x:v>0</x:v>
      </x:c>
      <x:c r="V262" s="208" t="n">
        <x:f>MAX(0,M262-U262)</x:f>
        <x:v>122</x:v>
      </x:c>
      <x:c r="W262" s="209" t="n">
        <x:f>IFERROR(U262/M262,0)</x:f>
        <x:v>0</x:v>
      </x:c>
      <x:c r="X262" s="201" t="str">
        <x:f>IF(U262=0,"Não iniciado",IF(U262&gt;=M262,"Concluído","Parcial"))</x:f>
        <x:v>Não iniciado</x:v>
      </x:c>
      <x:c r="Y262" s="199" t="str"/>
      <x:c r="Z262" s="188" t="str">
        <x:v>Normal</x:v>
      </x:c>
    </x:row>
    <x:row r="263" ht="22" customHeight="1">
      <x:c r="A263" s="217" t="n">
        <x:v>259</x:v>
      </x:c>
      <x:c r="B263" s="218" t="str">
        <x:v>26689</x:v>
      </x:c>
      <x:c r="C263" s="218" t="str">
        <x:v>3</x:v>
      </x:c>
      <x:c r="D263" s="218" t="str">
        <x:v>609096</x:v>
      </x:c>
      <x:c r="E263" s="218" t="str">
        <x:v>971354</x:v>
      </x:c>
      <x:c r="F263" s="218" t="str">
        <x:v>OUTROS</x:v>
      </x:c>
      <x:c r="G263" s="184" t="str">
        <x:v>PER ALI 2250X70X15 RT RL55RC PET BCO STD</x:v>
      </x:c>
      <x:c r="H263" s="184" t="str"/>
      <x:c r="I263" s="184" t="str"/>
      <x:c r="J263" s="184" t="str"/>
      <x:c r="K263" s="184" t="str">
        <x:v>ESMALTE</x:v>
      </x:c>
      <x:c r="L263" s="184" t="str">
        <x:v>BRANCO CARRARA</x:v>
      </x:c>
      <x:c r="M263" s="205" t="n">
        <x:v>122</x:v>
      </x:c>
      <x:c r="N263" s="205" t="n">
        <x:v>2250</x:v>
      </x:c>
      <x:c r="O263" s="205" t="n">
        <x:v>70</x:v>
      </x:c>
      <x:c r="P263" s="205" t="n">
        <x:v>15</x:v>
      </x:c>
      <x:c r="Q263" s="206" t="n">
        <x:v>0</x:v>
      </x:c>
      <x:c r="R263" s="207" t="str"/>
      <x:c r="S263" s="207" t="str"/>
      <x:c r="T263" s="207" t="str"/>
      <x:c r="U263" s="207" t="n">
        <x:v>0</x:v>
      </x:c>
      <x:c r="V263" s="208" t="n">
        <x:f>MAX(0,M263-U263)</x:f>
        <x:v>122</x:v>
      </x:c>
      <x:c r="W263" s="209" t="n">
        <x:f>IFERROR(U263/M263,0)</x:f>
        <x:v>0</x:v>
      </x:c>
      <x:c r="X263" s="201" t="str">
        <x:f>IF(U263=0,"Não iniciado",IF(U263&gt;=M263,"Concluído","Parcial"))</x:f>
        <x:v>Não iniciado</x:v>
      </x:c>
      <x:c r="Y263" s="199" t="str"/>
      <x:c r="Z263" s="188" t="str">
        <x:v>Normal</x:v>
      </x:c>
    </x:row>
    <x:row r="264" ht="22" customHeight="1">
      <x:c r="A264" s="219" t="n">
        <x:v>260</x:v>
      </x:c>
      <x:c r="B264" s="220" t="str">
        <x:v>26808</x:v>
      </x:c>
      <x:c r="C264" s="220" t="str">
        <x:v>1</x:v>
      </x:c>
      <x:c r="D264" s="220" t="str">
        <x:v>608901</x:v>
      </x:c>
      <x:c r="E264" s="220" t="str">
        <x:v>962986</x:v>
      </x:c>
      <x:c r="F264" s="220" t="str">
        <x:v>OUTROS</x:v>
      </x:c>
      <x:c r="G264" s="190" t="str">
        <x:v>PE AL 2250X70X9 RTO LME REC PET BCO(ULTR</x:v>
      </x:c>
      <x:c r="H264" s="190" t="str"/>
      <x:c r="I264" s="190" t="str"/>
      <x:c r="J264" s="190" t="str"/>
      <x:c r="K264" s="190" t="str">
        <x:v>ESMALTE</x:v>
      </x:c>
      <x:c r="L264" s="190" t="str">
        <x:v>BRANCO CARRARA</x:v>
      </x:c>
      <x:c r="M264" s="210" t="n">
        <x:v>288</x:v>
      </x:c>
      <x:c r="N264" s="210" t="n">
        <x:v>2250</x:v>
      </x:c>
      <x:c r="O264" s="210" t="n">
        <x:v>70</x:v>
      </x:c>
      <x:c r="P264" s="210" t="n">
        <x:v>9</x:v>
      </x:c>
      <x:c r="Q264" s="211" t="n">
        <x:v>0</x:v>
      </x:c>
      <x:c r="R264" s="207" t="str"/>
      <x:c r="S264" s="207" t="str"/>
      <x:c r="T264" s="207" t="str"/>
      <x:c r="U264" s="207" t="n">
        <x:v>0</x:v>
      </x:c>
      <x:c r="V264" s="208" t="n">
        <x:f>MAX(0,M264-U264)</x:f>
        <x:v>288</x:v>
      </x:c>
      <x:c r="W264" s="209" t="n">
        <x:f>IFERROR(U264/M264,0)</x:f>
        <x:v>0</x:v>
      </x:c>
      <x:c r="X264" s="201" t="str">
        <x:f>IF(U264=0,"Não iniciado",IF(U264&gt;=M264,"Concluído","Parcial"))</x:f>
        <x:v>Não iniciado</x:v>
      </x:c>
      <x:c r="Y264" s="199" t="str"/>
      <x:c r="Z264" s="188" t="str">
        <x:v>Normal</x:v>
      </x:c>
    </x:row>
    <x:row r="265" ht="22" customHeight="1">
      <x:c r="A265" s="217" t="n">
        <x:v>261</x:v>
      </x:c>
      <x:c r="B265" s="218" t="str">
        <x:v>26808</x:v>
      </x:c>
      <x:c r="C265" s="218" t="str">
        <x:v>2</x:v>
      </x:c>
      <x:c r="D265" s="218" t="str">
        <x:v>608909</x:v>
      </x:c>
      <x:c r="E265" s="218" t="str">
        <x:v>962986</x:v>
      </x:c>
      <x:c r="F265" s="218" t="str">
        <x:v>OUTROS</x:v>
      </x:c>
      <x:c r="G265" s="184" t="str">
        <x:v>PE AL 2250X70X9 RTO LME REC PET BCO(ULTR</x:v>
      </x:c>
      <x:c r="H265" s="184" t="str"/>
      <x:c r="I265" s="184" t="str"/>
      <x:c r="J265" s="184" t="str"/>
      <x:c r="K265" s="184" t="str">
        <x:v>ESMALTE</x:v>
      </x:c>
      <x:c r="L265" s="184" t="str">
        <x:v>BRANCO CARRARA</x:v>
      </x:c>
      <x:c r="M265" s="205" t="n">
        <x:v>32</x:v>
      </x:c>
      <x:c r="N265" s="205" t="n">
        <x:v>2250</x:v>
      </x:c>
      <x:c r="O265" s="205" t="n">
        <x:v>70</x:v>
      </x:c>
      <x:c r="P265" s="205" t="n">
        <x:v>9</x:v>
      </x:c>
      <x:c r="Q265" s="206" t="n">
        <x:v>0</x:v>
      </x:c>
      <x:c r="R265" s="207" t="str"/>
      <x:c r="S265" s="207" t="str"/>
      <x:c r="T265" s="207" t="str"/>
      <x:c r="U265" s="207" t="n">
        <x:v>0</x:v>
      </x:c>
      <x:c r="V265" s="208" t="n">
        <x:f>MAX(0,M265-U265)</x:f>
        <x:v>32</x:v>
      </x:c>
      <x:c r="W265" s="209" t="n">
        <x:f>IFERROR(U265/M265,0)</x:f>
        <x:v>0</x:v>
      </x:c>
      <x:c r="X265" s="201" t="str">
        <x:f>IF(U265=0,"Não iniciado",IF(U265&gt;=M265,"Concluído","Parcial"))</x:f>
        <x:v>Não iniciado</x:v>
      </x:c>
      <x:c r="Y265" s="199" t="str"/>
      <x:c r="Z265" s="188" t="str">
        <x:v>Normal</x:v>
      </x:c>
    </x:row>
    <x:row r="266" ht="22" customHeight="1">
      <x:c r="A266" s="219" t="n">
        <x:v>262</x:v>
      </x:c>
      <x:c r="B266" s="220" t="str">
        <x:v>26808</x:v>
      </x:c>
      <x:c r="C266" s="220" t="str">
        <x:v>3</x:v>
      </x:c>
      <x:c r="D266" s="220" t="str">
        <x:v>608917</x:v>
      </x:c>
      <x:c r="E266" s="220" t="str">
        <x:v>962986</x:v>
      </x:c>
      <x:c r="F266" s="220" t="str">
        <x:v>OUTROS</x:v>
      </x:c>
      <x:c r="G266" s="190" t="str">
        <x:v>PE AL 2250X70X9 RTO LME REC PET BCO(ULTR</x:v>
      </x:c>
      <x:c r="H266" s="190" t="str"/>
      <x:c r="I266" s="190" t="str"/>
      <x:c r="J266" s="190" t="str"/>
      <x:c r="K266" s="190" t="str">
        <x:v>ESMALTE</x:v>
      </x:c>
      <x:c r="L266" s="190" t="str">
        <x:v>BRANCO CARRARA</x:v>
      </x:c>
      <x:c r="M266" s="210" t="n">
        <x:v>120</x:v>
      </x:c>
      <x:c r="N266" s="210" t="n">
        <x:v>2250</x:v>
      </x:c>
      <x:c r="O266" s="210" t="n">
        <x:v>70</x:v>
      </x:c>
      <x:c r="P266" s="210" t="n">
        <x:v>9</x:v>
      </x:c>
      <x:c r="Q266" s="211" t="n">
        <x:v>0</x:v>
      </x:c>
      <x:c r="R266" s="207" t="str"/>
      <x:c r="S266" s="207" t="str"/>
      <x:c r="T266" s="207" t="str"/>
      <x:c r="U266" s="207" t="n">
        <x:v>0</x:v>
      </x:c>
      <x:c r="V266" s="208" t="n">
        <x:f>MAX(0,M266-U266)</x:f>
        <x:v>120</x:v>
      </x:c>
      <x:c r="W266" s="209" t="n">
        <x:f>IFERROR(U266/M266,0)</x:f>
        <x:v>0</x:v>
      </x:c>
      <x:c r="X266" s="201" t="str">
        <x:f>IF(U266=0,"Não iniciado",IF(U266&gt;=M266,"Concluído","Parcial"))</x:f>
        <x:v>Não iniciado</x:v>
      </x:c>
      <x:c r="Y266" s="199" t="str"/>
      <x:c r="Z266" s="188" t="str">
        <x:v>Normal</x:v>
      </x:c>
    </x:row>
    <x:row r="267" ht="22" customHeight="1">
      <x:c r="A267" s="217" t="n">
        <x:v>263</x:v>
      </x:c>
      <x:c r="B267" s="218" t="str">
        <x:v>26808</x:v>
      </x:c>
      <x:c r="C267" s="218" t="str">
        <x:v>4</x:v>
      </x:c>
      <x:c r="D267" s="218" t="str">
        <x:v>608925</x:v>
      </x:c>
      <x:c r="E267" s="218" t="str">
        <x:v>962986</x:v>
      </x:c>
      <x:c r="F267" s="218" t="str">
        <x:v>OUTROS</x:v>
      </x:c>
      <x:c r="G267" s="184" t="str">
        <x:v>PE AL 2250X70X9 RTO LME REC PET BCO(ULTR</x:v>
      </x:c>
      <x:c r="H267" s="184" t="str"/>
      <x:c r="I267" s="184" t="str"/>
      <x:c r="J267" s="184" t="str"/>
      <x:c r="K267" s="184" t="str">
        <x:v>ESMALTE</x:v>
      </x:c>
      <x:c r="L267" s="184" t="str">
        <x:v>BRANCO CARRARA</x:v>
      </x:c>
      <x:c r="M267" s="205" t="n">
        <x:v>126</x:v>
      </x:c>
      <x:c r="N267" s="205" t="n">
        <x:v>2250</x:v>
      </x:c>
      <x:c r="O267" s="205" t="n">
        <x:v>70</x:v>
      </x:c>
      <x:c r="P267" s="205" t="n">
        <x:v>9</x:v>
      </x:c>
      <x:c r="Q267" s="206" t="n">
        <x:v>0</x:v>
      </x:c>
      <x:c r="R267" s="207" t="str"/>
      <x:c r="S267" s="207" t="str"/>
      <x:c r="T267" s="207" t="str"/>
      <x:c r="U267" s="207" t="n">
        <x:v>0</x:v>
      </x:c>
      <x:c r="V267" s="208" t="n">
        <x:f>MAX(0,M267-U267)</x:f>
        <x:v>126</x:v>
      </x:c>
      <x:c r="W267" s="209" t="n">
        <x:f>IFERROR(U267/M267,0)</x:f>
        <x:v>0</x:v>
      </x:c>
      <x:c r="X267" s="201" t="str">
        <x:f>IF(U267=0,"Não iniciado",IF(U267&gt;=M267,"Concluído","Parcial"))</x:f>
        <x:v>Não iniciado</x:v>
      </x:c>
      <x:c r="Y267" s="199" t="str"/>
      <x:c r="Z267" s="188" t="str">
        <x:v>Normal</x:v>
      </x:c>
    </x:row>
    <x:row r="268" ht="22" customHeight="1">
      <x:c r="A268" s="219" t="n">
        <x:v>264</x:v>
      </x:c>
      <x:c r="B268" s="220" t="str">
        <x:v>26808</x:v>
      </x:c>
      <x:c r="C268" s="220" t="str">
        <x:v>5</x:v>
      </x:c>
      <x:c r="D268" s="220" t="str">
        <x:v>608933</x:v>
      </x:c>
      <x:c r="E268" s="220" t="str">
        <x:v>962986</x:v>
      </x:c>
      <x:c r="F268" s="220" t="str">
        <x:v>OUTROS</x:v>
      </x:c>
      <x:c r="G268" s="190" t="str">
        <x:v>PE AL 2250X70X9 RTO LME REC PET BCO(ULTR</x:v>
      </x:c>
      <x:c r="H268" s="190" t="str"/>
      <x:c r="I268" s="190" t="str"/>
      <x:c r="J268" s="190" t="str"/>
      <x:c r="K268" s="190" t="str">
        <x:v>ESMALTE</x:v>
      </x:c>
      <x:c r="L268" s="190" t="str">
        <x:v>BRANCO CARRARA</x:v>
      </x:c>
      <x:c r="M268" s="210" t="n">
        <x:v>2</x:v>
      </x:c>
      <x:c r="N268" s="210" t="n">
        <x:v>2250</x:v>
      </x:c>
      <x:c r="O268" s="210" t="n">
        <x:v>70</x:v>
      </x:c>
      <x:c r="P268" s="210" t="n">
        <x:v>9</x:v>
      </x:c>
      <x:c r="Q268" s="211" t="n">
        <x:v>0</x:v>
      </x:c>
      <x:c r="R268" s="207" t="str"/>
      <x:c r="S268" s="207" t="str"/>
      <x:c r="T268" s="207" t="str"/>
      <x:c r="U268" s="207" t="n">
        <x:v>0</x:v>
      </x:c>
      <x:c r="V268" s="208" t="n">
        <x:f>MAX(0,M268-U268)</x:f>
        <x:v>2</x:v>
      </x:c>
      <x:c r="W268" s="209" t="n">
        <x:f>IFERROR(U268/M268,0)</x:f>
        <x:v>0</x:v>
      </x:c>
      <x:c r="X268" s="201" t="str">
        <x:f>IF(U268=0,"Não iniciado",IF(U268&gt;=M268,"Concluído","Parcial"))</x:f>
        <x:v>Não iniciado</x:v>
      </x:c>
      <x:c r="Y268" s="199" t="str"/>
      <x:c r="Z268" s="188" t="str">
        <x:v>Normal</x:v>
      </x:c>
    </x:row>
    <x:row r="269" ht="22" customHeight="1">
      <x:c r="A269" s="217" t="n">
        <x:v>265</x:v>
      </x:c>
      <x:c r="B269" s="218" t="str">
        <x:v>26808</x:v>
      </x:c>
      <x:c r="C269" s="218" t="str">
        <x:v>6</x:v>
      </x:c>
      <x:c r="D269" s="218" t="str">
        <x:v>608939</x:v>
      </x:c>
      <x:c r="E269" s="218" t="str">
        <x:v>962986</x:v>
      </x:c>
      <x:c r="F269" s="218" t="str">
        <x:v>OUTROS</x:v>
      </x:c>
      <x:c r="G269" s="184" t="str">
        <x:v>PE AL 2250X70X9 RTO LME REC PET BCO(ULTR</x:v>
      </x:c>
      <x:c r="H269" s="184" t="str"/>
      <x:c r="I269" s="184" t="str"/>
      <x:c r="J269" s="184" t="str"/>
      <x:c r="K269" s="184" t="str">
        <x:v>ESMALTE</x:v>
      </x:c>
      <x:c r="L269" s="184" t="str">
        <x:v>BRANCO CARRARA</x:v>
      </x:c>
      <x:c r="M269" s="205" t="n">
        <x:v>12</x:v>
      </x:c>
      <x:c r="N269" s="205" t="n">
        <x:v>2250</x:v>
      </x:c>
      <x:c r="O269" s="205" t="n">
        <x:v>70</x:v>
      </x:c>
      <x:c r="P269" s="205" t="n">
        <x:v>9</x:v>
      </x:c>
      <x:c r="Q269" s="206" t="n">
        <x:v>0</x:v>
      </x:c>
      <x:c r="R269" s="207" t="str"/>
      <x:c r="S269" s="207" t="str"/>
      <x:c r="T269" s="207" t="str"/>
      <x:c r="U269" s="207" t="n">
        <x:v>0</x:v>
      </x:c>
      <x:c r="V269" s="208" t="n">
        <x:f>MAX(0,M269-U269)</x:f>
        <x:v>12</x:v>
      </x:c>
      <x:c r="W269" s="209" t="n">
        <x:f>IFERROR(U269/M269,0)</x:f>
        <x:v>0</x:v>
      </x:c>
      <x:c r="X269" s="201" t="str">
        <x:f>IF(U269=0,"Não iniciado",IF(U269&gt;=M269,"Concluído","Parcial"))</x:f>
        <x:v>Não iniciado</x:v>
      </x:c>
      <x:c r="Y269" s="199" t="str"/>
      <x:c r="Z269" s="188" t="str">
        <x:v>Normal</x:v>
      </x:c>
    </x:row>
    <x:row r="270" ht="22" customHeight="1">
      <x:c r="A270" s="219" t="n">
        <x:v>266</x:v>
      </x:c>
      <x:c r="B270" s="220" t="str">
        <x:v>26808</x:v>
      </x:c>
      <x:c r="C270" s="220" t="str">
        <x:v>7</x:v>
      </x:c>
      <x:c r="D270" s="220" t="str">
        <x:v>608949</x:v>
      </x:c>
      <x:c r="E270" s="220" t="str">
        <x:v>962986</x:v>
      </x:c>
      <x:c r="F270" s="220" t="str">
        <x:v>OUTROS</x:v>
      </x:c>
      <x:c r="G270" s="190" t="str">
        <x:v>PE AL 2250X70X9 RTO LME REC PET BCO(ULTR</x:v>
      </x:c>
      <x:c r="H270" s="190" t="str"/>
      <x:c r="I270" s="190" t="str"/>
      <x:c r="J270" s="190" t="str"/>
      <x:c r="K270" s="190" t="str">
        <x:v>ESMALTE</x:v>
      </x:c>
      <x:c r="L270" s="190" t="str">
        <x:v>BRANCO CARRARA</x:v>
      </x:c>
      <x:c r="M270" s="210" t="n">
        <x:v>8</x:v>
      </x:c>
      <x:c r="N270" s="210" t="n">
        <x:v>2250</x:v>
      </x:c>
      <x:c r="O270" s="210" t="n">
        <x:v>70</x:v>
      </x:c>
      <x:c r="P270" s="210" t="n">
        <x:v>9</x:v>
      </x:c>
      <x:c r="Q270" s="211" t="n">
        <x:v>0</x:v>
      </x:c>
      <x:c r="R270" s="207" t="str"/>
      <x:c r="S270" s="207" t="str"/>
      <x:c r="T270" s="207" t="str"/>
      <x:c r="U270" s="207" t="n">
        <x:v>0</x:v>
      </x:c>
      <x:c r="V270" s="208" t="n">
        <x:f>MAX(0,M270-U270)</x:f>
        <x:v>8</x:v>
      </x:c>
      <x:c r="W270" s="209" t="n">
        <x:f>IFERROR(U270/M270,0)</x:f>
        <x:v>0</x:v>
      </x:c>
      <x:c r="X270" s="201" t="str">
        <x:f>IF(U270=0,"Não iniciado",IF(U270&gt;=M270,"Concluído","Parcial"))</x:f>
        <x:v>Não iniciado</x:v>
      </x:c>
      <x:c r="Y270" s="199" t="str"/>
      <x:c r="Z270" s="188" t="str">
        <x:v>Normal</x:v>
      </x:c>
    </x:row>
    <x:row r="271" ht="22" customHeight="1">
      <x:c r="A271" s="217" t="n">
        <x:v>267</x:v>
      </x:c>
      <x:c r="B271" s="218" t="str">
        <x:v>26808</x:v>
      </x:c>
      <x:c r="C271" s="218" t="str">
        <x:v>8</x:v>
      </x:c>
      <x:c r="D271" s="218" t="str">
        <x:v>608957</x:v>
      </x:c>
      <x:c r="E271" s="218" t="str">
        <x:v>962986</x:v>
      </x:c>
      <x:c r="F271" s="218" t="str">
        <x:v>OUTROS</x:v>
      </x:c>
      <x:c r="G271" s="184" t="str">
        <x:v>PE AL 2250X70X9 RTO LME REC PET BCO(ULTR</x:v>
      </x:c>
      <x:c r="H271" s="184" t="str"/>
      <x:c r="I271" s="184" t="str"/>
      <x:c r="J271" s="184" t="str"/>
      <x:c r="K271" s="184" t="str">
        <x:v>ESMALTE</x:v>
      </x:c>
      <x:c r="L271" s="184" t="str">
        <x:v>BRANCO CARRARA</x:v>
      </x:c>
      <x:c r="M271" s="205" t="n">
        <x:v>44</x:v>
      </x:c>
      <x:c r="N271" s="205" t="n">
        <x:v>2250</x:v>
      </x:c>
      <x:c r="O271" s="205" t="n">
        <x:v>70</x:v>
      </x:c>
      <x:c r="P271" s="205" t="n">
        <x:v>9</x:v>
      </x:c>
      <x:c r="Q271" s="206" t="n">
        <x:v>0</x:v>
      </x:c>
      <x:c r="R271" s="207" t="str"/>
      <x:c r="S271" s="207" t="str"/>
      <x:c r="T271" s="207" t="str"/>
      <x:c r="U271" s="207" t="n">
        <x:v>0</x:v>
      </x:c>
      <x:c r="V271" s="208" t="n">
        <x:f>MAX(0,M271-U271)</x:f>
        <x:v>44</x:v>
      </x:c>
      <x:c r="W271" s="209" t="n">
        <x:f>IFERROR(U271/M271,0)</x:f>
        <x:v>0</x:v>
      </x:c>
      <x:c r="X271" s="201" t="str">
        <x:f>IF(U271=0,"Não iniciado",IF(U271&gt;=M271,"Concluído","Parcial"))</x:f>
        <x:v>Não iniciado</x:v>
      </x:c>
      <x:c r="Y271" s="199" t="str"/>
      <x:c r="Z271" s="188" t="str">
        <x:v>Normal</x:v>
      </x:c>
    </x:row>
    <x:row r="272" ht="22" customHeight="1">
      <x:c r="A272" s="219" t="n">
        <x:v>268</x:v>
      </x:c>
      <x:c r="B272" s="220" t="str">
        <x:v>26808</x:v>
      </x:c>
      <x:c r="C272" s="220" t="str">
        <x:v>9</x:v>
      </x:c>
      <x:c r="D272" s="220" t="str">
        <x:v>608965</x:v>
      </x:c>
      <x:c r="E272" s="220" t="str">
        <x:v>962986</x:v>
      </x:c>
      <x:c r="F272" s="220" t="str">
        <x:v>OUTROS</x:v>
      </x:c>
      <x:c r="G272" s="190" t="str">
        <x:v>PE AL 2250X70X9 RTO LME REC PET BCO(ULTR</x:v>
      </x:c>
      <x:c r="H272" s="190" t="str"/>
      <x:c r="I272" s="190" t="str"/>
      <x:c r="J272" s="190" t="str"/>
      <x:c r="K272" s="190" t="str">
        <x:v>ESMALTE</x:v>
      </x:c>
      <x:c r="L272" s="190" t="str">
        <x:v>BRANCO CARRARA</x:v>
      </x:c>
      <x:c r="M272" s="210" t="n">
        <x:v>142</x:v>
      </x:c>
      <x:c r="N272" s="210" t="n">
        <x:v>2250</x:v>
      </x:c>
      <x:c r="O272" s="210" t="n">
        <x:v>70</x:v>
      </x:c>
      <x:c r="P272" s="210" t="n">
        <x:v>9</x:v>
      </x:c>
      <x:c r="Q272" s="211" t="n">
        <x:v>0</x:v>
      </x:c>
      <x:c r="R272" s="207" t="str"/>
      <x:c r="S272" s="207" t="str"/>
      <x:c r="T272" s="207" t="str"/>
      <x:c r="U272" s="207" t="n">
        <x:v>0</x:v>
      </x:c>
      <x:c r="V272" s="208" t="n">
        <x:f>MAX(0,M272-U272)</x:f>
        <x:v>142</x:v>
      </x:c>
      <x:c r="W272" s="209" t="n">
        <x:f>IFERROR(U272/M272,0)</x:f>
        <x:v>0</x:v>
      </x:c>
      <x:c r="X272" s="201" t="str">
        <x:f>IF(U272=0,"Não iniciado",IF(U272&gt;=M272,"Concluído","Parcial"))</x:f>
        <x:v>Não iniciado</x:v>
      </x:c>
      <x:c r="Y272" s="199" t="str"/>
      <x:c r="Z272" s="188" t="str">
        <x:v>Normal</x:v>
      </x:c>
    </x:row>
    <x:row r="273" ht="22" customHeight="1">
      <x:c r="A273" s="217" t="n">
        <x:v>269</x:v>
      </x:c>
      <x:c r="B273" s="218" t="str">
        <x:v>26808</x:v>
      </x:c>
      <x:c r="C273" s="218" t="str">
        <x:v>10</x:v>
      </x:c>
      <x:c r="D273" s="218" t="str">
        <x:v>608973</x:v>
      </x:c>
      <x:c r="E273" s="218" t="str">
        <x:v>962986</x:v>
      </x:c>
      <x:c r="F273" s="218" t="str">
        <x:v>OUTROS</x:v>
      </x:c>
      <x:c r="G273" s="184" t="str">
        <x:v>PE AL 2250X70X9 RTO LME REC PET BCO(ULTR</x:v>
      </x:c>
      <x:c r="H273" s="184" t="str"/>
      <x:c r="I273" s="184" t="str"/>
      <x:c r="J273" s="184" t="str"/>
      <x:c r="K273" s="184" t="str">
        <x:v>ESMALTE</x:v>
      </x:c>
      <x:c r="L273" s="184" t="str">
        <x:v>BRANCO CARRARA</x:v>
      </x:c>
      <x:c r="M273" s="205" t="n">
        <x:v>2</x:v>
      </x:c>
      <x:c r="N273" s="205" t="n">
        <x:v>2250</x:v>
      </x:c>
      <x:c r="O273" s="205" t="n">
        <x:v>70</x:v>
      </x:c>
      <x:c r="P273" s="205" t="n">
        <x:v>9</x:v>
      </x:c>
      <x:c r="Q273" s="206" t="n">
        <x:v>0</x:v>
      </x:c>
      <x:c r="R273" s="207" t="str"/>
      <x:c r="S273" s="207" t="str"/>
      <x:c r="T273" s="207" t="str"/>
      <x:c r="U273" s="207" t="n">
        <x:v>0</x:v>
      </x:c>
      <x:c r="V273" s="208" t="n">
        <x:f>MAX(0,M273-U273)</x:f>
        <x:v>2</x:v>
      </x:c>
      <x:c r="W273" s="209" t="n">
        <x:f>IFERROR(U273/M273,0)</x:f>
        <x:v>0</x:v>
      </x:c>
      <x:c r="X273" s="201" t="str">
        <x:f>IF(U273=0,"Não iniciado",IF(U273&gt;=M273,"Concluído","Parcial"))</x:f>
        <x:v>Não iniciado</x:v>
      </x:c>
      <x:c r="Y273" s="199" t="str"/>
      <x:c r="Z273" s="188" t="str">
        <x:v>Normal</x:v>
      </x:c>
    </x:row>
    <x:row r="274" ht="22" customHeight="1">
      <x:c r="A274" s="219" t="n">
        <x:v>270</x:v>
      </x:c>
      <x:c r="B274" s="220" t="str">
        <x:v>26808</x:v>
      </x:c>
      <x:c r="C274" s="220" t="str">
        <x:v>11</x:v>
      </x:c>
      <x:c r="D274" s="220" t="str">
        <x:v>608979</x:v>
      </x:c>
      <x:c r="E274" s="220" t="str">
        <x:v>962986</x:v>
      </x:c>
      <x:c r="F274" s="220" t="str">
        <x:v>OUTROS</x:v>
      </x:c>
      <x:c r="G274" s="190" t="str">
        <x:v>PE AL 2250X70X9 RTO LME REC PET BCO(ULTR</x:v>
      </x:c>
      <x:c r="H274" s="190" t="str"/>
      <x:c r="I274" s="190" t="str"/>
      <x:c r="J274" s="190" t="str"/>
      <x:c r="K274" s="190" t="str">
        <x:v>ESMALTE</x:v>
      </x:c>
      <x:c r="L274" s="190" t="str">
        <x:v>BRANCO CARRARA</x:v>
      </x:c>
      <x:c r="M274" s="210" t="n">
        <x:v>2</x:v>
      </x:c>
      <x:c r="N274" s="210" t="n">
        <x:v>2250</x:v>
      </x:c>
      <x:c r="O274" s="210" t="n">
        <x:v>70</x:v>
      </x:c>
      <x:c r="P274" s="210" t="n">
        <x:v>9</x:v>
      </x:c>
      <x:c r="Q274" s="211" t="n">
        <x:v>0</x:v>
      </x:c>
      <x:c r="R274" s="207" t="str"/>
      <x:c r="S274" s="207" t="str"/>
      <x:c r="T274" s="207" t="str"/>
      <x:c r="U274" s="207" t="n">
        <x:v>0</x:v>
      </x:c>
      <x:c r="V274" s="208" t="n">
        <x:f>MAX(0,M274-U274)</x:f>
        <x:v>2</x:v>
      </x:c>
      <x:c r="W274" s="209" t="n">
        <x:f>IFERROR(U274/M274,0)</x:f>
        <x:v>0</x:v>
      </x:c>
      <x:c r="X274" s="201" t="str">
        <x:f>IF(U274=0,"Não iniciado",IF(U274&gt;=M274,"Concluído","Parcial"))</x:f>
        <x:v>Não iniciado</x:v>
      </x:c>
      <x:c r="Y274" s="199" t="str"/>
      <x:c r="Z274" s="188" t="str">
        <x:v>Normal</x:v>
      </x:c>
    </x:row>
    <x:row r="275" ht="22" customHeight="1">
      <x:c r="A275" s="217" t="n">
        <x:v>271</x:v>
      </x:c>
      <x:c r="B275" s="218" t="str">
        <x:v>26809</x:v>
      </x:c>
      <x:c r="C275" s="218" t="str">
        <x:v>12</x:v>
      </x:c>
      <x:c r="D275" s="218" t="str">
        <x:v>609962</x:v>
      </x:c>
      <x:c r="E275" s="218" t="str">
        <x:v>2020700108</x:v>
      </x:c>
      <x:c r="F275" s="218" t="str">
        <x:v>OUTROS</x:v>
      </x:c>
      <x:c r="G275" s="184" t="str">
        <x:v>A ULTRA PET CAP M 2250X70X9 RG(55) RTO</x:v>
      </x:c>
      <x:c r="H275" s="184" t="str">
        <x:v>REG 2L(MAIOR 55MM)</x:v>
      </x:c>
      <x:c r="I275" s="184" t="str"/>
      <x:c r="J275" s="184" t="str"/>
      <x:c r="K275" s="184" t="str">
        <x:v>RECOBERTO PET</x:v>
      </x:c>
      <x:c r="L275" s="184" t="str">
        <x:v>CAPUCCINO MARCHE</x:v>
      </x:c>
      <x:c r="M275" s="205" t="n">
        <x:v>2</x:v>
      </x:c>
      <x:c r="N275" s="205" t="n">
        <x:v>2250</x:v>
      </x:c>
      <x:c r="O275" s="205" t="n">
        <x:v>70</x:v>
      </x:c>
      <x:c r="P275" s="205" t="n">
        <x:v>9</x:v>
      </x:c>
      <x:c r="Q275" s="206" t="n">
        <x:v>0</x:v>
      </x:c>
      <x:c r="R275" s="207" t="str"/>
      <x:c r="S275" s="207" t="str"/>
      <x:c r="T275" s="207" t="str"/>
      <x:c r="U275" s="207" t="n">
        <x:v>0</x:v>
      </x:c>
      <x:c r="V275" s="208" t="n">
        <x:f>MAX(0,M275-U275)</x:f>
        <x:v>2</x:v>
      </x:c>
      <x:c r="W275" s="209" t="n">
        <x:f>IFERROR(U275/M275,0)</x:f>
        <x:v>0</x:v>
      </x:c>
      <x:c r="X275" s="201" t="str">
        <x:f>IF(U275=0,"Não iniciado",IF(U275&gt;=M275,"Concluído","Parcial"))</x:f>
        <x:v>Não iniciado</x:v>
      </x:c>
      <x:c r="Y275" s="199" t="str"/>
      <x:c r="Z275" s="188" t="str">
        <x:v>Normal</x:v>
      </x:c>
    </x:row>
    <x:row r="276" ht="22" customHeight="1">
      <x:c r="A276" s="219" t="n">
        <x:v>272</x:v>
      </x:c>
      <x:c r="B276" s="220" t="str">
        <x:v>26809</x:v>
      </x:c>
      <x:c r="C276" s="220" t="str">
        <x:v>12</x:v>
      </x:c>
      <x:c r="D276" s="220" t="str">
        <x:v>609963</x:v>
      </x:c>
      <x:c r="E276" s="220" t="str">
        <x:v>2020700109</x:v>
      </x:c>
      <x:c r="F276" s="220" t="str">
        <x:v>OUTROS</x:v>
      </x:c>
      <x:c r="G276" s="190" t="str">
        <x:v>A ULTRA PET CAP M 2250X70X9 RG(ME) RTO</x:v>
      </x:c>
      <x:c r="H276" s="190" t="str">
        <x:v>REG 2L(MAIOR 55MM)</x:v>
      </x:c>
      <x:c r="I276" s="190" t="str"/>
      <x:c r="J276" s="190" t="str"/>
      <x:c r="K276" s="190" t="str">
        <x:v>RECOBERTO PET</x:v>
      </x:c>
      <x:c r="L276" s="190" t="str">
        <x:v>CAPUCCINO MARCHE</x:v>
      </x:c>
      <x:c r="M276" s="210" t="n">
        <x:v>2</x:v>
      </x:c>
      <x:c r="N276" s="210" t="n">
        <x:v>2250</x:v>
      </x:c>
      <x:c r="O276" s="210" t="n">
        <x:v>70</x:v>
      </x:c>
      <x:c r="P276" s="210" t="n">
        <x:v>9</x:v>
      </x:c>
      <x:c r="Q276" s="211" t="n">
        <x:v>0</x:v>
      </x:c>
      <x:c r="R276" s="207" t="str"/>
      <x:c r="S276" s="207" t="str"/>
      <x:c r="T276" s="207" t="str"/>
      <x:c r="U276" s="207" t="n">
        <x:v>0</x:v>
      </x:c>
      <x:c r="V276" s="208" t="n">
        <x:f>MAX(0,M276-U276)</x:f>
        <x:v>2</x:v>
      </x:c>
      <x:c r="W276" s="209" t="n">
        <x:f>IFERROR(U276/M276,0)</x:f>
        <x:v>0</x:v>
      </x:c>
      <x:c r="X276" s="201" t="str">
        <x:f>IF(U276=0,"Não iniciado",IF(U276&gt;=M276,"Concluído","Parcial"))</x:f>
        <x:v>Não iniciado</x:v>
      </x:c>
      <x:c r="Y276" s="199" t="str"/>
      <x:c r="Z276" s="188" t="str">
        <x:v>Normal</x:v>
      </x:c>
    </x:row>
    <x:row r="277" ht="22" customHeight="1">
      <x:c r="A277" s="217" t="n">
        <x:v>273</x:v>
      </x:c>
      <x:c r="B277" s="218" t="str">
        <x:v>26800</x:v>
      </x:c>
      <x:c r="C277" s="218" t="str">
        <x:v>5</x:v>
      </x:c>
      <x:c r="D277" s="218" t="str">
        <x:v>609981</x:v>
      </x:c>
      <x:c r="E277" s="218" t="str">
        <x:v>979740</x:v>
      </x:c>
      <x:c r="F277" s="218" t="str">
        <x:v>OUTROS</x:v>
      </x:c>
      <x:c r="G277" s="184" t="str">
        <x:v>PER ALI 2250X70X9 RTO LME PET MALVA(ULT</x:v>
      </x:c>
      <x:c r="H277" s="184" t="str">
        <x:v>REG 2L(MAIOR 55MM)</x:v>
      </x:c>
      <x:c r="I277" s="184" t="str"/>
      <x:c r="J277" s="184" t="str"/>
      <x:c r="K277" s="184" t="str">
        <x:v>RECOBERTO PET</x:v>
      </x:c>
      <x:c r="L277" s="184" t="str">
        <x:v>CARVALHO MALVA</x:v>
      </x:c>
      <x:c r="M277" s="205" t="n">
        <x:v>12</x:v>
      </x:c>
      <x:c r="N277" s="205" t="n">
        <x:v>2250</x:v>
      </x:c>
      <x:c r="O277" s="205" t="n">
        <x:v>70</x:v>
      </x:c>
      <x:c r="P277" s="205" t="n">
        <x:v>9</x:v>
      </x:c>
      <x:c r="Q277" s="206" t="n">
        <x:v>0</x:v>
      </x:c>
      <x:c r="R277" s="207" t="str"/>
      <x:c r="S277" s="207" t="str"/>
      <x:c r="T277" s="207" t="str"/>
      <x:c r="U277" s="207" t="n">
        <x:v>0</x:v>
      </x:c>
      <x:c r="V277" s="208" t="n">
        <x:f>MAX(0,M277-U277)</x:f>
        <x:v>12</x:v>
      </x:c>
      <x:c r="W277" s="209" t="n">
        <x:f>IFERROR(U277/M277,0)</x:f>
        <x:v>0</x:v>
      </x:c>
      <x:c r="X277" s="201" t="str">
        <x:f>IF(U277=0,"Não iniciado",IF(U277&gt;=M277,"Concluído","Parcial"))</x:f>
        <x:v>Não iniciado</x:v>
      </x:c>
      <x:c r="Y277" s="199" t="str"/>
      <x:c r="Z277" s="188" t="str">
        <x:v>Normal</x:v>
      </x:c>
    </x:row>
    <x:row r="278" ht="22" customHeight="1">
      <x:c r="A278" s="219" t="n">
        <x:v>274</x:v>
      </x:c>
      <x:c r="B278" s="220" t="str">
        <x:v>26766</x:v>
      </x:c>
      <x:c r="C278" s="220" t="str">
        <x:v>8</x:v>
      </x:c>
      <x:c r="D278" s="220" t="str">
        <x:v>610159</x:v>
      </x:c>
      <x:c r="E278" s="220" t="str">
        <x:v>2020600152</x:v>
      </x:c>
      <x:c r="F278" s="220" t="str">
        <x:v>OUTROS</x:v>
      </x:c>
      <x:c r="G278" s="190" t="str">
        <x:v>A STD PET TXT M BR 2250X70X9 RG(80) RTO</x:v>
      </x:c>
      <x:c r="H278" s="190" t="str">
        <x:v>REG 2L(MAIOR 80MM)</x:v>
      </x:c>
      <x:c r="I278" s="190" t="str"/>
      <x:c r="J278" s="190" t="str"/>
      <x:c r="K278" s="190" t="str">
        <x:v>RECOBERTO PET TXT</x:v>
      </x:c>
      <x:c r="L278" s="190" t="str">
        <x:v>MOGNO BRASILEIRO</x:v>
      </x:c>
      <x:c r="M278" s="210" t="n">
        <x:v>1512</x:v>
      </x:c>
      <x:c r="N278" s="210" t="n">
        <x:v>2250</x:v>
      </x:c>
      <x:c r="O278" s="210" t="n">
        <x:v>70</x:v>
      </x:c>
      <x:c r="P278" s="210" t="n">
        <x:v>9</x:v>
      </x:c>
      <x:c r="Q278" s="211" t="n">
        <x:v>0</x:v>
      </x:c>
      <x:c r="R278" s="207" t="str"/>
      <x:c r="S278" s="207" t="str"/>
      <x:c r="T278" s="207" t="str"/>
      <x:c r="U278" s="207" t="n">
        <x:v>0</x:v>
      </x:c>
      <x:c r="V278" s="208" t="n">
        <x:f>MAX(0,M278-U278)</x:f>
        <x:v>1512</x:v>
      </x:c>
      <x:c r="W278" s="209" t="n">
        <x:f>IFERROR(U278/M278,0)</x:f>
        <x:v>0</x:v>
      </x:c>
      <x:c r="X278" s="201" t="str">
        <x:f>IF(U278=0,"Não iniciado",IF(U278&gt;=M278,"Concluído","Parcial"))</x:f>
        <x:v>Não iniciado</x:v>
      </x:c>
      <x:c r="Y278" s="199" t="str"/>
      <x:c r="Z278" s="188" t="str">
        <x:v>Normal</x:v>
      </x:c>
    </x:row>
    <x:row r="279" ht="22" customHeight="1">
      <x:c r="A279" s="217" t="n">
        <x:v>275</x:v>
      </x:c>
      <x:c r="B279" s="218" t="str">
        <x:v>26766</x:v>
      </x:c>
      <x:c r="C279" s="218" t="str">
        <x:v>8</x:v>
      </x:c>
      <x:c r="D279" s="218" t="str">
        <x:v>610160</x:v>
      </x:c>
      <x:c r="E279" s="218" t="str">
        <x:v>2020600184</x:v>
      </x:c>
      <x:c r="F279" s="218" t="str">
        <x:v>OUTROS</x:v>
      </x:c>
      <x:c r="G279" s="184" t="str">
        <x:v>A STD PET TXT M BR 2250X70X9 RG(ME) RTO</x:v>
      </x:c>
      <x:c r="H279" s="184" t="str">
        <x:v>REG 2L(MAIOR 80MM)</x:v>
      </x:c>
      <x:c r="I279" s="184" t="str"/>
      <x:c r="J279" s="184" t="str"/>
      <x:c r="K279" s="184" t="str">
        <x:v>RECOBERTO PET TXT</x:v>
      </x:c>
      <x:c r="L279" s="184" t="str">
        <x:v>MOGNO BRASILEIRO</x:v>
      </x:c>
      <x:c r="M279" s="205" t="n">
        <x:v>1512</x:v>
      </x:c>
      <x:c r="N279" s="205" t="n">
        <x:v>2250</x:v>
      </x:c>
      <x:c r="O279" s="205" t="n">
        <x:v>70</x:v>
      </x:c>
      <x:c r="P279" s="205" t="n">
        <x:v>9</x:v>
      </x:c>
      <x:c r="Q279" s="206" t="n">
        <x:v>0</x:v>
      </x:c>
      <x:c r="R279" s="207" t="str"/>
      <x:c r="S279" s="207" t="str"/>
      <x:c r="T279" s="207" t="str"/>
      <x:c r="U279" s="207" t="n">
        <x:v>0</x:v>
      </x:c>
      <x:c r="V279" s="208" t="n">
        <x:f>MAX(0,M279-U279)</x:f>
        <x:v>1512</x:v>
      </x:c>
      <x:c r="W279" s="209" t="n">
        <x:f>IFERROR(U279/M279,0)</x:f>
        <x:v>0</x:v>
      </x:c>
      <x:c r="X279" s="201" t="str">
        <x:f>IF(U279=0,"Não iniciado",IF(U279&gt;=M279,"Concluído","Parcial"))</x:f>
        <x:v>Não iniciado</x:v>
      </x:c>
      <x:c r="Y279" s="199" t="str"/>
      <x:c r="Z279" s="188" t="str">
        <x:v>Normal</x:v>
      </x:c>
    </x:row>
    <x:row r="280" ht="22" customHeight="1">
      <x:c r="A280" s="219" t="n">
        <x:v>276</x:v>
      </x:c>
      <x:c r="B280" s="220" t="str">
        <x:v>26520</x:v>
      </x:c>
      <x:c r="C280" s="220" t="str">
        <x:v>1</x:v>
      </x:c>
      <x:c r="D280" s="220" t="str">
        <x:v>610063</x:v>
      </x:c>
      <x:c r="E280" s="220" t="str">
        <x:v>971114</x:v>
      </x:c>
      <x:c r="F280" s="220" t="str">
        <x:v>ALIZAR</x:v>
      </x:c>
      <x:c r="G280" s="190" t="str">
        <x:v>P A 2200X70X9 RTO RL55 PET CIN VER ULTRA</x:v>
      </x:c>
      <x:c r="H280" s="190" t="str"/>
      <x:c r="I280" s="190" t="str"/>
      <x:c r="J280" s="190" t="str"/>
      <x:c r="K280" s="190" t="str">
        <x:v>RECOBERTO PET</x:v>
      </x:c>
      <x:c r="L280" s="190" t="str">
        <x:v>CINZA VERONA</x:v>
      </x:c>
      <x:c r="M280" s="210" t="n">
        <x:v>4</x:v>
      </x:c>
      <x:c r="N280" s="210" t="n">
        <x:v>2200</x:v>
      </x:c>
      <x:c r="O280" s="210" t="n">
        <x:v>70</x:v>
      </x:c>
      <x:c r="P280" s="210" t="n">
        <x:v>9</x:v>
      </x:c>
      <x:c r="Q280" s="211" t="n">
        <x:v>0</x:v>
      </x:c>
      <x:c r="R280" s="207" t="str"/>
      <x:c r="S280" s="207" t="str"/>
      <x:c r="T280" s="207" t="str"/>
      <x:c r="U280" s="207" t="n">
        <x:v>0</x:v>
      </x:c>
      <x:c r="V280" s="208" t="n">
        <x:f>MAX(0,M280-U280)</x:f>
        <x:v>4</x:v>
      </x:c>
      <x:c r="W280" s="209" t="n">
        <x:f>IFERROR(U280/M280,0)</x:f>
        <x:v>0</x:v>
      </x:c>
      <x:c r="X280" s="201" t="str">
        <x:f>IF(U280=0,"Não iniciado",IF(U280&gt;=M280,"Concluído","Parcial"))</x:f>
        <x:v>Não iniciado</x:v>
      </x:c>
      <x:c r="Y280" s="199" t="str"/>
      <x:c r="Z280" s="188" t="str">
        <x:v>Normal</x:v>
      </x:c>
    </x:row>
    <x:row r="281" ht="22" customHeight="1">
      <x:c r="A281" s="217" t="n">
        <x:v>277</x:v>
      </x:c>
      <x:c r="B281" s="218" t="str">
        <x:v>26520</x:v>
      </x:c>
      <x:c r="C281" s="218" t="str">
        <x:v>1</x:v>
      </x:c>
      <x:c r="D281" s="218" t="str">
        <x:v>610064</x:v>
      </x:c>
      <x:c r="E281" s="218" t="str">
        <x:v>971116</x:v>
      </x:c>
      <x:c r="F281" s="218" t="str">
        <x:v>ALIZAR</x:v>
      </x:c>
      <x:c r="G281" s="184" t="str">
        <x:v>P A 2200X70X9 RTO LME PET CIN VER ULTRA</x:v>
      </x:c>
      <x:c r="H281" s="184" t="str"/>
      <x:c r="I281" s="184" t="str"/>
      <x:c r="J281" s="184" t="str"/>
      <x:c r="K281" s="184" t="str">
        <x:v>RECOBERTO PET</x:v>
      </x:c>
      <x:c r="L281" s="184" t="str">
        <x:v>CINZA VERONA</x:v>
      </x:c>
      <x:c r="M281" s="205" t="n">
        <x:v>4</x:v>
      </x:c>
      <x:c r="N281" s="205" t="n">
        <x:v>2200</x:v>
      </x:c>
      <x:c r="O281" s="205" t="n">
        <x:v>70</x:v>
      </x:c>
      <x:c r="P281" s="205" t="n">
        <x:v>9</x:v>
      </x:c>
      <x:c r="Q281" s="206" t="n">
        <x:v>0</x:v>
      </x:c>
      <x:c r="R281" s="207" t="str"/>
      <x:c r="S281" s="207" t="str"/>
      <x:c r="T281" s="207" t="str"/>
      <x:c r="U281" s="207" t="n">
        <x:v>0</x:v>
      </x:c>
      <x:c r="V281" s="208" t="n">
        <x:f>MAX(0,M281-U281)</x:f>
        <x:v>4</x:v>
      </x:c>
      <x:c r="W281" s="209" t="n">
        <x:f>IFERROR(U281/M281,0)</x:f>
        <x:v>0</x:v>
      </x:c>
      <x:c r="X281" s="201" t="str">
        <x:f>IF(U281=0,"Não iniciado",IF(U281&gt;=M281,"Concluído","Parcial"))</x:f>
        <x:v>Não iniciado</x:v>
      </x:c>
      <x:c r="Y281" s="199" t="str"/>
      <x:c r="Z281" s="188" t="str">
        <x:v>Normal</x:v>
      </x:c>
    </x:row>
    <x:row r="282" ht="22" customHeight="1">
      <x:c r="A282" s="219" t="n">
        <x:v>278</x:v>
      </x:c>
      <x:c r="B282" s="220" t="str">
        <x:v>26520</x:v>
      </x:c>
      <x:c r="C282" s="220" t="str">
        <x:v>2</x:v>
      </x:c>
      <x:c r="D282" s="220" t="str">
        <x:v>610071</x:v>
      </x:c>
      <x:c r="E282" s="220" t="str">
        <x:v>971114</x:v>
      </x:c>
      <x:c r="F282" s="220" t="str">
        <x:v>ALIZAR</x:v>
      </x:c>
      <x:c r="G282" s="190" t="str">
        <x:v>P A 2200X70X9 RTO RL55 PET CIN VER ULTRA</x:v>
      </x:c>
      <x:c r="H282" s="190" t="str"/>
      <x:c r="I282" s="190" t="str"/>
      <x:c r="J282" s="190" t="str"/>
      <x:c r="K282" s="190" t="str">
        <x:v>RECOBERTO PET</x:v>
      </x:c>
      <x:c r="L282" s="190" t="str">
        <x:v>CINZA VERONA</x:v>
      </x:c>
      <x:c r="M282" s="210" t="n">
        <x:v>12</x:v>
      </x:c>
      <x:c r="N282" s="210" t="n">
        <x:v>2200</x:v>
      </x:c>
      <x:c r="O282" s="210" t="n">
        <x:v>70</x:v>
      </x:c>
      <x:c r="P282" s="210" t="n">
        <x:v>9</x:v>
      </x:c>
      <x:c r="Q282" s="211" t="n">
        <x:v>0</x:v>
      </x:c>
      <x:c r="R282" s="207" t="str"/>
      <x:c r="S282" s="207" t="str"/>
      <x:c r="T282" s="207" t="str"/>
      <x:c r="U282" s="207" t="n">
        <x:v>0</x:v>
      </x:c>
      <x:c r="V282" s="208" t="n">
        <x:f>MAX(0,M282-U282)</x:f>
        <x:v>12</x:v>
      </x:c>
      <x:c r="W282" s="209" t="n">
        <x:f>IFERROR(U282/M282,0)</x:f>
        <x:v>0</x:v>
      </x:c>
      <x:c r="X282" s="201" t="str">
        <x:f>IF(U282=0,"Não iniciado",IF(U282&gt;=M282,"Concluído","Parcial"))</x:f>
        <x:v>Não iniciado</x:v>
      </x:c>
      <x:c r="Y282" s="199" t="str"/>
      <x:c r="Z282" s="188" t="str">
        <x:v>Normal</x:v>
      </x:c>
    </x:row>
    <x:row r="283" ht="22" customHeight="1">
      <x:c r="A283" s="217" t="n">
        <x:v>279</x:v>
      </x:c>
      <x:c r="B283" s="218" t="str">
        <x:v>26520</x:v>
      </x:c>
      <x:c r="C283" s="218" t="str">
        <x:v>2</x:v>
      </x:c>
      <x:c r="D283" s="218" t="str">
        <x:v>610072</x:v>
      </x:c>
      <x:c r="E283" s="218" t="str">
        <x:v>971116</x:v>
      </x:c>
      <x:c r="F283" s="218" t="str">
        <x:v>ALIZAR</x:v>
      </x:c>
      <x:c r="G283" s="184" t="str">
        <x:v>P A 2200X70X9 RTO LME PET CIN VER ULTRA</x:v>
      </x:c>
      <x:c r="H283" s="184" t="str"/>
      <x:c r="I283" s="184" t="str"/>
      <x:c r="J283" s="184" t="str"/>
      <x:c r="K283" s="184" t="str">
        <x:v>RECOBERTO PET</x:v>
      </x:c>
      <x:c r="L283" s="184" t="str">
        <x:v>CINZA VERONA</x:v>
      </x:c>
      <x:c r="M283" s="205" t="n">
        <x:v>12</x:v>
      </x:c>
      <x:c r="N283" s="205" t="n">
        <x:v>2200</x:v>
      </x:c>
      <x:c r="O283" s="205" t="n">
        <x:v>70</x:v>
      </x:c>
      <x:c r="P283" s="205" t="n">
        <x:v>9</x:v>
      </x:c>
      <x:c r="Q283" s="206" t="n">
        <x:v>0</x:v>
      </x:c>
      <x:c r="R283" s="207" t="str"/>
      <x:c r="S283" s="207" t="str"/>
      <x:c r="T283" s="207" t="str"/>
      <x:c r="U283" s="207" t="n">
        <x:v>0</x:v>
      </x:c>
      <x:c r="V283" s="208" t="n">
        <x:f>MAX(0,M283-U283)</x:f>
        <x:v>12</x:v>
      </x:c>
      <x:c r="W283" s="209" t="n">
        <x:f>IFERROR(U283/M283,0)</x:f>
        <x:v>0</x:v>
      </x:c>
      <x:c r="X283" s="201" t="str">
        <x:f>IF(U283=0,"Não iniciado",IF(U283&gt;=M283,"Concluído","Parcial"))</x:f>
        <x:v>Não iniciado</x:v>
      </x:c>
      <x:c r="Y283" s="199" t="str"/>
      <x:c r="Z283" s="188" t="str">
        <x:v>Normal</x:v>
      </x:c>
    </x:row>
    <x:row r="284" ht="22" customHeight="1">
      <x:c r="A284" s="219" t="n">
        <x:v>280</x:v>
      </x:c>
      <x:c r="B284" s="220" t="str">
        <x:v>26739</x:v>
      </x:c>
      <x:c r="C284" s="220" t="str">
        <x:v>5</x:v>
      </x:c>
      <x:c r="D284" s="220" t="str">
        <x:v>609636</x:v>
      </x:c>
      <x:c r="E284" s="220" t="str">
        <x:v>2020700630</x:v>
      </x:c>
      <x:c r="F284" s="220" t="str">
        <x:v>OUTROS</x:v>
      </x:c>
      <x:c r="G284" s="190" t="str">
        <x:v>A ULTRA PVC R BCO 2200X70X9 RG(80) RTO</x:v>
      </x:c>
      <x:c r="H284" s="190" t="str">
        <x:v>REG 1L(MAIOR 80MM)</x:v>
      </x:c>
      <x:c r="I284" s="190" t="str"/>
      <x:c r="J284" s="190" t="str"/>
      <x:c r="K284" s="190" t="str">
        <x:v>RECOBERTO PVC RENOLIT</x:v>
      </x:c>
      <x:c r="L284" s="190" t="str">
        <x:v>BRANCO</x:v>
      </x:c>
      <x:c r="M284" s="210" t="n">
        <x:v>24</x:v>
      </x:c>
      <x:c r="N284" s="210" t="n">
        <x:v>2200</x:v>
      </x:c>
      <x:c r="O284" s="210" t="n">
        <x:v>70</x:v>
      </x:c>
      <x:c r="P284" s="210" t="n">
        <x:v>9</x:v>
      </x:c>
      <x:c r="Q284" s="211" t="n">
        <x:v>0</x:v>
      </x:c>
      <x:c r="R284" s="207" t="str"/>
      <x:c r="S284" s="207" t="str"/>
      <x:c r="T284" s="207" t="str"/>
      <x:c r="U284" s="207" t="n">
        <x:v>0</x:v>
      </x:c>
      <x:c r="V284" s="208" t="n">
        <x:f>MAX(0,M284-U284)</x:f>
        <x:v>24</x:v>
      </x:c>
      <x:c r="W284" s="209" t="n">
        <x:f>IFERROR(U284/M284,0)</x:f>
        <x:v>0</x:v>
      </x:c>
      <x:c r="X284" s="201" t="str">
        <x:f>IF(U284=0,"Não iniciado",IF(U284&gt;=M284,"Concluído","Parcial"))</x:f>
        <x:v>Não iniciado</x:v>
      </x:c>
      <x:c r="Y284" s="199" t="str"/>
      <x:c r="Z284" s="188" t="str">
        <x:v>Normal</x:v>
      </x:c>
    </x:row>
    <x:row r="285" ht="22" customHeight="1">
      <x:c r="A285" s="217" t="n">
        <x:v>281</x:v>
      </x:c>
      <x:c r="B285" s="218" t="str">
        <x:v>26750</x:v>
      </x:c>
      <x:c r="C285" s="218" t="str">
        <x:v>6</x:v>
      </x:c>
      <x:c r="D285" s="218" t="str">
        <x:v>609799</x:v>
      </x:c>
      <x:c r="E285" s="218" t="str">
        <x:v>2020700630</x:v>
      </x:c>
      <x:c r="F285" s="218" t="str">
        <x:v>OUTROS</x:v>
      </x:c>
      <x:c r="G285" s="184" t="str">
        <x:v>A ULTRA PVC R BCO 2200X70X9 RG(80) RTO</x:v>
      </x:c>
      <x:c r="H285" s="184" t="str">
        <x:v>REG 1L(MAIOR 80MM)</x:v>
      </x:c>
      <x:c r="I285" s="184" t="str"/>
      <x:c r="J285" s="184" t="str"/>
      <x:c r="K285" s="184" t="str">
        <x:v>RECOBERTO PVC RENOLIT</x:v>
      </x:c>
      <x:c r="L285" s="184" t="str">
        <x:v>BRANCO</x:v>
      </x:c>
      <x:c r="M285" s="205" t="n">
        <x:v>16</x:v>
      </x:c>
      <x:c r="N285" s="205" t="n">
        <x:v>2200</x:v>
      </x:c>
      <x:c r="O285" s="205" t="n">
        <x:v>70</x:v>
      </x:c>
      <x:c r="P285" s="205" t="n">
        <x:v>9</x:v>
      </x:c>
      <x:c r="Q285" s="206" t="n">
        <x:v>0</x:v>
      </x:c>
      <x:c r="R285" s="207" t="str"/>
      <x:c r="S285" s="207" t="str"/>
      <x:c r="T285" s="207" t="str"/>
      <x:c r="U285" s="207" t="n">
        <x:v>0</x:v>
      </x:c>
      <x:c r="V285" s="208" t="n">
        <x:f>MAX(0,M285-U285)</x:f>
        <x:v>16</x:v>
      </x:c>
      <x:c r="W285" s="209" t="n">
        <x:f>IFERROR(U285/M285,0)</x:f>
        <x:v>0</x:v>
      </x:c>
      <x:c r="X285" s="201" t="str">
        <x:f>IF(U285=0,"Não iniciado",IF(U285&gt;=M285,"Concluído","Parcial"))</x:f>
        <x:v>Não iniciado</x:v>
      </x:c>
      <x:c r="Y285" s="199" t="str"/>
      <x:c r="Z285" s="188" t="str">
        <x:v>Normal</x:v>
      </x:c>
    </x:row>
    <x:row r="286" ht="22" customHeight="1">
      <x:c r="A286" s="219" t="n">
        <x:v>282</x:v>
      </x:c>
      <x:c r="B286" s="220" t="str">
        <x:v>26684</x:v>
      </x:c>
      <x:c r="C286" s="220" t="str">
        <x:v>6</x:v>
      </x:c>
      <x:c r="D286" s="220" t="str">
        <x:v>609150</x:v>
      </x:c>
      <x:c r="E286" s="220" t="str">
        <x:v>971353</x:v>
      </x:c>
      <x:c r="F286" s="220" t="str">
        <x:v>OUTROS</x:v>
      </x:c>
      <x:c r="G286" s="190" t="str">
        <x:v>2200X70X15 RTO RL55 REC PET BCO IMP(STD)</x:v>
      </x:c>
      <x:c r="H286" s="190" t="str"/>
      <x:c r="I286" s="190" t="str"/>
      <x:c r="J286" s="190" t="str"/>
      <x:c r="K286" s="190" t="str">
        <x:v>ESMALTE</x:v>
      </x:c>
      <x:c r="L286" s="190" t="str">
        <x:v>BRANCO CARRARA</x:v>
      </x:c>
      <x:c r="M286" s="210" t="n">
        <x:v>4</x:v>
      </x:c>
      <x:c r="N286" s="210" t="n">
        <x:v>2200</x:v>
      </x:c>
      <x:c r="O286" s="210" t="n">
        <x:v>70</x:v>
      </x:c>
      <x:c r="P286" s="210" t="n">
        <x:v>15</x:v>
      </x:c>
      <x:c r="Q286" s="211" t="n">
        <x:v>0.009</x:v>
      </x:c>
      <x:c r="R286" s="207" t="str"/>
      <x:c r="S286" s="207" t="str"/>
      <x:c r="T286" s="207" t="str"/>
      <x:c r="U286" s="207" t="n">
        <x:v>0</x:v>
      </x:c>
      <x:c r="V286" s="208" t="n">
        <x:f>MAX(0,M286-U286)</x:f>
        <x:v>4</x:v>
      </x:c>
      <x:c r="W286" s="209" t="n">
        <x:f>IFERROR(U286/M286,0)</x:f>
        <x:v>0</x:v>
      </x:c>
      <x:c r="X286" s="201" t="str">
        <x:f>IF(U286=0,"Não iniciado",IF(U286&gt;=M286,"Concluído","Parcial"))</x:f>
        <x:v>Não iniciado</x:v>
      </x:c>
      <x:c r="Y286" s="199" t="str"/>
      <x:c r="Z286" s="188" t="str">
        <x:v>Normal</x:v>
      </x:c>
    </x:row>
    <x:row r="287" ht="22" customHeight="1">
      <x:c r="A287" s="217" t="n">
        <x:v>283</x:v>
      </x:c>
      <x:c r="B287" s="218" t="str">
        <x:v>26684</x:v>
      </x:c>
      <x:c r="C287" s="218" t="str">
        <x:v>6</x:v>
      </x:c>
      <x:c r="D287" s="218" t="str">
        <x:v>609154</x:v>
      </x:c>
      <x:c r="E287" s="218" t="str">
        <x:v>981167</x:v>
      </x:c>
      <x:c r="F287" s="218" t="str">
        <x:v>OUTROS</x:v>
      </x:c>
      <x:c r="G287" s="184" t="str">
        <x:v>2200X70X15 RTO LME REC PET BCO IMP(STD)</x:v>
      </x:c>
      <x:c r="H287" s="184" t="str"/>
      <x:c r="I287" s="184" t="str"/>
      <x:c r="J287" s="184" t="str"/>
      <x:c r="K287" s="184" t="str">
        <x:v>ESMALTE</x:v>
      </x:c>
      <x:c r="L287" s="184" t="str">
        <x:v>BRANCO CARRARA</x:v>
      </x:c>
      <x:c r="M287" s="205" t="n">
        <x:v>4</x:v>
      </x:c>
      <x:c r="N287" s="205" t="n">
        <x:v>2200</x:v>
      </x:c>
      <x:c r="O287" s="205" t="n">
        <x:v>70</x:v>
      </x:c>
      <x:c r="P287" s="205" t="n">
        <x:v>15</x:v>
      </x:c>
      <x:c r="Q287" s="206" t="n">
        <x:v>0</x:v>
      </x:c>
      <x:c r="R287" s="207" t="str"/>
      <x:c r="S287" s="207" t="str"/>
      <x:c r="T287" s="207" t="str"/>
      <x:c r="U287" s="207" t="n">
        <x:v>0</x:v>
      </x:c>
      <x:c r="V287" s="208" t="n">
        <x:f>MAX(0,M287-U287)</x:f>
        <x:v>4</x:v>
      </x:c>
      <x:c r="W287" s="209" t="n">
        <x:f>IFERROR(U287/M287,0)</x:f>
        <x:v>0</x:v>
      </x:c>
      <x:c r="X287" s="201" t="str">
        <x:f>IF(U287=0,"Não iniciado",IF(U287&gt;=M287,"Concluído","Parcial"))</x:f>
        <x:v>Não iniciado</x:v>
      </x:c>
      <x:c r="Y287" s="199" t="str"/>
      <x:c r="Z287" s="188" t="str">
        <x:v>Normal</x:v>
      </x:c>
    </x:row>
    <x:row r="288" ht="22" customHeight="1">
      <x:c r="A288" s="219" t="n">
        <x:v>284</x:v>
      </x:c>
      <x:c r="B288" s="220" t="str">
        <x:v>26684</x:v>
      </x:c>
      <x:c r="C288" s="220" t="str">
        <x:v>10</x:v>
      </x:c>
      <x:c r="D288" s="220" t="str">
        <x:v>609182</x:v>
      </x:c>
      <x:c r="E288" s="220" t="str">
        <x:v>971353</x:v>
      </x:c>
      <x:c r="F288" s="220" t="str">
        <x:v>OUTROS</x:v>
      </x:c>
      <x:c r="G288" s="190" t="str">
        <x:v>2200X70X15 RTO RL55 REC PET BCO IMP(STD)</x:v>
      </x:c>
      <x:c r="H288" s="190" t="str"/>
      <x:c r="I288" s="190" t="str"/>
      <x:c r="J288" s="190" t="str"/>
      <x:c r="K288" s="190" t="str">
        <x:v>ESMALTE</x:v>
      </x:c>
      <x:c r="L288" s="190" t="str">
        <x:v>BRANCO CARRARA</x:v>
      </x:c>
      <x:c r="M288" s="210" t="n">
        <x:v>4</x:v>
      </x:c>
      <x:c r="N288" s="210" t="n">
        <x:v>2200</x:v>
      </x:c>
      <x:c r="O288" s="210" t="n">
        <x:v>70</x:v>
      </x:c>
      <x:c r="P288" s="210" t="n">
        <x:v>15</x:v>
      </x:c>
      <x:c r="Q288" s="211" t="n">
        <x:v>0.009</x:v>
      </x:c>
      <x:c r="R288" s="207" t="str"/>
      <x:c r="S288" s="207" t="str"/>
      <x:c r="T288" s="207" t="str"/>
      <x:c r="U288" s="207" t="n">
        <x:v>0</x:v>
      </x:c>
      <x:c r="V288" s="208" t="n">
        <x:f>MAX(0,M288-U288)</x:f>
        <x:v>4</x:v>
      </x:c>
      <x:c r="W288" s="209" t="n">
        <x:f>IFERROR(U288/M288,0)</x:f>
        <x:v>0</x:v>
      </x:c>
      <x:c r="X288" s="201" t="str">
        <x:f>IF(U288=0,"Não iniciado",IF(U288&gt;=M288,"Concluído","Parcial"))</x:f>
        <x:v>Não iniciado</x:v>
      </x:c>
      <x:c r="Y288" s="199" t="str"/>
      <x:c r="Z288" s="188" t="str">
        <x:v>Normal</x:v>
      </x:c>
    </x:row>
    <x:row r="289" ht="22" customHeight="1">
      <x:c r="A289" s="217" t="n">
        <x:v>285</x:v>
      </x:c>
      <x:c r="B289" s="218" t="str">
        <x:v>26684</x:v>
      </x:c>
      <x:c r="C289" s="218" t="str">
        <x:v>10</x:v>
      </x:c>
      <x:c r="D289" s="218" t="str">
        <x:v>609186</x:v>
      </x:c>
      <x:c r="E289" s="218" t="str">
        <x:v>981167</x:v>
      </x:c>
      <x:c r="F289" s="218" t="str">
        <x:v>OUTROS</x:v>
      </x:c>
      <x:c r="G289" s="184" t="str">
        <x:v>2200X70X15 RTO LME REC PET BCO IMP(STD)</x:v>
      </x:c>
      <x:c r="H289" s="184" t="str"/>
      <x:c r="I289" s="184" t="str"/>
      <x:c r="J289" s="184" t="str"/>
      <x:c r="K289" s="184" t="str">
        <x:v>ESMALTE</x:v>
      </x:c>
      <x:c r="L289" s="184" t="str">
        <x:v>BRANCO CARRARA</x:v>
      </x:c>
      <x:c r="M289" s="205" t="n">
        <x:v>4</x:v>
      </x:c>
      <x:c r="N289" s="205" t="n">
        <x:v>2200</x:v>
      </x:c>
      <x:c r="O289" s="205" t="n">
        <x:v>70</x:v>
      </x:c>
      <x:c r="P289" s="205" t="n">
        <x:v>15</x:v>
      </x:c>
      <x:c r="Q289" s="206" t="n">
        <x:v>0</x:v>
      </x:c>
      <x:c r="R289" s="207" t="str"/>
      <x:c r="S289" s="207" t="str"/>
      <x:c r="T289" s="207" t="str"/>
      <x:c r="U289" s="207" t="n">
        <x:v>0</x:v>
      </x:c>
      <x:c r="V289" s="208" t="n">
        <x:f>MAX(0,M289-U289)</x:f>
        <x:v>4</x:v>
      </x:c>
      <x:c r="W289" s="209" t="n">
        <x:f>IFERROR(U289/M289,0)</x:f>
        <x:v>0</x:v>
      </x:c>
      <x:c r="X289" s="201" t="str">
        <x:f>IF(U289=0,"Não iniciado",IF(U289&gt;=M289,"Concluído","Parcial"))</x:f>
        <x:v>Não iniciado</x:v>
      </x:c>
      <x:c r="Y289" s="199" t="str"/>
      <x:c r="Z289" s="188" t="str">
        <x:v>Normal</x:v>
      </x:c>
    </x:row>
    <x:row r="290" ht="22" customHeight="1">
      <x:c r="A290" s="219" t="n">
        <x:v>286</x:v>
      </x:c>
      <x:c r="B290" s="220" t="str">
        <x:v>26689</x:v>
      </x:c>
      <x:c r="C290" s="220" t="str">
        <x:v>4</x:v>
      </x:c>
      <x:c r="D290" s="220" t="str">
        <x:v>609101</x:v>
      </x:c>
      <x:c r="E290" s="220" t="str">
        <x:v>971353</x:v>
      </x:c>
      <x:c r="F290" s="220" t="str">
        <x:v>OUTROS</x:v>
      </x:c>
      <x:c r="G290" s="190" t="str">
        <x:v>2200X70X15 RTO RL55 REC PET BCO IMP(STD)</x:v>
      </x:c>
      <x:c r="H290" s="190" t="str"/>
      <x:c r="I290" s="190" t="str"/>
      <x:c r="J290" s="190" t="str"/>
      <x:c r="K290" s="190" t="str">
        <x:v>ESMALTE</x:v>
      </x:c>
      <x:c r="L290" s="190" t="str">
        <x:v>BRANCO CARRARA</x:v>
      </x:c>
      <x:c r="M290" s="210" t="n">
        <x:v>6</x:v>
      </x:c>
      <x:c r="N290" s="210" t="n">
        <x:v>2200</x:v>
      </x:c>
      <x:c r="O290" s="210" t="n">
        <x:v>70</x:v>
      </x:c>
      <x:c r="P290" s="210" t="n">
        <x:v>15</x:v>
      </x:c>
      <x:c r="Q290" s="211" t="n">
        <x:v>0.014</x:v>
      </x:c>
      <x:c r="R290" s="207" t="str"/>
      <x:c r="S290" s="207" t="str"/>
      <x:c r="T290" s="207" t="str"/>
      <x:c r="U290" s="207" t="n">
        <x:v>0</x:v>
      </x:c>
      <x:c r="V290" s="208" t="n">
        <x:f>MAX(0,M290-U290)</x:f>
        <x:v>6</x:v>
      </x:c>
      <x:c r="W290" s="209" t="n">
        <x:f>IFERROR(U290/M290,0)</x:f>
        <x:v>0</x:v>
      </x:c>
      <x:c r="X290" s="201" t="str">
        <x:f>IF(U290=0,"Não iniciado",IF(U290&gt;=M290,"Concluído","Parcial"))</x:f>
        <x:v>Não iniciado</x:v>
      </x:c>
      <x:c r="Y290" s="199" t="str"/>
      <x:c r="Z290" s="188" t="str">
        <x:v>Normal</x:v>
      </x:c>
    </x:row>
    <x:row r="291" ht="22" customHeight="1">
      <x:c r="A291" s="217" t="n">
        <x:v>287</x:v>
      </x:c>
      <x:c r="B291" s="218" t="str">
        <x:v>26689</x:v>
      </x:c>
      <x:c r="C291" s="218" t="str">
        <x:v>4</x:v>
      </x:c>
      <x:c r="D291" s="218" t="str">
        <x:v>609105</x:v>
      </x:c>
      <x:c r="E291" s="218" t="str">
        <x:v>981167</x:v>
      </x:c>
      <x:c r="F291" s="218" t="str">
        <x:v>OUTROS</x:v>
      </x:c>
      <x:c r="G291" s="184" t="str">
        <x:v>2200X70X15 RTO LME REC PET BCO IMP(STD)</x:v>
      </x:c>
      <x:c r="H291" s="184" t="str"/>
      <x:c r="I291" s="184" t="str"/>
      <x:c r="J291" s="184" t="str"/>
      <x:c r="K291" s="184" t="str">
        <x:v>ESMALTE</x:v>
      </x:c>
      <x:c r="L291" s="184" t="str">
        <x:v>BRANCO CARRARA</x:v>
      </x:c>
      <x:c r="M291" s="205" t="n">
        <x:v>6</x:v>
      </x:c>
      <x:c r="N291" s="205" t="n">
        <x:v>2200</x:v>
      </x:c>
      <x:c r="O291" s="205" t="n">
        <x:v>70</x:v>
      </x:c>
      <x:c r="P291" s="205" t="n">
        <x:v>15</x:v>
      </x:c>
      <x:c r="Q291" s="206" t="n">
        <x:v>0</x:v>
      </x:c>
      <x:c r="R291" s="207" t="str"/>
      <x:c r="S291" s="207" t="str"/>
      <x:c r="T291" s="207" t="str"/>
      <x:c r="U291" s="207" t="n">
        <x:v>0</x:v>
      </x:c>
      <x:c r="V291" s="208" t="n">
        <x:f>MAX(0,M291-U291)</x:f>
        <x:v>6</x:v>
      </x:c>
      <x:c r="W291" s="209" t="n">
        <x:f>IFERROR(U291/M291,0)</x:f>
        <x:v>0</x:v>
      </x:c>
      <x:c r="X291" s="201" t="str">
        <x:f>IF(U291=0,"Não iniciado",IF(U291&gt;=M291,"Concluído","Parcial"))</x:f>
        <x:v>Não iniciado</x:v>
      </x:c>
      <x:c r="Y291" s="199" t="str"/>
      <x:c r="Z291" s="188" t="str">
        <x:v>Normal</x:v>
      </x:c>
    </x:row>
    <x:row r="292" ht="22" customHeight="1">
      <x:c r="A292" s="219" t="n">
        <x:v>288</x:v>
      </x:c>
      <x:c r="B292" s="220" t="str">
        <x:v>26808</x:v>
      </x:c>
      <x:c r="C292" s="220" t="str">
        <x:v>1</x:v>
      </x:c>
      <x:c r="D292" s="220" t="str">
        <x:v>608899</x:v>
      </x:c>
      <x:c r="E292" s="220" t="str">
        <x:v>962766</x:v>
      </x:c>
      <x:c r="F292" s="220" t="str">
        <x:v>OUTROS</x:v>
      </x:c>
      <x:c r="G292" s="190" t="str">
        <x:v>PE AL 2200X70X9 RTO RL35 REC PET BCO(ULT</x:v>
      </x:c>
      <x:c r="H292" s="190" t="str"/>
      <x:c r="I292" s="190" t="str"/>
      <x:c r="J292" s="190" t="str"/>
      <x:c r="K292" s="190" t="str">
        <x:v>ESMALTE</x:v>
      </x:c>
      <x:c r="L292" s="190" t="str">
        <x:v>BRANCO CARRARA</x:v>
      </x:c>
      <x:c r="M292" s="210" t="n">
        <x:v>288</x:v>
      </x:c>
      <x:c r="N292" s="210" t="n">
        <x:v>2200</x:v>
      </x:c>
      <x:c r="O292" s="210" t="n">
        <x:v>70</x:v>
      </x:c>
      <x:c r="P292" s="210" t="n">
        <x:v>9</x:v>
      </x:c>
      <x:c r="Q292" s="211" t="n">
        <x:v>0</x:v>
      </x:c>
      <x:c r="R292" s="207" t="str"/>
      <x:c r="S292" s="207" t="str"/>
      <x:c r="T292" s="207" t="str"/>
      <x:c r="U292" s="207" t="n">
        <x:v>0</x:v>
      </x:c>
      <x:c r="V292" s="208" t="n">
        <x:f>MAX(0,M292-U292)</x:f>
        <x:v>288</x:v>
      </x:c>
      <x:c r="W292" s="209" t="n">
        <x:f>IFERROR(U292/M292,0)</x:f>
        <x:v>0</x:v>
      </x:c>
      <x:c r="X292" s="201" t="str">
        <x:f>IF(U292=0,"Não iniciado",IF(U292&gt;=M292,"Concluído","Parcial"))</x:f>
        <x:v>Não iniciado</x:v>
      </x:c>
      <x:c r="Y292" s="199" t="str"/>
      <x:c r="Z292" s="188" t="str">
        <x:v>Normal</x:v>
      </x:c>
    </x:row>
    <x:row r="293" ht="22" customHeight="1">
      <x:c r="A293" s="217" t="n">
        <x:v>289</x:v>
      </x:c>
      <x:c r="B293" s="218" t="str">
        <x:v>26808</x:v>
      </x:c>
      <x:c r="C293" s="218" t="str">
        <x:v>2</x:v>
      </x:c>
      <x:c r="D293" s="218" t="str">
        <x:v>608907</x:v>
      </x:c>
      <x:c r="E293" s="218" t="str">
        <x:v>962766</x:v>
      </x:c>
      <x:c r="F293" s="218" t="str">
        <x:v>OUTROS</x:v>
      </x:c>
      <x:c r="G293" s="184" t="str">
        <x:v>PE AL 2200X70X9 RTO RL35 REC PET BCO(ULT</x:v>
      </x:c>
      <x:c r="H293" s="184" t="str"/>
      <x:c r="I293" s="184" t="str"/>
      <x:c r="J293" s="184" t="str"/>
      <x:c r="K293" s="184" t="str">
        <x:v>ESMALTE</x:v>
      </x:c>
      <x:c r="L293" s="184" t="str">
        <x:v>BRANCO CARRARA</x:v>
      </x:c>
      <x:c r="M293" s="205" t="n">
        <x:v>32</x:v>
      </x:c>
      <x:c r="N293" s="205" t="n">
        <x:v>2200</x:v>
      </x:c>
      <x:c r="O293" s="205" t="n">
        <x:v>70</x:v>
      </x:c>
      <x:c r="P293" s="205" t="n">
        <x:v>9</x:v>
      </x:c>
      <x:c r="Q293" s="206" t="n">
        <x:v>0</x:v>
      </x:c>
      <x:c r="R293" s="207" t="str"/>
      <x:c r="S293" s="207" t="str"/>
      <x:c r="T293" s="207" t="str"/>
      <x:c r="U293" s="207" t="n">
        <x:v>0</x:v>
      </x:c>
      <x:c r="V293" s="208" t="n">
        <x:f>MAX(0,M293-U293)</x:f>
        <x:v>32</x:v>
      </x:c>
      <x:c r="W293" s="209" t="n">
        <x:f>IFERROR(U293/M293,0)</x:f>
        <x:v>0</x:v>
      </x:c>
      <x:c r="X293" s="201" t="str">
        <x:f>IF(U293=0,"Não iniciado",IF(U293&gt;=M293,"Concluído","Parcial"))</x:f>
        <x:v>Não iniciado</x:v>
      </x:c>
      <x:c r="Y293" s="199" t="str"/>
      <x:c r="Z293" s="188" t="str">
        <x:v>Normal</x:v>
      </x:c>
    </x:row>
    <x:row r="294" ht="22" customHeight="1">
      <x:c r="A294" s="219" t="n">
        <x:v>290</x:v>
      </x:c>
      <x:c r="B294" s="220" t="str">
        <x:v>26808</x:v>
      </x:c>
      <x:c r="C294" s="220" t="str">
        <x:v>3</x:v>
      </x:c>
      <x:c r="D294" s="220" t="str">
        <x:v>608915</x:v>
      </x:c>
      <x:c r="E294" s="220" t="str">
        <x:v>962766</x:v>
      </x:c>
      <x:c r="F294" s="220" t="str">
        <x:v>OUTROS</x:v>
      </x:c>
      <x:c r="G294" s="190" t="str">
        <x:v>PE AL 2200X70X9 RTO RL35 REC PET BCO(ULT</x:v>
      </x:c>
      <x:c r="H294" s="190" t="str"/>
      <x:c r="I294" s="190" t="str"/>
      <x:c r="J294" s="190" t="str"/>
      <x:c r="K294" s="190" t="str">
        <x:v>ESMALTE</x:v>
      </x:c>
      <x:c r="L294" s="190" t="str">
        <x:v>BRANCO CARRARA</x:v>
      </x:c>
      <x:c r="M294" s="210" t="n">
        <x:v>120</x:v>
      </x:c>
      <x:c r="N294" s="210" t="n">
        <x:v>2200</x:v>
      </x:c>
      <x:c r="O294" s="210" t="n">
        <x:v>70</x:v>
      </x:c>
      <x:c r="P294" s="210" t="n">
        <x:v>9</x:v>
      </x:c>
      <x:c r="Q294" s="211" t="n">
        <x:v>0</x:v>
      </x:c>
      <x:c r="R294" s="207" t="str"/>
      <x:c r="S294" s="207" t="str"/>
      <x:c r="T294" s="207" t="str"/>
      <x:c r="U294" s="207" t="n">
        <x:v>0</x:v>
      </x:c>
      <x:c r="V294" s="208" t="n">
        <x:f>MAX(0,M294-U294)</x:f>
        <x:v>120</x:v>
      </x:c>
      <x:c r="W294" s="209" t="n">
        <x:f>IFERROR(U294/M294,0)</x:f>
        <x:v>0</x:v>
      </x:c>
      <x:c r="X294" s="201" t="str">
        <x:f>IF(U294=0,"Não iniciado",IF(U294&gt;=M294,"Concluído","Parcial"))</x:f>
        <x:v>Não iniciado</x:v>
      </x:c>
      <x:c r="Y294" s="199" t="str"/>
      <x:c r="Z294" s="188" t="str">
        <x:v>Normal</x:v>
      </x:c>
    </x:row>
    <x:row r="295" ht="22" customHeight="1">
      <x:c r="A295" s="217" t="n">
        <x:v>291</x:v>
      </x:c>
      <x:c r="B295" s="218" t="str">
        <x:v>26808</x:v>
      </x:c>
      <x:c r="C295" s="218" t="str">
        <x:v>4</x:v>
      </x:c>
      <x:c r="D295" s="218" t="str">
        <x:v>608923</x:v>
      </x:c>
      <x:c r="E295" s="218" t="str">
        <x:v>962766</x:v>
      </x:c>
      <x:c r="F295" s="218" t="str">
        <x:v>OUTROS</x:v>
      </x:c>
      <x:c r="G295" s="184" t="str">
        <x:v>PE AL 2200X70X9 RTO RL35 REC PET BCO(ULT</x:v>
      </x:c>
      <x:c r="H295" s="184" t="str"/>
      <x:c r="I295" s="184" t="str"/>
      <x:c r="J295" s="184" t="str"/>
      <x:c r="K295" s="184" t="str">
        <x:v>ESMALTE</x:v>
      </x:c>
      <x:c r="L295" s="184" t="str">
        <x:v>BRANCO CARRARA</x:v>
      </x:c>
      <x:c r="M295" s="205" t="n">
        <x:v>126</x:v>
      </x:c>
      <x:c r="N295" s="205" t="n">
        <x:v>2200</x:v>
      </x:c>
      <x:c r="O295" s="205" t="n">
        <x:v>70</x:v>
      </x:c>
      <x:c r="P295" s="205" t="n">
        <x:v>9</x:v>
      </x:c>
      <x:c r="Q295" s="206" t="n">
        <x:v>0</x:v>
      </x:c>
      <x:c r="R295" s="207" t="str"/>
      <x:c r="S295" s="207" t="str"/>
      <x:c r="T295" s="207" t="str"/>
      <x:c r="U295" s="207" t="n">
        <x:v>0</x:v>
      </x:c>
      <x:c r="V295" s="208" t="n">
        <x:f>MAX(0,M295-U295)</x:f>
        <x:v>126</x:v>
      </x:c>
      <x:c r="W295" s="209" t="n">
        <x:f>IFERROR(U295/M295,0)</x:f>
        <x:v>0</x:v>
      </x:c>
      <x:c r="X295" s="201" t="str">
        <x:f>IF(U295=0,"Não iniciado",IF(U295&gt;=M295,"Concluído","Parcial"))</x:f>
        <x:v>Não iniciado</x:v>
      </x:c>
      <x:c r="Y295" s="199" t="str"/>
      <x:c r="Z295" s="188" t="str">
        <x:v>Normal</x:v>
      </x:c>
    </x:row>
    <x:row r="296" ht="22" customHeight="1">
      <x:c r="A296" s="219" t="n">
        <x:v>292</x:v>
      </x:c>
      <x:c r="B296" s="220" t="str">
        <x:v>26808</x:v>
      </x:c>
      <x:c r="C296" s="220" t="str">
        <x:v>5</x:v>
      </x:c>
      <x:c r="D296" s="220" t="str">
        <x:v>608931</x:v>
      </x:c>
      <x:c r="E296" s="220" t="str">
        <x:v>962766</x:v>
      </x:c>
      <x:c r="F296" s="220" t="str">
        <x:v>OUTROS</x:v>
      </x:c>
      <x:c r="G296" s="190" t="str">
        <x:v>PE AL 2200X70X9 RTO RL35 REC PET BCO(ULT</x:v>
      </x:c>
      <x:c r="H296" s="190" t="str"/>
      <x:c r="I296" s="190" t="str"/>
      <x:c r="J296" s="190" t="str"/>
      <x:c r="K296" s="190" t="str">
        <x:v>ESMALTE</x:v>
      </x:c>
      <x:c r="L296" s="190" t="str">
        <x:v>BRANCO CARRARA</x:v>
      </x:c>
      <x:c r="M296" s="210" t="n">
        <x:v>2</x:v>
      </x:c>
      <x:c r="N296" s="210" t="n">
        <x:v>2200</x:v>
      </x:c>
      <x:c r="O296" s="210" t="n">
        <x:v>70</x:v>
      </x:c>
      <x:c r="P296" s="210" t="n">
        <x:v>9</x:v>
      </x:c>
      <x:c r="Q296" s="211" t="n">
        <x:v>0</x:v>
      </x:c>
      <x:c r="R296" s="207" t="str"/>
      <x:c r="S296" s="207" t="str"/>
      <x:c r="T296" s="207" t="str"/>
      <x:c r="U296" s="207" t="n">
        <x:v>0</x:v>
      </x:c>
      <x:c r="V296" s="208" t="n">
        <x:f>MAX(0,M296-U296)</x:f>
        <x:v>2</x:v>
      </x:c>
      <x:c r="W296" s="209" t="n">
        <x:f>IFERROR(U296/M296,0)</x:f>
        <x:v>0</x:v>
      </x:c>
      <x:c r="X296" s="201" t="str">
        <x:f>IF(U296=0,"Não iniciado",IF(U296&gt;=M296,"Concluído","Parcial"))</x:f>
        <x:v>Não iniciado</x:v>
      </x:c>
      <x:c r="Y296" s="199" t="str"/>
      <x:c r="Z296" s="188" t="str">
        <x:v>Normal</x:v>
      </x:c>
    </x:row>
    <x:row r="297" ht="22" customHeight="1">
      <x:c r="A297" s="217" t="n">
        <x:v>293</x:v>
      </x:c>
      <x:c r="B297" s="218" t="str">
        <x:v>26808</x:v>
      </x:c>
      <x:c r="C297" s="218" t="str">
        <x:v>6</x:v>
      </x:c>
      <x:c r="D297" s="218" t="str">
        <x:v>608937</x:v>
      </x:c>
      <x:c r="E297" s="218" t="str">
        <x:v>962766</x:v>
      </x:c>
      <x:c r="F297" s="218" t="str">
        <x:v>OUTROS</x:v>
      </x:c>
      <x:c r="G297" s="184" t="str">
        <x:v>PE AL 2200X70X9 RTO RL35 REC PET BCO(ULT</x:v>
      </x:c>
      <x:c r="H297" s="184" t="str"/>
      <x:c r="I297" s="184" t="str"/>
      <x:c r="J297" s="184" t="str"/>
      <x:c r="K297" s="184" t="str">
        <x:v>ESMALTE</x:v>
      </x:c>
      <x:c r="L297" s="184" t="str">
        <x:v>BRANCO CARRARA</x:v>
      </x:c>
      <x:c r="M297" s="205" t="n">
        <x:v>12</x:v>
      </x:c>
      <x:c r="N297" s="205" t="n">
        <x:v>2200</x:v>
      </x:c>
      <x:c r="O297" s="205" t="n">
        <x:v>70</x:v>
      </x:c>
      <x:c r="P297" s="205" t="n">
        <x:v>9</x:v>
      </x:c>
      <x:c r="Q297" s="206" t="n">
        <x:v>0</x:v>
      </x:c>
      <x:c r="R297" s="207" t="str"/>
      <x:c r="S297" s="207" t="str"/>
      <x:c r="T297" s="207" t="str"/>
      <x:c r="U297" s="207" t="n">
        <x:v>0</x:v>
      </x:c>
      <x:c r="V297" s="208" t="n">
        <x:f>MAX(0,M297-U297)</x:f>
        <x:v>12</x:v>
      </x:c>
      <x:c r="W297" s="209" t="n">
        <x:f>IFERROR(U297/M297,0)</x:f>
        <x:v>0</x:v>
      </x:c>
      <x:c r="X297" s="201" t="str">
        <x:f>IF(U297=0,"Não iniciado",IF(U297&gt;=M297,"Concluído","Parcial"))</x:f>
        <x:v>Não iniciado</x:v>
      </x:c>
      <x:c r="Y297" s="199" t="str"/>
      <x:c r="Z297" s="188" t="str">
        <x:v>Normal</x:v>
      </x:c>
    </x:row>
    <x:row r="298" ht="22" customHeight="1">
      <x:c r="A298" s="219" t="n">
        <x:v>294</x:v>
      </x:c>
      <x:c r="B298" s="220" t="str">
        <x:v>26808</x:v>
      </x:c>
      <x:c r="C298" s="220" t="str">
        <x:v>7</x:v>
      </x:c>
      <x:c r="D298" s="220" t="str">
        <x:v>608947</x:v>
      </x:c>
      <x:c r="E298" s="220" t="str">
        <x:v>962766</x:v>
      </x:c>
      <x:c r="F298" s="220" t="str">
        <x:v>OUTROS</x:v>
      </x:c>
      <x:c r="G298" s="190" t="str">
        <x:v>PE AL 2200X70X9 RTO RL35 REC PET BCO(ULT</x:v>
      </x:c>
      <x:c r="H298" s="190" t="str"/>
      <x:c r="I298" s="190" t="str"/>
      <x:c r="J298" s="190" t="str"/>
      <x:c r="K298" s="190" t="str">
        <x:v>ESMALTE</x:v>
      </x:c>
      <x:c r="L298" s="190" t="str">
        <x:v>BRANCO CARRARA</x:v>
      </x:c>
      <x:c r="M298" s="210" t="n">
        <x:v>8</x:v>
      </x:c>
      <x:c r="N298" s="210" t="n">
        <x:v>2200</x:v>
      </x:c>
      <x:c r="O298" s="210" t="n">
        <x:v>70</x:v>
      </x:c>
      <x:c r="P298" s="210" t="n">
        <x:v>9</x:v>
      </x:c>
      <x:c r="Q298" s="211" t="n">
        <x:v>0</x:v>
      </x:c>
      <x:c r="R298" s="207" t="str"/>
      <x:c r="S298" s="207" t="str"/>
      <x:c r="T298" s="207" t="str"/>
      <x:c r="U298" s="207" t="n">
        <x:v>0</x:v>
      </x:c>
      <x:c r="V298" s="208" t="n">
        <x:f>MAX(0,M298-U298)</x:f>
        <x:v>8</x:v>
      </x:c>
      <x:c r="W298" s="209" t="n">
        <x:f>IFERROR(U298/M298,0)</x:f>
        <x:v>0</x:v>
      </x:c>
      <x:c r="X298" s="201" t="str">
        <x:f>IF(U298=0,"Não iniciado",IF(U298&gt;=M298,"Concluído","Parcial"))</x:f>
        <x:v>Não iniciado</x:v>
      </x:c>
      <x:c r="Y298" s="199" t="str"/>
      <x:c r="Z298" s="188" t="str">
        <x:v>Normal</x:v>
      </x:c>
    </x:row>
    <x:row r="299" ht="22" customHeight="1">
      <x:c r="A299" s="217" t="n">
        <x:v>295</x:v>
      </x:c>
      <x:c r="B299" s="218" t="str">
        <x:v>26808</x:v>
      </x:c>
      <x:c r="C299" s="218" t="str">
        <x:v>8</x:v>
      </x:c>
      <x:c r="D299" s="218" t="str">
        <x:v>608955</x:v>
      </x:c>
      <x:c r="E299" s="218" t="str">
        <x:v>962766</x:v>
      </x:c>
      <x:c r="F299" s="218" t="str">
        <x:v>OUTROS</x:v>
      </x:c>
      <x:c r="G299" s="184" t="str">
        <x:v>PE AL 2200X70X9 RTO RL35 REC PET BCO(ULT</x:v>
      </x:c>
      <x:c r="H299" s="184" t="str"/>
      <x:c r="I299" s="184" t="str"/>
      <x:c r="J299" s="184" t="str"/>
      <x:c r="K299" s="184" t="str">
        <x:v>ESMALTE</x:v>
      </x:c>
      <x:c r="L299" s="184" t="str">
        <x:v>BRANCO CARRARA</x:v>
      </x:c>
      <x:c r="M299" s="205" t="n">
        <x:v>44</x:v>
      </x:c>
      <x:c r="N299" s="205" t="n">
        <x:v>2200</x:v>
      </x:c>
      <x:c r="O299" s="205" t="n">
        <x:v>70</x:v>
      </x:c>
      <x:c r="P299" s="205" t="n">
        <x:v>9</x:v>
      </x:c>
      <x:c r="Q299" s="206" t="n">
        <x:v>0</x:v>
      </x:c>
      <x:c r="R299" s="207" t="str"/>
      <x:c r="S299" s="207" t="str"/>
      <x:c r="T299" s="207" t="str"/>
      <x:c r="U299" s="207" t="n">
        <x:v>0</x:v>
      </x:c>
      <x:c r="V299" s="208" t="n">
        <x:f>MAX(0,M299-U299)</x:f>
        <x:v>44</x:v>
      </x:c>
      <x:c r="W299" s="209" t="n">
        <x:f>IFERROR(U299/M299,0)</x:f>
        <x:v>0</x:v>
      </x:c>
      <x:c r="X299" s="201" t="str">
        <x:f>IF(U299=0,"Não iniciado",IF(U299&gt;=M299,"Concluído","Parcial"))</x:f>
        <x:v>Não iniciado</x:v>
      </x:c>
      <x:c r="Y299" s="199" t="str"/>
      <x:c r="Z299" s="188" t="str">
        <x:v>Normal</x:v>
      </x:c>
    </x:row>
    <x:row r="300" ht="22" customHeight="1">
      <x:c r="A300" s="219" t="n">
        <x:v>296</x:v>
      </x:c>
      <x:c r="B300" s="220" t="str">
        <x:v>26808</x:v>
      </x:c>
      <x:c r="C300" s="220" t="str">
        <x:v>9</x:v>
      </x:c>
      <x:c r="D300" s="220" t="str">
        <x:v>608963</x:v>
      </x:c>
      <x:c r="E300" s="220" t="str">
        <x:v>962766</x:v>
      </x:c>
      <x:c r="F300" s="220" t="str">
        <x:v>OUTROS</x:v>
      </x:c>
      <x:c r="G300" s="190" t="str">
        <x:v>PE AL 2200X70X9 RTO RL35 REC PET BCO(ULT</x:v>
      </x:c>
      <x:c r="H300" s="190" t="str"/>
      <x:c r="I300" s="190" t="str"/>
      <x:c r="J300" s="190" t="str"/>
      <x:c r="K300" s="190" t="str">
        <x:v>ESMALTE</x:v>
      </x:c>
      <x:c r="L300" s="190" t="str">
        <x:v>BRANCO CARRARA</x:v>
      </x:c>
      <x:c r="M300" s="210" t="n">
        <x:v>142</x:v>
      </x:c>
      <x:c r="N300" s="210" t="n">
        <x:v>2200</x:v>
      </x:c>
      <x:c r="O300" s="210" t="n">
        <x:v>70</x:v>
      </x:c>
      <x:c r="P300" s="210" t="n">
        <x:v>9</x:v>
      </x:c>
      <x:c r="Q300" s="211" t="n">
        <x:v>0</x:v>
      </x:c>
      <x:c r="R300" s="207" t="str"/>
      <x:c r="S300" s="207" t="str"/>
      <x:c r="T300" s="207" t="str"/>
      <x:c r="U300" s="207" t="n">
        <x:v>0</x:v>
      </x:c>
      <x:c r="V300" s="208" t="n">
        <x:f>MAX(0,M300-U300)</x:f>
        <x:v>142</x:v>
      </x:c>
      <x:c r="W300" s="209" t="n">
        <x:f>IFERROR(U300/M300,0)</x:f>
        <x:v>0</x:v>
      </x:c>
      <x:c r="X300" s="201" t="str">
        <x:f>IF(U300=0,"Não iniciado",IF(U300&gt;=M300,"Concluído","Parcial"))</x:f>
        <x:v>Não iniciado</x:v>
      </x:c>
      <x:c r="Y300" s="199" t="str"/>
      <x:c r="Z300" s="188" t="str">
        <x:v>Normal</x:v>
      </x:c>
    </x:row>
    <x:row r="301" ht="22" customHeight="1">
      <x:c r="A301" s="217" t="n">
        <x:v>297</x:v>
      </x:c>
      <x:c r="B301" s="218" t="str">
        <x:v>26808</x:v>
      </x:c>
      <x:c r="C301" s="218" t="str">
        <x:v>10</x:v>
      </x:c>
      <x:c r="D301" s="218" t="str">
        <x:v>608971</x:v>
      </x:c>
      <x:c r="E301" s="218" t="str">
        <x:v>962766</x:v>
      </x:c>
      <x:c r="F301" s="218" t="str">
        <x:v>OUTROS</x:v>
      </x:c>
      <x:c r="G301" s="184" t="str">
        <x:v>PE AL 2200X70X9 RTO RL35 REC PET BCO(ULT</x:v>
      </x:c>
      <x:c r="H301" s="184" t="str"/>
      <x:c r="I301" s="184" t="str"/>
      <x:c r="J301" s="184" t="str"/>
      <x:c r="K301" s="184" t="str">
        <x:v>ESMALTE</x:v>
      </x:c>
      <x:c r="L301" s="184" t="str">
        <x:v>BRANCO CARRARA</x:v>
      </x:c>
      <x:c r="M301" s="205" t="n">
        <x:v>2</x:v>
      </x:c>
      <x:c r="N301" s="205" t="n">
        <x:v>2200</x:v>
      </x:c>
      <x:c r="O301" s="205" t="n">
        <x:v>70</x:v>
      </x:c>
      <x:c r="P301" s="205" t="n">
        <x:v>9</x:v>
      </x:c>
      <x:c r="Q301" s="206" t="n">
        <x:v>0</x:v>
      </x:c>
      <x:c r="R301" s="207" t="str"/>
      <x:c r="S301" s="207" t="str"/>
      <x:c r="T301" s="207" t="str"/>
      <x:c r="U301" s="207" t="n">
        <x:v>0</x:v>
      </x:c>
      <x:c r="V301" s="208" t="n">
        <x:f>MAX(0,M301-U301)</x:f>
        <x:v>2</x:v>
      </x:c>
      <x:c r="W301" s="209" t="n">
        <x:f>IFERROR(U301/M301,0)</x:f>
        <x:v>0</x:v>
      </x:c>
      <x:c r="X301" s="201" t="str">
        <x:f>IF(U301=0,"Não iniciado",IF(U301&gt;=M301,"Concluído","Parcial"))</x:f>
        <x:v>Não iniciado</x:v>
      </x:c>
      <x:c r="Y301" s="199" t="str"/>
      <x:c r="Z301" s="188" t="str">
        <x:v>Normal</x:v>
      </x:c>
    </x:row>
    <x:row r="302" ht="22" customHeight="1">
      <x:c r="A302" s="219" t="n">
        <x:v>298</x:v>
      </x:c>
      <x:c r="B302" s="220" t="str">
        <x:v>26808</x:v>
      </x:c>
      <x:c r="C302" s="220" t="str">
        <x:v>11</x:v>
      </x:c>
      <x:c r="D302" s="220" t="str">
        <x:v>608976</x:v>
      </x:c>
      <x:c r="E302" s="220" t="str">
        <x:v>962766</x:v>
      </x:c>
      <x:c r="F302" s="220" t="str">
        <x:v>OUTROS</x:v>
      </x:c>
      <x:c r="G302" s="190" t="str">
        <x:v>PE AL 2200X70X9 RTO RL35 REC PET BCO(ULT</x:v>
      </x:c>
      <x:c r="H302" s="190" t="str"/>
      <x:c r="I302" s="190" t="str"/>
      <x:c r="J302" s="190" t="str"/>
      <x:c r="K302" s="190" t="str">
        <x:v>ESMALTE</x:v>
      </x:c>
      <x:c r="L302" s="190" t="str">
        <x:v>BRANCO CARRARA</x:v>
      </x:c>
      <x:c r="M302" s="210" t="n">
        <x:v>2</x:v>
      </x:c>
      <x:c r="N302" s="210" t="n">
        <x:v>2200</x:v>
      </x:c>
      <x:c r="O302" s="210" t="n">
        <x:v>70</x:v>
      </x:c>
      <x:c r="P302" s="210" t="n">
        <x:v>9</x:v>
      </x:c>
      <x:c r="Q302" s="211" t="n">
        <x:v>0</x:v>
      </x:c>
      <x:c r="R302" s="207" t="str"/>
      <x:c r="S302" s="207" t="str"/>
      <x:c r="T302" s="207" t="str"/>
      <x:c r="U302" s="207" t="n">
        <x:v>0</x:v>
      </x:c>
      <x:c r="V302" s="208" t="n">
        <x:f>MAX(0,M302-U302)</x:f>
        <x:v>2</x:v>
      </x:c>
      <x:c r="W302" s="209" t="n">
        <x:f>IFERROR(U302/M302,0)</x:f>
        <x:v>0</x:v>
      </x:c>
      <x:c r="X302" s="201" t="str">
        <x:f>IF(U302=0,"Não iniciado",IF(U302&gt;=M302,"Concluído","Parcial"))</x:f>
        <x:v>Não iniciado</x:v>
      </x:c>
      <x:c r="Y302" s="199" t="str"/>
      <x:c r="Z302" s="188" t="str">
        <x:v>Normal</x:v>
      </x:c>
    </x:row>
    <x:row r="303" ht="22" customHeight="1">
      <x:c r="A303" s="217" t="n">
        <x:v>299</x:v>
      </x:c>
      <x:c r="B303" s="218" t="str">
        <x:v>26806</x:v>
      </x:c>
      <x:c r="C303" s="218" t="str">
        <x:v>1</x:v>
      </x:c>
      <x:c r="D303" s="218" t="str">
        <x:v>610061</x:v>
      </x:c>
      <x:c r="E303" s="218" t="str">
        <x:v>924644</x:v>
      </x:c>
      <x:c r="F303" s="218" t="str">
        <x:v>OUTROS</x:v>
      </x:c>
      <x:c r="G303" s="184" t="str">
        <x:v>ROD.MDF S/F UL.2160x70x09 RT PET.BRCO</x:v>
      </x:c>
      <x:c r="H303" s="184" t="str">
        <x:v>S/ REGULAGEM</x:v>
      </x:c>
      <x:c r="I303" s="184" t="str">
        <x:v>PADRAO</x:v>
      </x:c>
      <x:c r="J303" s="184" t="str"/>
      <x:c r="K303" s="184" t="str">
        <x:v>RECOBERTO PET</x:v>
      </x:c>
      <x:c r="L303" s="184" t="str">
        <x:v>BRANCO CARRARA</x:v>
      </x:c>
      <x:c r="M303" s="205" t="n">
        <x:v>1220</x:v>
      </x:c>
      <x:c r="N303" s="205" t="n">
        <x:v>2160</x:v>
      </x:c>
      <x:c r="O303" s="205" t="n">
        <x:v>70</x:v>
      </x:c>
      <x:c r="P303" s="205" t="n">
        <x:v>9</x:v>
      </x:c>
      <x:c r="Q303" s="206" t="n">
        <x:v>1.66</x:v>
      </x:c>
      <x:c r="R303" s="207" t="str"/>
      <x:c r="S303" s="207" t="str"/>
      <x:c r="T303" s="207" t="str"/>
      <x:c r="U303" s="207" t="n">
        <x:v>0</x:v>
      </x:c>
      <x:c r="V303" s="208" t="n">
        <x:f>MAX(0,M303-U303)</x:f>
        <x:v>1220</x:v>
      </x:c>
      <x:c r="W303" s="209" t="n">
        <x:f>IFERROR(U303/M303,0)</x:f>
        <x:v>0</x:v>
      </x:c>
      <x:c r="X303" s="201" t="str">
        <x:f>IF(U303=0,"Não iniciado",IF(U303&gt;=M303,"Concluído","Parcial"))</x:f>
        <x:v>Não iniciado</x:v>
      </x:c>
      <x:c r="Y303" s="199" t="str"/>
      <x:c r="Z303" s="188" t="str">
        <x:v>Normal</x:v>
      </x:c>
    </x:row>
    <x:row r="304" ht="22" customHeight="1">
      <x:c r="A304" s="219" t="n">
        <x:v>300</x:v>
      </x:c>
      <x:c r="B304" s="220" t="str">
        <x:v>26826</x:v>
      </x:c>
      <x:c r="C304" s="220" t="str">
        <x:v>4</x:v>
      </x:c>
      <x:c r="D304" s="220" t="str">
        <x:v>609063</x:v>
      </x:c>
      <x:c r="E304" s="220" t="str">
        <x:v>2010600535</x:v>
      </x:c>
      <x:c r="F304" s="220" t="str">
        <x:v>BATENTE</x:v>
      </x:c>
      <x:c r="G304" s="190" t="str">
        <x:v>M STD PET TXT BCO 2130X70X30 S/REB R2L M</x:v>
      </x:c>
      <x:c r="H304" s="190" t="str">
        <x:v>MDF STD</x:v>
      </x:c>
      <x:c r="I304" s="190" t="str">
        <x:v>S/CANAL</x:v>
      </x:c>
      <x:c r="J304" s="190" t="str">
        <x:v>S/REB</x:v>
      </x:c>
      <x:c r="K304" s="190" t="str">
        <x:v>RECOBERTO PET TXT</x:v>
      </x:c>
      <x:c r="L304" s="190" t="str">
        <x:v>BRANCO</x:v>
      </x:c>
      <x:c r="M304" s="210" t="n">
        <x:v>106</x:v>
      </x:c>
      <x:c r="N304" s="210" t="n">
        <x:v>2130</x:v>
      </x:c>
      <x:c r="O304" s="210" t="n">
        <x:v>70</x:v>
      </x:c>
      <x:c r="P304" s="210" t="n">
        <x:v>30</x:v>
      </x:c>
      <x:c r="Q304" s="211" t="n">
        <x:v>0.474</x:v>
      </x:c>
      <x:c r="R304" s="207" t="str"/>
      <x:c r="S304" s="207" t="str"/>
      <x:c r="T304" s="207" t="str"/>
      <x:c r="U304" s="207" t="n">
        <x:v>0</x:v>
      </x:c>
      <x:c r="V304" s="208" t="n">
        <x:f>MAX(0,M304-U304)</x:f>
        <x:v>106</x:v>
      </x:c>
      <x:c r="W304" s="209" t="n">
        <x:f>IFERROR(U304/M304,0)</x:f>
        <x:v>0</x:v>
      </x:c>
      <x:c r="X304" s="201" t="str">
        <x:f>IF(U304=0,"Não iniciado",IF(U304&gt;=M304,"Concluído","Parcial"))</x:f>
        <x:v>Não iniciado</x:v>
      </x:c>
      <x:c r="Y304" s="199" t="str"/>
      <x:c r="Z304" s="188" t="str">
        <x:v>Normal</x:v>
      </x:c>
    </x:row>
    <x:row r="305" ht="22" customHeight="1">
      <x:c r="A305" s="217" t="n">
        <x:v>301</x:v>
      </x:c>
      <x:c r="B305" s="218" t="str">
        <x:v>26824</x:v>
      </x:c>
      <x:c r="C305" s="218" t="str">
        <x:v>2</x:v>
      </x:c>
      <x:c r="D305" s="218" t="str">
        <x:v>609591</x:v>
      </x:c>
      <x:c r="E305" s="218" t="str">
        <x:v>2010600195</x:v>
      </x:c>
      <x:c r="F305" s="218" t="str">
        <x:v>BATENTE</x:v>
      </x:c>
      <x:c r="G305" s="184" t="str">
        <x:v>M P MDF STD PET TXT BCO 2110X70X30 42X10</x:v>
      </x:c>
      <x:c r="H305" s="184" t="str"/>
      <x:c r="I305" s="184" t="str"/>
      <x:c r="J305" s="184" t="str"/>
      <x:c r="K305" s="184" t="str">
        <x:v>ESMALTE</x:v>
      </x:c>
      <x:c r="L305" s="184" t="str">
        <x:v>BRANCO</x:v>
      </x:c>
      <x:c r="M305" s="205" t="n">
        <x:v>362</x:v>
      </x:c>
      <x:c r="N305" s="205" t="n">
        <x:v>2110</x:v>
      </x:c>
      <x:c r="O305" s="205" t="n">
        <x:v>70</x:v>
      </x:c>
      <x:c r="P305" s="205" t="n">
        <x:v>30</x:v>
      </x:c>
      <x:c r="Q305" s="206" t="n">
        <x:v>1.604</x:v>
      </x:c>
      <x:c r="R305" s="207" t="str"/>
      <x:c r="S305" s="207" t="str"/>
      <x:c r="T305" s="207" t="str"/>
      <x:c r="U305" s="207" t="n">
        <x:v>0</x:v>
      </x:c>
      <x:c r="V305" s="208" t="n">
        <x:f>MAX(0,M305-U305)</x:f>
        <x:v>362</x:v>
      </x:c>
      <x:c r="W305" s="209" t="n">
        <x:f>IFERROR(U305/M305,0)</x:f>
        <x:v>0</x:v>
      </x:c>
      <x:c r="X305" s="201" t="str">
        <x:f>IF(U305=0,"Não iniciado",IF(U305&gt;=M305,"Concluído","Parcial"))</x:f>
        <x:v>Não iniciado</x:v>
      </x:c>
      <x:c r="Y305" s="199" t="str"/>
      <x:c r="Z305" s="188" t="str">
        <x:v>Normal</x:v>
      </x:c>
    </x:row>
    <x:row r="306" ht="22" customHeight="1">
      <x:c r="A306" s="219" t="n">
        <x:v>302</x:v>
      </x:c>
      <x:c r="B306" s="220" t="str">
        <x:v>26520</x:v>
      </x:c>
      <x:c r="C306" s="220" t="str">
        <x:v>6</x:v>
      </x:c>
      <x:c r="D306" s="220" t="str">
        <x:v>610107</x:v>
      </x:c>
      <x:c r="E306" s="220" t="str">
        <x:v>2010700125</x:v>
      </x:c>
      <x:c r="F306" s="220" t="str">
        <x:v>BATENTE</x:v>
      </x:c>
      <x:c r="G306" s="190" t="str">
        <x:v>M P ULTRA PET CI VE 2110X70X30 42X10 R2L</x:v>
      </x:c>
      <x:c r="H306" s="190" t="str"/>
      <x:c r="I306" s="190" t="str"/>
      <x:c r="J306" s="190" t="str"/>
      <x:c r="K306" s="190" t="str">
        <x:v>RECOBERTO PET</x:v>
      </x:c>
      <x:c r="L306" s="190" t="str">
        <x:v>CINZA VERONA</x:v>
      </x:c>
      <x:c r="M306" s="210" t="n">
        <x:v>2</x:v>
      </x:c>
      <x:c r="N306" s="210" t="n">
        <x:v>2110</x:v>
      </x:c>
      <x:c r="O306" s="210" t="n">
        <x:v>70</x:v>
      </x:c>
      <x:c r="P306" s="210" t="n">
        <x:v>30</x:v>
      </x:c>
      <x:c r="Q306" s="211" t="n">
        <x:v>0.009</x:v>
      </x:c>
      <x:c r="R306" s="207" t="str"/>
      <x:c r="S306" s="207" t="str"/>
      <x:c r="T306" s="207" t="str"/>
      <x:c r="U306" s="207" t="n">
        <x:v>0</x:v>
      </x:c>
      <x:c r="V306" s="208" t="n">
        <x:f>MAX(0,M306-U306)</x:f>
        <x:v>2</x:v>
      </x:c>
      <x:c r="W306" s="209" t="n">
        <x:f>IFERROR(U306/M306,0)</x:f>
        <x:v>0</x:v>
      </x:c>
      <x:c r="X306" s="201" t="str">
        <x:f>IF(U306=0,"Não iniciado",IF(U306&gt;=M306,"Concluído","Parcial"))</x:f>
        <x:v>Não iniciado</x:v>
      </x:c>
      <x:c r="Y306" s="199" t="str"/>
      <x:c r="Z306" s="188" t="str">
        <x:v>Normal</x:v>
      </x:c>
    </x:row>
    <x:row r="307" ht="22" customHeight="1">
      <x:c r="A307" s="217" t="n">
        <x:v>303</x:v>
      </x:c>
      <x:c r="B307" s="218" t="str">
        <x:v>26809</x:v>
      </x:c>
      <x:c r="C307" s="218" t="str">
        <x:v>12</x:v>
      </x:c>
      <x:c r="D307" s="218" t="str">
        <x:v>609964</x:v>
      </x:c>
      <x:c r="E307" s="218" t="str">
        <x:v>2020700635</x:v>
      </x:c>
      <x:c r="F307" s="218" t="str">
        <x:v>OUTROS</x:v>
      </x:c>
      <x:c r="G307" s="184" t="str">
        <x:v>A ULTRA PET CAP M 1400X70X9 RG(55) RTO</x:v>
      </x:c>
      <x:c r="H307" s="184" t="str">
        <x:v>REG 2L(MAIOR 55MM)</x:v>
      </x:c>
      <x:c r="I307" s="184" t="str"/>
      <x:c r="J307" s="184" t="str"/>
      <x:c r="K307" s="184" t="str">
        <x:v>RECOBERTO PET</x:v>
      </x:c>
      <x:c r="L307" s="184" t="str">
        <x:v>CAPUCCINO MARCHE</x:v>
      </x:c>
      <x:c r="M307" s="205" t="n">
        <x:v>1</x:v>
      </x:c>
      <x:c r="N307" s="205" t="n">
        <x:v>1400</x:v>
      </x:c>
      <x:c r="O307" s="205" t="n">
        <x:v>70</x:v>
      </x:c>
      <x:c r="P307" s="205" t="n">
        <x:v>9</x:v>
      </x:c>
      <x:c r="Q307" s="206" t="n">
        <x:v>0</x:v>
      </x:c>
      <x:c r="R307" s="207" t="str"/>
      <x:c r="S307" s="207" t="str"/>
      <x:c r="T307" s="207" t="str"/>
      <x:c r="U307" s="207" t="n">
        <x:v>0</x:v>
      </x:c>
      <x:c r="V307" s="208" t="n">
        <x:f>MAX(0,M307-U307)</x:f>
        <x:v>1</x:v>
      </x:c>
      <x:c r="W307" s="209" t="n">
        <x:f>IFERROR(U307/M307,0)</x:f>
        <x:v>0</x:v>
      </x:c>
      <x:c r="X307" s="201" t="str">
        <x:f>IF(U307=0,"Não iniciado",IF(U307&gt;=M307,"Concluído","Parcial"))</x:f>
        <x:v>Não iniciado</x:v>
      </x:c>
      <x:c r="Y307" s="199" t="str"/>
      <x:c r="Z307" s="188" t="str">
        <x:v>Normal</x:v>
      </x:c>
    </x:row>
    <x:row r="308" ht="22" customHeight="1">
      <x:c r="A308" s="219" t="n">
        <x:v>304</x:v>
      </x:c>
      <x:c r="B308" s="220" t="str">
        <x:v>26809</x:v>
      </x:c>
      <x:c r="C308" s="220" t="str">
        <x:v>12</x:v>
      </x:c>
      <x:c r="D308" s="220" t="str">
        <x:v>609965</x:v>
      </x:c>
      <x:c r="E308" s="220" t="str">
        <x:v>2020700636</x:v>
      </x:c>
      <x:c r="F308" s="220" t="str">
        <x:v>OUTROS</x:v>
      </x:c>
      <x:c r="G308" s="190" t="str">
        <x:v>A ULTRA PET CAP M 1400X70X9 RG(ME) RTO</x:v>
      </x:c>
      <x:c r="H308" s="190" t="str">
        <x:v>REG 2L(MAIOR 55MM)</x:v>
      </x:c>
      <x:c r="I308" s="190" t="str"/>
      <x:c r="J308" s="190" t="str"/>
      <x:c r="K308" s="190" t="str">
        <x:v>RECOBERTO PET</x:v>
      </x:c>
      <x:c r="L308" s="190" t="str">
        <x:v>CAPUCCINO MARCHE</x:v>
      </x:c>
      <x:c r="M308" s="210" t="n">
        <x:v>1</x:v>
      </x:c>
      <x:c r="N308" s="210" t="n">
        <x:v>1400</x:v>
      </x:c>
      <x:c r="O308" s="210" t="n">
        <x:v>70</x:v>
      </x:c>
      <x:c r="P308" s="210" t="n">
        <x:v>9</x:v>
      </x:c>
      <x:c r="Q308" s="211" t="n">
        <x:v>0</x:v>
      </x:c>
      <x:c r="R308" s="207" t="str"/>
      <x:c r="S308" s="207" t="str"/>
      <x:c r="T308" s="207" t="str"/>
      <x:c r="U308" s="207" t="n">
        <x:v>0</x:v>
      </x:c>
      <x:c r="V308" s="208" t="n">
        <x:f>MAX(0,M308-U308)</x:f>
        <x:v>1</x:v>
      </x:c>
      <x:c r="W308" s="209" t="n">
        <x:f>IFERROR(U308/M308,0)</x:f>
        <x:v>0</x:v>
      </x:c>
      <x:c r="X308" s="201" t="str">
        <x:f>IF(U308=0,"Não iniciado",IF(U308&gt;=M308,"Concluído","Parcial"))</x:f>
        <x:v>Não iniciado</x:v>
      </x:c>
      <x:c r="Y308" s="199" t="str"/>
      <x:c r="Z308" s="188" t="str">
        <x:v>Normal</x:v>
      </x:c>
    </x:row>
    <x:row r="309" ht="22" customHeight="1">
      <x:c r="A309" s="217" t="n">
        <x:v>305</x:v>
      </x:c>
      <x:c r="B309" s="218" t="str">
        <x:v>26808</x:v>
      </x:c>
      <x:c r="C309" s="218" t="str">
        <x:v>11</x:v>
      </x:c>
      <x:c r="D309" s="218" t="str">
        <x:v>608977</x:v>
      </x:c>
      <x:c r="E309" s="218" t="str">
        <x:v>962769</x:v>
      </x:c>
      <x:c r="F309" s="218" t="str">
        <x:v>OUTROS</x:v>
      </x:c>
      <x:c r="G309" s="184" t="str">
        <x:v>TR AL 1200X70X9 RTO RL35 REC PET BCO (UL</x:v>
      </x:c>
      <x:c r="H309" s="184" t="str"/>
      <x:c r="I309" s="184" t="str"/>
      <x:c r="J309" s="184" t="str"/>
      <x:c r="K309" s="184" t="str">
        <x:v>ESMALTE</x:v>
      </x:c>
      <x:c r="L309" s="184" t="str">
        <x:v>BRANCO CARRARA</x:v>
      </x:c>
      <x:c r="M309" s="205" t="n">
        <x:v>1</x:v>
      </x:c>
      <x:c r="N309" s="205" t="n">
        <x:v>1200</x:v>
      </x:c>
      <x:c r="O309" s="205" t="n">
        <x:v>70</x:v>
      </x:c>
      <x:c r="P309" s="205" t="n">
        <x:v>9</x:v>
      </x:c>
      <x:c r="Q309" s="206" t="n">
        <x:v>0</x:v>
      </x:c>
      <x:c r="R309" s="207" t="str"/>
      <x:c r="S309" s="207" t="str"/>
      <x:c r="T309" s="207" t="str"/>
      <x:c r="U309" s="207" t="n">
        <x:v>0</x:v>
      </x:c>
      <x:c r="V309" s="208" t="n">
        <x:f>MAX(0,M309-U309)</x:f>
        <x:v>1</x:v>
      </x:c>
      <x:c r="W309" s="209" t="n">
        <x:f>IFERROR(U309/M309,0)</x:f>
        <x:v>0</x:v>
      </x:c>
      <x:c r="X309" s="201" t="str">
        <x:f>IF(U309=0,"Não iniciado",IF(U309&gt;=M309,"Concluído","Parcial"))</x:f>
        <x:v>Não iniciado</x:v>
      </x:c>
      <x:c r="Y309" s="199" t="str"/>
      <x:c r="Z309" s="188" t="str">
        <x:v>Normal</x:v>
      </x:c>
    </x:row>
    <x:row r="310" ht="22" customHeight="1">
      <x:c r="A310" s="219" t="n">
        <x:v>306</x:v>
      </x:c>
      <x:c r="B310" s="220" t="str">
        <x:v>26808</x:v>
      </x:c>
      <x:c r="C310" s="220" t="str">
        <x:v>11</x:v>
      </x:c>
      <x:c r="D310" s="220" t="str">
        <x:v>608978</x:v>
      </x:c>
      <x:c r="E310" s="220" t="str">
        <x:v>962770</x:v>
      </x:c>
      <x:c r="F310" s="220" t="str">
        <x:v>OUTROS</x:v>
      </x:c>
      <x:c r="G310" s="190" t="str">
        <x:v>TR ALI 1200X70X9 RTO LME REC PET BCO(ULT</x:v>
      </x:c>
      <x:c r="H310" s="190" t="str"/>
      <x:c r="I310" s="190" t="str"/>
      <x:c r="J310" s="190" t="str"/>
      <x:c r="K310" s="190" t="str">
        <x:v>ESMALTE</x:v>
      </x:c>
      <x:c r="L310" s="190" t="str">
        <x:v>BRANCO CARRARA</x:v>
      </x:c>
      <x:c r="M310" s="210" t="n">
        <x:v>1</x:v>
      </x:c>
      <x:c r="N310" s="210" t="n">
        <x:v>1200</x:v>
      </x:c>
      <x:c r="O310" s="210" t="n">
        <x:v>70</x:v>
      </x:c>
      <x:c r="P310" s="210" t="n">
        <x:v>9</x:v>
      </x:c>
      <x:c r="Q310" s="211" t="n">
        <x:v>0</x:v>
      </x:c>
      <x:c r="R310" s="207" t="str"/>
      <x:c r="S310" s="207" t="str"/>
      <x:c r="T310" s="207" t="str"/>
      <x:c r="U310" s="207" t="n">
        <x:v>0</x:v>
      </x:c>
      <x:c r="V310" s="208" t="n">
        <x:f>MAX(0,M310-U310)</x:f>
        <x:v>1</x:v>
      </x:c>
      <x:c r="W310" s="209" t="n">
        <x:f>IFERROR(U310/M310,0)</x:f>
        <x:v>0</x:v>
      </x:c>
      <x:c r="X310" s="201" t="str">
        <x:f>IF(U310=0,"Não iniciado",IF(U310&gt;=M310,"Concluído","Parcial"))</x:f>
        <x:v>Não iniciado</x:v>
      </x:c>
      <x:c r="Y310" s="199" t="str"/>
      <x:c r="Z310" s="188" t="str">
        <x:v>Normal</x:v>
      </x:c>
    </x:row>
    <x:row r="311" ht="22" customHeight="1">
      <x:c r="A311" s="217" t="n">
        <x:v>307</x:v>
      </x:c>
      <x:c r="B311" s="218" t="str">
        <x:v>26684</x:v>
      </x:c>
      <x:c r="C311" s="218" t="str">
        <x:v>1</x:v>
      </x:c>
      <x:c r="D311" s="218" t="str">
        <x:v>609114</x:v>
      </x:c>
      <x:c r="E311" s="218" t="str">
        <x:v>981166</x:v>
      </x:c>
      <x:c r="F311" s="218" t="str">
        <x:v>ALIZAR</x:v>
      </x:c>
      <x:c r="G311" s="184" t="str">
        <x:v>T A 1100X70X15 RTO RL55 REC PET BCO(STD)</x:v>
      </x:c>
      <x:c r="H311" s="184" t="str"/>
      <x:c r="I311" s="184" t="str"/>
      <x:c r="J311" s="184" t="str"/>
      <x:c r="K311" s="184" t="str">
        <x:v>ESMALTE</x:v>
      </x:c>
      <x:c r="L311" s="184" t="str">
        <x:v>BRANCO CARRARA</x:v>
      </x:c>
      <x:c r="M311" s="205" t="n">
        <x:v>1</x:v>
      </x:c>
      <x:c r="N311" s="205" t="n">
        <x:v>1100</x:v>
      </x:c>
      <x:c r="O311" s="205" t="n">
        <x:v>70</x:v>
      </x:c>
      <x:c r="P311" s="205" t="n">
        <x:v>15</x:v>
      </x:c>
      <x:c r="Q311" s="206" t="n">
        <x:v>0</x:v>
      </x:c>
      <x:c r="R311" s="207" t="str"/>
      <x:c r="S311" s="207" t="str"/>
      <x:c r="T311" s="207" t="str"/>
      <x:c r="U311" s="207" t="n">
        <x:v>0</x:v>
      </x:c>
      <x:c r="V311" s="208" t="n">
        <x:f>MAX(0,M311-U311)</x:f>
        <x:v>1</x:v>
      </x:c>
      <x:c r="W311" s="209" t="n">
        <x:f>IFERROR(U311/M311,0)</x:f>
        <x:v>0</x:v>
      </x:c>
      <x:c r="X311" s="201" t="str">
        <x:f>IF(U311=0,"Não iniciado",IF(U311&gt;=M311,"Concluído","Parcial"))</x:f>
        <x:v>Não iniciado</x:v>
      </x:c>
      <x:c r="Y311" s="199" t="str"/>
      <x:c r="Z311" s="188" t="str">
        <x:v>Normal</x:v>
      </x:c>
    </x:row>
    <x:row r="312" ht="22" customHeight="1">
      <x:c r="A312" s="219" t="n">
        <x:v>308</x:v>
      </x:c>
      <x:c r="B312" s="220" t="str">
        <x:v>26684</x:v>
      </x:c>
      <x:c r="C312" s="220" t="str">
        <x:v>1</x:v>
      </x:c>
      <x:c r="D312" s="220" t="str">
        <x:v>609115</x:v>
      </x:c>
      <x:c r="E312" s="220" t="str">
        <x:v>981556</x:v>
      </x:c>
      <x:c r="F312" s="220" t="str">
        <x:v>ALIZAR</x:v>
      </x:c>
      <x:c r="G312" s="190" t="str">
        <x:v>T A 1100X70X15 RTO LMN REC PET BCO(STD)</x:v>
      </x:c>
      <x:c r="H312" s="190" t="str"/>
      <x:c r="I312" s="190" t="str"/>
      <x:c r="J312" s="190" t="str"/>
      <x:c r="K312" s="190" t="str">
        <x:v>ESMALTE</x:v>
      </x:c>
      <x:c r="L312" s="190" t="str">
        <x:v>BRANCO CARRARA</x:v>
      </x:c>
      <x:c r="M312" s="210" t="n">
        <x:v>1</x:v>
      </x:c>
      <x:c r="N312" s="210" t="n">
        <x:v>1100</x:v>
      </x:c>
      <x:c r="O312" s="210" t="n">
        <x:v>70</x:v>
      </x:c>
      <x:c r="P312" s="210" t="n">
        <x:v>15</x:v>
      </x:c>
      <x:c r="Q312" s="211" t="n">
        <x:v>0</x:v>
      </x:c>
      <x:c r="R312" s="207" t="str"/>
      <x:c r="S312" s="207" t="str"/>
      <x:c r="T312" s="207" t="str"/>
      <x:c r="U312" s="207" t="n">
        <x:v>0</x:v>
      </x:c>
      <x:c r="V312" s="208" t="n">
        <x:f>MAX(0,M312-U312)</x:f>
        <x:v>1</x:v>
      </x:c>
      <x:c r="W312" s="209" t="n">
        <x:f>IFERROR(U312/M312,0)</x:f>
        <x:v>0</x:v>
      </x:c>
      <x:c r="X312" s="201" t="str">
        <x:f>IF(U312=0,"Não iniciado",IF(U312&gt;=M312,"Concluído","Parcial"))</x:f>
        <x:v>Não iniciado</x:v>
      </x:c>
      <x:c r="Y312" s="199" t="str"/>
      <x:c r="Z312" s="188" t="str">
        <x:v>Normal</x:v>
      </x:c>
    </x:row>
    <x:row r="313" ht="22" customHeight="1">
      <x:c r="A313" s="217" t="n">
        <x:v>309</x:v>
      </x:c>
      <x:c r="B313" s="218" t="str">
        <x:v>26684</x:v>
      </x:c>
      <x:c r="C313" s="218" t="str">
        <x:v>2</x:v>
      </x:c>
      <x:c r="D313" s="218" t="str">
        <x:v>609120</x:v>
      </x:c>
      <x:c r="E313" s="218" t="str">
        <x:v>981166</x:v>
      </x:c>
      <x:c r="F313" s="218" t="str">
        <x:v>ALIZAR</x:v>
      </x:c>
      <x:c r="G313" s="184" t="str">
        <x:v>T A 1100X70X15 RTO RL55 REC PET BCO(STD)</x:v>
      </x:c>
      <x:c r="H313" s="184" t="str"/>
      <x:c r="I313" s="184" t="str"/>
      <x:c r="J313" s="184" t="str"/>
      <x:c r="K313" s="184" t="str">
        <x:v>ESMALTE</x:v>
      </x:c>
      <x:c r="L313" s="184" t="str">
        <x:v>BRANCO CARRARA</x:v>
      </x:c>
      <x:c r="M313" s="205" t="n">
        <x:v>28</x:v>
      </x:c>
      <x:c r="N313" s="205" t="n">
        <x:v>1100</x:v>
      </x:c>
      <x:c r="O313" s="205" t="n">
        <x:v>70</x:v>
      </x:c>
      <x:c r="P313" s="205" t="n">
        <x:v>15</x:v>
      </x:c>
      <x:c r="Q313" s="206" t="n">
        <x:v>0</x:v>
      </x:c>
      <x:c r="R313" s="207" t="str"/>
      <x:c r="S313" s="207" t="str"/>
      <x:c r="T313" s="207" t="str"/>
      <x:c r="U313" s="207" t="n">
        <x:v>0</x:v>
      </x:c>
      <x:c r="V313" s="208" t="n">
        <x:f>MAX(0,M313-U313)</x:f>
        <x:v>28</x:v>
      </x:c>
      <x:c r="W313" s="209" t="n">
        <x:f>IFERROR(U313/M313,0)</x:f>
        <x:v>0</x:v>
      </x:c>
      <x:c r="X313" s="201" t="str">
        <x:f>IF(U313=0,"Não iniciado",IF(U313&gt;=M313,"Concluído","Parcial"))</x:f>
        <x:v>Não iniciado</x:v>
      </x:c>
      <x:c r="Y313" s="199" t="str"/>
      <x:c r="Z313" s="188" t="str">
        <x:v>Normal</x:v>
      </x:c>
    </x:row>
    <x:row r="314" ht="22" customHeight="1">
      <x:c r="A314" s="219" t="n">
        <x:v>310</x:v>
      </x:c>
      <x:c r="B314" s="220" t="str">
        <x:v>26684</x:v>
      </x:c>
      <x:c r="C314" s="220" t="str">
        <x:v>2</x:v>
      </x:c>
      <x:c r="D314" s="220" t="str">
        <x:v>609121</x:v>
      </x:c>
      <x:c r="E314" s="220" t="str">
        <x:v>981556</x:v>
      </x:c>
      <x:c r="F314" s="220" t="str">
        <x:v>ALIZAR</x:v>
      </x:c>
      <x:c r="G314" s="190" t="str">
        <x:v>T A 1100X70X15 RTO LMN REC PET BCO(STD)</x:v>
      </x:c>
      <x:c r="H314" s="190" t="str"/>
      <x:c r="I314" s="190" t="str"/>
      <x:c r="J314" s="190" t="str"/>
      <x:c r="K314" s="190" t="str">
        <x:v>ESMALTE</x:v>
      </x:c>
      <x:c r="L314" s="190" t="str">
        <x:v>BRANCO CARRARA</x:v>
      </x:c>
      <x:c r="M314" s="210" t="n">
        <x:v>28</x:v>
      </x:c>
      <x:c r="N314" s="210" t="n">
        <x:v>1100</x:v>
      </x:c>
      <x:c r="O314" s="210" t="n">
        <x:v>70</x:v>
      </x:c>
      <x:c r="P314" s="210" t="n">
        <x:v>15</x:v>
      </x:c>
      <x:c r="Q314" s="211" t="n">
        <x:v>0</x:v>
      </x:c>
      <x:c r="R314" s="207" t="str"/>
      <x:c r="S314" s="207" t="str"/>
      <x:c r="T314" s="207" t="str"/>
      <x:c r="U314" s="207" t="n">
        <x:v>0</x:v>
      </x:c>
      <x:c r="V314" s="208" t="n">
        <x:f>MAX(0,M314-U314)</x:f>
        <x:v>28</x:v>
      </x:c>
      <x:c r="W314" s="209" t="n">
        <x:f>IFERROR(U314/M314,0)</x:f>
        <x:v>0</x:v>
      </x:c>
      <x:c r="X314" s="201" t="str">
        <x:f>IF(U314=0,"Não iniciado",IF(U314&gt;=M314,"Concluído","Parcial"))</x:f>
        <x:v>Não iniciado</x:v>
      </x:c>
      <x:c r="Y314" s="199" t="str"/>
      <x:c r="Z314" s="188" t="str">
        <x:v>Normal</x:v>
      </x:c>
    </x:row>
    <x:row r="315" ht="22" customHeight="1">
      <x:c r="A315" s="217" t="n">
        <x:v>311</x:v>
      </x:c>
      <x:c r="B315" s="218" t="str">
        <x:v>26684</x:v>
      </x:c>
      <x:c r="C315" s="218" t="str">
        <x:v>3</x:v>
      </x:c>
      <x:c r="D315" s="218" t="str">
        <x:v>609130</x:v>
      </x:c>
      <x:c r="E315" s="218" t="str">
        <x:v>981166</x:v>
      </x:c>
      <x:c r="F315" s="218" t="str">
        <x:v>ALIZAR</x:v>
      </x:c>
      <x:c r="G315" s="184" t="str">
        <x:v>T A 1100X70X15 RTO RL55 REC PET BCO(STD)</x:v>
      </x:c>
      <x:c r="H315" s="184" t="str"/>
      <x:c r="I315" s="184" t="str"/>
      <x:c r="J315" s="184" t="str"/>
      <x:c r="K315" s="184" t="str">
        <x:v>ESMALTE</x:v>
      </x:c>
      <x:c r="L315" s="184" t="str">
        <x:v>BRANCO CARRARA</x:v>
      </x:c>
      <x:c r="M315" s="205" t="n">
        <x:v>3</x:v>
      </x:c>
      <x:c r="N315" s="205" t="n">
        <x:v>1100</x:v>
      </x:c>
      <x:c r="O315" s="205" t="n">
        <x:v>70</x:v>
      </x:c>
      <x:c r="P315" s="205" t="n">
        <x:v>15</x:v>
      </x:c>
      <x:c r="Q315" s="206" t="n">
        <x:v>0</x:v>
      </x:c>
      <x:c r="R315" s="207" t="str"/>
      <x:c r="S315" s="207" t="str"/>
      <x:c r="T315" s="207" t="str"/>
      <x:c r="U315" s="207" t="n">
        <x:v>0</x:v>
      </x:c>
      <x:c r="V315" s="208" t="n">
        <x:f>MAX(0,M315-U315)</x:f>
        <x:v>3</x:v>
      </x:c>
      <x:c r="W315" s="209" t="n">
        <x:f>IFERROR(U315/M315,0)</x:f>
        <x:v>0</x:v>
      </x:c>
      <x:c r="X315" s="201" t="str">
        <x:f>IF(U315=0,"Não iniciado",IF(U315&gt;=M315,"Concluído","Parcial"))</x:f>
        <x:v>Não iniciado</x:v>
      </x:c>
      <x:c r="Y315" s="199" t="str"/>
      <x:c r="Z315" s="188" t="str">
        <x:v>Normal</x:v>
      </x:c>
    </x:row>
    <x:row r="316" ht="22" customHeight="1">
      <x:c r="A316" s="219" t="n">
        <x:v>312</x:v>
      </x:c>
      <x:c r="B316" s="220" t="str">
        <x:v>26684</x:v>
      </x:c>
      <x:c r="C316" s="220" t="str">
        <x:v>3</x:v>
      </x:c>
      <x:c r="D316" s="220" t="str">
        <x:v>609131</x:v>
      </x:c>
      <x:c r="E316" s="220" t="str">
        <x:v>981556</x:v>
      </x:c>
      <x:c r="F316" s="220" t="str">
        <x:v>ALIZAR</x:v>
      </x:c>
      <x:c r="G316" s="190" t="str">
        <x:v>T A 1100X70X15 RTO LMN REC PET BCO(STD)</x:v>
      </x:c>
      <x:c r="H316" s="190" t="str"/>
      <x:c r="I316" s="190" t="str"/>
      <x:c r="J316" s="190" t="str"/>
      <x:c r="K316" s="190" t="str">
        <x:v>ESMALTE</x:v>
      </x:c>
      <x:c r="L316" s="190" t="str">
        <x:v>BRANCO CARRARA</x:v>
      </x:c>
      <x:c r="M316" s="210" t="n">
        <x:v>3</x:v>
      </x:c>
      <x:c r="N316" s="210" t="n">
        <x:v>1100</x:v>
      </x:c>
      <x:c r="O316" s="210" t="n">
        <x:v>70</x:v>
      </x:c>
      <x:c r="P316" s="210" t="n">
        <x:v>15</x:v>
      </x:c>
      <x:c r="Q316" s="211" t="n">
        <x:v>0</x:v>
      </x:c>
      <x:c r="R316" s="207" t="str"/>
      <x:c r="S316" s="207" t="str"/>
      <x:c r="T316" s="207" t="str"/>
      <x:c r="U316" s="207" t="n">
        <x:v>0</x:v>
      </x:c>
      <x:c r="V316" s="208" t="n">
        <x:f>MAX(0,M316-U316)</x:f>
        <x:v>3</x:v>
      </x:c>
      <x:c r="W316" s="209" t="n">
        <x:f>IFERROR(U316/M316,0)</x:f>
        <x:v>0</x:v>
      </x:c>
      <x:c r="X316" s="201" t="str">
        <x:f>IF(U316=0,"Não iniciado",IF(U316&gt;=M316,"Concluído","Parcial"))</x:f>
        <x:v>Não iniciado</x:v>
      </x:c>
      <x:c r="Y316" s="199" t="str"/>
      <x:c r="Z316" s="188" t="str">
        <x:v>Normal</x:v>
      </x:c>
    </x:row>
    <x:row r="317" ht="22" customHeight="1">
      <x:c r="A317" s="217" t="n">
        <x:v>313</x:v>
      </x:c>
      <x:c r="B317" s="218" t="str">
        <x:v>26684</x:v>
      </x:c>
      <x:c r="C317" s="218" t="str">
        <x:v>4</x:v>
      </x:c>
      <x:c r="D317" s="218" t="str">
        <x:v>609138</x:v>
      </x:c>
      <x:c r="E317" s="218" t="str">
        <x:v>981166</x:v>
      </x:c>
      <x:c r="F317" s="218" t="str">
        <x:v>ALIZAR</x:v>
      </x:c>
      <x:c r="G317" s="184" t="str">
        <x:v>T A 1100X70X15 RTO RL55 REC PET BCO(STD)</x:v>
      </x:c>
      <x:c r="H317" s="184" t="str"/>
      <x:c r="I317" s="184" t="str"/>
      <x:c r="J317" s="184" t="str"/>
      <x:c r="K317" s="184" t="str">
        <x:v>ESMALTE</x:v>
      </x:c>
      <x:c r="L317" s="184" t="str">
        <x:v>BRANCO CARRARA</x:v>
      </x:c>
      <x:c r="M317" s="205" t="n">
        <x:v>55</x:v>
      </x:c>
      <x:c r="N317" s="205" t="n">
        <x:v>1100</x:v>
      </x:c>
      <x:c r="O317" s="205" t="n">
        <x:v>70</x:v>
      </x:c>
      <x:c r="P317" s="205" t="n">
        <x:v>15</x:v>
      </x:c>
      <x:c r="Q317" s="206" t="n">
        <x:v>0</x:v>
      </x:c>
      <x:c r="R317" s="207" t="str"/>
      <x:c r="S317" s="207" t="str"/>
      <x:c r="T317" s="207" t="str"/>
      <x:c r="U317" s="207" t="n">
        <x:v>0</x:v>
      </x:c>
      <x:c r="V317" s="208" t="n">
        <x:f>MAX(0,M317-U317)</x:f>
        <x:v>55</x:v>
      </x:c>
      <x:c r="W317" s="209" t="n">
        <x:f>IFERROR(U317/M317,0)</x:f>
        <x:v>0</x:v>
      </x:c>
      <x:c r="X317" s="201" t="str">
        <x:f>IF(U317=0,"Não iniciado",IF(U317&gt;=M317,"Concluído","Parcial"))</x:f>
        <x:v>Não iniciado</x:v>
      </x:c>
      <x:c r="Y317" s="199" t="str"/>
      <x:c r="Z317" s="188" t="str">
        <x:v>Normal</x:v>
      </x:c>
    </x:row>
    <x:row r="318" ht="22" customHeight="1">
      <x:c r="A318" s="219" t="n">
        <x:v>314</x:v>
      </x:c>
      <x:c r="B318" s="220" t="str">
        <x:v>26684</x:v>
      </x:c>
      <x:c r="C318" s="220" t="str">
        <x:v>4</x:v>
      </x:c>
      <x:c r="D318" s="220" t="str">
        <x:v>609139</x:v>
      </x:c>
      <x:c r="E318" s="220" t="str">
        <x:v>981556</x:v>
      </x:c>
      <x:c r="F318" s="220" t="str">
        <x:v>ALIZAR</x:v>
      </x:c>
      <x:c r="G318" s="190" t="str">
        <x:v>T A 1100X70X15 RTO LMN REC PET BCO(STD)</x:v>
      </x:c>
      <x:c r="H318" s="190" t="str"/>
      <x:c r="I318" s="190" t="str"/>
      <x:c r="J318" s="190" t="str"/>
      <x:c r="K318" s="190" t="str">
        <x:v>ESMALTE</x:v>
      </x:c>
      <x:c r="L318" s="190" t="str">
        <x:v>BRANCO CARRARA</x:v>
      </x:c>
      <x:c r="M318" s="210" t="n">
        <x:v>55</x:v>
      </x:c>
      <x:c r="N318" s="210" t="n">
        <x:v>1100</x:v>
      </x:c>
      <x:c r="O318" s="210" t="n">
        <x:v>70</x:v>
      </x:c>
      <x:c r="P318" s="210" t="n">
        <x:v>15</x:v>
      </x:c>
      <x:c r="Q318" s="211" t="n">
        <x:v>0</x:v>
      </x:c>
      <x:c r="R318" s="207" t="str"/>
      <x:c r="S318" s="207" t="str"/>
      <x:c r="T318" s="207" t="str"/>
      <x:c r="U318" s="207" t="n">
        <x:v>0</x:v>
      </x:c>
      <x:c r="V318" s="208" t="n">
        <x:f>MAX(0,M318-U318)</x:f>
        <x:v>55</x:v>
      </x:c>
      <x:c r="W318" s="209" t="n">
        <x:f>IFERROR(U318/M318,0)</x:f>
        <x:v>0</x:v>
      </x:c>
      <x:c r="X318" s="201" t="str">
        <x:f>IF(U318=0,"Não iniciado",IF(U318&gt;=M318,"Concluído","Parcial"))</x:f>
        <x:v>Não iniciado</x:v>
      </x:c>
      <x:c r="Y318" s="199" t="str"/>
      <x:c r="Z318" s="188" t="str">
        <x:v>Normal</x:v>
      </x:c>
    </x:row>
    <x:row r="319" ht="22" customHeight="1">
      <x:c r="A319" s="217" t="n">
        <x:v>315</x:v>
      </x:c>
      <x:c r="B319" s="218" t="str">
        <x:v>26684</x:v>
      </x:c>
      <x:c r="C319" s="218" t="str">
        <x:v>5</x:v>
      </x:c>
      <x:c r="D319" s="218" t="str">
        <x:v>609146</x:v>
      </x:c>
      <x:c r="E319" s="218" t="str">
        <x:v>981166</x:v>
      </x:c>
      <x:c r="F319" s="218" t="str">
        <x:v>ALIZAR</x:v>
      </x:c>
      <x:c r="G319" s="184" t="str">
        <x:v>T A 1100X70X15 RTO RL55 REC PET BCO(STD)</x:v>
      </x:c>
      <x:c r="H319" s="184" t="str"/>
      <x:c r="I319" s="184" t="str"/>
      <x:c r="J319" s="184" t="str"/>
      <x:c r="K319" s="184" t="str">
        <x:v>ESMALTE</x:v>
      </x:c>
      <x:c r="L319" s="184" t="str">
        <x:v>BRANCO CARRARA</x:v>
      </x:c>
      <x:c r="M319" s="205" t="n">
        <x:v>6</x:v>
      </x:c>
      <x:c r="N319" s="205" t="n">
        <x:v>1100</x:v>
      </x:c>
      <x:c r="O319" s="205" t="n">
        <x:v>70</x:v>
      </x:c>
      <x:c r="P319" s="205" t="n">
        <x:v>15</x:v>
      </x:c>
      <x:c r="Q319" s="206" t="n">
        <x:v>0</x:v>
      </x:c>
      <x:c r="R319" s="207" t="str"/>
      <x:c r="S319" s="207" t="str"/>
      <x:c r="T319" s="207" t="str"/>
      <x:c r="U319" s="207" t="n">
        <x:v>0</x:v>
      </x:c>
      <x:c r="V319" s="208" t="n">
        <x:f>MAX(0,M319-U319)</x:f>
        <x:v>6</x:v>
      </x:c>
      <x:c r="W319" s="209" t="n">
        <x:f>IFERROR(U319/M319,0)</x:f>
        <x:v>0</x:v>
      </x:c>
      <x:c r="X319" s="201" t="str">
        <x:f>IF(U319=0,"Não iniciado",IF(U319&gt;=M319,"Concluído","Parcial"))</x:f>
        <x:v>Não iniciado</x:v>
      </x:c>
      <x:c r="Y319" s="199" t="str"/>
      <x:c r="Z319" s="188" t="str">
        <x:v>Normal</x:v>
      </x:c>
    </x:row>
    <x:row r="320" ht="22" customHeight="1">
      <x:c r="A320" s="219" t="n">
        <x:v>316</x:v>
      </x:c>
      <x:c r="B320" s="220" t="str">
        <x:v>26684</x:v>
      </x:c>
      <x:c r="C320" s="220" t="str">
        <x:v>5</x:v>
      </x:c>
      <x:c r="D320" s="220" t="str">
        <x:v>609147</x:v>
      </x:c>
      <x:c r="E320" s="220" t="str">
        <x:v>981556</x:v>
      </x:c>
      <x:c r="F320" s="220" t="str">
        <x:v>ALIZAR</x:v>
      </x:c>
      <x:c r="G320" s="190" t="str">
        <x:v>T A 1100X70X15 RTO LMN REC PET BCO(STD)</x:v>
      </x:c>
      <x:c r="H320" s="190" t="str"/>
      <x:c r="I320" s="190" t="str"/>
      <x:c r="J320" s="190" t="str"/>
      <x:c r="K320" s="190" t="str">
        <x:v>ESMALTE</x:v>
      </x:c>
      <x:c r="L320" s="190" t="str">
        <x:v>BRANCO CARRARA</x:v>
      </x:c>
      <x:c r="M320" s="210" t="n">
        <x:v>6</x:v>
      </x:c>
      <x:c r="N320" s="210" t="n">
        <x:v>1100</x:v>
      </x:c>
      <x:c r="O320" s="210" t="n">
        <x:v>70</x:v>
      </x:c>
      <x:c r="P320" s="210" t="n">
        <x:v>15</x:v>
      </x:c>
      <x:c r="Q320" s="211" t="n">
        <x:v>0</x:v>
      </x:c>
      <x:c r="R320" s="207" t="str"/>
      <x:c r="S320" s="207" t="str"/>
      <x:c r="T320" s="207" t="str"/>
      <x:c r="U320" s="207" t="n">
        <x:v>0</x:v>
      </x:c>
      <x:c r="V320" s="208" t="n">
        <x:f>MAX(0,M320-U320)</x:f>
        <x:v>6</x:v>
      </x:c>
      <x:c r="W320" s="209" t="n">
        <x:f>IFERROR(U320/M320,0)</x:f>
        <x:v>0</x:v>
      </x:c>
      <x:c r="X320" s="201" t="str">
        <x:f>IF(U320=0,"Não iniciado",IF(U320&gt;=M320,"Concluído","Parcial"))</x:f>
        <x:v>Não iniciado</x:v>
      </x:c>
      <x:c r="Y320" s="199" t="str"/>
      <x:c r="Z320" s="188" t="str">
        <x:v>Normal</x:v>
      </x:c>
    </x:row>
    <x:row r="321" ht="22" customHeight="1">
      <x:c r="A321" s="217" t="n">
        <x:v>317</x:v>
      </x:c>
      <x:c r="B321" s="218" t="str">
        <x:v>26684</x:v>
      </x:c>
      <x:c r="C321" s="218" t="str">
        <x:v>6</x:v>
      </x:c>
      <x:c r="D321" s="218" t="str">
        <x:v>609153</x:v>
      </x:c>
      <x:c r="E321" s="218" t="str">
        <x:v>981166</x:v>
      </x:c>
      <x:c r="F321" s="218" t="str">
        <x:v>ALIZAR</x:v>
      </x:c>
      <x:c r="G321" s="184" t="str">
        <x:v>T A 1100X70X15 RTO RL55 REC PET BCO(STD)</x:v>
      </x:c>
      <x:c r="H321" s="184" t="str"/>
      <x:c r="I321" s="184" t="str"/>
      <x:c r="J321" s="184" t="str"/>
      <x:c r="K321" s="184" t="str">
        <x:v>ESMALTE</x:v>
      </x:c>
      <x:c r="L321" s="184" t="str">
        <x:v>BRANCO CARRARA</x:v>
      </x:c>
      <x:c r="M321" s="205" t="n">
        <x:v>2</x:v>
      </x:c>
      <x:c r="N321" s="205" t="n">
        <x:v>1100</x:v>
      </x:c>
      <x:c r="O321" s="205" t="n">
        <x:v>70</x:v>
      </x:c>
      <x:c r="P321" s="205" t="n">
        <x:v>15</x:v>
      </x:c>
      <x:c r="Q321" s="206" t="n">
        <x:v>0</x:v>
      </x:c>
      <x:c r="R321" s="207" t="str"/>
      <x:c r="S321" s="207" t="str"/>
      <x:c r="T321" s="207" t="str"/>
      <x:c r="U321" s="207" t="n">
        <x:v>0</x:v>
      </x:c>
      <x:c r="V321" s="208" t="n">
        <x:f>MAX(0,M321-U321)</x:f>
        <x:v>2</x:v>
      </x:c>
      <x:c r="W321" s="209" t="n">
        <x:f>IFERROR(U321/M321,0)</x:f>
        <x:v>0</x:v>
      </x:c>
      <x:c r="X321" s="201" t="str">
        <x:f>IF(U321=0,"Não iniciado",IF(U321&gt;=M321,"Concluído","Parcial"))</x:f>
        <x:v>Não iniciado</x:v>
      </x:c>
      <x:c r="Y321" s="199" t="str"/>
      <x:c r="Z321" s="188" t="str">
        <x:v>Normal</x:v>
      </x:c>
    </x:row>
    <x:row r="322" ht="22" customHeight="1">
      <x:c r="A322" s="219" t="n">
        <x:v>318</x:v>
      </x:c>
      <x:c r="B322" s="220" t="str">
        <x:v>26684</x:v>
      </x:c>
      <x:c r="C322" s="220" t="str">
        <x:v>7</x:v>
      </x:c>
      <x:c r="D322" s="220" t="str">
        <x:v>609162</x:v>
      </x:c>
      <x:c r="E322" s="220" t="str">
        <x:v>981166</x:v>
      </x:c>
      <x:c r="F322" s="220" t="str">
        <x:v>ALIZAR</x:v>
      </x:c>
      <x:c r="G322" s="190" t="str">
        <x:v>T A 1100X70X15 RTO RL55 REC PET BCO(STD)</x:v>
      </x:c>
      <x:c r="H322" s="190" t="str"/>
      <x:c r="I322" s="190" t="str"/>
      <x:c r="J322" s="190" t="str"/>
      <x:c r="K322" s="190" t="str">
        <x:v>ESMALTE</x:v>
      </x:c>
      <x:c r="L322" s="190" t="str">
        <x:v>BRANCO CARRARA</x:v>
      </x:c>
      <x:c r="M322" s="210" t="n">
        <x:v>1</x:v>
      </x:c>
      <x:c r="N322" s="210" t="n">
        <x:v>1100</x:v>
      </x:c>
      <x:c r="O322" s="210" t="n">
        <x:v>70</x:v>
      </x:c>
      <x:c r="P322" s="210" t="n">
        <x:v>15</x:v>
      </x:c>
      <x:c r="Q322" s="211" t="n">
        <x:v>0</x:v>
      </x:c>
      <x:c r="R322" s="207" t="str"/>
      <x:c r="S322" s="207" t="str"/>
      <x:c r="T322" s="207" t="str"/>
      <x:c r="U322" s="207" t="n">
        <x:v>0</x:v>
      </x:c>
      <x:c r="V322" s="208" t="n">
        <x:f>MAX(0,M322-U322)</x:f>
        <x:v>1</x:v>
      </x:c>
      <x:c r="W322" s="209" t="n">
        <x:f>IFERROR(U322/M322,0)</x:f>
        <x:v>0</x:v>
      </x:c>
      <x:c r="X322" s="201" t="str">
        <x:f>IF(U322=0,"Não iniciado",IF(U322&gt;=M322,"Concluído","Parcial"))</x:f>
        <x:v>Não iniciado</x:v>
      </x:c>
      <x:c r="Y322" s="199" t="str"/>
      <x:c r="Z322" s="188" t="str">
        <x:v>Normal</x:v>
      </x:c>
    </x:row>
    <x:row r="323" ht="22" customHeight="1">
      <x:c r="A323" s="217" t="n">
        <x:v>319</x:v>
      </x:c>
      <x:c r="B323" s="218" t="str">
        <x:v>26684</x:v>
      </x:c>
      <x:c r="C323" s="218" t="str">
        <x:v>7</x:v>
      </x:c>
      <x:c r="D323" s="218" t="str">
        <x:v>609163</x:v>
      </x:c>
      <x:c r="E323" s="218" t="str">
        <x:v>981556</x:v>
      </x:c>
      <x:c r="F323" s="218" t="str">
        <x:v>ALIZAR</x:v>
      </x:c>
      <x:c r="G323" s="184" t="str">
        <x:v>T A 1100X70X15 RTO LMN REC PET BCO(STD)</x:v>
      </x:c>
      <x:c r="H323" s="184" t="str"/>
      <x:c r="I323" s="184" t="str"/>
      <x:c r="J323" s="184" t="str"/>
      <x:c r="K323" s="184" t="str">
        <x:v>ESMALTE</x:v>
      </x:c>
      <x:c r="L323" s="184" t="str">
        <x:v>BRANCO CARRARA</x:v>
      </x:c>
      <x:c r="M323" s="205" t="n">
        <x:v>1</x:v>
      </x:c>
      <x:c r="N323" s="205" t="n">
        <x:v>1100</x:v>
      </x:c>
      <x:c r="O323" s="205" t="n">
        <x:v>70</x:v>
      </x:c>
      <x:c r="P323" s="205" t="n">
        <x:v>15</x:v>
      </x:c>
      <x:c r="Q323" s="206" t="n">
        <x:v>0</x:v>
      </x:c>
      <x:c r="R323" s="207" t="str"/>
      <x:c r="S323" s="207" t="str"/>
      <x:c r="T323" s="207" t="str"/>
      <x:c r="U323" s="207" t="n">
        <x:v>0</x:v>
      </x:c>
      <x:c r="V323" s="208" t="n">
        <x:f>MAX(0,M323-U323)</x:f>
        <x:v>1</x:v>
      </x:c>
      <x:c r="W323" s="209" t="n">
        <x:f>IFERROR(U323/M323,0)</x:f>
        <x:v>0</x:v>
      </x:c>
      <x:c r="X323" s="201" t="str">
        <x:f>IF(U323=0,"Não iniciado",IF(U323&gt;=M323,"Concluído","Parcial"))</x:f>
        <x:v>Não iniciado</x:v>
      </x:c>
      <x:c r="Y323" s="199" t="str"/>
      <x:c r="Z323" s="188" t="str">
        <x:v>Normal</x:v>
      </x:c>
    </x:row>
    <x:row r="324" ht="22" customHeight="1">
      <x:c r="A324" s="219" t="n">
        <x:v>320</x:v>
      </x:c>
      <x:c r="B324" s="220" t="str">
        <x:v>26684</x:v>
      </x:c>
      <x:c r="C324" s="220" t="str">
        <x:v>8</x:v>
      </x:c>
      <x:c r="D324" s="220" t="str">
        <x:v>609170</x:v>
      </x:c>
      <x:c r="E324" s="220" t="str">
        <x:v>981166</x:v>
      </x:c>
      <x:c r="F324" s="220" t="str">
        <x:v>ALIZAR</x:v>
      </x:c>
      <x:c r="G324" s="190" t="str">
        <x:v>T A 1100X70X15 RTO RL55 REC PET BCO(STD)</x:v>
      </x:c>
      <x:c r="H324" s="190" t="str"/>
      <x:c r="I324" s="190" t="str"/>
      <x:c r="J324" s="190" t="str"/>
      <x:c r="K324" s="190" t="str">
        <x:v>ESMALTE</x:v>
      </x:c>
      <x:c r="L324" s="190" t="str">
        <x:v>BRANCO CARRARA</x:v>
      </x:c>
      <x:c r="M324" s="210" t="n">
        <x:v>5</x:v>
      </x:c>
      <x:c r="N324" s="210" t="n">
        <x:v>1100</x:v>
      </x:c>
      <x:c r="O324" s="210" t="n">
        <x:v>70</x:v>
      </x:c>
      <x:c r="P324" s="210" t="n">
        <x:v>15</x:v>
      </x:c>
      <x:c r="Q324" s="211" t="n">
        <x:v>0</x:v>
      </x:c>
      <x:c r="R324" s="207" t="str"/>
      <x:c r="S324" s="207" t="str"/>
      <x:c r="T324" s="207" t="str"/>
      <x:c r="U324" s="207" t="n">
        <x:v>0</x:v>
      </x:c>
      <x:c r="V324" s="208" t="n">
        <x:f>MAX(0,M324-U324)</x:f>
        <x:v>5</x:v>
      </x:c>
      <x:c r="W324" s="209" t="n">
        <x:f>IFERROR(U324/M324,0)</x:f>
        <x:v>0</x:v>
      </x:c>
      <x:c r="X324" s="201" t="str">
        <x:f>IF(U324=0,"Não iniciado",IF(U324&gt;=M324,"Concluído","Parcial"))</x:f>
        <x:v>Não iniciado</x:v>
      </x:c>
      <x:c r="Y324" s="199" t="str"/>
      <x:c r="Z324" s="188" t="str">
        <x:v>Normal</x:v>
      </x:c>
    </x:row>
    <x:row r="325" ht="22" customHeight="1">
      <x:c r="A325" s="217" t="n">
        <x:v>321</x:v>
      </x:c>
      <x:c r="B325" s="218" t="str">
        <x:v>26684</x:v>
      </x:c>
      <x:c r="C325" s="218" t="str">
        <x:v>8</x:v>
      </x:c>
      <x:c r="D325" s="218" t="str">
        <x:v>609171</x:v>
      </x:c>
      <x:c r="E325" s="218" t="str">
        <x:v>981556</x:v>
      </x:c>
      <x:c r="F325" s="218" t="str">
        <x:v>ALIZAR</x:v>
      </x:c>
      <x:c r="G325" s="184" t="str">
        <x:v>T A 1100X70X15 RTO LMN REC PET BCO(STD)</x:v>
      </x:c>
      <x:c r="H325" s="184" t="str"/>
      <x:c r="I325" s="184" t="str"/>
      <x:c r="J325" s="184" t="str"/>
      <x:c r="K325" s="184" t="str">
        <x:v>ESMALTE</x:v>
      </x:c>
      <x:c r="L325" s="184" t="str">
        <x:v>BRANCO CARRARA</x:v>
      </x:c>
      <x:c r="M325" s="205" t="n">
        <x:v>5</x:v>
      </x:c>
      <x:c r="N325" s="205" t="n">
        <x:v>1100</x:v>
      </x:c>
      <x:c r="O325" s="205" t="n">
        <x:v>70</x:v>
      </x:c>
      <x:c r="P325" s="205" t="n">
        <x:v>15</x:v>
      </x:c>
      <x:c r="Q325" s="206" t="n">
        <x:v>0</x:v>
      </x:c>
      <x:c r="R325" s="207" t="str"/>
      <x:c r="S325" s="207" t="str"/>
      <x:c r="T325" s="207" t="str"/>
      <x:c r="U325" s="207" t="n">
        <x:v>0</x:v>
      </x:c>
      <x:c r="V325" s="208" t="n">
        <x:f>MAX(0,M325-U325)</x:f>
        <x:v>5</x:v>
      </x:c>
      <x:c r="W325" s="209" t="n">
        <x:f>IFERROR(U325/M325,0)</x:f>
        <x:v>0</x:v>
      </x:c>
      <x:c r="X325" s="201" t="str">
        <x:f>IF(U325=0,"Não iniciado",IF(U325&gt;=M325,"Concluído","Parcial"))</x:f>
        <x:v>Não iniciado</x:v>
      </x:c>
      <x:c r="Y325" s="199" t="str"/>
      <x:c r="Z325" s="188" t="str">
        <x:v>Normal</x:v>
      </x:c>
    </x:row>
    <x:row r="326" ht="22" customHeight="1">
      <x:c r="A326" s="219" t="n">
        <x:v>322</x:v>
      </x:c>
      <x:c r="B326" s="220" t="str">
        <x:v>26684</x:v>
      </x:c>
      <x:c r="C326" s="220" t="str">
        <x:v>9</x:v>
      </x:c>
      <x:c r="D326" s="220" t="str">
        <x:v>609178</x:v>
      </x:c>
      <x:c r="E326" s="220" t="str">
        <x:v>981166</x:v>
      </x:c>
      <x:c r="F326" s="220" t="str">
        <x:v>ALIZAR</x:v>
      </x:c>
      <x:c r="G326" s="190" t="str">
        <x:v>T A 1100X70X15 RTO RL55 REC PET BCO(STD)</x:v>
      </x:c>
      <x:c r="H326" s="190" t="str"/>
      <x:c r="I326" s="190" t="str"/>
      <x:c r="J326" s="190" t="str"/>
      <x:c r="K326" s="190" t="str">
        <x:v>ESMALTE</x:v>
      </x:c>
      <x:c r="L326" s="190" t="str">
        <x:v>BRANCO CARRARA</x:v>
      </x:c>
      <x:c r="M326" s="210" t="n">
        <x:v>57</x:v>
      </x:c>
      <x:c r="N326" s="210" t="n">
        <x:v>1100</x:v>
      </x:c>
      <x:c r="O326" s="210" t="n">
        <x:v>70</x:v>
      </x:c>
      <x:c r="P326" s="210" t="n">
        <x:v>15</x:v>
      </x:c>
      <x:c r="Q326" s="211" t="n">
        <x:v>0</x:v>
      </x:c>
      <x:c r="R326" s="207" t="str"/>
      <x:c r="S326" s="207" t="str"/>
      <x:c r="T326" s="207" t="str"/>
      <x:c r="U326" s="207" t="n">
        <x:v>0</x:v>
      </x:c>
      <x:c r="V326" s="208" t="n">
        <x:f>MAX(0,M326-U326)</x:f>
        <x:v>57</x:v>
      </x:c>
      <x:c r="W326" s="209" t="n">
        <x:f>IFERROR(U326/M326,0)</x:f>
        <x:v>0</x:v>
      </x:c>
      <x:c r="X326" s="201" t="str">
        <x:f>IF(U326=0,"Não iniciado",IF(U326&gt;=M326,"Concluído","Parcial"))</x:f>
        <x:v>Não iniciado</x:v>
      </x:c>
      <x:c r="Y326" s="199" t="str"/>
      <x:c r="Z326" s="188" t="str">
        <x:v>Normal</x:v>
      </x:c>
    </x:row>
    <x:row r="327" ht="22" customHeight="1">
      <x:c r="A327" s="217" t="n">
        <x:v>323</x:v>
      </x:c>
      <x:c r="B327" s="218" t="str">
        <x:v>26684</x:v>
      </x:c>
      <x:c r="C327" s="218" t="str">
        <x:v>9</x:v>
      </x:c>
      <x:c r="D327" s="218" t="str">
        <x:v>609179</x:v>
      </x:c>
      <x:c r="E327" s="218" t="str">
        <x:v>981556</x:v>
      </x:c>
      <x:c r="F327" s="218" t="str">
        <x:v>ALIZAR</x:v>
      </x:c>
      <x:c r="G327" s="184" t="str">
        <x:v>T A 1100X70X15 RTO LMN REC PET BCO(STD)</x:v>
      </x:c>
      <x:c r="H327" s="184" t="str"/>
      <x:c r="I327" s="184" t="str"/>
      <x:c r="J327" s="184" t="str"/>
      <x:c r="K327" s="184" t="str">
        <x:v>ESMALTE</x:v>
      </x:c>
      <x:c r="L327" s="184" t="str">
        <x:v>BRANCO CARRARA</x:v>
      </x:c>
      <x:c r="M327" s="205" t="n">
        <x:v>57</x:v>
      </x:c>
      <x:c r="N327" s="205" t="n">
        <x:v>1100</x:v>
      </x:c>
      <x:c r="O327" s="205" t="n">
        <x:v>70</x:v>
      </x:c>
      <x:c r="P327" s="205" t="n">
        <x:v>15</x:v>
      </x:c>
      <x:c r="Q327" s="206" t="n">
        <x:v>0</x:v>
      </x:c>
      <x:c r="R327" s="207" t="str"/>
      <x:c r="S327" s="207" t="str"/>
      <x:c r="T327" s="207" t="str"/>
      <x:c r="U327" s="207" t="n">
        <x:v>0</x:v>
      </x:c>
      <x:c r="V327" s="208" t="n">
        <x:f>MAX(0,M327-U327)</x:f>
        <x:v>57</x:v>
      </x:c>
      <x:c r="W327" s="209" t="n">
        <x:f>IFERROR(U327/M327,0)</x:f>
        <x:v>0</x:v>
      </x:c>
      <x:c r="X327" s="201" t="str">
        <x:f>IF(U327=0,"Não iniciado",IF(U327&gt;=M327,"Concluído","Parcial"))</x:f>
        <x:v>Não iniciado</x:v>
      </x:c>
      <x:c r="Y327" s="199" t="str"/>
      <x:c r="Z327" s="188" t="str">
        <x:v>Normal</x:v>
      </x:c>
    </x:row>
    <x:row r="328" ht="22" customHeight="1">
      <x:c r="A328" s="219" t="n">
        <x:v>324</x:v>
      </x:c>
      <x:c r="B328" s="220" t="str">
        <x:v>26684</x:v>
      </x:c>
      <x:c r="C328" s="220" t="str">
        <x:v>10</x:v>
      </x:c>
      <x:c r="D328" s="220" t="str">
        <x:v>609185</x:v>
      </x:c>
      <x:c r="E328" s="220" t="str">
        <x:v>981166</x:v>
      </x:c>
      <x:c r="F328" s="220" t="str">
        <x:v>ALIZAR</x:v>
      </x:c>
      <x:c r="G328" s="190" t="str">
        <x:v>T A 1100X70X15 RTO RL55 REC PET BCO(STD)</x:v>
      </x:c>
      <x:c r="H328" s="190" t="str"/>
      <x:c r="I328" s="190" t="str"/>
      <x:c r="J328" s="190" t="str"/>
      <x:c r="K328" s="190" t="str">
        <x:v>ESMALTE</x:v>
      </x:c>
      <x:c r="L328" s="190" t="str">
        <x:v>BRANCO CARRARA</x:v>
      </x:c>
      <x:c r="M328" s="210" t="n">
        <x:v>2</x:v>
      </x:c>
      <x:c r="N328" s="210" t="n">
        <x:v>1100</x:v>
      </x:c>
      <x:c r="O328" s="210" t="n">
        <x:v>70</x:v>
      </x:c>
      <x:c r="P328" s="210" t="n">
        <x:v>15</x:v>
      </x:c>
      <x:c r="Q328" s="211" t="n">
        <x:v>0</x:v>
      </x:c>
      <x:c r="R328" s="207" t="str"/>
      <x:c r="S328" s="207" t="str"/>
      <x:c r="T328" s="207" t="str"/>
      <x:c r="U328" s="207" t="n">
        <x:v>0</x:v>
      </x:c>
      <x:c r="V328" s="208" t="n">
        <x:f>MAX(0,M328-U328)</x:f>
        <x:v>2</x:v>
      </x:c>
      <x:c r="W328" s="209" t="n">
        <x:f>IFERROR(U328/M328,0)</x:f>
        <x:v>0</x:v>
      </x:c>
      <x:c r="X328" s="201" t="str">
        <x:f>IF(U328=0,"Não iniciado",IF(U328&gt;=M328,"Concluído","Parcial"))</x:f>
        <x:v>Não iniciado</x:v>
      </x:c>
      <x:c r="Y328" s="199" t="str"/>
      <x:c r="Z328" s="188" t="str">
        <x:v>Normal</x:v>
      </x:c>
    </x:row>
    <x:row r="329" ht="22" customHeight="1">
      <x:c r="A329" s="217" t="n">
        <x:v>325</x:v>
      </x:c>
      <x:c r="B329" s="218" t="str">
        <x:v>26689</x:v>
      </x:c>
      <x:c r="C329" s="218" t="str">
        <x:v>1</x:v>
      </x:c>
      <x:c r="D329" s="218" t="str">
        <x:v>609079</x:v>
      </x:c>
      <x:c r="E329" s="218" t="str">
        <x:v>981166</x:v>
      </x:c>
      <x:c r="F329" s="218" t="str">
        <x:v>ALIZAR</x:v>
      </x:c>
      <x:c r="G329" s="184" t="str">
        <x:v>T A 1100X70X15 RTO RL55 REC PET BCO(STD)</x:v>
      </x:c>
      <x:c r="H329" s="184" t="str"/>
      <x:c r="I329" s="184" t="str"/>
      <x:c r="J329" s="184" t="str"/>
      <x:c r="K329" s="184" t="str">
        <x:v>ESMALTE</x:v>
      </x:c>
      <x:c r="L329" s="184" t="str">
        <x:v>BRANCO CARRARA</x:v>
      </x:c>
      <x:c r="M329" s="205" t="n">
        <x:v>32</x:v>
      </x:c>
      <x:c r="N329" s="205" t="n">
        <x:v>1100</x:v>
      </x:c>
      <x:c r="O329" s="205" t="n">
        <x:v>70</x:v>
      </x:c>
      <x:c r="P329" s="205" t="n">
        <x:v>15</x:v>
      </x:c>
      <x:c r="Q329" s="206" t="n">
        <x:v>0</x:v>
      </x:c>
      <x:c r="R329" s="207" t="str"/>
      <x:c r="S329" s="207" t="str"/>
      <x:c r="T329" s="207" t="str"/>
      <x:c r="U329" s="207" t="n">
        <x:v>0</x:v>
      </x:c>
      <x:c r="V329" s="208" t="n">
        <x:f>MAX(0,M329-U329)</x:f>
        <x:v>32</x:v>
      </x:c>
      <x:c r="W329" s="209" t="n">
        <x:f>IFERROR(U329/M329,0)</x:f>
        <x:v>0</x:v>
      </x:c>
      <x:c r="X329" s="201" t="str">
        <x:f>IF(U329=0,"Não iniciado",IF(U329&gt;=M329,"Concluído","Parcial"))</x:f>
        <x:v>Não iniciado</x:v>
      </x:c>
      <x:c r="Y329" s="199" t="str"/>
      <x:c r="Z329" s="188" t="str">
        <x:v>Normal</x:v>
      </x:c>
    </x:row>
    <x:row r="330" ht="22" customHeight="1">
      <x:c r="A330" s="219" t="n">
        <x:v>326</x:v>
      </x:c>
      <x:c r="B330" s="220" t="str">
        <x:v>26689</x:v>
      </x:c>
      <x:c r="C330" s="220" t="str">
        <x:v>1</x:v>
      </x:c>
      <x:c r="D330" s="220" t="str">
        <x:v>609080</x:v>
      </x:c>
      <x:c r="E330" s="220" t="str">
        <x:v>981556</x:v>
      </x:c>
      <x:c r="F330" s="220" t="str">
        <x:v>ALIZAR</x:v>
      </x:c>
      <x:c r="G330" s="190" t="str">
        <x:v>T A 1100X70X15 RTO LMN REC PET BCO(STD)</x:v>
      </x:c>
      <x:c r="H330" s="190" t="str"/>
      <x:c r="I330" s="190" t="str"/>
      <x:c r="J330" s="190" t="str"/>
      <x:c r="K330" s="190" t="str">
        <x:v>ESMALTE</x:v>
      </x:c>
      <x:c r="L330" s="190" t="str">
        <x:v>BRANCO CARRARA</x:v>
      </x:c>
      <x:c r="M330" s="210" t="n">
        <x:v>32</x:v>
      </x:c>
      <x:c r="N330" s="210" t="n">
        <x:v>1100</x:v>
      </x:c>
      <x:c r="O330" s="210" t="n">
        <x:v>70</x:v>
      </x:c>
      <x:c r="P330" s="210" t="n">
        <x:v>15</x:v>
      </x:c>
      <x:c r="Q330" s="211" t="n">
        <x:v>0</x:v>
      </x:c>
      <x:c r="R330" s="207" t="str"/>
      <x:c r="S330" s="207" t="str"/>
      <x:c r="T330" s="207" t="str"/>
      <x:c r="U330" s="207" t="n">
        <x:v>0</x:v>
      </x:c>
      <x:c r="V330" s="208" t="n">
        <x:f>MAX(0,M330-U330)</x:f>
        <x:v>32</x:v>
      </x:c>
      <x:c r="W330" s="209" t="n">
        <x:f>IFERROR(U330/M330,0)</x:f>
        <x:v>0</x:v>
      </x:c>
      <x:c r="X330" s="201" t="str">
        <x:f>IF(U330=0,"Não iniciado",IF(U330&gt;=M330,"Concluído","Parcial"))</x:f>
        <x:v>Não iniciado</x:v>
      </x:c>
      <x:c r="Y330" s="199" t="str"/>
      <x:c r="Z330" s="188" t="str">
        <x:v>Normal</x:v>
      </x:c>
    </x:row>
    <x:row r="331" ht="22" customHeight="1">
      <x:c r="A331" s="217" t="n">
        <x:v>327</x:v>
      </x:c>
      <x:c r="B331" s="218" t="str">
        <x:v>26689</x:v>
      </x:c>
      <x:c r="C331" s="218" t="str">
        <x:v>2</x:v>
      </x:c>
      <x:c r="D331" s="218" t="str">
        <x:v>609089</x:v>
      </x:c>
      <x:c r="E331" s="218" t="str">
        <x:v>981166</x:v>
      </x:c>
      <x:c r="F331" s="218" t="str">
        <x:v>ALIZAR</x:v>
      </x:c>
      <x:c r="G331" s="184" t="str">
        <x:v>T A 1100X70X15 RTO RL55 REC PET BCO(STD)</x:v>
      </x:c>
      <x:c r="H331" s="184" t="str"/>
      <x:c r="I331" s="184" t="str"/>
      <x:c r="J331" s="184" t="str"/>
      <x:c r="K331" s="184" t="str">
        <x:v>ESMALTE</x:v>
      </x:c>
      <x:c r="L331" s="184" t="str">
        <x:v>BRANCO CARRARA</x:v>
      </x:c>
      <x:c r="M331" s="205" t="n">
        <x:v>64</x:v>
      </x:c>
      <x:c r="N331" s="205" t="n">
        <x:v>1100</x:v>
      </x:c>
      <x:c r="O331" s="205" t="n">
        <x:v>70</x:v>
      </x:c>
      <x:c r="P331" s="205" t="n">
        <x:v>15</x:v>
      </x:c>
      <x:c r="Q331" s="206" t="n">
        <x:v>0</x:v>
      </x:c>
      <x:c r="R331" s="207" t="str"/>
      <x:c r="S331" s="207" t="str"/>
      <x:c r="T331" s="207" t="str"/>
      <x:c r="U331" s="207" t="n">
        <x:v>0</x:v>
      </x:c>
      <x:c r="V331" s="208" t="n">
        <x:f>MAX(0,M331-U331)</x:f>
        <x:v>64</x:v>
      </x:c>
      <x:c r="W331" s="209" t="n">
        <x:f>IFERROR(U331/M331,0)</x:f>
        <x:v>0</x:v>
      </x:c>
      <x:c r="X331" s="201" t="str">
        <x:f>IF(U331=0,"Não iniciado",IF(U331&gt;=M331,"Concluído","Parcial"))</x:f>
        <x:v>Não iniciado</x:v>
      </x:c>
      <x:c r="Y331" s="199" t="str"/>
      <x:c r="Z331" s="188" t="str">
        <x:v>Normal</x:v>
      </x:c>
    </x:row>
    <x:row r="332" ht="22" customHeight="1">
      <x:c r="A332" s="219" t="n">
        <x:v>328</x:v>
      </x:c>
      <x:c r="B332" s="220" t="str">
        <x:v>26689</x:v>
      </x:c>
      <x:c r="C332" s="220" t="str">
        <x:v>2</x:v>
      </x:c>
      <x:c r="D332" s="220" t="str">
        <x:v>609090</x:v>
      </x:c>
      <x:c r="E332" s="220" t="str">
        <x:v>981556</x:v>
      </x:c>
      <x:c r="F332" s="220" t="str">
        <x:v>ALIZAR</x:v>
      </x:c>
      <x:c r="G332" s="190" t="str">
        <x:v>T A 1100X70X15 RTO LMN REC PET BCO(STD)</x:v>
      </x:c>
      <x:c r="H332" s="190" t="str"/>
      <x:c r="I332" s="190" t="str"/>
      <x:c r="J332" s="190" t="str"/>
      <x:c r="K332" s="190" t="str">
        <x:v>ESMALTE</x:v>
      </x:c>
      <x:c r="L332" s="190" t="str">
        <x:v>BRANCO CARRARA</x:v>
      </x:c>
      <x:c r="M332" s="210" t="n">
        <x:v>64</x:v>
      </x:c>
      <x:c r="N332" s="210" t="n">
        <x:v>1100</x:v>
      </x:c>
      <x:c r="O332" s="210" t="n">
        <x:v>70</x:v>
      </x:c>
      <x:c r="P332" s="210" t="n">
        <x:v>15</x:v>
      </x:c>
      <x:c r="Q332" s="211" t="n">
        <x:v>0</x:v>
      </x:c>
      <x:c r="R332" s="207" t="str"/>
      <x:c r="S332" s="207" t="str"/>
      <x:c r="T332" s="207" t="str"/>
      <x:c r="U332" s="207" t="n">
        <x:v>0</x:v>
      </x:c>
      <x:c r="V332" s="208" t="n">
        <x:f>MAX(0,M332-U332)</x:f>
        <x:v>64</x:v>
      </x:c>
      <x:c r="W332" s="209" t="n">
        <x:f>IFERROR(U332/M332,0)</x:f>
        <x:v>0</x:v>
      </x:c>
      <x:c r="X332" s="201" t="str">
        <x:f>IF(U332=0,"Não iniciado",IF(U332&gt;=M332,"Concluído","Parcial"))</x:f>
        <x:v>Não iniciado</x:v>
      </x:c>
      <x:c r="Y332" s="199" t="str"/>
      <x:c r="Z332" s="188" t="str">
        <x:v>Normal</x:v>
      </x:c>
    </x:row>
    <x:row r="333" ht="22" customHeight="1">
      <x:c r="A333" s="217" t="n">
        <x:v>329</x:v>
      </x:c>
      <x:c r="B333" s="218" t="str">
        <x:v>26689</x:v>
      </x:c>
      <x:c r="C333" s="218" t="str">
        <x:v>3</x:v>
      </x:c>
      <x:c r="D333" s="218" t="str">
        <x:v>609097</x:v>
      </x:c>
      <x:c r="E333" s="218" t="str">
        <x:v>981166</x:v>
      </x:c>
      <x:c r="F333" s="218" t="str">
        <x:v>ALIZAR</x:v>
      </x:c>
      <x:c r="G333" s="184" t="str">
        <x:v>T A 1100X70X15 RTO RL55 REC PET BCO(STD)</x:v>
      </x:c>
      <x:c r="H333" s="184" t="str"/>
      <x:c r="I333" s="184" t="str"/>
      <x:c r="J333" s="184" t="str"/>
      <x:c r="K333" s="184" t="str">
        <x:v>ESMALTE</x:v>
      </x:c>
      <x:c r="L333" s="184" t="str">
        <x:v>BRANCO CARRARA</x:v>
      </x:c>
      <x:c r="M333" s="205" t="n">
        <x:v>61</x:v>
      </x:c>
      <x:c r="N333" s="205" t="n">
        <x:v>1100</x:v>
      </x:c>
      <x:c r="O333" s="205" t="n">
        <x:v>70</x:v>
      </x:c>
      <x:c r="P333" s="205" t="n">
        <x:v>15</x:v>
      </x:c>
      <x:c r="Q333" s="206" t="n">
        <x:v>0</x:v>
      </x:c>
      <x:c r="R333" s="207" t="str"/>
      <x:c r="S333" s="207" t="str"/>
      <x:c r="T333" s="207" t="str"/>
      <x:c r="U333" s="207" t="n">
        <x:v>0</x:v>
      </x:c>
      <x:c r="V333" s="208" t="n">
        <x:f>MAX(0,M333-U333)</x:f>
        <x:v>61</x:v>
      </x:c>
      <x:c r="W333" s="209" t="n">
        <x:f>IFERROR(U333/M333,0)</x:f>
        <x:v>0</x:v>
      </x:c>
      <x:c r="X333" s="201" t="str">
        <x:f>IF(U333=0,"Não iniciado",IF(U333&gt;=M333,"Concluído","Parcial"))</x:f>
        <x:v>Não iniciado</x:v>
      </x:c>
      <x:c r="Y333" s="199" t="str"/>
      <x:c r="Z333" s="188" t="str">
        <x:v>Normal</x:v>
      </x:c>
    </x:row>
    <x:row r="334" ht="22" customHeight="1">
      <x:c r="A334" s="219" t="n">
        <x:v>330</x:v>
      </x:c>
      <x:c r="B334" s="220" t="str">
        <x:v>26689</x:v>
      </x:c>
      <x:c r="C334" s="220" t="str">
        <x:v>3</x:v>
      </x:c>
      <x:c r="D334" s="220" t="str">
        <x:v>609098</x:v>
      </x:c>
      <x:c r="E334" s="220" t="str">
        <x:v>981556</x:v>
      </x:c>
      <x:c r="F334" s="220" t="str">
        <x:v>ALIZAR</x:v>
      </x:c>
      <x:c r="G334" s="190" t="str">
        <x:v>T A 1100X70X15 RTO LMN REC PET BCO(STD)</x:v>
      </x:c>
      <x:c r="H334" s="190" t="str"/>
      <x:c r="I334" s="190" t="str"/>
      <x:c r="J334" s="190" t="str"/>
      <x:c r="K334" s="190" t="str">
        <x:v>ESMALTE</x:v>
      </x:c>
      <x:c r="L334" s="190" t="str">
        <x:v>BRANCO CARRARA</x:v>
      </x:c>
      <x:c r="M334" s="210" t="n">
        <x:v>61</x:v>
      </x:c>
      <x:c r="N334" s="210" t="n">
        <x:v>1100</x:v>
      </x:c>
      <x:c r="O334" s="210" t="n">
        <x:v>70</x:v>
      </x:c>
      <x:c r="P334" s="210" t="n">
        <x:v>15</x:v>
      </x:c>
      <x:c r="Q334" s="211" t="n">
        <x:v>0</x:v>
      </x:c>
      <x:c r="R334" s="207" t="str"/>
      <x:c r="S334" s="207" t="str"/>
      <x:c r="T334" s="207" t="str"/>
      <x:c r="U334" s="207" t="n">
        <x:v>0</x:v>
      </x:c>
      <x:c r="V334" s="208" t="n">
        <x:f>MAX(0,M334-U334)</x:f>
        <x:v>61</x:v>
      </x:c>
      <x:c r="W334" s="209" t="n">
        <x:f>IFERROR(U334/M334,0)</x:f>
        <x:v>0</x:v>
      </x:c>
      <x:c r="X334" s="201" t="str">
        <x:f>IF(U334=0,"Não iniciado",IF(U334&gt;=M334,"Concluído","Parcial"))</x:f>
        <x:v>Não iniciado</x:v>
      </x:c>
      <x:c r="Y334" s="199" t="str"/>
      <x:c r="Z334" s="188" t="str">
        <x:v>Normal</x:v>
      </x:c>
    </x:row>
    <x:row r="335" ht="22" customHeight="1">
      <x:c r="A335" s="217" t="n">
        <x:v>331</x:v>
      </x:c>
      <x:c r="B335" s="218" t="str">
        <x:v>26689</x:v>
      </x:c>
      <x:c r="C335" s="218" t="str">
        <x:v>4</x:v>
      </x:c>
      <x:c r="D335" s="218" t="str">
        <x:v>609104</x:v>
      </x:c>
      <x:c r="E335" s="218" t="str">
        <x:v>981166</x:v>
      </x:c>
      <x:c r="F335" s="218" t="str">
        <x:v>ALIZAR</x:v>
      </x:c>
      <x:c r="G335" s="184" t="str">
        <x:v>T A 1100X70X15 RTO RL55 REC PET BCO(STD)</x:v>
      </x:c>
      <x:c r="H335" s="184" t="str"/>
      <x:c r="I335" s="184" t="str"/>
      <x:c r="J335" s="184" t="str"/>
      <x:c r="K335" s="184" t="str">
        <x:v>ESMALTE</x:v>
      </x:c>
      <x:c r="L335" s="184" t="str">
        <x:v>BRANCO CARRARA</x:v>
      </x:c>
      <x:c r="M335" s="205" t="n">
        <x:v>3</x:v>
      </x:c>
      <x:c r="N335" s="205" t="n">
        <x:v>1100</x:v>
      </x:c>
      <x:c r="O335" s="205" t="n">
        <x:v>70</x:v>
      </x:c>
      <x:c r="P335" s="205" t="n">
        <x:v>15</x:v>
      </x:c>
      <x:c r="Q335" s="206" t="n">
        <x:v>0</x:v>
      </x:c>
      <x:c r="R335" s="207" t="str"/>
      <x:c r="S335" s="207" t="str"/>
      <x:c r="T335" s="207" t="str"/>
      <x:c r="U335" s="207" t="n">
        <x:v>0</x:v>
      </x:c>
      <x:c r="V335" s="208" t="n">
        <x:f>MAX(0,M335-U335)</x:f>
        <x:v>3</x:v>
      </x:c>
      <x:c r="W335" s="209" t="n">
        <x:f>IFERROR(U335/M335,0)</x:f>
        <x:v>0</x:v>
      </x:c>
      <x:c r="X335" s="201" t="str">
        <x:f>IF(U335=0,"Não iniciado",IF(U335&gt;=M335,"Concluído","Parcial"))</x:f>
        <x:v>Não iniciado</x:v>
      </x:c>
      <x:c r="Y335" s="199" t="str"/>
      <x:c r="Z335" s="188" t="str">
        <x:v>Normal</x:v>
      </x:c>
    </x:row>
    <x:row r="336" ht="22" customHeight="1">
      <x:c r="A336" s="219" t="n">
        <x:v>332</x:v>
      </x:c>
      <x:c r="B336" s="220" t="str">
        <x:v>26809</x:v>
      </x:c>
      <x:c r="C336" s="220" t="str">
        <x:v>11</x:v>
      </x:c>
      <x:c r="D336" s="220" t="str">
        <x:v>609958</x:v>
      </x:c>
      <x:c r="E336" s="220" t="str">
        <x:v>968526</x:v>
      </x:c>
      <x:c r="F336" s="220" t="str">
        <x:v>ALIZAR</x:v>
      </x:c>
      <x:c r="G336" s="190" t="str">
        <x:v>T A 1100X70X09 RTO RL55 RC PET CAPUC ULT</x:v>
      </x:c>
      <x:c r="H336" s="190" t="str">
        <x:v>REG 2L(MAIOR 55MM)</x:v>
      </x:c>
      <x:c r="I336" s="190" t="str"/>
      <x:c r="J336" s="190" t="str"/>
      <x:c r="K336" s="190" t="str">
        <x:v>RECOBERTO PET</x:v>
      </x:c>
      <x:c r="L336" s="190" t="str">
        <x:v>CAPUCCINO MARCHE</x:v>
      </x:c>
      <x:c r="M336" s="210" t="n">
        <x:v>12</x:v>
      </x:c>
      <x:c r="N336" s="210" t="n">
        <x:v>1100</x:v>
      </x:c>
      <x:c r="O336" s="210" t="n">
        <x:v>70</x:v>
      </x:c>
      <x:c r="P336" s="210" t="n">
        <x:v>9</x:v>
      </x:c>
      <x:c r="Q336" s="211" t="n">
        <x:v>0.008</x:v>
      </x:c>
      <x:c r="R336" s="207" t="str"/>
      <x:c r="S336" s="207" t="str"/>
      <x:c r="T336" s="207" t="str"/>
      <x:c r="U336" s="207" t="n">
        <x:v>0</x:v>
      </x:c>
      <x:c r="V336" s="208" t="n">
        <x:f>MAX(0,M336-U336)</x:f>
        <x:v>12</x:v>
      </x:c>
      <x:c r="W336" s="209" t="n">
        <x:f>IFERROR(U336/M336,0)</x:f>
        <x:v>0</x:v>
      </x:c>
      <x:c r="X336" s="201" t="str">
        <x:f>IF(U336=0,"Não iniciado",IF(U336&gt;=M336,"Concluído","Parcial"))</x:f>
        <x:v>Não iniciado</x:v>
      </x:c>
      <x:c r="Y336" s="199" t="str"/>
      <x:c r="Z336" s="188" t="str">
        <x:v>Normal</x:v>
      </x:c>
    </x:row>
    <x:row r="337" ht="22" customHeight="1">
      <x:c r="A337" s="217" t="n">
        <x:v>333</x:v>
      </x:c>
      <x:c r="B337" s="218" t="str">
        <x:v>26809</x:v>
      </x:c>
      <x:c r="C337" s="218" t="str">
        <x:v>11</x:v>
      </x:c>
      <x:c r="D337" s="218" t="str">
        <x:v>609960</x:v>
      </x:c>
      <x:c r="E337" s="218" t="str">
        <x:v>968528</x:v>
      </x:c>
      <x:c r="F337" s="218" t="str">
        <x:v>ALIZAR</x:v>
      </x:c>
      <x:c r="G337" s="184" t="str">
        <x:v>T A 1100X70X09 RTO LME RC PET CAPUCC (UL</x:v>
      </x:c>
      <x:c r="H337" s="184" t="str">
        <x:v>REG 2L(MAIOR 55MM)</x:v>
      </x:c>
      <x:c r="I337" s="184" t="str"/>
      <x:c r="J337" s="184" t="str"/>
      <x:c r="K337" s="184" t="str">
        <x:v>RECOBERTO PET</x:v>
      </x:c>
      <x:c r="L337" s="184" t="str">
        <x:v>CAPUCCINO MARCHE</x:v>
      </x:c>
      <x:c r="M337" s="205" t="n">
        <x:v>12</x:v>
      </x:c>
      <x:c r="N337" s="205" t="n">
        <x:v>1100</x:v>
      </x:c>
      <x:c r="O337" s="205" t="n">
        <x:v>70</x:v>
      </x:c>
      <x:c r="P337" s="205" t="n">
        <x:v>9</x:v>
      </x:c>
      <x:c r="Q337" s="206" t="n">
        <x:v>0.008</x:v>
      </x:c>
      <x:c r="R337" s="207" t="str"/>
      <x:c r="S337" s="207" t="str"/>
      <x:c r="T337" s="207" t="str"/>
      <x:c r="U337" s="207" t="n">
        <x:v>0</x:v>
      </x:c>
      <x:c r="V337" s="208" t="n">
        <x:f>MAX(0,M337-U337)</x:f>
        <x:v>12</x:v>
      </x:c>
      <x:c r="W337" s="209" t="n">
        <x:f>IFERROR(U337/M337,0)</x:f>
        <x:v>0</x:v>
      </x:c>
      <x:c r="X337" s="201" t="str">
        <x:f>IF(U337=0,"Não iniciado",IF(U337&gt;=M337,"Concluído","Parcial"))</x:f>
        <x:v>Não iniciado</x:v>
      </x:c>
      <x:c r="Y337" s="199" t="str"/>
      <x:c r="Z337" s="188" t="str">
        <x:v>Normal</x:v>
      </x:c>
    </x:row>
    <x:row r="338" ht="22" customHeight="1">
      <x:c r="A338" s="219" t="n">
        <x:v>334</x:v>
      </x:c>
      <x:c r="B338" s="220" t="str">
        <x:v>26520</x:v>
      </x:c>
      <x:c r="C338" s="220" t="str">
        <x:v>1</x:v>
      </x:c>
      <x:c r="D338" s="220" t="str">
        <x:v>610066</x:v>
      </x:c>
      <x:c r="E338" s="220" t="str">
        <x:v>976441</x:v>
      </x:c>
      <x:c r="F338" s="220" t="str">
        <x:v>ALIZAR</x:v>
      </x:c>
      <x:c r="G338" s="190" t="str">
        <x:v>T A 1100X70X09 RTO RL55 PET CNZ VE ULT</x:v>
      </x:c>
      <x:c r="H338" s="190" t="str"/>
      <x:c r="I338" s="190" t="str"/>
      <x:c r="J338" s="190" t="str"/>
      <x:c r="K338" s="190" t="str">
        <x:v>RECOBERTO PET</x:v>
      </x:c>
      <x:c r="L338" s="190" t="str">
        <x:v>CINZA VERONA</x:v>
      </x:c>
      <x:c r="M338" s="210" t="n">
        <x:v>2</x:v>
      </x:c>
      <x:c r="N338" s="210" t="n">
        <x:v>1100</x:v>
      </x:c>
      <x:c r="O338" s="210" t="n">
        <x:v>70</x:v>
      </x:c>
      <x:c r="P338" s="210" t="n">
        <x:v>9</x:v>
      </x:c>
      <x:c r="Q338" s="211" t="n">
        <x:v>0.001</x:v>
      </x:c>
      <x:c r="R338" s="207" t="str"/>
      <x:c r="S338" s="207" t="str"/>
      <x:c r="T338" s="207" t="str"/>
      <x:c r="U338" s="207" t="n">
        <x:v>0</x:v>
      </x:c>
      <x:c r="V338" s="208" t="n">
        <x:f>MAX(0,M338-U338)</x:f>
        <x:v>2</x:v>
      </x:c>
      <x:c r="W338" s="209" t="n">
        <x:f>IFERROR(U338/M338,0)</x:f>
        <x:v>0</x:v>
      </x:c>
      <x:c r="X338" s="201" t="str">
        <x:f>IF(U338=0,"Não iniciado",IF(U338&gt;=M338,"Concluído","Parcial"))</x:f>
        <x:v>Não iniciado</x:v>
      </x:c>
      <x:c r="Y338" s="199" t="str"/>
      <x:c r="Z338" s="188" t="str">
        <x:v>Normal</x:v>
      </x:c>
    </x:row>
    <x:row r="339" ht="22" customHeight="1">
      <x:c r="A339" s="217" t="n">
        <x:v>335</x:v>
      </x:c>
      <x:c r="B339" s="218" t="str">
        <x:v>26520</x:v>
      </x:c>
      <x:c r="C339" s="218" t="str">
        <x:v>1</x:v>
      </x:c>
      <x:c r="D339" s="218" t="str">
        <x:v>610067</x:v>
      </x:c>
      <x:c r="E339" s="218" t="str">
        <x:v>976443</x:v>
      </x:c>
      <x:c r="F339" s="218" t="str">
        <x:v>ALIZAR</x:v>
      </x:c>
      <x:c r="G339" s="184" t="str">
        <x:v>T A 1100X70X09 RTO LME PET CNZ VE (UL</x:v>
      </x:c>
      <x:c r="H339" s="184" t="str"/>
      <x:c r="I339" s="184" t="str"/>
      <x:c r="J339" s="184" t="str"/>
      <x:c r="K339" s="184" t="str">
        <x:v>RECOBERTO PET</x:v>
      </x:c>
      <x:c r="L339" s="184" t="str">
        <x:v>CINZA VERONA</x:v>
      </x:c>
      <x:c r="M339" s="205" t="n">
        <x:v>2</x:v>
      </x:c>
      <x:c r="N339" s="205" t="n">
        <x:v>1100</x:v>
      </x:c>
      <x:c r="O339" s="205" t="n">
        <x:v>70</x:v>
      </x:c>
      <x:c r="P339" s="205" t="n">
        <x:v>9</x:v>
      </x:c>
      <x:c r="Q339" s="206" t="n">
        <x:v>0.001</x:v>
      </x:c>
      <x:c r="R339" s="207" t="str"/>
      <x:c r="S339" s="207" t="str"/>
      <x:c r="T339" s="207" t="str"/>
      <x:c r="U339" s="207" t="n">
        <x:v>0</x:v>
      </x:c>
      <x:c r="V339" s="208" t="n">
        <x:f>MAX(0,M339-U339)</x:f>
        <x:v>2</x:v>
      </x:c>
      <x:c r="W339" s="209" t="n">
        <x:f>IFERROR(U339/M339,0)</x:f>
        <x:v>0</x:v>
      </x:c>
      <x:c r="X339" s="201" t="str">
        <x:f>IF(U339=0,"Não iniciado",IF(U339&gt;=M339,"Concluído","Parcial"))</x:f>
        <x:v>Não iniciado</x:v>
      </x:c>
      <x:c r="Y339" s="199" t="str"/>
      <x:c r="Z339" s="188" t="str">
        <x:v>Normal</x:v>
      </x:c>
    </x:row>
    <x:row r="340" ht="22" customHeight="1">
      <x:c r="A340" s="219" t="n">
        <x:v>336</x:v>
      </x:c>
      <x:c r="B340" s="220" t="str">
        <x:v>26520</x:v>
      </x:c>
      <x:c r="C340" s="220" t="str">
        <x:v>2</x:v>
      </x:c>
      <x:c r="D340" s="220" t="str">
        <x:v>610074</x:v>
      </x:c>
      <x:c r="E340" s="220" t="str">
        <x:v>976441</x:v>
      </x:c>
      <x:c r="F340" s="220" t="str">
        <x:v>ALIZAR</x:v>
      </x:c>
      <x:c r="G340" s="190" t="str">
        <x:v>T A 1100X70X09 RTO RL55 PET CNZ VE ULT</x:v>
      </x:c>
      <x:c r="H340" s="190" t="str"/>
      <x:c r="I340" s="190" t="str"/>
      <x:c r="J340" s="190" t="str"/>
      <x:c r="K340" s="190" t="str">
        <x:v>RECOBERTO PET</x:v>
      </x:c>
      <x:c r="L340" s="190" t="str">
        <x:v>CINZA VERONA</x:v>
      </x:c>
      <x:c r="M340" s="210" t="n">
        <x:v>6</x:v>
      </x:c>
      <x:c r="N340" s="210" t="n">
        <x:v>1100</x:v>
      </x:c>
      <x:c r="O340" s="210" t="n">
        <x:v>70</x:v>
      </x:c>
      <x:c r="P340" s="210" t="n">
        <x:v>9</x:v>
      </x:c>
      <x:c r="Q340" s="211" t="n">
        <x:v>0.004</x:v>
      </x:c>
      <x:c r="R340" s="207" t="str"/>
      <x:c r="S340" s="207" t="str"/>
      <x:c r="T340" s="207" t="str"/>
      <x:c r="U340" s="207" t="n">
        <x:v>0</x:v>
      </x:c>
      <x:c r="V340" s="208" t="n">
        <x:f>MAX(0,M340-U340)</x:f>
        <x:v>6</x:v>
      </x:c>
      <x:c r="W340" s="209" t="n">
        <x:f>IFERROR(U340/M340,0)</x:f>
        <x:v>0</x:v>
      </x:c>
      <x:c r="X340" s="201" t="str">
        <x:f>IF(U340=0,"Não iniciado",IF(U340&gt;=M340,"Concluído","Parcial"))</x:f>
        <x:v>Não iniciado</x:v>
      </x:c>
      <x:c r="Y340" s="199" t="str"/>
      <x:c r="Z340" s="188" t="str">
        <x:v>Normal</x:v>
      </x:c>
    </x:row>
    <x:row r="341" ht="22" customHeight="1">
      <x:c r="A341" s="217" t="n">
        <x:v>337</x:v>
      </x:c>
      <x:c r="B341" s="218" t="str">
        <x:v>26520</x:v>
      </x:c>
      <x:c r="C341" s="218" t="str">
        <x:v>2</x:v>
      </x:c>
      <x:c r="D341" s="218" t="str">
        <x:v>610075</x:v>
      </x:c>
      <x:c r="E341" s="218" t="str">
        <x:v>976443</x:v>
      </x:c>
      <x:c r="F341" s="218" t="str">
        <x:v>ALIZAR</x:v>
      </x:c>
      <x:c r="G341" s="184" t="str">
        <x:v>T A 1100X70X09 RTO LME PET CNZ VE (UL</x:v>
      </x:c>
      <x:c r="H341" s="184" t="str"/>
      <x:c r="I341" s="184" t="str"/>
      <x:c r="J341" s="184" t="str"/>
      <x:c r="K341" s="184" t="str">
        <x:v>RECOBERTO PET</x:v>
      </x:c>
      <x:c r="L341" s="184" t="str">
        <x:v>CINZA VERONA</x:v>
      </x:c>
      <x:c r="M341" s="205" t="n">
        <x:v>6</x:v>
      </x:c>
      <x:c r="N341" s="205" t="n">
        <x:v>1100</x:v>
      </x:c>
      <x:c r="O341" s="205" t="n">
        <x:v>70</x:v>
      </x:c>
      <x:c r="P341" s="205" t="n">
        <x:v>9</x:v>
      </x:c>
      <x:c r="Q341" s="206" t="n">
        <x:v>0.004</x:v>
      </x:c>
      <x:c r="R341" s="207" t="str"/>
      <x:c r="S341" s="207" t="str"/>
      <x:c r="T341" s="207" t="str"/>
      <x:c r="U341" s="207" t="n">
        <x:v>0</x:v>
      </x:c>
      <x:c r="V341" s="208" t="n">
        <x:f>MAX(0,M341-U341)</x:f>
        <x:v>6</x:v>
      </x:c>
      <x:c r="W341" s="209" t="n">
        <x:f>IFERROR(U341/M341,0)</x:f>
        <x:v>0</x:v>
      </x:c>
      <x:c r="X341" s="201" t="str">
        <x:f>IF(U341=0,"Não iniciado",IF(U341&gt;=M341,"Concluído","Parcial"))</x:f>
        <x:v>Não iniciado</x:v>
      </x:c>
      <x:c r="Y341" s="199" t="str"/>
      <x:c r="Z341" s="188" t="str">
        <x:v>Normal</x:v>
      </x:c>
    </x:row>
    <x:row r="342" ht="22" customHeight="1">
      <x:c r="A342" s="219" t="n">
        <x:v>338</x:v>
      </x:c>
      <x:c r="B342" s="220" t="str">
        <x:v>26808</x:v>
      </x:c>
      <x:c r="C342" s="220" t="str">
        <x:v>1</x:v>
      </x:c>
      <x:c r="D342" s="220" t="str">
        <x:v>608898</x:v>
      </x:c>
      <x:c r="E342" s="220" t="str">
        <x:v>962391</x:v>
      </x:c>
      <x:c r="F342" s="220" t="str">
        <x:v>OUTROS</x:v>
      </x:c>
      <x:c r="G342" s="190" t="str">
        <x:v>TR ALI 1100X70X9 RTO LME REC PET BCO(ULT</x:v>
      </x:c>
      <x:c r="H342" s="190" t="str"/>
      <x:c r="I342" s="190" t="str"/>
      <x:c r="J342" s="190" t="str"/>
      <x:c r="K342" s="190" t="str">
        <x:v>ESMALTE</x:v>
      </x:c>
      <x:c r="L342" s="190" t="str">
        <x:v>BRANCO CARRARA</x:v>
      </x:c>
      <x:c r="M342" s="210" t="n">
        <x:v>144</x:v>
      </x:c>
      <x:c r="N342" s="210" t="n">
        <x:v>1100</x:v>
      </x:c>
      <x:c r="O342" s="210" t="n">
        <x:v>70</x:v>
      </x:c>
      <x:c r="P342" s="210" t="n">
        <x:v>9</x:v>
      </x:c>
      <x:c r="Q342" s="211" t="n">
        <x:v>0</x:v>
      </x:c>
      <x:c r="R342" s="207" t="str"/>
      <x:c r="S342" s="207" t="str"/>
      <x:c r="T342" s="207" t="str"/>
      <x:c r="U342" s="207" t="n">
        <x:v>0</x:v>
      </x:c>
      <x:c r="V342" s="208" t="n">
        <x:f>MAX(0,M342-U342)</x:f>
        <x:v>144</x:v>
      </x:c>
      <x:c r="W342" s="209" t="n">
        <x:f>IFERROR(U342/M342,0)</x:f>
        <x:v>0</x:v>
      </x:c>
      <x:c r="X342" s="201" t="str">
        <x:f>IF(U342=0,"Não iniciado",IF(U342&gt;=M342,"Concluído","Parcial"))</x:f>
        <x:v>Não iniciado</x:v>
      </x:c>
      <x:c r="Y342" s="199" t="str"/>
      <x:c r="Z342" s="188" t="str">
        <x:v>Normal</x:v>
      </x:c>
    </x:row>
    <x:row r="343" ht="22" customHeight="1">
      <x:c r="A343" s="217" t="n">
        <x:v>339</x:v>
      </x:c>
      <x:c r="B343" s="218" t="str">
        <x:v>26808</x:v>
      </x:c>
      <x:c r="C343" s="218" t="str">
        <x:v>1</x:v>
      </x:c>
      <x:c r="D343" s="218" t="str">
        <x:v>608900</x:v>
      </x:c>
      <x:c r="E343" s="218" t="str">
        <x:v>962969</x:v>
      </x:c>
      <x:c r="F343" s="218" t="str">
        <x:v>OUTROS</x:v>
      </x:c>
      <x:c r="G343" s="184" t="str">
        <x:v>TR AL 1100X70X9 RTO RL35 REC PET BCO (UL</x:v>
      </x:c>
      <x:c r="H343" s="184" t="str"/>
      <x:c r="I343" s="184" t="str"/>
      <x:c r="J343" s="184" t="str"/>
      <x:c r="K343" s="184" t="str">
        <x:v>ESMALTE</x:v>
      </x:c>
      <x:c r="L343" s="184" t="str">
        <x:v>BRANCO CARRARA</x:v>
      </x:c>
      <x:c r="M343" s="205" t="n">
        <x:v>144</x:v>
      </x:c>
      <x:c r="N343" s="205" t="n">
        <x:v>1100</x:v>
      </x:c>
      <x:c r="O343" s="205" t="n">
        <x:v>70</x:v>
      </x:c>
      <x:c r="P343" s="205" t="n">
        <x:v>9</x:v>
      </x:c>
      <x:c r="Q343" s="206" t="n">
        <x:v>0</x:v>
      </x:c>
      <x:c r="R343" s="207" t="str"/>
      <x:c r="S343" s="207" t="str"/>
      <x:c r="T343" s="207" t="str"/>
      <x:c r="U343" s="207" t="n">
        <x:v>0</x:v>
      </x:c>
      <x:c r="V343" s="208" t="n">
        <x:f>MAX(0,M343-U343)</x:f>
        <x:v>144</x:v>
      </x:c>
      <x:c r="W343" s="209" t="n">
        <x:f>IFERROR(U343/M343,0)</x:f>
        <x:v>0</x:v>
      </x:c>
      <x:c r="X343" s="201" t="str">
        <x:f>IF(U343=0,"Não iniciado",IF(U343&gt;=M343,"Concluído","Parcial"))</x:f>
        <x:v>Não iniciado</x:v>
      </x:c>
      <x:c r="Y343" s="199" t="str"/>
      <x:c r="Z343" s="188" t="str">
        <x:v>Normal</x:v>
      </x:c>
    </x:row>
    <x:row r="344" ht="22" customHeight="1">
      <x:c r="A344" s="219" t="n">
        <x:v>340</x:v>
      </x:c>
      <x:c r="B344" s="220" t="str">
        <x:v>26808</x:v>
      </x:c>
      <x:c r="C344" s="220" t="str">
        <x:v>2</x:v>
      </x:c>
      <x:c r="D344" s="220" t="str">
        <x:v>608906</x:v>
      </x:c>
      <x:c r="E344" s="220" t="str">
        <x:v>962391</x:v>
      </x:c>
      <x:c r="F344" s="220" t="str">
        <x:v>OUTROS</x:v>
      </x:c>
      <x:c r="G344" s="190" t="str">
        <x:v>TR ALI 1100X70X9 RTO LME REC PET BCO(ULT</x:v>
      </x:c>
      <x:c r="H344" s="190" t="str"/>
      <x:c r="I344" s="190" t="str"/>
      <x:c r="J344" s="190" t="str"/>
      <x:c r="K344" s="190" t="str">
        <x:v>ESMALTE</x:v>
      </x:c>
      <x:c r="L344" s="190" t="str">
        <x:v>BRANCO CARRARA</x:v>
      </x:c>
      <x:c r="M344" s="210" t="n">
        <x:v>16</x:v>
      </x:c>
      <x:c r="N344" s="210" t="n">
        <x:v>1100</x:v>
      </x:c>
      <x:c r="O344" s="210" t="n">
        <x:v>70</x:v>
      </x:c>
      <x:c r="P344" s="210" t="n">
        <x:v>9</x:v>
      </x:c>
      <x:c r="Q344" s="211" t="n">
        <x:v>0</x:v>
      </x:c>
      <x:c r="R344" s="207" t="str"/>
      <x:c r="S344" s="207" t="str"/>
      <x:c r="T344" s="207" t="str"/>
      <x:c r="U344" s="207" t="n">
        <x:v>0</x:v>
      </x:c>
      <x:c r="V344" s="208" t="n">
        <x:f>MAX(0,M344-U344)</x:f>
        <x:v>16</x:v>
      </x:c>
      <x:c r="W344" s="209" t="n">
        <x:f>IFERROR(U344/M344,0)</x:f>
        <x:v>0</x:v>
      </x:c>
      <x:c r="X344" s="201" t="str">
        <x:f>IF(U344=0,"Não iniciado",IF(U344&gt;=M344,"Concluído","Parcial"))</x:f>
        <x:v>Não iniciado</x:v>
      </x:c>
      <x:c r="Y344" s="199" t="str"/>
      <x:c r="Z344" s="188" t="str">
        <x:v>Normal</x:v>
      </x:c>
    </x:row>
    <x:row r="345" ht="22" customHeight="1">
      <x:c r="A345" s="217" t="n">
        <x:v>341</x:v>
      </x:c>
      <x:c r="B345" s="218" t="str">
        <x:v>26808</x:v>
      </x:c>
      <x:c r="C345" s="218" t="str">
        <x:v>2</x:v>
      </x:c>
      <x:c r="D345" s="218" t="str">
        <x:v>608908</x:v>
      </x:c>
      <x:c r="E345" s="218" t="str">
        <x:v>962969</x:v>
      </x:c>
      <x:c r="F345" s="218" t="str">
        <x:v>OUTROS</x:v>
      </x:c>
      <x:c r="G345" s="184" t="str">
        <x:v>TR AL 1100X70X9 RTO RL35 REC PET BCO (UL</x:v>
      </x:c>
      <x:c r="H345" s="184" t="str"/>
      <x:c r="I345" s="184" t="str"/>
      <x:c r="J345" s="184" t="str"/>
      <x:c r="K345" s="184" t="str">
        <x:v>ESMALTE</x:v>
      </x:c>
      <x:c r="L345" s="184" t="str">
        <x:v>BRANCO CARRARA</x:v>
      </x:c>
      <x:c r="M345" s="205" t="n">
        <x:v>16</x:v>
      </x:c>
      <x:c r="N345" s="205" t="n">
        <x:v>1100</x:v>
      </x:c>
      <x:c r="O345" s="205" t="n">
        <x:v>70</x:v>
      </x:c>
      <x:c r="P345" s="205" t="n">
        <x:v>9</x:v>
      </x:c>
      <x:c r="Q345" s="206" t="n">
        <x:v>0</x:v>
      </x:c>
      <x:c r="R345" s="207" t="str"/>
      <x:c r="S345" s="207" t="str"/>
      <x:c r="T345" s="207" t="str"/>
      <x:c r="U345" s="207" t="n">
        <x:v>0</x:v>
      </x:c>
      <x:c r="V345" s="208" t="n">
        <x:f>MAX(0,M345-U345)</x:f>
        <x:v>16</x:v>
      </x:c>
      <x:c r="W345" s="209" t="n">
        <x:f>IFERROR(U345/M345,0)</x:f>
        <x:v>0</x:v>
      </x:c>
      <x:c r="X345" s="201" t="str">
        <x:f>IF(U345=0,"Não iniciado",IF(U345&gt;=M345,"Concluído","Parcial"))</x:f>
        <x:v>Não iniciado</x:v>
      </x:c>
      <x:c r="Y345" s="199" t="str"/>
      <x:c r="Z345" s="188" t="str">
        <x:v>Normal</x:v>
      </x:c>
    </x:row>
    <x:row r="346" ht="22" customHeight="1">
      <x:c r="A346" s="219" t="n">
        <x:v>342</x:v>
      </x:c>
      <x:c r="B346" s="220" t="str">
        <x:v>26808</x:v>
      </x:c>
      <x:c r="C346" s="220" t="str">
        <x:v>3</x:v>
      </x:c>
      <x:c r="D346" s="220" t="str">
        <x:v>608914</x:v>
      </x:c>
      <x:c r="E346" s="220" t="str">
        <x:v>962391</x:v>
      </x:c>
      <x:c r="F346" s="220" t="str">
        <x:v>OUTROS</x:v>
      </x:c>
      <x:c r="G346" s="190" t="str">
        <x:v>TR ALI 1100X70X9 RTO LME REC PET BCO(ULT</x:v>
      </x:c>
      <x:c r="H346" s="190" t="str"/>
      <x:c r="I346" s="190" t="str"/>
      <x:c r="J346" s="190" t="str"/>
      <x:c r="K346" s="190" t="str">
        <x:v>ESMALTE</x:v>
      </x:c>
      <x:c r="L346" s="190" t="str">
        <x:v>BRANCO CARRARA</x:v>
      </x:c>
      <x:c r="M346" s="210" t="n">
        <x:v>60</x:v>
      </x:c>
      <x:c r="N346" s="210" t="n">
        <x:v>1100</x:v>
      </x:c>
      <x:c r="O346" s="210" t="n">
        <x:v>70</x:v>
      </x:c>
      <x:c r="P346" s="210" t="n">
        <x:v>9</x:v>
      </x:c>
      <x:c r="Q346" s="211" t="n">
        <x:v>0</x:v>
      </x:c>
      <x:c r="R346" s="207" t="str"/>
      <x:c r="S346" s="207" t="str"/>
      <x:c r="T346" s="207" t="str"/>
      <x:c r="U346" s="207" t="n">
        <x:v>0</x:v>
      </x:c>
      <x:c r="V346" s="208" t="n">
        <x:f>MAX(0,M346-U346)</x:f>
        <x:v>60</x:v>
      </x:c>
      <x:c r="W346" s="209" t="n">
        <x:f>IFERROR(U346/M346,0)</x:f>
        <x:v>0</x:v>
      </x:c>
      <x:c r="X346" s="201" t="str">
        <x:f>IF(U346=0,"Não iniciado",IF(U346&gt;=M346,"Concluído","Parcial"))</x:f>
        <x:v>Não iniciado</x:v>
      </x:c>
      <x:c r="Y346" s="199" t="str"/>
      <x:c r="Z346" s="188" t="str">
        <x:v>Normal</x:v>
      </x:c>
    </x:row>
    <x:row r="347" ht="22" customHeight="1">
      <x:c r="A347" s="217" t="n">
        <x:v>343</x:v>
      </x:c>
      <x:c r="B347" s="218" t="str">
        <x:v>26808</x:v>
      </x:c>
      <x:c r="C347" s="218" t="str">
        <x:v>3</x:v>
      </x:c>
      <x:c r="D347" s="218" t="str">
        <x:v>608916</x:v>
      </x:c>
      <x:c r="E347" s="218" t="str">
        <x:v>962969</x:v>
      </x:c>
      <x:c r="F347" s="218" t="str">
        <x:v>OUTROS</x:v>
      </x:c>
      <x:c r="G347" s="184" t="str">
        <x:v>TR AL 1100X70X9 RTO RL35 REC PET BCO (UL</x:v>
      </x:c>
      <x:c r="H347" s="184" t="str"/>
      <x:c r="I347" s="184" t="str"/>
      <x:c r="J347" s="184" t="str"/>
      <x:c r="K347" s="184" t="str">
        <x:v>ESMALTE</x:v>
      </x:c>
      <x:c r="L347" s="184" t="str">
        <x:v>BRANCO CARRARA</x:v>
      </x:c>
      <x:c r="M347" s="205" t="n">
        <x:v>60</x:v>
      </x:c>
      <x:c r="N347" s="205" t="n">
        <x:v>1100</x:v>
      </x:c>
      <x:c r="O347" s="205" t="n">
        <x:v>70</x:v>
      </x:c>
      <x:c r="P347" s="205" t="n">
        <x:v>9</x:v>
      </x:c>
      <x:c r="Q347" s="206" t="n">
        <x:v>0</x:v>
      </x:c>
      <x:c r="R347" s="207" t="str"/>
      <x:c r="S347" s="207" t="str"/>
      <x:c r="T347" s="207" t="str"/>
      <x:c r="U347" s="207" t="n">
        <x:v>0</x:v>
      </x:c>
      <x:c r="V347" s="208" t="n">
        <x:f>MAX(0,M347-U347)</x:f>
        <x:v>60</x:v>
      </x:c>
      <x:c r="W347" s="209" t="n">
        <x:f>IFERROR(U347/M347,0)</x:f>
        <x:v>0</x:v>
      </x:c>
      <x:c r="X347" s="201" t="str">
        <x:f>IF(U347=0,"Não iniciado",IF(U347&gt;=M347,"Concluído","Parcial"))</x:f>
        <x:v>Não iniciado</x:v>
      </x:c>
      <x:c r="Y347" s="199" t="str"/>
      <x:c r="Z347" s="188" t="str">
        <x:v>Normal</x:v>
      </x:c>
    </x:row>
    <x:row r="348" ht="22" customHeight="1">
      <x:c r="A348" s="219" t="n">
        <x:v>344</x:v>
      </x:c>
      <x:c r="B348" s="220" t="str">
        <x:v>26808</x:v>
      </x:c>
      <x:c r="C348" s="220" t="str">
        <x:v>4</x:v>
      </x:c>
      <x:c r="D348" s="220" t="str">
        <x:v>608922</x:v>
      </x:c>
      <x:c r="E348" s="220" t="str">
        <x:v>962391</x:v>
      </x:c>
      <x:c r="F348" s="220" t="str">
        <x:v>OUTROS</x:v>
      </x:c>
      <x:c r="G348" s="190" t="str">
        <x:v>TR ALI 1100X70X9 RTO LME REC PET BCO(ULT</x:v>
      </x:c>
      <x:c r="H348" s="190" t="str"/>
      <x:c r="I348" s="190" t="str"/>
      <x:c r="J348" s="190" t="str"/>
      <x:c r="K348" s="190" t="str">
        <x:v>ESMALTE</x:v>
      </x:c>
      <x:c r="L348" s="190" t="str">
        <x:v>BRANCO CARRARA</x:v>
      </x:c>
      <x:c r="M348" s="210" t="n">
        <x:v>63</x:v>
      </x:c>
      <x:c r="N348" s="210" t="n">
        <x:v>1100</x:v>
      </x:c>
      <x:c r="O348" s="210" t="n">
        <x:v>70</x:v>
      </x:c>
      <x:c r="P348" s="210" t="n">
        <x:v>9</x:v>
      </x:c>
      <x:c r="Q348" s="211" t="n">
        <x:v>0</x:v>
      </x:c>
      <x:c r="R348" s="207" t="str"/>
      <x:c r="S348" s="207" t="str"/>
      <x:c r="T348" s="207" t="str"/>
      <x:c r="U348" s="207" t="n">
        <x:v>0</x:v>
      </x:c>
      <x:c r="V348" s="208" t="n">
        <x:f>MAX(0,M348-U348)</x:f>
        <x:v>63</x:v>
      </x:c>
      <x:c r="W348" s="209" t="n">
        <x:f>IFERROR(U348/M348,0)</x:f>
        <x:v>0</x:v>
      </x:c>
      <x:c r="X348" s="201" t="str">
        <x:f>IF(U348=0,"Não iniciado",IF(U348&gt;=M348,"Concluído","Parcial"))</x:f>
        <x:v>Não iniciado</x:v>
      </x:c>
      <x:c r="Y348" s="199" t="str"/>
      <x:c r="Z348" s="188" t="str">
        <x:v>Normal</x:v>
      </x:c>
    </x:row>
    <x:row r="349" ht="22" customHeight="1">
      <x:c r="A349" s="217" t="n">
        <x:v>345</x:v>
      </x:c>
      <x:c r="B349" s="218" t="str">
        <x:v>26808</x:v>
      </x:c>
      <x:c r="C349" s="218" t="str">
        <x:v>4</x:v>
      </x:c>
      <x:c r="D349" s="218" t="str">
        <x:v>608924</x:v>
      </x:c>
      <x:c r="E349" s="218" t="str">
        <x:v>962969</x:v>
      </x:c>
      <x:c r="F349" s="218" t="str">
        <x:v>OUTROS</x:v>
      </x:c>
      <x:c r="G349" s="184" t="str">
        <x:v>TR AL 1100X70X9 RTO RL35 REC PET BCO (UL</x:v>
      </x:c>
      <x:c r="H349" s="184" t="str"/>
      <x:c r="I349" s="184" t="str"/>
      <x:c r="J349" s="184" t="str"/>
      <x:c r="K349" s="184" t="str">
        <x:v>ESMALTE</x:v>
      </x:c>
      <x:c r="L349" s="184" t="str">
        <x:v>BRANCO CARRARA</x:v>
      </x:c>
      <x:c r="M349" s="205" t="n">
        <x:v>63</x:v>
      </x:c>
      <x:c r="N349" s="205" t="n">
        <x:v>1100</x:v>
      </x:c>
      <x:c r="O349" s="205" t="n">
        <x:v>70</x:v>
      </x:c>
      <x:c r="P349" s="205" t="n">
        <x:v>9</x:v>
      </x:c>
      <x:c r="Q349" s="206" t="n">
        <x:v>0</x:v>
      </x:c>
      <x:c r="R349" s="207" t="str"/>
      <x:c r="S349" s="207" t="str"/>
      <x:c r="T349" s="207" t="str"/>
      <x:c r="U349" s="207" t="n">
        <x:v>0</x:v>
      </x:c>
      <x:c r="V349" s="208" t="n">
        <x:f>MAX(0,M349-U349)</x:f>
        <x:v>63</x:v>
      </x:c>
      <x:c r="W349" s="209" t="n">
        <x:f>IFERROR(U349/M349,0)</x:f>
        <x:v>0</x:v>
      </x:c>
      <x:c r="X349" s="201" t="str">
        <x:f>IF(U349=0,"Não iniciado",IF(U349&gt;=M349,"Concluído","Parcial"))</x:f>
        <x:v>Não iniciado</x:v>
      </x:c>
      <x:c r="Y349" s="199" t="str"/>
      <x:c r="Z349" s="188" t="str">
        <x:v>Normal</x:v>
      </x:c>
    </x:row>
    <x:row r="350" ht="22" customHeight="1">
      <x:c r="A350" s="219" t="n">
        <x:v>346</x:v>
      </x:c>
      <x:c r="B350" s="220" t="str">
        <x:v>26808</x:v>
      </x:c>
      <x:c r="C350" s="220" t="str">
        <x:v>5</x:v>
      </x:c>
      <x:c r="D350" s="220" t="str">
        <x:v>608930</x:v>
      </x:c>
      <x:c r="E350" s="220" t="str">
        <x:v>962391</x:v>
      </x:c>
      <x:c r="F350" s="220" t="str">
        <x:v>OUTROS</x:v>
      </x:c>
      <x:c r="G350" s="190" t="str">
        <x:v>TR ALI 1100X70X9 RTO LME REC PET BCO(ULT</x:v>
      </x:c>
      <x:c r="H350" s="190" t="str"/>
      <x:c r="I350" s="190" t="str"/>
      <x:c r="J350" s="190" t="str"/>
      <x:c r="K350" s="190" t="str">
        <x:v>ESMALTE</x:v>
      </x:c>
      <x:c r="L350" s="190" t="str">
        <x:v>BRANCO CARRARA</x:v>
      </x:c>
      <x:c r="M350" s="210" t="n">
        <x:v>1</x:v>
      </x:c>
      <x:c r="N350" s="210" t="n">
        <x:v>1100</x:v>
      </x:c>
      <x:c r="O350" s="210" t="n">
        <x:v>70</x:v>
      </x:c>
      <x:c r="P350" s="210" t="n">
        <x:v>9</x:v>
      </x:c>
      <x:c r="Q350" s="211" t="n">
        <x:v>0</x:v>
      </x:c>
      <x:c r="R350" s="207" t="str"/>
      <x:c r="S350" s="207" t="str"/>
      <x:c r="T350" s="207" t="str"/>
      <x:c r="U350" s="207" t="n">
        <x:v>0</x:v>
      </x:c>
      <x:c r="V350" s="208" t="n">
        <x:f>MAX(0,M350-U350)</x:f>
        <x:v>1</x:v>
      </x:c>
      <x:c r="W350" s="209" t="n">
        <x:f>IFERROR(U350/M350,0)</x:f>
        <x:v>0</x:v>
      </x:c>
      <x:c r="X350" s="201" t="str">
        <x:f>IF(U350=0,"Não iniciado",IF(U350&gt;=M350,"Concluído","Parcial"))</x:f>
        <x:v>Não iniciado</x:v>
      </x:c>
      <x:c r="Y350" s="199" t="str"/>
      <x:c r="Z350" s="188" t="str">
        <x:v>Normal</x:v>
      </x:c>
    </x:row>
    <x:row r="351" ht="22" customHeight="1">
      <x:c r="A351" s="217" t="n">
        <x:v>347</x:v>
      </x:c>
      <x:c r="B351" s="218" t="str">
        <x:v>26808</x:v>
      </x:c>
      <x:c r="C351" s="218" t="str">
        <x:v>5</x:v>
      </x:c>
      <x:c r="D351" s="218" t="str">
        <x:v>608932</x:v>
      </x:c>
      <x:c r="E351" s="218" t="str">
        <x:v>962969</x:v>
      </x:c>
      <x:c r="F351" s="218" t="str">
        <x:v>OUTROS</x:v>
      </x:c>
      <x:c r="G351" s="184" t="str">
        <x:v>TR AL 1100X70X9 RTO RL35 REC PET BCO (UL</x:v>
      </x:c>
      <x:c r="H351" s="184" t="str"/>
      <x:c r="I351" s="184" t="str"/>
      <x:c r="J351" s="184" t="str"/>
      <x:c r="K351" s="184" t="str">
        <x:v>ESMALTE</x:v>
      </x:c>
      <x:c r="L351" s="184" t="str">
        <x:v>BRANCO CARRARA</x:v>
      </x:c>
      <x:c r="M351" s="205" t="n">
        <x:v>1</x:v>
      </x:c>
      <x:c r="N351" s="205" t="n">
        <x:v>1100</x:v>
      </x:c>
      <x:c r="O351" s="205" t="n">
        <x:v>70</x:v>
      </x:c>
      <x:c r="P351" s="205" t="n">
        <x:v>9</x:v>
      </x:c>
      <x:c r="Q351" s="206" t="n">
        <x:v>0</x:v>
      </x:c>
      <x:c r="R351" s="207" t="str"/>
      <x:c r="S351" s="207" t="str"/>
      <x:c r="T351" s="207" t="str"/>
      <x:c r="U351" s="207" t="n">
        <x:v>0</x:v>
      </x:c>
      <x:c r="V351" s="208" t="n">
        <x:f>MAX(0,M351-U351)</x:f>
        <x:v>1</x:v>
      </x:c>
      <x:c r="W351" s="209" t="n">
        <x:f>IFERROR(U351/M351,0)</x:f>
        <x:v>0</x:v>
      </x:c>
      <x:c r="X351" s="201" t="str">
        <x:f>IF(U351=0,"Não iniciado",IF(U351&gt;=M351,"Concluído","Parcial"))</x:f>
        <x:v>Não iniciado</x:v>
      </x:c>
      <x:c r="Y351" s="199" t="str"/>
      <x:c r="Z351" s="188" t="str">
        <x:v>Normal</x:v>
      </x:c>
    </x:row>
    <x:row r="352" ht="22" customHeight="1">
      <x:c r="A352" s="219" t="n">
        <x:v>348</x:v>
      </x:c>
      <x:c r="B352" s="220" t="str">
        <x:v>26808</x:v>
      </x:c>
      <x:c r="C352" s="220" t="str">
        <x:v>6</x:v>
      </x:c>
      <x:c r="D352" s="220" t="str">
        <x:v>608936</x:v>
      </x:c>
      <x:c r="E352" s="220" t="str">
        <x:v>962391</x:v>
      </x:c>
      <x:c r="F352" s="220" t="str">
        <x:v>OUTROS</x:v>
      </x:c>
      <x:c r="G352" s="190" t="str">
        <x:v>TR ALI 1100X70X9 RTO LME REC PET BCO(ULT</x:v>
      </x:c>
      <x:c r="H352" s="190" t="str"/>
      <x:c r="I352" s="190" t="str"/>
      <x:c r="J352" s="190" t="str"/>
      <x:c r="K352" s="190" t="str">
        <x:v>ESMALTE</x:v>
      </x:c>
      <x:c r="L352" s="190" t="str">
        <x:v>BRANCO CARRARA</x:v>
      </x:c>
      <x:c r="M352" s="210" t="n">
        <x:v>6</x:v>
      </x:c>
      <x:c r="N352" s="210" t="n">
        <x:v>1100</x:v>
      </x:c>
      <x:c r="O352" s="210" t="n">
        <x:v>70</x:v>
      </x:c>
      <x:c r="P352" s="210" t="n">
        <x:v>9</x:v>
      </x:c>
      <x:c r="Q352" s="211" t="n">
        <x:v>0</x:v>
      </x:c>
      <x:c r="R352" s="207" t="str"/>
      <x:c r="S352" s="207" t="str"/>
      <x:c r="T352" s="207" t="str"/>
      <x:c r="U352" s="207" t="n">
        <x:v>0</x:v>
      </x:c>
      <x:c r="V352" s="208" t="n">
        <x:f>MAX(0,M352-U352)</x:f>
        <x:v>6</x:v>
      </x:c>
      <x:c r="W352" s="209" t="n">
        <x:f>IFERROR(U352/M352,0)</x:f>
        <x:v>0</x:v>
      </x:c>
      <x:c r="X352" s="201" t="str">
        <x:f>IF(U352=0,"Não iniciado",IF(U352&gt;=M352,"Concluído","Parcial"))</x:f>
        <x:v>Não iniciado</x:v>
      </x:c>
      <x:c r="Y352" s="199" t="str"/>
      <x:c r="Z352" s="188" t="str">
        <x:v>Normal</x:v>
      </x:c>
    </x:row>
    <x:row r="353" ht="22" customHeight="1">
      <x:c r="A353" s="217" t="n">
        <x:v>349</x:v>
      </x:c>
      <x:c r="B353" s="218" t="str">
        <x:v>26808</x:v>
      </x:c>
      <x:c r="C353" s="218" t="str">
        <x:v>6</x:v>
      </x:c>
      <x:c r="D353" s="218" t="str">
        <x:v>608938</x:v>
      </x:c>
      <x:c r="E353" s="218" t="str">
        <x:v>962969</x:v>
      </x:c>
      <x:c r="F353" s="218" t="str">
        <x:v>OUTROS</x:v>
      </x:c>
      <x:c r="G353" s="184" t="str">
        <x:v>TR AL 1100X70X9 RTO RL35 REC PET BCO (UL</x:v>
      </x:c>
      <x:c r="H353" s="184" t="str"/>
      <x:c r="I353" s="184" t="str"/>
      <x:c r="J353" s="184" t="str"/>
      <x:c r="K353" s="184" t="str">
        <x:v>ESMALTE</x:v>
      </x:c>
      <x:c r="L353" s="184" t="str">
        <x:v>BRANCO CARRARA</x:v>
      </x:c>
      <x:c r="M353" s="205" t="n">
        <x:v>6</x:v>
      </x:c>
      <x:c r="N353" s="205" t="n">
        <x:v>1100</x:v>
      </x:c>
      <x:c r="O353" s="205" t="n">
        <x:v>70</x:v>
      </x:c>
      <x:c r="P353" s="205" t="n">
        <x:v>9</x:v>
      </x:c>
      <x:c r="Q353" s="206" t="n">
        <x:v>0</x:v>
      </x:c>
      <x:c r="R353" s="207" t="str"/>
      <x:c r="S353" s="207" t="str"/>
      <x:c r="T353" s="207" t="str"/>
      <x:c r="U353" s="207" t="n">
        <x:v>0</x:v>
      </x:c>
      <x:c r="V353" s="208" t="n">
        <x:f>MAX(0,M353-U353)</x:f>
        <x:v>6</x:v>
      </x:c>
      <x:c r="W353" s="209" t="n">
        <x:f>IFERROR(U353/M353,0)</x:f>
        <x:v>0</x:v>
      </x:c>
      <x:c r="X353" s="201" t="str">
        <x:f>IF(U353=0,"Não iniciado",IF(U353&gt;=M353,"Concluído","Parcial"))</x:f>
        <x:v>Não iniciado</x:v>
      </x:c>
      <x:c r="Y353" s="199" t="str"/>
      <x:c r="Z353" s="188" t="str">
        <x:v>Normal</x:v>
      </x:c>
    </x:row>
    <x:row r="354" ht="22" customHeight="1">
      <x:c r="A354" s="219" t="n">
        <x:v>350</x:v>
      </x:c>
      <x:c r="B354" s="220" t="str">
        <x:v>26808</x:v>
      </x:c>
      <x:c r="C354" s="220" t="str">
        <x:v>7</x:v>
      </x:c>
      <x:c r="D354" s="220" t="str">
        <x:v>608946</x:v>
      </x:c>
      <x:c r="E354" s="220" t="str">
        <x:v>962391</x:v>
      </x:c>
      <x:c r="F354" s="220" t="str">
        <x:v>OUTROS</x:v>
      </x:c>
      <x:c r="G354" s="190" t="str">
        <x:v>TR ALI 1100X70X9 RTO LME REC PET BCO(ULT</x:v>
      </x:c>
      <x:c r="H354" s="190" t="str"/>
      <x:c r="I354" s="190" t="str"/>
      <x:c r="J354" s="190" t="str"/>
      <x:c r="K354" s="190" t="str">
        <x:v>ESMALTE</x:v>
      </x:c>
      <x:c r="L354" s="190" t="str">
        <x:v>BRANCO CARRARA</x:v>
      </x:c>
      <x:c r="M354" s="210" t="n">
        <x:v>4</x:v>
      </x:c>
      <x:c r="N354" s="210" t="n">
        <x:v>1100</x:v>
      </x:c>
      <x:c r="O354" s="210" t="n">
        <x:v>70</x:v>
      </x:c>
      <x:c r="P354" s="210" t="n">
        <x:v>9</x:v>
      </x:c>
      <x:c r="Q354" s="211" t="n">
        <x:v>0</x:v>
      </x:c>
      <x:c r="R354" s="207" t="str"/>
      <x:c r="S354" s="207" t="str"/>
      <x:c r="T354" s="207" t="str"/>
      <x:c r="U354" s="207" t="n">
        <x:v>0</x:v>
      </x:c>
      <x:c r="V354" s="208" t="n">
        <x:f>MAX(0,M354-U354)</x:f>
        <x:v>4</x:v>
      </x:c>
      <x:c r="W354" s="209" t="n">
        <x:f>IFERROR(U354/M354,0)</x:f>
        <x:v>0</x:v>
      </x:c>
      <x:c r="X354" s="201" t="str">
        <x:f>IF(U354=0,"Não iniciado",IF(U354&gt;=M354,"Concluído","Parcial"))</x:f>
        <x:v>Não iniciado</x:v>
      </x:c>
      <x:c r="Y354" s="199" t="str"/>
      <x:c r="Z354" s="188" t="str">
        <x:v>Normal</x:v>
      </x:c>
    </x:row>
    <x:row r="355" ht="22" customHeight="1">
      <x:c r="A355" s="217" t="n">
        <x:v>351</x:v>
      </x:c>
      <x:c r="B355" s="218" t="str">
        <x:v>26808</x:v>
      </x:c>
      <x:c r="C355" s="218" t="str">
        <x:v>7</x:v>
      </x:c>
      <x:c r="D355" s="218" t="str">
        <x:v>608948</x:v>
      </x:c>
      <x:c r="E355" s="218" t="str">
        <x:v>962969</x:v>
      </x:c>
      <x:c r="F355" s="218" t="str">
        <x:v>OUTROS</x:v>
      </x:c>
      <x:c r="G355" s="184" t="str">
        <x:v>TR AL 1100X70X9 RTO RL35 REC PET BCO (UL</x:v>
      </x:c>
      <x:c r="H355" s="184" t="str"/>
      <x:c r="I355" s="184" t="str"/>
      <x:c r="J355" s="184" t="str"/>
      <x:c r="K355" s="184" t="str">
        <x:v>ESMALTE</x:v>
      </x:c>
      <x:c r="L355" s="184" t="str">
        <x:v>BRANCO CARRARA</x:v>
      </x:c>
      <x:c r="M355" s="205" t="n">
        <x:v>4</x:v>
      </x:c>
      <x:c r="N355" s="205" t="n">
        <x:v>1100</x:v>
      </x:c>
      <x:c r="O355" s="205" t="n">
        <x:v>70</x:v>
      </x:c>
      <x:c r="P355" s="205" t="n">
        <x:v>9</x:v>
      </x:c>
      <x:c r="Q355" s="206" t="n">
        <x:v>0</x:v>
      </x:c>
      <x:c r="R355" s="207" t="str"/>
      <x:c r="S355" s="207" t="str"/>
      <x:c r="T355" s="207" t="str"/>
      <x:c r="U355" s="207" t="n">
        <x:v>0</x:v>
      </x:c>
      <x:c r="V355" s="208" t="n">
        <x:f>MAX(0,M355-U355)</x:f>
        <x:v>4</x:v>
      </x:c>
      <x:c r="W355" s="209" t="n">
        <x:f>IFERROR(U355/M355,0)</x:f>
        <x:v>0</x:v>
      </x:c>
      <x:c r="X355" s="201" t="str">
        <x:f>IF(U355=0,"Não iniciado",IF(U355&gt;=M355,"Concluído","Parcial"))</x:f>
        <x:v>Não iniciado</x:v>
      </x:c>
      <x:c r="Y355" s="199" t="str"/>
      <x:c r="Z355" s="188" t="str">
        <x:v>Normal</x:v>
      </x:c>
    </x:row>
    <x:row r="356" ht="22" customHeight="1">
      <x:c r="A356" s="219" t="n">
        <x:v>352</x:v>
      </x:c>
      <x:c r="B356" s="220" t="str">
        <x:v>26808</x:v>
      </x:c>
      <x:c r="C356" s="220" t="str">
        <x:v>8</x:v>
      </x:c>
      <x:c r="D356" s="220" t="str">
        <x:v>608954</x:v>
      </x:c>
      <x:c r="E356" s="220" t="str">
        <x:v>962391</x:v>
      </x:c>
      <x:c r="F356" s="220" t="str">
        <x:v>OUTROS</x:v>
      </x:c>
      <x:c r="G356" s="190" t="str">
        <x:v>TR ALI 1100X70X9 RTO LME REC PET BCO(ULT</x:v>
      </x:c>
      <x:c r="H356" s="190" t="str"/>
      <x:c r="I356" s="190" t="str"/>
      <x:c r="J356" s="190" t="str"/>
      <x:c r="K356" s="190" t="str">
        <x:v>ESMALTE</x:v>
      </x:c>
      <x:c r="L356" s="190" t="str">
        <x:v>BRANCO CARRARA</x:v>
      </x:c>
      <x:c r="M356" s="210" t="n">
        <x:v>22</x:v>
      </x:c>
      <x:c r="N356" s="210" t="n">
        <x:v>1100</x:v>
      </x:c>
      <x:c r="O356" s="210" t="n">
        <x:v>70</x:v>
      </x:c>
      <x:c r="P356" s="210" t="n">
        <x:v>9</x:v>
      </x:c>
      <x:c r="Q356" s="211" t="n">
        <x:v>0</x:v>
      </x:c>
      <x:c r="R356" s="207" t="str"/>
      <x:c r="S356" s="207" t="str"/>
      <x:c r="T356" s="207" t="str"/>
      <x:c r="U356" s="207" t="n">
        <x:v>0</x:v>
      </x:c>
      <x:c r="V356" s="208" t="n">
        <x:f>MAX(0,M356-U356)</x:f>
        <x:v>22</x:v>
      </x:c>
      <x:c r="W356" s="209" t="n">
        <x:f>IFERROR(U356/M356,0)</x:f>
        <x:v>0</x:v>
      </x:c>
      <x:c r="X356" s="201" t="str">
        <x:f>IF(U356=0,"Não iniciado",IF(U356&gt;=M356,"Concluído","Parcial"))</x:f>
        <x:v>Não iniciado</x:v>
      </x:c>
      <x:c r="Y356" s="199" t="str"/>
      <x:c r="Z356" s="188" t="str">
        <x:v>Normal</x:v>
      </x:c>
    </x:row>
    <x:row r="357" ht="22" customHeight="1">
      <x:c r="A357" s="217" t="n">
        <x:v>353</x:v>
      </x:c>
      <x:c r="B357" s="218" t="str">
        <x:v>26808</x:v>
      </x:c>
      <x:c r="C357" s="218" t="str">
        <x:v>8</x:v>
      </x:c>
      <x:c r="D357" s="218" t="str">
        <x:v>608956</x:v>
      </x:c>
      <x:c r="E357" s="218" t="str">
        <x:v>962969</x:v>
      </x:c>
      <x:c r="F357" s="218" t="str">
        <x:v>OUTROS</x:v>
      </x:c>
      <x:c r="G357" s="184" t="str">
        <x:v>TR AL 1100X70X9 RTO RL35 REC PET BCO (UL</x:v>
      </x:c>
      <x:c r="H357" s="184" t="str"/>
      <x:c r="I357" s="184" t="str"/>
      <x:c r="J357" s="184" t="str"/>
      <x:c r="K357" s="184" t="str">
        <x:v>ESMALTE</x:v>
      </x:c>
      <x:c r="L357" s="184" t="str">
        <x:v>BRANCO CARRARA</x:v>
      </x:c>
      <x:c r="M357" s="205" t="n">
        <x:v>22</x:v>
      </x:c>
      <x:c r="N357" s="205" t="n">
        <x:v>1100</x:v>
      </x:c>
      <x:c r="O357" s="205" t="n">
        <x:v>70</x:v>
      </x:c>
      <x:c r="P357" s="205" t="n">
        <x:v>9</x:v>
      </x:c>
      <x:c r="Q357" s="206" t="n">
        <x:v>0</x:v>
      </x:c>
      <x:c r="R357" s="207" t="str"/>
      <x:c r="S357" s="207" t="str"/>
      <x:c r="T357" s="207" t="str"/>
      <x:c r="U357" s="207" t="n">
        <x:v>0</x:v>
      </x:c>
      <x:c r="V357" s="208" t="n">
        <x:f>MAX(0,M357-U357)</x:f>
        <x:v>22</x:v>
      </x:c>
      <x:c r="W357" s="209" t="n">
        <x:f>IFERROR(U357/M357,0)</x:f>
        <x:v>0</x:v>
      </x:c>
      <x:c r="X357" s="201" t="str">
        <x:f>IF(U357=0,"Não iniciado",IF(U357&gt;=M357,"Concluído","Parcial"))</x:f>
        <x:v>Não iniciado</x:v>
      </x:c>
      <x:c r="Y357" s="199" t="str"/>
      <x:c r="Z357" s="188" t="str">
        <x:v>Normal</x:v>
      </x:c>
    </x:row>
    <x:row r="358" ht="22" customHeight="1">
      <x:c r="A358" s="219" t="n">
        <x:v>354</x:v>
      </x:c>
      <x:c r="B358" s="220" t="str">
        <x:v>26808</x:v>
      </x:c>
      <x:c r="C358" s="220" t="str">
        <x:v>9</x:v>
      </x:c>
      <x:c r="D358" s="220" t="str">
        <x:v>608962</x:v>
      </x:c>
      <x:c r="E358" s="220" t="str">
        <x:v>962391</x:v>
      </x:c>
      <x:c r="F358" s="220" t="str">
        <x:v>OUTROS</x:v>
      </x:c>
      <x:c r="G358" s="190" t="str">
        <x:v>TR ALI 1100X70X9 RTO LME REC PET BCO(ULT</x:v>
      </x:c>
      <x:c r="H358" s="190" t="str"/>
      <x:c r="I358" s="190" t="str"/>
      <x:c r="J358" s="190" t="str"/>
      <x:c r="K358" s="190" t="str">
        <x:v>ESMALTE</x:v>
      </x:c>
      <x:c r="L358" s="190" t="str">
        <x:v>BRANCO CARRARA</x:v>
      </x:c>
      <x:c r="M358" s="210" t="n">
        <x:v>71</x:v>
      </x:c>
      <x:c r="N358" s="210" t="n">
        <x:v>1100</x:v>
      </x:c>
      <x:c r="O358" s="210" t="n">
        <x:v>70</x:v>
      </x:c>
      <x:c r="P358" s="210" t="n">
        <x:v>9</x:v>
      </x:c>
      <x:c r="Q358" s="211" t="n">
        <x:v>0</x:v>
      </x:c>
      <x:c r="R358" s="207" t="str"/>
      <x:c r="S358" s="207" t="str"/>
      <x:c r="T358" s="207" t="str"/>
      <x:c r="U358" s="207" t="n">
        <x:v>0</x:v>
      </x:c>
      <x:c r="V358" s="208" t="n">
        <x:f>MAX(0,M358-U358)</x:f>
        <x:v>71</x:v>
      </x:c>
      <x:c r="W358" s="209" t="n">
        <x:f>IFERROR(U358/M358,0)</x:f>
        <x:v>0</x:v>
      </x:c>
      <x:c r="X358" s="201" t="str">
        <x:f>IF(U358=0,"Não iniciado",IF(U358&gt;=M358,"Concluído","Parcial"))</x:f>
        <x:v>Não iniciado</x:v>
      </x:c>
      <x:c r="Y358" s="199" t="str"/>
      <x:c r="Z358" s="188" t="str">
        <x:v>Normal</x:v>
      </x:c>
    </x:row>
    <x:row r="359" ht="22" customHeight="1">
      <x:c r="A359" s="217" t="n">
        <x:v>355</x:v>
      </x:c>
      <x:c r="B359" s="218" t="str">
        <x:v>26808</x:v>
      </x:c>
      <x:c r="C359" s="218" t="str">
        <x:v>9</x:v>
      </x:c>
      <x:c r="D359" s="218" t="str">
        <x:v>608964</x:v>
      </x:c>
      <x:c r="E359" s="218" t="str">
        <x:v>962969</x:v>
      </x:c>
      <x:c r="F359" s="218" t="str">
        <x:v>OUTROS</x:v>
      </x:c>
      <x:c r="G359" s="184" t="str">
        <x:v>TR AL 1100X70X9 RTO RL35 REC PET BCO (UL</x:v>
      </x:c>
      <x:c r="H359" s="184" t="str"/>
      <x:c r="I359" s="184" t="str"/>
      <x:c r="J359" s="184" t="str"/>
      <x:c r="K359" s="184" t="str">
        <x:v>ESMALTE</x:v>
      </x:c>
      <x:c r="L359" s="184" t="str">
        <x:v>BRANCO CARRARA</x:v>
      </x:c>
      <x:c r="M359" s="205" t="n">
        <x:v>71</x:v>
      </x:c>
      <x:c r="N359" s="205" t="n">
        <x:v>1100</x:v>
      </x:c>
      <x:c r="O359" s="205" t="n">
        <x:v>70</x:v>
      </x:c>
      <x:c r="P359" s="205" t="n">
        <x:v>9</x:v>
      </x:c>
      <x:c r="Q359" s="206" t="n">
        <x:v>0</x:v>
      </x:c>
      <x:c r="R359" s="207" t="str"/>
      <x:c r="S359" s="207" t="str"/>
      <x:c r="T359" s="207" t="str"/>
      <x:c r="U359" s="207" t="n">
        <x:v>0</x:v>
      </x:c>
      <x:c r="V359" s="208" t="n">
        <x:f>MAX(0,M359-U359)</x:f>
        <x:v>71</x:v>
      </x:c>
      <x:c r="W359" s="209" t="n">
        <x:f>IFERROR(U359/M359,0)</x:f>
        <x:v>0</x:v>
      </x:c>
      <x:c r="X359" s="201" t="str">
        <x:f>IF(U359=0,"Não iniciado",IF(U359&gt;=M359,"Concluído","Parcial"))</x:f>
        <x:v>Não iniciado</x:v>
      </x:c>
      <x:c r="Y359" s="199" t="str"/>
      <x:c r="Z359" s="188" t="str">
        <x:v>Normal</x:v>
      </x:c>
    </x:row>
    <x:row r="360" ht="22" customHeight="1">
      <x:c r="A360" s="219" t="n">
        <x:v>356</x:v>
      </x:c>
      <x:c r="B360" s="220" t="str">
        <x:v>26808</x:v>
      </x:c>
      <x:c r="C360" s="220" t="str">
        <x:v>10</x:v>
      </x:c>
      <x:c r="D360" s="220" t="str">
        <x:v>608970</x:v>
      </x:c>
      <x:c r="E360" s="220" t="str">
        <x:v>962391</x:v>
      </x:c>
      <x:c r="F360" s="220" t="str">
        <x:v>OUTROS</x:v>
      </x:c>
      <x:c r="G360" s="190" t="str">
        <x:v>TR ALI 1100X70X9 RTO LME REC PET BCO(ULT</x:v>
      </x:c>
      <x:c r="H360" s="190" t="str"/>
      <x:c r="I360" s="190" t="str"/>
      <x:c r="J360" s="190" t="str"/>
      <x:c r="K360" s="190" t="str">
        <x:v>ESMALTE</x:v>
      </x:c>
      <x:c r="L360" s="190" t="str">
        <x:v>BRANCO CARRARA</x:v>
      </x:c>
      <x:c r="M360" s="210" t="n">
        <x:v>1</x:v>
      </x:c>
      <x:c r="N360" s="210" t="n">
        <x:v>1100</x:v>
      </x:c>
      <x:c r="O360" s="210" t="n">
        <x:v>70</x:v>
      </x:c>
      <x:c r="P360" s="210" t="n">
        <x:v>9</x:v>
      </x:c>
      <x:c r="Q360" s="211" t="n">
        <x:v>0</x:v>
      </x:c>
      <x:c r="R360" s="207" t="str"/>
      <x:c r="S360" s="207" t="str"/>
      <x:c r="T360" s="207" t="str"/>
      <x:c r="U360" s="207" t="n">
        <x:v>0</x:v>
      </x:c>
      <x:c r="V360" s="208" t="n">
        <x:f>MAX(0,M360-U360)</x:f>
        <x:v>1</x:v>
      </x:c>
      <x:c r="W360" s="209" t="n">
        <x:f>IFERROR(U360/M360,0)</x:f>
        <x:v>0</x:v>
      </x:c>
      <x:c r="X360" s="201" t="str">
        <x:f>IF(U360=0,"Não iniciado",IF(U360&gt;=M360,"Concluído","Parcial"))</x:f>
        <x:v>Não iniciado</x:v>
      </x:c>
      <x:c r="Y360" s="199" t="str"/>
      <x:c r="Z360" s="188" t="str">
        <x:v>Normal</x:v>
      </x:c>
    </x:row>
    <x:row r="361" ht="22" customHeight="1">
      <x:c r="A361" s="217" t="n">
        <x:v>357</x:v>
      </x:c>
      <x:c r="B361" s="218" t="str">
        <x:v>26808</x:v>
      </x:c>
      <x:c r="C361" s="218" t="str">
        <x:v>10</x:v>
      </x:c>
      <x:c r="D361" s="218" t="str">
        <x:v>608972</x:v>
      </x:c>
      <x:c r="E361" s="218" t="str">
        <x:v>962969</x:v>
      </x:c>
      <x:c r="F361" s="218" t="str">
        <x:v>OUTROS</x:v>
      </x:c>
      <x:c r="G361" s="184" t="str">
        <x:v>TR AL 1100X70X9 RTO RL35 REC PET BCO (UL</x:v>
      </x:c>
      <x:c r="H361" s="184" t="str"/>
      <x:c r="I361" s="184" t="str"/>
      <x:c r="J361" s="184" t="str"/>
      <x:c r="K361" s="184" t="str">
        <x:v>ESMALTE</x:v>
      </x:c>
      <x:c r="L361" s="184" t="str">
        <x:v>BRANCO CARRARA</x:v>
      </x:c>
      <x:c r="M361" s="205" t="n">
        <x:v>1</x:v>
      </x:c>
      <x:c r="N361" s="205" t="n">
        <x:v>1100</x:v>
      </x:c>
      <x:c r="O361" s="205" t="n">
        <x:v>70</x:v>
      </x:c>
      <x:c r="P361" s="205" t="n">
        <x:v>9</x:v>
      </x:c>
      <x:c r="Q361" s="206" t="n">
        <x:v>0</x:v>
      </x:c>
      <x:c r="R361" s="207" t="str"/>
      <x:c r="S361" s="207" t="str"/>
      <x:c r="T361" s="207" t="str"/>
      <x:c r="U361" s="207" t="n">
        <x:v>0</x:v>
      </x:c>
      <x:c r="V361" s="208" t="n">
        <x:f>MAX(0,M361-U361)</x:f>
        <x:v>1</x:v>
      </x:c>
      <x:c r="W361" s="209" t="n">
        <x:f>IFERROR(U361/M361,0)</x:f>
        <x:v>0</x:v>
      </x:c>
      <x:c r="X361" s="201" t="str">
        <x:f>IF(U361=0,"Não iniciado",IF(U361&gt;=M361,"Concluído","Parcial"))</x:f>
        <x:v>Não iniciado</x:v>
      </x:c>
      <x:c r="Y361" s="199" t="str"/>
      <x:c r="Z361" s="188" t="str">
        <x:v>Normal</x:v>
      </x:c>
    </x:row>
    <x:row r="362" ht="22" customHeight="1">
      <x:c r="A362" s="219" t="n">
        <x:v>358</x:v>
      </x:c>
      <x:c r="B362" s="220" t="str">
        <x:v>26800</x:v>
      </x:c>
      <x:c r="C362" s="220" t="str">
        <x:v>5</x:v>
      </x:c>
      <x:c r="D362" s="220" t="str">
        <x:v>609980</x:v>
      </x:c>
      <x:c r="E362" s="220" t="str">
        <x:v>979739</x:v>
      </x:c>
      <x:c r="F362" s="220" t="str">
        <x:v>OUTROS</x:v>
      </x:c>
      <x:c r="G362" s="190" t="str">
        <x:v>TR ALI 1100X70X9 RTO RL55 PET MALVA (UL</x:v>
      </x:c>
      <x:c r="H362" s="190" t="str">
        <x:v>REG 2L(MAIOR 55MM)</x:v>
      </x:c>
      <x:c r="I362" s="190" t="str"/>
      <x:c r="J362" s="190" t="str"/>
      <x:c r="K362" s="190" t="str">
        <x:v>RECOBERTO PET</x:v>
      </x:c>
      <x:c r="L362" s="190" t="str">
        <x:v>CARVALHO MALVA</x:v>
      </x:c>
      <x:c r="M362" s="210" t="n">
        <x:v>6</x:v>
      </x:c>
      <x:c r="N362" s="210" t="n">
        <x:v>1100</x:v>
      </x:c>
      <x:c r="O362" s="210" t="n">
        <x:v>70</x:v>
      </x:c>
      <x:c r="P362" s="210" t="n">
        <x:v>9</x:v>
      </x:c>
      <x:c r="Q362" s="211" t="n">
        <x:v>0</x:v>
      </x:c>
      <x:c r="R362" s="207" t="str"/>
      <x:c r="S362" s="207" t="str"/>
      <x:c r="T362" s="207" t="str"/>
      <x:c r="U362" s="207" t="n">
        <x:v>0</x:v>
      </x:c>
      <x:c r="V362" s="208" t="n">
        <x:f>MAX(0,M362-U362)</x:f>
        <x:v>6</x:v>
      </x:c>
      <x:c r="W362" s="209" t="n">
        <x:f>IFERROR(U362/M362,0)</x:f>
        <x:v>0</x:v>
      </x:c>
      <x:c r="X362" s="201" t="str">
        <x:f>IF(U362=0,"Não iniciado",IF(U362&gt;=M362,"Concluído","Parcial"))</x:f>
        <x:v>Não iniciado</x:v>
      </x:c>
      <x:c r="Y362" s="199" t="str"/>
      <x:c r="Z362" s="188" t="str">
        <x:v>Normal</x:v>
      </x:c>
    </x:row>
    <x:row r="363" ht="22" customHeight="1">
      <x:c r="A363" s="217" t="n">
        <x:v>359</x:v>
      </x:c>
      <x:c r="B363" s="218" t="str">
        <x:v>26800</x:v>
      </x:c>
      <x:c r="C363" s="218" t="str">
        <x:v>5</x:v>
      </x:c>
      <x:c r="D363" s="218" t="str">
        <x:v>609982</x:v>
      </x:c>
      <x:c r="E363" s="218" t="str">
        <x:v>979741</x:v>
      </x:c>
      <x:c r="F363" s="218" t="str">
        <x:v>OUTROS</x:v>
      </x:c>
      <x:c r="G363" s="184" t="str">
        <x:v>TR ALI 1100X70X9 RTO LME PET MALVA (ULT</x:v>
      </x:c>
      <x:c r="H363" s="184" t="str">
        <x:v>REG 2L(MAIOR 55MM)</x:v>
      </x:c>
      <x:c r="I363" s="184" t="str"/>
      <x:c r="J363" s="184" t="str"/>
      <x:c r="K363" s="184" t="str">
        <x:v>RECOBERTO PET</x:v>
      </x:c>
      <x:c r="L363" s="184" t="str">
        <x:v>CARVALHO MALVA</x:v>
      </x:c>
      <x:c r="M363" s="205" t="n">
        <x:v>6</x:v>
      </x:c>
      <x:c r="N363" s="205" t="n">
        <x:v>1100</x:v>
      </x:c>
      <x:c r="O363" s="205" t="n">
        <x:v>70</x:v>
      </x:c>
      <x:c r="P363" s="205" t="n">
        <x:v>9</x:v>
      </x:c>
      <x:c r="Q363" s="206" t="n">
        <x:v>0</x:v>
      </x:c>
      <x:c r="R363" s="207" t="str"/>
      <x:c r="S363" s="207" t="str"/>
      <x:c r="T363" s="207" t="str"/>
      <x:c r="U363" s="207" t="n">
        <x:v>0</x:v>
      </x:c>
      <x:c r="V363" s="208" t="n">
        <x:f>MAX(0,M363-U363)</x:f>
        <x:v>6</x:v>
      </x:c>
      <x:c r="W363" s="209" t="n">
        <x:f>IFERROR(U363/M363,0)</x:f>
        <x:v>0</x:v>
      </x:c>
      <x:c r="X363" s="201" t="str">
        <x:f>IF(U363=0,"Não iniciado",IF(U363&gt;=M363,"Concluído","Parcial"))</x:f>
        <x:v>Não iniciado</x:v>
      </x:c>
      <x:c r="Y363" s="199" t="str"/>
      <x:c r="Z363" s="188" t="str">
        <x:v>Normal</x:v>
      </x:c>
    </x:row>
    <x:row r="364" ht="22" customHeight="1">
      <x:c r="A364" s="219" t="n">
        <x:v>360</x:v>
      </x:c>
      <x:c r="B364" s="220" t="str">
        <x:v>26684</x:v>
      </x:c>
      <x:c r="C364" s="220" t="str">
        <x:v>6</x:v>
      </x:c>
      <x:c r="D364" s="220" t="str">
        <x:v>609155</x:v>
      </x:c>
      <x:c r="E364" s="220" t="str">
        <x:v>981168</x:v>
      </x:c>
      <x:c r="F364" s="220" t="str">
        <x:v>ALIZAR</x:v>
      </x:c>
      <x:c r="G364" s="190" t="str">
        <x:v>T A 1000X70X15 RTO LMN REC PET BCO(STD)</x:v>
      </x:c>
      <x:c r="H364" s="190" t="str"/>
      <x:c r="I364" s="190" t="str"/>
      <x:c r="J364" s="190" t="str"/>
      <x:c r="K364" s="190" t="str">
        <x:v>ESMALTE</x:v>
      </x:c>
      <x:c r="L364" s="190" t="str">
        <x:v>BRANCO CARRARA</x:v>
      </x:c>
      <x:c r="M364" s="210" t="n">
        <x:v>2</x:v>
      </x:c>
      <x:c r="N364" s="210" t="n">
        <x:v>1000</x:v>
      </x:c>
      <x:c r="O364" s="210" t="n">
        <x:v>70</x:v>
      </x:c>
      <x:c r="P364" s="210" t="n">
        <x:v>15</x:v>
      </x:c>
      <x:c r="Q364" s="211" t="n">
        <x:v>0</x:v>
      </x:c>
      <x:c r="R364" s="207" t="str"/>
      <x:c r="S364" s="207" t="str"/>
      <x:c r="T364" s="207" t="str"/>
      <x:c r="U364" s="207" t="n">
        <x:v>0</x:v>
      </x:c>
      <x:c r="V364" s="208" t="n">
        <x:f>MAX(0,M364-U364)</x:f>
        <x:v>2</x:v>
      </x:c>
      <x:c r="W364" s="209" t="n">
        <x:f>IFERROR(U364/M364,0)</x:f>
        <x:v>0</x:v>
      </x:c>
      <x:c r="X364" s="201" t="str">
        <x:f>IF(U364=0,"Não iniciado",IF(U364&gt;=M364,"Concluído","Parcial"))</x:f>
        <x:v>Não iniciado</x:v>
      </x:c>
      <x:c r="Y364" s="199" t="str"/>
      <x:c r="Z364" s="188" t="str">
        <x:v>Normal</x:v>
      </x:c>
    </x:row>
    <x:row r="365" ht="22" customHeight="1">
      <x:c r="A365" s="217" t="n">
        <x:v>361</x:v>
      </x:c>
      <x:c r="B365" s="218" t="str">
        <x:v>26684</x:v>
      </x:c>
      <x:c r="C365" s="218" t="str">
        <x:v>10</x:v>
      </x:c>
      <x:c r="D365" s="218" t="str">
        <x:v>609187</x:v>
      </x:c>
      <x:c r="E365" s="218" t="str">
        <x:v>981168</x:v>
      </x:c>
      <x:c r="F365" s="218" t="str">
        <x:v>ALIZAR</x:v>
      </x:c>
      <x:c r="G365" s="184" t="str">
        <x:v>T A 1000X70X15 RTO LMN REC PET BCO(STD)</x:v>
      </x:c>
      <x:c r="H365" s="184" t="str"/>
      <x:c r="I365" s="184" t="str"/>
      <x:c r="J365" s="184" t="str"/>
      <x:c r="K365" s="184" t="str">
        <x:v>ESMALTE</x:v>
      </x:c>
      <x:c r="L365" s="184" t="str">
        <x:v>BRANCO CARRARA</x:v>
      </x:c>
      <x:c r="M365" s="205" t="n">
        <x:v>2</x:v>
      </x:c>
      <x:c r="N365" s="205" t="n">
        <x:v>1000</x:v>
      </x:c>
      <x:c r="O365" s="205" t="n">
        <x:v>70</x:v>
      </x:c>
      <x:c r="P365" s="205" t="n">
        <x:v>15</x:v>
      </x:c>
      <x:c r="Q365" s="206" t="n">
        <x:v>0</x:v>
      </x:c>
      <x:c r="R365" s="207" t="str"/>
      <x:c r="S365" s="207" t="str"/>
      <x:c r="T365" s="207" t="str"/>
      <x:c r="U365" s="207" t="n">
        <x:v>0</x:v>
      </x:c>
      <x:c r="V365" s="208" t="n">
        <x:f>MAX(0,M365-U365)</x:f>
        <x:v>2</x:v>
      </x:c>
      <x:c r="W365" s="209" t="n">
        <x:f>IFERROR(U365/M365,0)</x:f>
        <x:v>0</x:v>
      </x:c>
      <x:c r="X365" s="201" t="str">
        <x:f>IF(U365=0,"Não iniciado",IF(U365&gt;=M365,"Concluído","Parcial"))</x:f>
        <x:v>Não iniciado</x:v>
      </x:c>
      <x:c r="Y365" s="199" t="str"/>
      <x:c r="Z365" s="188" t="str">
        <x:v>Normal</x:v>
      </x:c>
    </x:row>
    <x:row r="366" ht="22" customHeight="1">
      <x:c r="A366" s="219" t="n">
        <x:v>362</x:v>
      </x:c>
      <x:c r="B366" s="220" t="str">
        <x:v>26689</x:v>
      </x:c>
      <x:c r="C366" s="220" t="str">
        <x:v>4</x:v>
      </x:c>
      <x:c r="D366" s="220" t="str">
        <x:v>609106</x:v>
      </x:c>
      <x:c r="E366" s="220" t="str">
        <x:v>981168</x:v>
      </x:c>
      <x:c r="F366" s="220" t="str">
        <x:v>ALIZAR</x:v>
      </x:c>
      <x:c r="G366" s="190" t="str">
        <x:v>T A 1000X70X15 RTO LMN REC PET BCO(STD)</x:v>
      </x:c>
      <x:c r="H366" s="190" t="str"/>
      <x:c r="I366" s="190" t="str"/>
      <x:c r="J366" s="190" t="str"/>
      <x:c r="K366" s="190" t="str">
        <x:v>ESMALTE</x:v>
      </x:c>
      <x:c r="L366" s="190" t="str">
        <x:v>BRANCO CARRARA</x:v>
      </x:c>
      <x:c r="M366" s="210" t="n">
        <x:v>3</x:v>
      </x:c>
      <x:c r="N366" s="210" t="n">
        <x:v>1000</x:v>
      </x:c>
      <x:c r="O366" s="210" t="n">
        <x:v>70</x:v>
      </x:c>
      <x:c r="P366" s="210" t="n">
        <x:v>15</x:v>
      </x:c>
      <x:c r="Q366" s="211" t="n">
        <x:v>0</x:v>
      </x:c>
      <x:c r="R366" s="207" t="str"/>
      <x:c r="S366" s="207" t="str"/>
      <x:c r="T366" s="207" t="str"/>
      <x:c r="U366" s="207" t="n">
        <x:v>0</x:v>
      </x:c>
      <x:c r="V366" s="208" t="n">
        <x:f>MAX(0,M366-U366)</x:f>
        <x:v>3</x:v>
      </x:c>
      <x:c r="W366" s="209" t="n">
        <x:f>IFERROR(U366/M366,0)</x:f>
        <x:v>0</x:v>
      </x:c>
      <x:c r="X366" s="201" t="str">
        <x:f>IF(U366=0,"Não iniciado",IF(U366&gt;=M366,"Concluído","Parcial"))</x:f>
        <x:v>Não iniciado</x:v>
      </x:c>
      <x:c r="Y366" s="199" t="str"/>
      <x:c r="Z366" s="188" t="str">
        <x:v>Normal</x:v>
      </x:c>
    </x:row>
    <x:row r="367" ht="22" customHeight="1">
      <x:c r="A367" s="217" t="n">
        <x:v>363</x:v>
      </x:c>
      <x:c r="B367" s="218" t="str">
        <x:v>26826</x:v>
      </x:c>
      <x:c r="C367" s="218" t="str">
        <x:v>4</x:v>
      </x:c>
      <x:c r="D367" s="218" t="str">
        <x:v>609064</x:v>
      </x:c>
      <x:c r="E367" s="218" t="str">
        <x:v>2010600536</x:v>
      </x:c>
      <x:c r="F367" s="218" t="str">
        <x:v>BATENTE</x:v>
      </x:c>
      <x:c r="G367" s="184" t="str">
        <x:v>M STD PET TXT BCO 1000X70X30 S/REB RG 1</x:v>
      </x:c>
      <x:c r="H367" s="184" t="str">
        <x:v>MDF STD</x:v>
      </x:c>
      <x:c r="I367" s="184" t="str">
        <x:v>S/CANAL</x:v>
      </x:c>
      <x:c r="J367" s="184" t="str">
        <x:v>S/REB</x:v>
      </x:c>
      <x:c r="K367" s="184" t="str">
        <x:v>RECOBERTO PET TXT</x:v>
      </x:c>
      <x:c r="L367" s="184" t="str">
        <x:v>BRANCO</x:v>
      </x:c>
      <x:c r="M367" s="205" t="n">
        <x:v>53</x:v>
      </x:c>
      <x:c r="N367" s="205" t="n">
        <x:v>1000</x:v>
      </x:c>
      <x:c r="O367" s="205" t="n">
        <x:v>70</x:v>
      </x:c>
      <x:c r="P367" s="205" t="n">
        <x:v>30</x:v>
      </x:c>
      <x:c r="Q367" s="206" t="n">
        <x:v>0.111</x:v>
      </x:c>
      <x:c r="R367" s="207" t="str"/>
      <x:c r="S367" s="207" t="str"/>
      <x:c r="T367" s="207" t="str"/>
      <x:c r="U367" s="207" t="n">
        <x:v>0</x:v>
      </x:c>
      <x:c r="V367" s="208" t="n">
        <x:f>MAX(0,M367-U367)</x:f>
        <x:v>53</x:v>
      </x:c>
      <x:c r="W367" s="209" t="n">
        <x:f>IFERROR(U367/M367,0)</x:f>
        <x:v>0</x:v>
      </x:c>
      <x:c r="X367" s="201" t="str">
        <x:f>IF(U367=0,"Não iniciado",IF(U367&gt;=M367,"Concluído","Parcial"))</x:f>
        <x:v>Não iniciado</x:v>
      </x:c>
      <x:c r="Y367" s="199" t="str"/>
      <x:c r="Z367" s="188" t="str">
        <x:v>Normal</x:v>
      </x:c>
    </x:row>
    <x:row r="368" ht="22" customHeight="1">
      <x:c r="A368" s="219" t="n">
        <x:v>364</x:v>
      </x:c>
      <x:c r="B368" s="220" t="str">
        <x:v>26747</x:v>
      </x:c>
      <x:c r="C368" s="220" t="str">
        <x:v>3</x:v>
      </x:c>
      <x:c r="D368" s="220" t="str">
        <x:v>609004</x:v>
      </x:c>
      <x:c r="E368" s="220" t="str">
        <x:v>980487</x:v>
      </x:c>
      <x:c r="F368" s="220" t="str">
        <x:v>OUTROS</x:v>
      </x:c>
      <x:c r="G368" s="190" t="str">
        <x:v>TRA ALI 1000X70X12 RT LME RC PET BCO(ULT</x:v>
      </x:c>
      <x:c r="H368" s="190" t="str">
        <x:v>REG 2L(MAIOR 55MM)</x:v>
      </x:c>
      <x:c r="I368" s="190" t="str"/>
      <x:c r="J368" s="190" t="str"/>
      <x:c r="K368" s="190" t="str">
        <x:v>RECOBERTO PET</x:v>
      </x:c>
      <x:c r="L368" s="190" t="str">
        <x:v>BRANCO CARRARA</x:v>
      </x:c>
      <x:c r="M368" s="210" t="n">
        <x:v>9</x:v>
      </x:c>
      <x:c r="N368" s="210" t="n">
        <x:v>1000</x:v>
      </x:c>
      <x:c r="O368" s="210" t="n">
        <x:v>70</x:v>
      </x:c>
      <x:c r="P368" s="210" t="n">
        <x:v>12</x:v>
      </x:c>
      <x:c r="Q368" s="211" t="n">
        <x:v>0</x:v>
      </x:c>
      <x:c r="R368" s="207" t="str"/>
      <x:c r="S368" s="207" t="str"/>
      <x:c r="T368" s="207" t="str"/>
      <x:c r="U368" s="207" t="n">
        <x:v>0</x:v>
      </x:c>
      <x:c r="V368" s="208" t="n">
        <x:f>MAX(0,M368-U368)</x:f>
        <x:v>9</x:v>
      </x:c>
      <x:c r="W368" s="209" t="n">
        <x:f>IFERROR(U368/M368,0)</x:f>
        <x:v>0</x:v>
      </x:c>
      <x:c r="X368" s="201" t="str">
        <x:f>IF(U368=0,"Não iniciado",IF(U368&gt;=M368,"Concluído","Parcial"))</x:f>
        <x:v>Não iniciado</x:v>
      </x:c>
      <x:c r="Y368" s="199" t="str"/>
      <x:c r="Z368" s="188" t="str">
        <x:v>Normal</x:v>
      </x:c>
    </x:row>
    <x:row r="369" ht="22" customHeight="1">
      <x:c r="A369" s="217" t="n">
        <x:v>365</x:v>
      </x:c>
      <x:c r="B369" s="218" t="str">
        <x:v>26747</x:v>
      </x:c>
      <x:c r="C369" s="218" t="str">
        <x:v>3</x:v>
      </x:c>
      <x:c r="D369" s="218" t="str">
        <x:v>609005</x:v>
      </x:c>
      <x:c r="E369" s="218" t="str">
        <x:v>980492</x:v>
      </x:c>
      <x:c r="F369" s="218" t="str">
        <x:v>OUTROS</x:v>
      </x:c>
      <x:c r="G369" s="184" t="str">
        <x:v>TRA ALI 1000X70X12 RT RL55 RC PET BCO(UL</x:v>
      </x:c>
      <x:c r="H369" s="184" t="str">
        <x:v>REG 2L(MAIOR 55MM)</x:v>
      </x:c>
      <x:c r="I369" s="184" t="str"/>
      <x:c r="J369" s="184" t="str"/>
      <x:c r="K369" s="184" t="str">
        <x:v>RECOBERTO PET</x:v>
      </x:c>
      <x:c r="L369" s="184" t="str">
        <x:v>BRANCO CARRARA</x:v>
      </x:c>
      <x:c r="M369" s="205" t="n">
        <x:v>9</x:v>
      </x:c>
      <x:c r="N369" s="205" t="n">
        <x:v>1000</x:v>
      </x:c>
      <x:c r="O369" s="205" t="n">
        <x:v>70</x:v>
      </x:c>
      <x:c r="P369" s="205" t="n">
        <x:v>12</x:v>
      </x:c>
      <x:c r="Q369" s="206" t="n">
        <x:v>0</x:v>
      </x:c>
      <x:c r="R369" s="207" t="str"/>
      <x:c r="S369" s="207" t="str"/>
      <x:c r="T369" s="207" t="str"/>
      <x:c r="U369" s="207" t="n">
        <x:v>0</x:v>
      </x:c>
      <x:c r="V369" s="208" t="n">
        <x:f>MAX(0,M369-U369)</x:f>
        <x:v>9</x:v>
      </x:c>
      <x:c r="W369" s="209" t="n">
        <x:f>IFERROR(U369/M369,0)</x:f>
        <x:v>0</x:v>
      </x:c>
      <x:c r="X369" s="201" t="str">
        <x:f>IF(U369=0,"Não iniciado",IF(U369&gt;=M369,"Concluído","Parcial"))</x:f>
        <x:v>Não iniciado</x:v>
      </x:c>
      <x:c r="Y369" s="199" t="str"/>
      <x:c r="Z369" s="188" t="str">
        <x:v>Normal</x:v>
      </x:c>
    </x:row>
    <x:row r="370" ht="22" customHeight="1">
      <x:c r="A370" s="219" t="n">
        <x:v>366</x:v>
      </x:c>
      <x:c r="B370" s="220" t="str">
        <x:v>26824</x:v>
      </x:c>
      <x:c r="C370" s="220" t="str">
        <x:v>2</x:v>
      </x:c>
      <x:c r="D370" s="220" t="str">
        <x:v>609592</x:v>
      </x:c>
      <x:c r="E370" s="220" t="str">
        <x:v>2010600196</x:v>
      </x:c>
      <x:c r="F370" s="220" t="str">
        <x:v>BATENTE</x:v>
      </x:c>
      <x:c r="G370" s="190" t="str">
        <x:v>M T MDF STD PET TXT BCO 747X70X30 42X10</x:v>
      </x:c>
      <x:c r="H370" s="190" t="str"/>
      <x:c r="I370" s="190" t="str"/>
      <x:c r="J370" s="190" t="str"/>
      <x:c r="K370" s="190" t="str">
        <x:v>ESMALTE</x:v>
      </x:c>
      <x:c r="L370" s="190" t="str">
        <x:v>BRANCO</x:v>
      </x:c>
      <x:c r="M370" s="210" t="n">
        <x:v>181</x:v>
      </x:c>
      <x:c r="N370" s="210" t="n">
        <x:v>747</x:v>
      </x:c>
      <x:c r="O370" s="210" t="n">
        <x:v>70</x:v>
      </x:c>
      <x:c r="P370" s="210" t="n">
        <x:v>30</x:v>
      </x:c>
      <x:c r="Q370" s="211" t="n">
        <x:v>0.284</x:v>
      </x:c>
      <x:c r="R370" s="207" t="str"/>
      <x:c r="S370" s="207" t="str"/>
      <x:c r="T370" s="207" t="str"/>
      <x:c r="U370" s="207" t="n">
        <x:v>0</x:v>
      </x:c>
      <x:c r="V370" s="208" t="n">
        <x:f>MAX(0,M370-U370)</x:f>
        <x:v>181</x:v>
      </x:c>
      <x:c r="W370" s="209" t="n">
        <x:f>IFERROR(U370/M370,0)</x:f>
        <x:v>0</x:v>
      </x:c>
      <x:c r="X370" s="201" t="str">
        <x:f>IF(U370=0,"Não iniciado",IF(U370&gt;=M370,"Concluído","Parcial"))</x:f>
        <x:v>Não iniciado</x:v>
      </x:c>
      <x:c r="Y370" s="199" t="str"/>
      <x:c r="Z370" s="188" t="str">
        <x:v>Normal</x:v>
      </x:c>
    </x:row>
    <x:row r="371" ht="22" customHeight="1">
      <x:c r="A371" s="217" t="n">
        <x:v>367</x:v>
      </x:c>
      <x:c r="B371" s="218" t="str">
        <x:v>26520</x:v>
      </x:c>
      <x:c r="C371" s="218" t="str">
        <x:v>6</x:v>
      </x:c>
      <x:c r="D371" s="218" t="str">
        <x:v>610108</x:v>
      </x:c>
      <x:c r="E371" s="218" t="str">
        <x:v>2010701217</x:v>
      </x:c>
      <x:c r="F371" s="218" t="str">
        <x:v>BATENTE</x:v>
      </x:c>
      <x:c r="G371" s="184" t="str">
        <x:v>M ULTRA PET CI VE 647X70X30 42X10 R2L ME</x:v>
      </x:c>
      <x:c r="H371" s="184" t="str"/>
      <x:c r="I371" s="184" t="str"/>
      <x:c r="J371" s="184" t="str"/>
      <x:c r="K371" s="184" t="str">
        <x:v>RECOBERTO PET</x:v>
      </x:c>
      <x:c r="L371" s="184" t="str">
        <x:v>CINZA VERONA</x:v>
      </x:c>
      <x:c r="M371" s="205" t="n">
        <x:v>1</x:v>
      </x:c>
      <x:c r="N371" s="205" t="n">
        <x:v>647</x:v>
      </x:c>
      <x:c r="O371" s="205" t="n">
        <x:v>70</x:v>
      </x:c>
      <x:c r="P371" s="205" t="n">
        <x:v>30</x:v>
      </x:c>
      <x:c r="Q371" s="206" t="n">
        <x:v>0.001</x:v>
      </x:c>
      <x:c r="R371" s="207" t="str"/>
      <x:c r="S371" s="207" t="str"/>
      <x:c r="T371" s="207" t="str"/>
      <x:c r="U371" s="207" t="n">
        <x:v>0</x:v>
      </x:c>
      <x:c r="V371" s="208" t="n">
        <x:f>MAX(0,M371-U371)</x:f>
        <x:v>1</x:v>
      </x:c>
      <x:c r="W371" s="209" t="n">
        <x:f>IFERROR(U371/M371,0)</x:f>
        <x:v>0</x:v>
      </x:c>
      <x:c r="X371" s="201" t="str">
        <x:f>IF(U371=0,"Não iniciado",IF(U371&gt;=M371,"Concluído","Parcial"))</x:f>
        <x:v>Não iniciado</x:v>
      </x:c>
      <x:c r="Y371" s="199" t="str"/>
      <x:c r="Z371" s="188" t="str">
        <x:v>Normal</x:v>
      </x:c>
    </x:row>
    <x:row r="372" ht="22" customHeight="1">
      <x:c r="A372" s="219" t="n">
        <x:v>368</x:v>
      </x:c>
      <x:c r="B372" s="220" t="str">
        <x:v>26792</x:v>
      </x:c>
      <x:c r="C372" s="220" t="str">
        <x:v>5</x:v>
      </x:c>
      <x:c r="D372" s="220" t="str">
        <x:v>609459</x:v>
      </x:c>
      <x:c r="E372" s="220" t="str">
        <x:v>2020600242</x:v>
      </x:c>
      <x:c r="F372" s="220" t="str">
        <x:v>OUTROS</x:v>
      </x:c>
      <x:c r="G372" s="190" t="str">
        <x:v>A STD PET TXT BCO 2690X60X12 RG(55) RTO</x:v>
      </x:c>
      <x:c r="H372" s="190" t="str"/>
      <x:c r="I372" s="190" t="str"/>
      <x:c r="J372" s="190" t="str"/>
      <x:c r="K372" s="190" t="str">
        <x:v>ESMALTE</x:v>
      </x:c>
      <x:c r="L372" s="190" t="str">
        <x:v>BRANCO CARRARA</x:v>
      </x:c>
      <x:c r="M372" s="210" t="n">
        <x:v>108</x:v>
      </x:c>
      <x:c r="N372" s="210" t="n">
        <x:v>2690</x:v>
      </x:c>
      <x:c r="O372" s="210" t="n">
        <x:v>60</x:v>
      </x:c>
      <x:c r="P372" s="210" t="n">
        <x:v>12</x:v>
      </x:c>
      <x:c r="Q372" s="211" t="n">
        <x:v>0</x:v>
      </x:c>
      <x:c r="R372" s="207" t="str"/>
      <x:c r="S372" s="207" t="str"/>
      <x:c r="T372" s="207" t="str"/>
      <x:c r="U372" s="207" t="n">
        <x:v>0</x:v>
      </x:c>
      <x:c r="V372" s="208" t="n">
        <x:f>MAX(0,M372-U372)</x:f>
        <x:v>108</x:v>
      </x:c>
      <x:c r="W372" s="209" t="n">
        <x:f>IFERROR(U372/M372,0)</x:f>
        <x:v>0</x:v>
      </x:c>
      <x:c r="X372" s="201" t="str">
        <x:f>IF(U372=0,"Não iniciado",IF(U372&gt;=M372,"Concluído","Parcial"))</x:f>
        <x:v>Não iniciado</x:v>
      </x:c>
      <x:c r="Y372" s="199" t="str"/>
      <x:c r="Z372" s="188" t="str">
        <x:v>Normal</x:v>
      </x:c>
    </x:row>
    <x:row r="373" ht="22" customHeight="1">
      <x:c r="A373" s="217" t="n">
        <x:v>369</x:v>
      </x:c>
      <x:c r="B373" s="218" t="str">
        <x:v>26792</x:v>
      </x:c>
      <x:c r="C373" s="218" t="str">
        <x:v>6</x:v>
      </x:c>
      <x:c r="D373" s="218" t="str">
        <x:v>609476</x:v>
      </x:c>
      <x:c r="E373" s="218" t="str">
        <x:v>2020600243</x:v>
      </x:c>
      <x:c r="F373" s="218" t="str">
        <x:v>OUTROS</x:v>
      </x:c>
      <x:c r="G373" s="184" t="str">
        <x:v>A STD PET TXT BCO 2690X60X12 RG(80) RTO</x:v>
      </x:c>
      <x:c r="H373" s="184" t="str"/>
      <x:c r="I373" s="184" t="str"/>
      <x:c r="J373" s="184" t="str"/>
      <x:c r="K373" s="184" t="str">
        <x:v>ESMALTE</x:v>
      </x:c>
      <x:c r="L373" s="184" t="str">
        <x:v>BRANCO CARRARA</x:v>
      </x:c>
      <x:c r="M373" s="205" t="n">
        <x:v>20</x:v>
      </x:c>
      <x:c r="N373" s="205" t="n">
        <x:v>2690</x:v>
      </x:c>
      <x:c r="O373" s="205" t="n">
        <x:v>60</x:v>
      </x:c>
      <x:c r="P373" s="205" t="n">
        <x:v>12</x:v>
      </x:c>
      <x:c r="Q373" s="206" t="n">
        <x:v>0</x:v>
      </x:c>
      <x:c r="R373" s="207" t="str"/>
      <x:c r="S373" s="207" t="str"/>
      <x:c r="T373" s="207" t="str"/>
      <x:c r="U373" s="207" t="n">
        <x:v>0</x:v>
      </x:c>
      <x:c r="V373" s="208" t="n">
        <x:f>MAX(0,M373-U373)</x:f>
        <x:v>20</x:v>
      </x:c>
      <x:c r="W373" s="209" t="n">
        <x:f>IFERROR(U373/M373,0)</x:f>
        <x:v>0</x:v>
      </x:c>
      <x:c r="X373" s="201" t="str">
        <x:f>IF(U373=0,"Não iniciado",IF(U373&gt;=M373,"Concluído","Parcial"))</x:f>
        <x:v>Não iniciado</x:v>
      </x:c>
      <x:c r="Y373" s="199" t="str"/>
      <x:c r="Z373" s="188" t="str">
        <x:v>Normal</x:v>
      </x:c>
    </x:row>
    <x:row r="374" ht="22" customHeight="1">
      <x:c r="A374" s="219" t="n">
        <x:v>370</x:v>
      </x:c>
      <x:c r="B374" s="220" t="str">
        <x:v>26815</x:v>
      </x:c>
      <x:c r="C374" s="220" t="str">
        <x:v>4</x:v>
      </x:c>
      <x:c r="D374" s="220" t="str">
        <x:v>609520</x:v>
      </x:c>
      <x:c r="E374" s="220" t="str">
        <x:v>2020600242</x:v>
      </x:c>
      <x:c r="F374" s="220" t="str">
        <x:v>OUTROS</x:v>
      </x:c>
      <x:c r="G374" s="190" t="str">
        <x:v>A STD PET TXT BCO 2690X60X12 RG(55) RTO</x:v>
      </x:c>
      <x:c r="H374" s="190" t="str"/>
      <x:c r="I374" s="190" t="str"/>
      <x:c r="J374" s="190" t="str"/>
      <x:c r="K374" s="190" t="str">
        <x:v>ESMALTE</x:v>
      </x:c>
      <x:c r="L374" s="190" t="str">
        <x:v>BRANCO CARRARA</x:v>
      </x:c>
      <x:c r="M374" s="210" t="n">
        <x:v>134</x:v>
      </x:c>
      <x:c r="N374" s="210" t="n">
        <x:v>2690</x:v>
      </x:c>
      <x:c r="O374" s="210" t="n">
        <x:v>60</x:v>
      </x:c>
      <x:c r="P374" s="210" t="n">
        <x:v>12</x:v>
      </x:c>
      <x:c r="Q374" s="211" t="n">
        <x:v>0</x:v>
      </x:c>
      <x:c r="R374" s="207" t="str"/>
      <x:c r="S374" s="207" t="str"/>
      <x:c r="T374" s="207" t="str"/>
      <x:c r="U374" s="207" t="n">
        <x:v>0</x:v>
      </x:c>
      <x:c r="V374" s="208" t="n">
        <x:f>MAX(0,M374-U374)</x:f>
        <x:v>134</x:v>
      </x:c>
      <x:c r="W374" s="209" t="n">
        <x:f>IFERROR(U374/M374,0)</x:f>
        <x:v>0</x:v>
      </x:c>
      <x:c r="X374" s="201" t="str">
        <x:f>IF(U374=0,"Não iniciado",IF(U374&gt;=M374,"Concluído","Parcial"))</x:f>
        <x:v>Não iniciado</x:v>
      </x:c>
      <x:c r="Y374" s="199" t="str"/>
      <x:c r="Z374" s="188" t="str">
        <x:v>Normal</x:v>
      </x:c>
    </x:row>
    <x:row r="375" ht="22" customHeight="1">
      <x:c r="A375" s="217" t="n">
        <x:v>371</x:v>
      </x:c>
      <x:c r="B375" s="218" t="str">
        <x:v>26815</x:v>
      </x:c>
      <x:c r="C375" s="218" t="str">
        <x:v>5</x:v>
      </x:c>
      <x:c r="D375" s="218" t="str">
        <x:v>609537</x:v>
      </x:c>
      <x:c r="E375" s="218" t="str">
        <x:v>2020600242</x:v>
      </x:c>
      <x:c r="F375" s="218" t="str">
        <x:v>OUTROS</x:v>
      </x:c>
      <x:c r="G375" s="184" t="str">
        <x:v>A STD PET TXT BCO 2690X60X12 RG(55) RTO</x:v>
      </x:c>
      <x:c r="H375" s="184" t="str"/>
      <x:c r="I375" s="184" t="str"/>
      <x:c r="J375" s="184" t="str"/>
      <x:c r="K375" s="184" t="str">
        <x:v>ESMALTE</x:v>
      </x:c>
      <x:c r="L375" s="184" t="str">
        <x:v>BRANCO CARRARA</x:v>
      </x:c>
      <x:c r="M375" s="205" t="n">
        <x:v>16</x:v>
      </x:c>
      <x:c r="N375" s="205" t="n">
        <x:v>2690</x:v>
      </x:c>
      <x:c r="O375" s="205" t="n">
        <x:v>60</x:v>
      </x:c>
      <x:c r="P375" s="205" t="n">
        <x:v>12</x:v>
      </x:c>
      <x:c r="Q375" s="206" t="n">
        <x:v>0</x:v>
      </x:c>
      <x:c r="R375" s="207" t="str"/>
      <x:c r="S375" s="207" t="str"/>
      <x:c r="T375" s="207" t="str"/>
      <x:c r="U375" s="207" t="n">
        <x:v>0</x:v>
      </x:c>
      <x:c r="V375" s="208" t="n">
        <x:f>MAX(0,M375-U375)</x:f>
        <x:v>16</x:v>
      </x:c>
      <x:c r="W375" s="209" t="n">
        <x:f>IFERROR(U375/M375,0)</x:f>
        <x:v>0</x:v>
      </x:c>
      <x:c r="X375" s="201" t="str">
        <x:f>IF(U375=0,"Não iniciado",IF(U375&gt;=M375,"Concluído","Parcial"))</x:f>
        <x:v>Não iniciado</x:v>
      </x:c>
      <x:c r="Y375" s="199" t="str"/>
      <x:c r="Z375" s="188" t="str">
        <x:v>Normal</x:v>
      </x:c>
    </x:row>
    <x:row r="376" ht="22" customHeight="1">
      <x:c r="A376" s="219" t="n">
        <x:v>372</x:v>
      </x:c>
      <x:c r="B376" s="220" t="str">
        <x:v>26815</x:v>
      </x:c>
      <x:c r="C376" s="220" t="str">
        <x:v>6</x:v>
      </x:c>
      <x:c r="D376" s="220" t="str">
        <x:v>609554</x:v>
      </x:c>
      <x:c r="E376" s="220" t="str">
        <x:v>2020600242</x:v>
      </x:c>
      <x:c r="F376" s="220" t="str">
        <x:v>OUTROS</x:v>
      </x:c>
      <x:c r="G376" s="190" t="str">
        <x:v>A STD PET TXT BCO 2690X60X12 RG(55) RTO</x:v>
      </x:c>
      <x:c r="H376" s="190" t="str"/>
      <x:c r="I376" s="190" t="str"/>
      <x:c r="J376" s="190" t="str"/>
      <x:c r="K376" s="190" t="str">
        <x:v>ESMALTE</x:v>
      </x:c>
      <x:c r="L376" s="190" t="str">
        <x:v>BRANCO CARRARA</x:v>
      </x:c>
      <x:c r="M376" s="210" t="n">
        <x:v>54</x:v>
      </x:c>
      <x:c r="N376" s="210" t="n">
        <x:v>2690</x:v>
      </x:c>
      <x:c r="O376" s="210" t="n">
        <x:v>60</x:v>
      </x:c>
      <x:c r="P376" s="210" t="n">
        <x:v>12</x:v>
      </x:c>
      <x:c r="Q376" s="211" t="n">
        <x:v>0</x:v>
      </x:c>
      <x:c r="R376" s="207" t="str"/>
      <x:c r="S376" s="207" t="str"/>
      <x:c r="T376" s="207" t="str"/>
      <x:c r="U376" s="207" t="n">
        <x:v>0</x:v>
      </x:c>
      <x:c r="V376" s="208" t="n">
        <x:f>MAX(0,M376-U376)</x:f>
        <x:v>54</x:v>
      </x:c>
      <x:c r="W376" s="209" t="n">
        <x:f>IFERROR(U376/M376,0)</x:f>
        <x:v>0</x:v>
      </x:c>
      <x:c r="X376" s="201" t="str">
        <x:f>IF(U376=0,"Não iniciado",IF(U376&gt;=M376,"Concluído","Parcial"))</x:f>
        <x:v>Não iniciado</x:v>
      </x:c>
      <x:c r="Y376" s="199" t="str"/>
      <x:c r="Z376" s="188" t="str">
        <x:v>Normal</x:v>
      </x:c>
    </x:row>
    <x:row r="377" ht="22" customHeight="1">
      <x:c r="A377" s="217" t="n">
        <x:v>373</x:v>
      </x:c>
      <x:c r="B377" s="218" t="str">
        <x:v>26815</x:v>
      </x:c>
      <x:c r="C377" s="218" t="str">
        <x:v>7</x:v>
      </x:c>
      <x:c r="D377" s="218" t="str">
        <x:v>609571</x:v>
      </x:c>
      <x:c r="E377" s="218" t="str">
        <x:v>2020600243</x:v>
      </x:c>
      <x:c r="F377" s="218" t="str">
        <x:v>OUTROS</x:v>
      </x:c>
      <x:c r="G377" s="184" t="str">
        <x:v>A STD PET TXT BCO 2690X60X12 RG(80) RTO</x:v>
      </x:c>
      <x:c r="H377" s="184" t="str"/>
      <x:c r="I377" s="184" t="str"/>
      <x:c r="J377" s="184" t="str"/>
      <x:c r="K377" s="184" t="str">
        <x:v>ESMALTE</x:v>
      </x:c>
      <x:c r="L377" s="184" t="str">
        <x:v>BRANCO CARRARA</x:v>
      </x:c>
      <x:c r="M377" s="205" t="n">
        <x:v>10</x:v>
      </x:c>
      <x:c r="N377" s="205" t="n">
        <x:v>2690</x:v>
      </x:c>
      <x:c r="O377" s="205" t="n">
        <x:v>60</x:v>
      </x:c>
      <x:c r="P377" s="205" t="n">
        <x:v>12</x:v>
      </x:c>
      <x:c r="Q377" s="206" t="n">
        <x:v>0</x:v>
      </x:c>
      <x:c r="R377" s="207" t="str"/>
      <x:c r="S377" s="207" t="str"/>
      <x:c r="T377" s="207" t="str"/>
      <x:c r="U377" s="207" t="n">
        <x:v>0</x:v>
      </x:c>
      <x:c r="V377" s="208" t="n">
        <x:f>MAX(0,M377-U377)</x:f>
        <x:v>10</x:v>
      </x:c>
      <x:c r="W377" s="209" t="n">
        <x:f>IFERROR(U377/M377,0)</x:f>
        <x:v>0</x:v>
      </x:c>
      <x:c r="X377" s="201" t="str">
        <x:f>IF(U377=0,"Não iniciado",IF(U377&gt;=M377,"Concluído","Parcial"))</x:f>
        <x:v>Não iniciado</x:v>
      </x:c>
      <x:c r="Y377" s="199" t="str"/>
      <x:c r="Z377" s="188" t="str">
        <x:v>Normal</x:v>
      </x:c>
    </x:row>
    <x:row r="378" ht="22" customHeight="1">
      <x:c r="A378" s="219" t="n">
        <x:v>374</x:v>
      </x:c>
      <x:c r="B378" s="220" t="str">
        <x:v>26792</x:v>
      </x:c>
      <x:c r="C378" s="220" t="str">
        <x:v>4</x:v>
      </x:c>
      <x:c r="D378" s="220" t="str">
        <x:v>609444</x:v>
      </x:c>
      <x:c r="E378" s="220" t="str">
        <x:v>2020600204</x:v>
      </x:c>
      <x:c r="F378" s="220" t="str">
        <x:v>OUTROS</x:v>
      </x:c>
      <x:c r="G378" s="190" t="str">
        <x:v>A STD PET TXT BCO 2200X60X9 RG(ME) RTO</x:v>
      </x:c>
      <x:c r="H378" s="190" t="str"/>
      <x:c r="I378" s="190" t="str"/>
      <x:c r="J378" s="190" t="str"/>
      <x:c r="K378" s="190" t="str">
        <x:v>ESMALTE</x:v>
      </x:c>
      <x:c r="L378" s="190" t="str">
        <x:v>BRANCO</x:v>
      </x:c>
      <x:c r="M378" s="210" t="n">
        <x:v>288</x:v>
      </x:c>
      <x:c r="N378" s="210" t="n">
        <x:v>2200</x:v>
      </x:c>
      <x:c r="O378" s="210" t="n">
        <x:v>60</x:v>
      </x:c>
      <x:c r="P378" s="210" t="n">
        <x:v>9</x:v>
      </x:c>
      <x:c r="Q378" s="211" t="n">
        <x:v>0</x:v>
      </x:c>
      <x:c r="R378" s="207" t="str"/>
      <x:c r="S378" s="207" t="str"/>
      <x:c r="T378" s="207" t="str"/>
      <x:c r="U378" s="207" t="n">
        <x:v>0</x:v>
      </x:c>
      <x:c r="V378" s="208" t="n">
        <x:f>MAX(0,M378-U378)</x:f>
        <x:v>288</x:v>
      </x:c>
      <x:c r="W378" s="209" t="n">
        <x:f>IFERROR(U378/M378,0)</x:f>
        <x:v>0</x:v>
      </x:c>
      <x:c r="X378" s="201" t="str">
        <x:f>IF(U378=0,"Não iniciado",IF(U378&gt;=M378,"Concluído","Parcial"))</x:f>
        <x:v>Não iniciado</x:v>
      </x:c>
      <x:c r="Y378" s="199" t="str"/>
      <x:c r="Z378" s="188" t="str">
        <x:v>Normal</x:v>
      </x:c>
    </x:row>
    <x:row r="379" ht="22" customHeight="1">
      <x:c r="A379" s="217" t="n">
        <x:v>375</x:v>
      </x:c>
      <x:c r="B379" s="218" t="str">
        <x:v>26815</x:v>
      </x:c>
      <x:c r="C379" s="218" t="str">
        <x:v>3</x:v>
      </x:c>
      <x:c r="D379" s="218" t="str">
        <x:v>609505</x:v>
      </x:c>
      <x:c r="E379" s="218" t="str">
        <x:v>2020600204</x:v>
      </x:c>
      <x:c r="F379" s="218" t="str">
        <x:v>OUTROS</x:v>
      </x:c>
      <x:c r="G379" s="184" t="str">
        <x:v>A STD PET TXT BCO 2200X60X9 RG(ME) RTO</x:v>
      </x:c>
      <x:c r="H379" s="184" t="str"/>
      <x:c r="I379" s="184" t="str"/>
      <x:c r="J379" s="184" t="str"/>
      <x:c r="K379" s="184" t="str">
        <x:v>ESMALTE</x:v>
      </x:c>
      <x:c r="L379" s="184" t="str">
        <x:v>BRANCO</x:v>
      </x:c>
      <x:c r="M379" s="205" t="n">
        <x:v>184</x:v>
      </x:c>
      <x:c r="N379" s="205" t="n">
        <x:v>2200</x:v>
      </x:c>
      <x:c r="O379" s="205" t="n">
        <x:v>60</x:v>
      </x:c>
      <x:c r="P379" s="205" t="n">
        <x:v>9</x:v>
      </x:c>
      <x:c r="Q379" s="206" t="n">
        <x:v>0</x:v>
      </x:c>
      <x:c r="R379" s="207" t="str"/>
      <x:c r="S379" s="207" t="str"/>
      <x:c r="T379" s="207" t="str"/>
      <x:c r="U379" s="207" t="n">
        <x:v>0</x:v>
      </x:c>
      <x:c r="V379" s="208" t="n">
        <x:f>MAX(0,M379-U379)</x:f>
        <x:v>184</x:v>
      </x:c>
      <x:c r="W379" s="209" t="n">
        <x:f>IFERROR(U379/M379,0)</x:f>
        <x:v>0</x:v>
      </x:c>
      <x:c r="X379" s="201" t="str">
        <x:f>IF(U379=0,"Não iniciado",IF(U379&gt;=M379,"Concluído","Parcial"))</x:f>
        <x:v>Não iniciado</x:v>
      </x:c>
      <x:c r="Y379" s="199" t="str"/>
      <x:c r="Z379" s="188" t="str">
        <x:v>Normal</x:v>
      </x:c>
    </x:row>
    <x:row r="380" ht="22" customHeight="1">
      <x:c r="A380" s="219" t="n">
        <x:v>376</x:v>
      </x:c>
      <x:c r="B380" s="220" t="str">
        <x:v>26792</x:v>
      </x:c>
      <x:c r="C380" s="220" t="str">
        <x:v>1</x:v>
      </x:c>
      <x:c r="D380" s="220" t="str">
        <x:v>609419</x:v>
      </x:c>
      <x:c r="E380" s="220" t="str">
        <x:v>2020600232</x:v>
      </x:c>
      <x:c r="F380" s="220" t="str">
        <x:v>OUTROS</x:v>
      </x:c>
      <x:c r="G380" s="190" t="str">
        <x:v>A STD PET TXT BCO 2200X60X9 RG(55) RTO</x:v>
      </x:c>
      <x:c r="H380" s="190" t="str"/>
      <x:c r="I380" s="190" t="str"/>
      <x:c r="J380" s="190" t="str"/>
      <x:c r="K380" s="190" t="str">
        <x:v>ESMALTE</x:v>
      </x:c>
      <x:c r="L380" s="190" t="str">
        <x:v>BRANCO CARRARA</x:v>
      </x:c>
      <x:c r="M380" s="210" t="n">
        <x:v>274</x:v>
      </x:c>
      <x:c r="N380" s="210" t="n">
        <x:v>2200</x:v>
      </x:c>
      <x:c r="O380" s="210" t="n">
        <x:v>60</x:v>
      </x:c>
      <x:c r="P380" s="210" t="n">
        <x:v>9</x:v>
      </x:c>
      <x:c r="Q380" s="211" t="n">
        <x:v>0</x:v>
      </x:c>
      <x:c r="R380" s="207" t="str"/>
      <x:c r="S380" s="207" t="str"/>
      <x:c r="T380" s="207" t="str"/>
      <x:c r="U380" s="207" t="n">
        <x:v>0</x:v>
      </x:c>
      <x:c r="V380" s="208" t="n">
        <x:f>MAX(0,M380-U380)</x:f>
        <x:v>274</x:v>
      </x:c>
      <x:c r="W380" s="209" t="n">
        <x:f>IFERROR(U380/M380,0)</x:f>
        <x:v>0</x:v>
      </x:c>
      <x:c r="X380" s="201" t="str">
        <x:f>IF(U380=0,"Não iniciado",IF(U380&gt;=M380,"Concluído","Parcial"))</x:f>
        <x:v>Não iniciado</x:v>
      </x:c>
      <x:c r="Y380" s="199" t="str"/>
      <x:c r="Z380" s="188" t="str">
        <x:v>Normal</x:v>
      </x:c>
    </x:row>
    <x:row r="381" ht="22" customHeight="1">
      <x:c r="A381" s="217" t="n">
        <x:v>377</x:v>
      </x:c>
      <x:c r="B381" s="218" t="str">
        <x:v>26792</x:v>
      </x:c>
      <x:c r="C381" s="218" t="str">
        <x:v>1</x:v>
      </x:c>
      <x:c r="D381" s="218" t="str">
        <x:v>609420</x:v>
      </x:c>
      <x:c r="E381" s="218" t="str">
        <x:v>2020600233</x:v>
      </x:c>
      <x:c r="F381" s="218" t="str">
        <x:v>OUTROS</x:v>
      </x:c>
      <x:c r="G381" s="184" t="str">
        <x:v>A STD PET TXT BCO 2200X60X9 RG(ME) RTO</x:v>
      </x:c>
      <x:c r="H381" s="184" t="str"/>
      <x:c r="I381" s="184" t="str"/>
      <x:c r="J381" s="184" t="str"/>
      <x:c r="K381" s="184" t="str">
        <x:v>ESMALTE</x:v>
      </x:c>
      <x:c r="L381" s="184" t="str">
        <x:v>BRANCO CARRARA</x:v>
      </x:c>
      <x:c r="M381" s="205" t="n">
        <x:v>274</x:v>
      </x:c>
      <x:c r="N381" s="205" t="n">
        <x:v>2200</x:v>
      </x:c>
      <x:c r="O381" s="205" t="n">
        <x:v>60</x:v>
      </x:c>
      <x:c r="P381" s="205" t="n">
        <x:v>9</x:v>
      </x:c>
      <x:c r="Q381" s="206" t="n">
        <x:v>0</x:v>
      </x:c>
      <x:c r="R381" s="207" t="str"/>
      <x:c r="S381" s="207" t="str"/>
      <x:c r="T381" s="207" t="str"/>
      <x:c r="U381" s="207" t="n">
        <x:v>0</x:v>
      </x:c>
      <x:c r="V381" s="208" t="n">
        <x:f>MAX(0,M381-U381)</x:f>
        <x:v>274</x:v>
      </x:c>
      <x:c r="W381" s="209" t="n">
        <x:f>IFERROR(U381/M381,0)</x:f>
        <x:v>0</x:v>
      </x:c>
      <x:c r="X381" s="201" t="str">
        <x:f>IF(U381=0,"Não iniciado",IF(U381&gt;=M381,"Concluído","Parcial"))</x:f>
        <x:v>Não iniciado</x:v>
      </x:c>
      <x:c r="Y381" s="199" t="str"/>
      <x:c r="Z381" s="188" t="str">
        <x:v>Normal</x:v>
      </x:c>
    </x:row>
    <x:row r="382" ht="22" customHeight="1">
      <x:c r="A382" s="219" t="n">
        <x:v>378</x:v>
      </x:c>
      <x:c r="B382" s="220" t="str">
        <x:v>26792</x:v>
      </x:c>
      <x:c r="C382" s="220" t="str">
        <x:v>2</x:v>
      </x:c>
      <x:c r="D382" s="220" t="str">
        <x:v>609427</x:v>
      </x:c>
      <x:c r="E382" s="220" t="str">
        <x:v>2020600232</x:v>
      </x:c>
      <x:c r="F382" s="220" t="str">
        <x:v>OUTROS</x:v>
      </x:c>
      <x:c r="G382" s="190" t="str">
        <x:v>A STD PET TXT BCO 2200X60X9 RG(55) RTO</x:v>
      </x:c>
      <x:c r="H382" s="190" t="str"/>
      <x:c r="I382" s="190" t="str"/>
      <x:c r="J382" s="190" t="str"/>
      <x:c r="K382" s="190" t="str">
        <x:v>ESMALTE</x:v>
      </x:c>
      <x:c r="L382" s="190" t="str">
        <x:v>BRANCO CARRARA</x:v>
      </x:c>
      <x:c r="M382" s="210" t="n">
        <x:v>34</x:v>
      </x:c>
      <x:c r="N382" s="210" t="n">
        <x:v>2200</x:v>
      </x:c>
      <x:c r="O382" s="210" t="n">
        <x:v>60</x:v>
      </x:c>
      <x:c r="P382" s="210" t="n">
        <x:v>9</x:v>
      </x:c>
      <x:c r="Q382" s="211" t="n">
        <x:v>0</x:v>
      </x:c>
      <x:c r="R382" s="207" t="str"/>
      <x:c r="S382" s="207" t="str"/>
      <x:c r="T382" s="207" t="str"/>
      <x:c r="U382" s="207" t="n">
        <x:v>0</x:v>
      </x:c>
      <x:c r="V382" s="208" t="n">
        <x:f>MAX(0,M382-U382)</x:f>
        <x:v>34</x:v>
      </x:c>
      <x:c r="W382" s="209" t="n">
        <x:f>IFERROR(U382/M382,0)</x:f>
        <x:v>0</x:v>
      </x:c>
      <x:c r="X382" s="201" t="str">
        <x:f>IF(U382=0,"Não iniciado",IF(U382&gt;=M382,"Concluído","Parcial"))</x:f>
        <x:v>Não iniciado</x:v>
      </x:c>
      <x:c r="Y382" s="199" t="str"/>
      <x:c r="Z382" s="188" t="str">
        <x:v>Normal</x:v>
      </x:c>
    </x:row>
    <x:row r="383" ht="22" customHeight="1">
      <x:c r="A383" s="217" t="n">
        <x:v>379</x:v>
      </x:c>
      <x:c r="B383" s="218" t="str">
        <x:v>26792</x:v>
      </x:c>
      <x:c r="C383" s="218" t="str">
        <x:v>2</x:v>
      </x:c>
      <x:c r="D383" s="218" t="str">
        <x:v>609428</x:v>
      </x:c>
      <x:c r="E383" s="218" t="str">
        <x:v>2020600233</x:v>
      </x:c>
      <x:c r="F383" s="218" t="str">
        <x:v>OUTROS</x:v>
      </x:c>
      <x:c r="G383" s="184" t="str">
        <x:v>A STD PET TXT BCO 2200X60X9 RG(ME) RTO</x:v>
      </x:c>
      <x:c r="H383" s="184" t="str"/>
      <x:c r="I383" s="184" t="str"/>
      <x:c r="J383" s="184" t="str"/>
      <x:c r="K383" s="184" t="str">
        <x:v>ESMALTE</x:v>
      </x:c>
      <x:c r="L383" s="184" t="str">
        <x:v>BRANCO CARRARA</x:v>
      </x:c>
      <x:c r="M383" s="205" t="n">
        <x:v>34</x:v>
      </x:c>
      <x:c r="N383" s="205" t="n">
        <x:v>2200</x:v>
      </x:c>
      <x:c r="O383" s="205" t="n">
        <x:v>60</x:v>
      </x:c>
      <x:c r="P383" s="205" t="n">
        <x:v>9</x:v>
      </x:c>
      <x:c r="Q383" s="206" t="n">
        <x:v>0</x:v>
      </x:c>
      <x:c r="R383" s="207" t="str"/>
      <x:c r="S383" s="207" t="str"/>
      <x:c r="T383" s="207" t="str"/>
      <x:c r="U383" s="207" t="n">
        <x:v>0</x:v>
      </x:c>
      <x:c r="V383" s="208" t="n">
        <x:f>MAX(0,M383-U383)</x:f>
        <x:v>34</x:v>
      </x:c>
      <x:c r="W383" s="209" t="n">
        <x:f>IFERROR(U383/M383,0)</x:f>
        <x:v>0</x:v>
      </x:c>
      <x:c r="X383" s="201" t="str">
        <x:f>IF(U383=0,"Não iniciado",IF(U383&gt;=M383,"Concluído","Parcial"))</x:f>
        <x:v>Não iniciado</x:v>
      </x:c>
      <x:c r="Y383" s="199" t="str"/>
      <x:c r="Z383" s="188" t="str">
        <x:v>Normal</x:v>
      </x:c>
    </x:row>
    <x:row r="384" ht="22" customHeight="1">
      <x:c r="A384" s="219" t="n">
        <x:v>380</x:v>
      </x:c>
      <x:c r="B384" s="220" t="str">
        <x:v>26792</x:v>
      </x:c>
      <x:c r="C384" s="220" t="str">
        <x:v>3</x:v>
      </x:c>
      <x:c r="D384" s="220" t="str">
        <x:v>609435</x:v>
      </x:c>
      <x:c r="E384" s="220" t="str">
        <x:v>2020600236</x:v>
      </x:c>
      <x:c r="F384" s="220" t="str">
        <x:v>OUTROS</x:v>
      </x:c>
      <x:c r="G384" s="190" t="str">
        <x:v>A STD PET TXT BCO 2200X60X9 RG(ME) RTO</x:v>
      </x:c>
      <x:c r="H384" s="190" t="str"/>
      <x:c r="I384" s="190" t="str"/>
      <x:c r="J384" s="190" t="str"/>
      <x:c r="K384" s="190" t="str">
        <x:v>ESMALTE</x:v>
      </x:c>
      <x:c r="L384" s="190" t="str">
        <x:v>BRANCO CARRARA</x:v>
      </x:c>
      <x:c r="M384" s="210" t="n">
        <x:v>2</x:v>
      </x:c>
      <x:c r="N384" s="210" t="n">
        <x:v>2200</x:v>
      </x:c>
      <x:c r="O384" s="210" t="n">
        <x:v>60</x:v>
      </x:c>
      <x:c r="P384" s="210" t="n">
        <x:v>9</x:v>
      </x:c>
      <x:c r="Q384" s="211" t="n">
        <x:v>0</x:v>
      </x:c>
      <x:c r="R384" s="207" t="str"/>
      <x:c r="S384" s="207" t="str"/>
      <x:c r="T384" s="207" t="str"/>
      <x:c r="U384" s="207" t="n">
        <x:v>0</x:v>
      </x:c>
      <x:c r="V384" s="208" t="n">
        <x:f>MAX(0,M384-U384)</x:f>
        <x:v>2</x:v>
      </x:c>
      <x:c r="W384" s="209" t="n">
        <x:f>IFERROR(U384/M384,0)</x:f>
        <x:v>0</x:v>
      </x:c>
      <x:c r="X384" s="201" t="str">
        <x:f>IF(U384=0,"Não iniciado",IF(U384&gt;=M384,"Concluído","Parcial"))</x:f>
        <x:v>Não iniciado</x:v>
      </x:c>
      <x:c r="Y384" s="199" t="str"/>
      <x:c r="Z384" s="188" t="str">
        <x:v>Normal</x:v>
      </x:c>
    </x:row>
    <x:row r="385" ht="22" customHeight="1">
      <x:c r="A385" s="217" t="n">
        <x:v>381</x:v>
      </x:c>
      <x:c r="B385" s="218" t="str">
        <x:v>26792</x:v>
      </x:c>
      <x:c r="C385" s="218" t="str">
        <x:v>3</x:v>
      </x:c>
      <x:c r="D385" s="218" t="str">
        <x:v>609436</x:v>
      </x:c>
      <x:c r="E385" s="218" t="str">
        <x:v>2020600237</x:v>
      </x:c>
      <x:c r="F385" s="218" t="str">
        <x:v>OUTROS</x:v>
      </x:c>
      <x:c r="G385" s="184" t="str">
        <x:v>A STD PET TXT BCO 2200X60X9 RG(80) RTO</x:v>
      </x:c>
      <x:c r="H385" s="184" t="str"/>
      <x:c r="I385" s="184" t="str"/>
      <x:c r="J385" s="184" t="str"/>
      <x:c r="K385" s="184" t="str">
        <x:v>ESMALTE</x:v>
      </x:c>
      <x:c r="L385" s="184" t="str">
        <x:v>BRANCO CARRARA</x:v>
      </x:c>
      <x:c r="M385" s="205" t="n">
        <x:v>2</x:v>
      </x:c>
      <x:c r="N385" s="205" t="n">
        <x:v>2200</x:v>
      </x:c>
      <x:c r="O385" s="205" t="n">
        <x:v>60</x:v>
      </x:c>
      <x:c r="P385" s="205" t="n">
        <x:v>9</x:v>
      </x:c>
      <x:c r="Q385" s="206" t="n">
        <x:v>0</x:v>
      </x:c>
      <x:c r="R385" s="207" t="str"/>
      <x:c r="S385" s="207" t="str"/>
      <x:c r="T385" s="207" t="str"/>
      <x:c r="U385" s="207" t="n">
        <x:v>0</x:v>
      </x:c>
      <x:c r="V385" s="208" t="n">
        <x:f>MAX(0,M385-U385)</x:f>
        <x:v>2</x:v>
      </x:c>
      <x:c r="W385" s="209" t="n">
        <x:f>IFERROR(U385/M385,0)</x:f>
        <x:v>0</x:v>
      </x:c>
      <x:c r="X385" s="201" t="str">
        <x:f>IF(U385=0,"Não iniciado",IF(U385&gt;=M385,"Concluído","Parcial"))</x:f>
        <x:v>Não iniciado</x:v>
      </x:c>
      <x:c r="Y385" s="199" t="str"/>
      <x:c r="Z385" s="188" t="str">
        <x:v>Normal</x:v>
      </x:c>
    </x:row>
    <x:row r="386" ht="22" customHeight="1">
      <x:c r="A386" s="219" t="n">
        <x:v>382</x:v>
      </x:c>
      <x:c r="B386" s="220" t="str">
        <x:v>26792</x:v>
      </x:c>
      <x:c r="C386" s="220" t="str">
        <x:v>5</x:v>
      </x:c>
      <x:c r="D386" s="220" t="str">
        <x:v>609457</x:v>
      </x:c>
      <x:c r="E386" s="220" t="str">
        <x:v>2020600240</x:v>
      </x:c>
      <x:c r="F386" s="220" t="str">
        <x:v>OUTROS</x:v>
      </x:c>
      <x:c r="G386" s="190" t="str">
        <x:v>A STD PET TXT BCO 2200X60X12 RG(ME) RTO</x:v>
      </x:c>
      <x:c r="H386" s="190" t="str"/>
      <x:c r="I386" s="190" t="str"/>
      <x:c r="J386" s="190" t="str"/>
      <x:c r="K386" s="190" t="str">
        <x:v>ESMALTE</x:v>
      </x:c>
      <x:c r="L386" s="190" t="str">
        <x:v>BRANCO CARRARA</x:v>
      </x:c>
      <x:c r="M386" s="210" t="n">
        <x:v>108</x:v>
      </x:c>
      <x:c r="N386" s="210" t="n">
        <x:v>2200</x:v>
      </x:c>
      <x:c r="O386" s="210" t="n">
        <x:v>60</x:v>
      </x:c>
      <x:c r="P386" s="210" t="n">
        <x:v>12</x:v>
      </x:c>
      <x:c r="Q386" s="211" t="n">
        <x:v>0</x:v>
      </x:c>
      <x:c r="R386" s="207" t="str"/>
      <x:c r="S386" s="207" t="str"/>
      <x:c r="T386" s="207" t="str"/>
      <x:c r="U386" s="207" t="n">
        <x:v>0</x:v>
      </x:c>
      <x:c r="V386" s="208" t="n">
        <x:f>MAX(0,M386-U386)</x:f>
        <x:v>108</x:v>
      </x:c>
      <x:c r="W386" s="209" t="n">
        <x:f>IFERROR(U386/M386,0)</x:f>
        <x:v>0</x:v>
      </x:c>
      <x:c r="X386" s="201" t="str">
        <x:f>IF(U386=0,"Não iniciado",IF(U386&gt;=M386,"Concluído","Parcial"))</x:f>
        <x:v>Não iniciado</x:v>
      </x:c>
      <x:c r="Y386" s="199" t="str"/>
      <x:c r="Z386" s="188" t="str">
        <x:v>Normal</x:v>
      </x:c>
    </x:row>
    <x:row r="387" ht="22" customHeight="1">
      <x:c r="A387" s="217" t="n">
        <x:v>383</x:v>
      </x:c>
      <x:c r="B387" s="218" t="str">
        <x:v>26792</x:v>
      </x:c>
      <x:c r="C387" s="218" t="str">
        <x:v>6</x:v>
      </x:c>
      <x:c r="D387" s="218" t="str">
        <x:v>609474</x:v>
      </x:c>
      <x:c r="E387" s="218" t="str">
        <x:v>2020600240</x:v>
      </x:c>
      <x:c r="F387" s="218" t="str">
        <x:v>OUTROS</x:v>
      </x:c>
      <x:c r="G387" s="184" t="str">
        <x:v>A STD PET TXT BCO 2200X60X12 RG(ME) RTO</x:v>
      </x:c>
      <x:c r="H387" s="184" t="str"/>
      <x:c r="I387" s="184" t="str"/>
      <x:c r="J387" s="184" t="str"/>
      <x:c r="K387" s="184" t="str">
        <x:v>ESMALTE</x:v>
      </x:c>
      <x:c r="L387" s="184" t="str">
        <x:v>BRANCO CARRARA</x:v>
      </x:c>
      <x:c r="M387" s="205" t="n">
        <x:v>20</x:v>
      </x:c>
      <x:c r="N387" s="205" t="n">
        <x:v>2200</x:v>
      </x:c>
      <x:c r="O387" s="205" t="n">
        <x:v>60</x:v>
      </x:c>
      <x:c r="P387" s="205" t="n">
        <x:v>12</x:v>
      </x:c>
      <x:c r="Q387" s="206" t="n">
        <x:v>0</x:v>
      </x:c>
      <x:c r="R387" s="207" t="str"/>
      <x:c r="S387" s="207" t="str"/>
      <x:c r="T387" s="207" t="str"/>
      <x:c r="U387" s="207" t="n">
        <x:v>0</x:v>
      </x:c>
      <x:c r="V387" s="208" t="n">
        <x:f>MAX(0,M387-U387)</x:f>
        <x:v>20</x:v>
      </x:c>
      <x:c r="W387" s="209" t="n">
        <x:f>IFERROR(U387/M387,0)</x:f>
        <x:v>0</x:v>
      </x:c>
      <x:c r="X387" s="201" t="str">
        <x:f>IF(U387=0,"Não iniciado",IF(U387&gt;=M387,"Concluído","Parcial"))</x:f>
        <x:v>Não iniciado</x:v>
      </x:c>
      <x:c r="Y387" s="199" t="str"/>
      <x:c r="Z387" s="188" t="str">
        <x:v>Normal</x:v>
      </x:c>
    </x:row>
    <x:row r="388" ht="22" customHeight="1">
      <x:c r="A388" s="219" t="n">
        <x:v>384</x:v>
      </x:c>
      <x:c r="B388" s="220" t="str">
        <x:v>26815</x:v>
      </x:c>
      <x:c r="C388" s="220" t="str">
        <x:v>1</x:v>
      </x:c>
      <x:c r="D388" s="220" t="str">
        <x:v>609488</x:v>
      </x:c>
      <x:c r="E388" s="220" t="str">
        <x:v>2020600232</x:v>
      </x:c>
      <x:c r="F388" s="220" t="str">
        <x:v>OUTROS</x:v>
      </x:c>
      <x:c r="G388" s="190" t="str">
        <x:v>A STD PET TXT BCO 2200X60X9 RG(55) RTO</x:v>
      </x:c>
      <x:c r="H388" s="190" t="str"/>
      <x:c r="I388" s="190" t="str"/>
      <x:c r="J388" s="190" t="str"/>
      <x:c r="K388" s="190" t="str">
        <x:v>ESMALTE</x:v>
      </x:c>
      <x:c r="L388" s="190" t="str">
        <x:v>BRANCO CARRARA</x:v>
      </x:c>
      <x:c r="M388" s="210" t="n">
        <x:v>308</x:v>
      </x:c>
      <x:c r="N388" s="210" t="n">
        <x:v>2200</x:v>
      </x:c>
      <x:c r="O388" s="210" t="n">
        <x:v>60</x:v>
      </x:c>
      <x:c r="P388" s="210" t="n">
        <x:v>9</x:v>
      </x:c>
      <x:c r="Q388" s="211" t="n">
        <x:v>0</x:v>
      </x:c>
      <x:c r="R388" s="207" t="str"/>
      <x:c r="S388" s="207" t="str"/>
      <x:c r="T388" s="207" t="str"/>
      <x:c r="U388" s="207" t="n">
        <x:v>0</x:v>
      </x:c>
      <x:c r="V388" s="208" t="n">
        <x:f>MAX(0,M388-U388)</x:f>
        <x:v>308</x:v>
      </x:c>
      <x:c r="W388" s="209" t="n">
        <x:f>IFERROR(U388/M388,0)</x:f>
        <x:v>0</x:v>
      </x:c>
      <x:c r="X388" s="201" t="str">
        <x:f>IF(U388=0,"Não iniciado",IF(U388&gt;=M388,"Concluído","Parcial"))</x:f>
        <x:v>Não iniciado</x:v>
      </x:c>
      <x:c r="Y388" s="199" t="str"/>
      <x:c r="Z388" s="188" t="str">
        <x:v>Normal</x:v>
      </x:c>
    </x:row>
    <x:row r="389" ht="22" customHeight="1">
      <x:c r="A389" s="217" t="n">
        <x:v>385</x:v>
      </x:c>
      <x:c r="B389" s="218" t="str">
        <x:v>26815</x:v>
      </x:c>
      <x:c r="C389" s="218" t="str">
        <x:v>1</x:v>
      </x:c>
      <x:c r="D389" s="218" t="str">
        <x:v>609489</x:v>
      </x:c>
      <x:c r="E389" s="218" t="str">
        <x:v>2020600233</x:v>
      </x:c>
      <x:c r="F389" s="218" t="str">
        <x:v>OUTROS</x:v>
      </x:c>
      <x:c r="G389" s="184" t="str">
        <x:v>A STD PET TXT BCO 2200X60X9 RG(ME) RTO</x:v>
      </x:c>
      <x:c r="H389" s="184" t="str"/>
      <x:c r="I389" s="184" t="str"/>
      <x:c r="J389" s="184" t="str"/>
      <x:c r="K389" s="184" t="str">
        <x:v>ESMALTE</x:v>
      </x:c>
      <x:c r="L389" s="184" t="str">
        <x:v>BRANCO CARRARA</x:v>
      </x:c>
      <x:c r="M389" s="205" t="n">
        <x:v>308</x:v>
      </x:c>
      <x:c r="N389" s="205" t="n">
        <x:v>2200</x:v>
      </x:c>
      <x:c r="O389" s="205" t="n">
        <x:v>60</x:v>
      </x:c>
      <x:c r="P389" s="205" t="n">
        <x:v>9</x:v>
      </x:c>
      <x:c r="Q389" s="206" t="n">
        <x:v>0</x:v>
      </x:c>
      <x:c r="R389" s="207" t="str"/>
      <x:c r="S389" s="207" t="str"/>
      <x:c r="T389" s="207" t="str"/>
      <x:c r="U389" s="207" t="n">
        <x:v>0</x:v>
      </x:c>
      <x:c r="V389" s="208" t="n">
        <x:f>MAX(0,M389-U389)</x:f>
        <x:v>308</x:v>
      </x:c>
      <x:c r="W389" s="209" t="n">
        <x:f>IFERROR(U389/M389,0)</x:f>
        <x:v>0</x:v>
      </x:c>
      <x:c r="X389" s="201" t="str">
        <x:f>IF(U389=0,"Não iniciado",IF(U389&gt;=M389,"Concluído","Parcial"))</x:f>
        <x:v>Não iniciado</x:v>
      </x:c>
      <x:c r="Y389" s="199" t="str"/>
      <x:c r="Z389" s="188" t="str">
        <x:v>Normal</x:v>
      </x:c>
    </x:row>
    <x:row r="390" ht="22" customHeight="1">
      <x:c r="A390" s="219" t="n">
        <x:v>386</x:v>
      </x:c>
      <x:c r="B390" s="220" t="str">
        <x:v>26815</x:v>
      </x:c>
      <x:c r="C390" s="220" t="str">
        <x:v>2</x:v>
      </x:c>
      <x:c r="D390" s="220" t="str">
        <x:v>609496</x:v>
      </x:c>
      <x:c r="E390" s="220" t="str">
        <x:v>2020600232</x:v>
      </x:c>
      <x:c r="F390" s="220" t="str">
        <x:v>OUTROS</x:v>
      </x:c>
      <x:c r="G390" s="190" t="str">
        <x:v>A STD PET TXT BCO 2200X60X9 RG(55) RTO</x:v>
      </x:c>
      <x:c r="H390" s="190" t="str"/>
      <x:c r="I390" s="190" t="str"/>
      <x:c r="J390" s="190" t="str"/>
      <x:c r="K390" s="190" t="str">
        <x:v>ESMALTE</x:v>
      </x:c>
      <x:c r="L390" s="190" t="str">
        <x:v>BRANCO CARRARA</x:v>
      </x:c>
      <x:c r="M390" s="210" t="n">
        <x:v>20</x:v>
      </x:c>
      <x:c r="N390" s="210" t="n">
        <x:v>2200</x:v>
      </x:c>
      <x:c r="O390" s="210" t="n">
        <x:v>60</x:v>
      </x:c>
      <x:c r="P390" s="210" t="n">
        <x:v>9</x:v>
      </x:c>
      <x:c r="Q390" s="211" t="n">
        <x:v>0</x:v>
      </x:c>
      <x:c r="R390" s="207" t="str"/>
      <x:c r="S390" s="207" t="str"/>
      <x:c r="T390" s="207" t="str"/>
      <x:c r="U390" s="207" t="n">
        <x:v>0</x:v>
      </x:c>
      <x:c r="V390" s="208" t="n">
        <x:f>MAX(0,M390-U390)</x:f>
        <x:v>20</x:v>
      </x:c>
      <x:c r="W390" s="209" t="n">
        <x:f>IFERROR(U390/M390,0)</x:f>
        <x:v>0</x:v>
      </x:c>
      <x:c r="X390" s="201" t="str">
        <x:f>IF(U390=0,"Não iniciado",IF(U390&gt;=M390,"Concluído","Parcial"))</x:f>
        <x:v>Não iniciado</x:v>
      </x:c>
      <x:c r="Y390" s="199" t="str"/>
      <x:c r="Z390" s="188" t="str">
        <x:v>Normal</x:v>
      </x:c>
    </x:row>
    <x:row r="391" ht="22" customHeight="1">
      <x:c r="A391" s="217" t="n">
        <x:v>387</x:v>
      </x:c>
      <x:c r="B391" s="218" t="str">
        <x:v>26815</x:v>
      </x:c>
      <x:c r="C391" s="218" t="str">
        <x:v>2</x:v>
      </x:c>
      <x:c r="D391" s="218" t="str">
        <x:v>609497</x:v>
      </x:c>
      <x:c r="E391" s="218" t="str">
        <x:v>2020600233</x:v>
      </x:c>
      <x:c r="F391" s="218" t="str">
        <x:v>OUTROS</x:v>
      </x:c>
      <x:c r="G391" s="184" t="str">
        <x:v>A STD PET TXT BCO 2200X60X9 RG(ME) RTO</x:v>
      </x:c>
      <x:c r="H391" s="184" t="str"/>
      <x:c r="I391" s="184" t="str"/>
      <x:c r="J391" s="184" t="str"/>
      <x:c r="K391" s="184" t="str">
        <x:v>ESMALTE</x:v>
      </x:c>
      <x:c r="L391" s="184" t="str">
        <x:v>BRANCO CARRARA</x:v>
      </x:c>
      <x:c r="M391" s="205" t="n">
        <x:v>20</x:v>
      </x:c>
      <x:c r="N391" s="205" t="n">
        <x:v>2200</x:v>
      </x:c>
      <x:c r="O391" s="205" t="n">
        <x:v>60</x:v>
      </x:c>
      <x:c r="P391" s="205" t="n">
        <x:v>9</x:v>
      </x:c>
      <x:c r="Q391" s="206" t="n">
        <x:v>0</x:v>
      </x:c>
      <x:c r="R391" s="207" t="str"/>
      <x:c r="S391" s="207" t="str"/>
      <x:c r="T391" s="207" t="str"/>
      <x:c r="U391" s="207" t="n">
        <x:v>0</x:v>
      </x:c>
      <x:c r="V391" s="208" t="n">
        <x:f>MAX(0,M391-U391)</x:f>
        <x:v>20</x:v>
      </x:c>
      <x:c r="W391" s="209" t="n">
        <x:f>IFERROR(U391/M391,0)</x:f>
        <x:v>0</x:v>
      </x:c>
      <x:c r="X391" s="201" t="str">
        <x:f>IF(U391=0,"Não iniciado",IF(U391&gt;=M391,"Concluído","Parcial"))</x:f>
        <x:v>Não iniciado</x:v>
      </x:c>
      <x:c r="Y391" s="199" t="str"/>
      <x:c r="Z391" s="188" t="str">
        <x:v>Normal</x:v>
      </x:c>
    </x:row>
    <x:row r="392" ht="22" customHeight="1">
      <x:c r="A392" s="219" t="n">
        <x:v>388</x:v>
      </x:c>
      <x:c r="B392" s="220" t="str">
        <x:v>26815</x:v>
      </x:c>
      <x:c r="C392" s="220" t="str">
        <x:v>4</x:v>
      </x:c>
      <x:c r="D392" s="220" t="str">
        <x:v>609518</x:v>
      </x:c>
      <x:c r="E392" s="220" t="str">
        <x:v>2020600240</x:v>
      </x:c>
      <x:c r="F392" s="220" t="str">
        <x:v>OUTROS</x:v>
      </x:c>
      <x:c r="G392" s="190" t="str">
        <x:v>A STD PET TXT BCO 2200X60X12 RG(ME) RTO</x:v>
      </x:c>
      <x:c r="H392" s="190" t="str"/>
      <x:c r="I392" s="190" t="str"/>
      <x:c r="J392" s="190" t="str"/>
      <x:c r="K392" s="190" t="str">
        <x:v>ESMALTE</x:v>
      </x:c>
      <x:c r="L392" s="190" t="str">
        <x:v>BRANCO CARRARA</x:v>
      </x:c>
      <x:c r="M392" s="210" t="n">
        <x:v>134</x:v>
      </x:c>
      <x:c r="N392" s="210" t="n">
        <x:v>2200</x:v>
      </x:c>
      <x:c r="O392" s="210" t="n">
        <x:v>60</x:v>
      </x:c>
      <x:c r="P392" s="210" t="n">
        <x:v>12</x:v>
      </x:c>
      <x:c r="Q392" s="211" t="n">
        <x:v>0</x:v>
      </x:c>
      <x:c r="R392" s="207" t="str"/>
      <x:c r="S392" s="207" t="str"/>
      <x:c r="T392" s="207" t="str"/>
      <x:c r="U392" s="207" t="n">
        <x:v>0</x:v>
      </x:c>
      <x:c r="V392" s="208" t="n">
        <x:f>MAX(0,M392-U392)</x:f>
        <x:v>134</x:v>
      </x:c>
      <x:c r="W392" s="209" t="n">
        <x:f>IFERROR(U392/M392,0)</x:f>
        <x:v>0</x:v>
      </x:c>
      <x:c r="X392" s="201" t="str">
        <x:f>IF(U392=0,"Não iniciado",IF(U392&gt;=M392,"Concluído","Parcial"))</x:f>
        <x:v>Não iniciado</x:v>
      </x:c>
      <x:c r="Y392" s="199" t="str"/>
      <x:c r="Z392" s="188" t="str">
        <x:v>Normal</x:v>
      </x:c>
    </x:row>
    <x:row r="393" ht="22" customHeight="1">
      <x:c r="A393" s="217" t="n">
        <x:v>389</x:v>
      </x:c>
      <x:c r="B393" s="218" t="str">
        <x:v>26815</x:v>
      </x:c>
      <x:c r="C393" s="218" t="str">
        <x:v>5</x:v>
      </x:c>
      <x:c r="D393" s="218" t="str">
        <x:v>609535</x:v>
      </x:c>
      <x:c r="E393" s="218" t="str">
        <x:v>2020600240</x:v>
      </x:c>
      <x:c r="F393" s="218" t="str">
        <x:v>OUTROS</x:v>
      </x:c>
      <x:c r="G393" s="184" t="str">
        <x:v>A STD PET TXT BCO 2200X60X12 RG(ME) RTO</x:v>
      </x:c>
      <x:c r="H393" s="184" t="str"/>
      <x:c r="I393" s="184" t="str"/>
      <x:c r="J393" s="184" t="str"/>
      <x:c r="K393" s="184" t="str">
        <x:v>ESMALTE</x:v>
      </x:c>
      <x:c r="L393" s="184" t="str">
        <x:v>BRANCO CARRARA</x:v>
      </x:c>
      <x:c r="M393" s="205" t="n">
        <x:v>16</x:v>
      </x:c>
      <x:c r="N393" s="205" t="n">
        <x:v>2200</x:v>
      </x:c>
      <x:c r="O393" s="205" t="n">
        <x:v>60</x:v>
      </x:c>
      <x:c r="P393" s="205" t="n">
        <x:v>12</x:v>
      </x:c>
      <x:c r="Q393" s="206" t="n">
        <x:v>0</x:v>
      </x:c>
      <x:c r="R393" s="207" t="str"/>
      <x:c r="S393" s="207" t="str"/>
      <x:c r="T393" s="207" t="str"/>
      <x:c r="U393" s="207" t="n">
        <x:v>0</x:v>
      </x:c>
      <x:c r="V393" s="208" t="n">
        <x:f>MAX(0,M393-U393)</x:f>
        <x:v>16</x:v>
      </x:c>
      <x:c r="W393" s="209" t="n">
        <x:f>IFERROR(U393/M393,0)</x:f>
        <x:v>0</x:v>
      </x:c>
      <x:c r="X393" s="201" t="str">
        <x:f>IF(U393=0,"Não iniciado",IF(U393&gt;=M393,"Concluído","Parcial"))</x:f>
        <x:v>Não iniciado</x:v>
      </x:c>
      <x:c r="Y393" s="199" t="str"/>
      <x:c r="Z393" s="188" t="str">
        <x:v>Normal</x:v>
      </x:c>
    </x:row>
    <x:row r="394" ht="22" customHeight="1">
      <x:c r="A394" s="219" t="n">
        <x:v>390</x:v>
      </x:c>
      <x:c r="B394" s="220" t="str">
        <x:v>26815</x:v>
      </x:c>
      <x:c r="C394" s="220" t="str">
        <x:v>6</x:v>
      </x:c>
      <x:c r="D394" s="220" t="str">
        <x:v>609552</x:v>
      </x:c>
      <x:c r="E394" s="220" t="str">
        <x:v>2020600240</x:v>
      </x:c>
      <x:c r="F394" s="220" t="str">
        <x:v>OUTROS</x:v>
      </x:c>
      <x:c r="G394" s="190" t="str">
        <x:v>A STD PET TXT BCO 2200X60X12 RG(ME) RTO</x:v>
      </x:c>
      <x:c r="H394" s="190" t="str"/>
      <x:c r="I394" s="190" t="str"/>
      <x:c r="J394" s="190" t="str"/>
      <x:c r="K394" s="190" t="str">
        <x:v>ESMALTE</x:v>
      </x:c>
      <x:c r="L394" s="190" t="str">
        <x:v>BRANCO CARRARA</x:v>
      </x:c>
      <x:c r="M394" s="210" t="n">
        <x:v>54</x:v>
      </x:c>
      <x:c r="N394" s="210" t="n">
        <x:v>2200</x:v>
      </x:c>
      <x:c r="O394" s="210" t="n">
        <x:v>60</x:v>
      </x:c>
      <x:c r="P394" s="210" t="n">
        <x:v>12</x:v>
      </x:c>
      <x:c r="Q394" s="211" t="n">
        <x:v>0</x:v>
      </x:c>
      <x:c r="R394" s="207" t="str"/>
      <x:c r="S394" s="207" t="str"/>
      <x:c r="T394" s="207" t="str"/>
      <x:c r="U394" s="207" t="n">
        <x:v>0</x:v>
      </x:c>
      <x:c r="V394" s="208" t="n">
        <x:f>MAX(0,M394-U394)</x:f>
        <x:v>54</x:v>
      </x:c>
      <x:c r="W394" s="209" t="n">
        <x:f>IFERROR(U394/M394,0)</x:f>
        <x:v>0</x:v>
      </x:c>
      <x:c r="X394" s="201" t="str">
        <x:f>IF(U394=0,"Não iniciado",IF(U394&gt;=M394,"Concluído","Parcial"))</x:f>
        <x:v>Não iniciado</x:v>
      </x:c>
      <x:c r="Y394" s="199" t="str"/>
      <x:c r="Z394" s="188" t="str">
        <x:v>Normal</x:v>
      </x:c>
    </x:row>
    <x:row r="395" ht="22" customHeight="1">
      <x:c r="A395" s="217" t="n">
        <x:v>391</x:v>
      </x:c>
      <x:c r="B395" s="218" t="str">
        <x:v>26815</x:v>
      </x:c>
      <x:c r="C395" s="218" t="str">
        <x:v>7</x:v>
      </x:c>
      <x:c r="D395" s="218" t="str">
        <x:v>609569</x:v>
      </x:c>
      <x:c r="E395" s="218" t="str">
        <x:v>2020600240</x:v>
      </x:c>
      <x:c r="F395" s="218" t="str">
        <x:v>OUTROS</x:v>
      </x:c>
      <x:c r="G395" s="184" t="str">
        <x:v>A STD PET TXT BCO 2200X60X12 RG(ME) RTO</x:v>
      </x:c>
      <x:c r="H395" s="184" t="str"/>
      <x:c r="I395" s="184" t="str"/>
      <x:c r="J395" s="184" t="str"/>
      <x:c r="K395" s="184" t="str">
        <x:v>ESMALTE</x:v>
      </x:c>
      <x:c r="L395" s="184" t="str">
        <x:v>BRANCO CARRARA</x:v>
      </x:c>
      <x:c r="M395" s="205" t="n">
        <x:v>10</x:v>
      </x:c>
      <x:c r="N395" s="205" t="n">
        <x:v>2200</x:v>
      </x:c>
      <x:c r="O395" s="205" t="n">
        <x:v>60</x:v>
      </x:c>
      <x:c r="P395" s="205" t="n">
        <x:v>12</x:v>
      </x:c>
      <x:c r="Q395" s="206" t="n">
        <x:v>0</x:v>
      </x:c>
      <x:c r="R395" s="207" t="str"/>
      <x:c r="S395" s="207" t="str"/>
      <x:c r="T395" s="207" t="str"/>
      <x:c r="U395" s="207" t="n">
        <x:v>0</x:v>
      </x:c>
      <x:c r="V395" s="208" t="n">
        <x:f>MAX(0,M395-U395)</x:f>
        <x:v>10</x:v>
      </x:c>
      <x:c r="W395" s="209" t="n">
        <x:f>IFERROR(U395/M395,0)</x:f>
        <x:v>0</x:v>
      </x:c>
      <x:c r="X395" s="201" t="str">
        <x:f>IF(U395=0,"Não iniciado",IF(U395&gt;=M395,"Concluído","Parcial"))</x:f>
        <x:v>Não iniciado</x:v>
      </x:c>
      <x:c r="Y395" s="199" t="str"/>
      <x:c r="Z395" s="188" t="str">
        <x:v>Normal</x:v>
      </x:c>
    </x:row>
    <x:row r="396" ht="22" customHeight="1">
      <x:c r="A396" s="219" t="n">
        <x:v>392</x:v>
      </x:c>
      <x:c r="B396" s="220" t="str">
        <x:v>26825</x:v>
      </x:c>
      <x:c r="C396" s="220" t="str">
        <x:v>4</x:v>
      </x:c>
      <x:c r="D396" s="220" t="str">
        <x:v>609053</x:v>
      </x:c>
      <x:c r="E396" s="220" t="str">
        <x:v>2020700645</x:v>
      </x:c>
      <x:c r="F396" s="220" t="str">
        <x:v>OUTROS</x:v>
      </x:c>
      <x:c r="G396" s="190" t="str">
        <x:v>A ULTRA PET BCO CAR 2200X60X9 RG(55) RTO</x:v>
      </x:c>
      <x:c r="H396" s="190" t="str">
        <x:v>REG 2L(MAIOR 55MM)</x:v>
      </x:c>
      <x:c r="I396" s="190" t="str"/>
      <x:c r="J396" s="190" t="str"/>
      <x:c r="K396" s="190" t="str">
        <x:v>RECOBERTO PET</x:v>
      </x:c>
      <x:c r="L396" s="190" t="str">
        <x:v>BRANCO CARRARA</x:v>
      </x:c>
      <x:c r="M396" s="210" t="n">
        <x:v>64</x:v>
      </x:c>
      <x:c r="N396" s="210" t="n">
        <x:v>2200</x:v>
      </x:c>
      <x:c r="O396" s="210" t="n">
        <x:v>60</x:v>
      </x:c>
      <x:c r="P396" s="210" t="n">
        <x:v>9</x:v>
      </x:c>
      <x:c r="Q396" s="211" t="n">
        <x:v>0</x:v>
      </x:c>
      <x:c r="R396" s="207" t="str"/>
      <x:c r="S396" s="207" t="str"/>
      <x:c r="T396" s="207" t="str"/>
      <x:c r="U396" s="207" t="n">
        <x:v>0</x:v>
      </x:c>
      <x:c r="V396" s="208" t="n">
        <x:f>MAX(0,M396-U396)</x:f>
        <x:v>64</x:v>
      </x:c>
      <x:c r="W396" s="209" t="n">
        <x:f>IFERROR(U396/M396,0)</x:f>
        <x:v>0</x:v>
      </x:c>
      <x:c r="X396" s="201" t="str">
        <x:f>IF(U396=0,"Não iniciado",IF(U396&gt;=M396,"Concluído","Parcial"))</x:f>
        <x:v>Não iniciado</x:v>
      </x:c>
      <x:c r="Y396" s="199" t="str"/>
      <x:c r="Z396" s="188" t="str">
        <x:v>Normal</x:v>
      </x:c>
    </x:row>
    <x:row r="397" ht="22" customHeight="1">
      <x:c r="A397" s="217" t="n">
        <x:v>393</x:v>
      </x:c>
      <x:c r="B397" s="218" t="str">
        <x:v>26825</x:v>
      </x:c>
      <x:c r="C397" s="218" t="str">
        <x:v>4</x:v>
      </x:c>
      <x:c r="D397" s="218" t="str">
        <x:v>609054</x:v>
      </x:c>
      <x:c r="E397" s="218" t="str">
        <x:v>2020700646</x:v>
      </x:c>
      <x:c r="F397" s="218" t="str">
        <x:v>OUTROS</x:v>
      </x:c>
      <x:c r="G397" s="184" t="str">
        <x:v>A ULTRA PET BCO CAR 2200X60X9 RG(ME) RTO</x:v>
      </x:c>
      <x:c r="H397" s="184" t="str">
        <x:v>REG 2L(MAIOR 55MM)</x:v>
      </x:c>
      <x:c r="I397" s="184" t="str"/>
      <x:c r="J397" s="184" t="str"/>
      <x:c r="K397" s="184" t="str">
        <x:v>RECOBERTO PET</x:v>
      </x:c>
      <x:c r="L397" s="184" t="str">
        <x:v>BRANCO CARRARA</x:v>
      </x:c>
      <x:c r="M397" s="205" t="n">
        <x:v>64</x:v>
      </x:c>
      <x:c r="N397" s="205" t="n">
        <x:v>2200</x:v>
      </x:c>
      <x:c r="O397" s="205" t="n">
        <x:v>60</x:v>
      </x:c>
      <x:c r="P397" s="205" t="n">
        <x:v>9</x:v>
      </x:c>
      <x:c r="Q397" s="206" t="n">
        <x:v>0</x:v>
      </x:c>
      <x:c r="R397" s="207" t="str"/>
      <x:c r="S397" s="207" t="str"/>
      <x:c r="T397" s="207" t="str"/>
      <x:c r="U397" s="207" t="n">
        <x:v>0</x:v>
      </x:c>
      <x:c r="V397" s="208" t="n">
        <x:f>MAX(0,M397-U397)</x:f>
        <x:v>64</x:v>
      </x:c>
      <x:c r="W397" s="209" t="n">
        <x:f>IFERROR(U397/M397,0)</x:f>
        <x:v>0</x:v>
      </x:c>
      <x:c r="X397" s="201" t="str">
        <x:f>IF(U397=0,"Não iniciado",IF(U397&gt;=M397,"Concluído","Parcial"))</x:f>
        <x:v>Não iniciado</x:v>
      </x:c>
      <x:c r="Y397" s="199" t="str"/>
      <x:c r="Z397" s="188" t="str">
        <x:v>Normal</x:v>
      </x:c>
    </x:row>
    <x:row r="398" ht="22" customHeight="1">
      <x:c r="A398" s="219" t="n">
        <x:v>394</x:v>
      </x:c>
      <x:c r="B398" s="220" t="str">
        <x:v>26825</x:v>
      </x:c>
      <x:c r="C398" s="220" t="str">
        <x:v>4</x:v>
      </x:c>
      <x:c r="D398" s="220" t="str">
        <x:v>609055</x:v>
      </x:c>
      <x:c r="E398" s="220" t="str">
        <x:v>2020700647</x:v>
      </x:c>
      <x:c r="F398" s="220" t="str">
        <x:v>OUTROS</x:v>
      </x:c>
      <x:c r="G398" s="190" t="str">
        <x:v>A ULTRA PET BCO CAR 1200X60X9 RG(55) RTO</x:v>
      </x:c>
      <x:c r="H398" s="190" t="str">
        <x:v>REG 2L(MAIOR 55MM)</x:v>
      </x:c>
      <x:c r="I398" s="190" t="str"/>
      <x:c r="J398" s="190" t="str"/>
      <x:c r="K398" s="190" t="str">
        <x:v>RECOBERTO PET</x:v>
      </x:c>
      <x:c r="L398" s="190" t="str">
        <x:v>BRANCO CARRARA</x:v>
      </x:c>
      <x:c r="M398" s="210" t="n">
        <x:v>32</x:v>
      </x:c>
      <x:c r="N398" s="210" t="n">
        <x:v>1200</x:v>
      </x:c>
      <x:c r="O398" s="210" t="n">
        <x:v>60</x:v>
      </x:c>
      <x:c r="P398" s="210" t="n">
        <x:v>9</x:v>
      </x:c>
      <x:c r="Q398" s="211" t="n">
        <x:v>0</x:v>
      </x:c>
      <x:c r="R398" s="207" t="str"/>
      <x:c r="S398" s="207" t="str"/>
      <x:c r="T398" s="207" t="str"/>
      <x:c r="U398" s="207" t="n">
        <x:v>0</x:v>
      </x:c>
      <x:c r="V398" s="208" t="n">
        <x:f>MAX(0,M398-U398)</x:f>
        <x:v>32</x:v>
      </x:c>
      <x:c r="W398" s="209" t="n">
        <x:f>IFERROR(U398/M398,0)</x:f>
        <x:v>0</x:v>
      </x:c>
      <x:c r="X398" s="201" t="str">
        <x:f>IF(U398=0,"Não iniciado",IF(U398&gt;=M398,"Concluído","Parcial"))</x:f>
        <x:v>Não iniciado</x:v>
      </x:c>
      <x:c r="Y398" s="199" t="str"/>
      <x:c r="Z398" s="188" t="str">
        <x:v>Normal</x:v>
      </x:c>
    </x:row>
    <x:row r="399" ht="22" customHeight="1">
      <x:c r="A399" s="217" t="n">
        <x:v>395</x:v>
      </x:c>
      <x:c r="B399" s="218" t="str">
        <x:v>26825</x:v>
      </x:c>
      <x:c r="C399" s="218" t="str">
        <x:v>4</x:v>
      </x:c>
      <x:c r="D399" s="218" t="str">
        <x:v>609056</x:v>
      </x:c>
      <x:c r="E399" s="218" t="str">
        <x:v>2020700648</x:v>
      </x:c>
      <x:c r="F399" s="218" t="str">
        <x:v>OUTROS</x:v>
      </x:c>
      <x:c r="G399" s="184" t="str">
        <x:v>A ULTRA PET BCO CAR 1200X60X9 RG(ME) RTO</x:v>
      </x:c>
      <x:c r="H399" s="184" t="str">
        <x:v>REG 2L(MAIOR 55MM)</x:v>
      </x:c>
      <x:c r="I399" s="184" t="str"/>
      <x:c r="J399" s="184" t="str"/>
      <x:c r="K399" s="184" t="str">
        <x:v>RECOBERTO PET</x:v>
      </x:c>
      <x:c r="L399" s="184" t="str">
        <x:v>BRANCO CARRARA</x:v>
      </x:c>
      <x:c r="M399" s="205" t="n">
        <x:v>32</x:v>
      </x:c>
      <x:c r="N399" s="205" t="n">
        <x:v>1200</x:v>
      </x:c>
      <x:c r="O399" s="205" t="n">
        <x:v>60</x:v>
      </x:c>
      <x:c r="P399" s="205" t="n">
        <x:v>9</x:v>
      </x:c>
      <x:c r="Q399" s="206" t="n">
        <x:v>0</x:v>
      </x:c>
      <x:c r="R399" s="207" t="str"/>
      <x:c r="S399" s="207" t="str"/>
      <x:c r="T399" s="207" t="str"/>
      <x:c r="U399" s="207" t="n">
        <x:v>0</x:v>
      </x:c>
      <x:c r="V399" s="208" t="n">
        <x:f>MAX(0,M399-U399)</x:f>
        <x:v>32</x:v>
      </x:c>
      <x:c r="W399" s="209" t="n">
        <x:f>IFERROR(U399/M399,0)</x:f>
        <x:v>0</x:v>
      </x:c>
      <x:c r="X399" s="201" t="str">
        <x:f>IF(U399=0,"Não iniciado",IF(U399&gt;=M399,"Concluído","Parcial"))</x:f>
        <x:v>Não iniciado</x:v>
      </x:c>
      <x:c r="Y399" s="199" t="str"/>
      <x:c r="Z399" s="188" t="str">
        <x:v>Normal</x:v>
      </x:c>
    </x:row>
    <x:row r="400" ht="22" customHeight="1">
      <x:c r="A400" s="219" t="n">
        <x:v>396</x:v>
      </x:c>
      <x:c r="B400" s="220" t="str">
        <x:v>26792</x:v>
      </x:c>
      <x:c r="C400" s="220" t="str">
        <x:v>4</x:v>
      </x:c>
      <x:c r="D400" s="220" t="str">
        <x:v>609446</x:v>
      </x:c>
      <x:c r="E400" s="220" t="str">
        <x:v>2020600206</x:v>
      </x:c>
      <x:c r="F400" s="220" t="str">
        <x:v>OUTROS</x:v>
      </x:c>
      <x:c r="G400" s="190" t="str">
        <x:v>A STD PET TXT BCO 1100X60X9 RG(ME) RTO</x:v>
      </x:c>
      <x:c r="H400" s="190" t="str"/>
      <x:c r="I400" s="190" t="str"/>
      <x:c r="J400" s="190" t="str"/>
      <x:c r="K400" s="190" t="str">
        <x:v>ESMALTE</x:v>
      </x:c>
      <x:c r="L400" s="190" t="str">
        <x:v>BRANCO</x:v>
      </x:c>
      <x:c r="M400" s="210" t="n">
        <x:v>144</x:v>
      </x:c>
      <x:c r="N400" s="210" t="n">
        <x:v>1100</x:v>
      </x:c>
      <x:c r="O400" s="210" t="n">
        <x:v>60</x:v>
      </x:c>
      <x:c r="P400" s="210" t="n">
        <x:v>9</x:v>
      </x:c>
      <x:c r="Q400" s="211" t="n">
        <x:v>0</x:v>
      </x:c>
      <x:c r="R400" s="207" t="str"/>
      <x:c r="S400" s="207" t="str"/>
      <x:c r="T400" s="207" t="str"/>
      <x:c r="U400" s="207" t="n">
        <x:v>0</x:v>
      </x:c>
      <x:c r="V400" s="208" t="n">
        <x:f>MAX(0,M400-U400)</x:f>
        <x:v>144</x:v>
      </x:c>
      <x:c r="W400" s="209" t="n">
        <x:f>IFERROR(U400/M400,0)</x:f>
        <x:v>0</x:v>
      </x:c>
      <x:c r="X400" s="201" t="str">
        <x:f>IF(U400=0,"Não iniciado",IF(U400&gt;=M400,"Concluído","Parcial"))</x:f>
        <x:v>Não iniciado</x:v>
      </x:c>
      <x:c r="Y400" s="199" t="str"/>
      <x:c r="Z400" s="188" t="str">
        <x:v>Normal</x:v>
      </x:c>
    </x:row>
    <x:row r="401" ht="22" customHeight="1">
      <x:c r="A401" s="217" t="n">
        <x:v>397</x:v>
      </x:c>
      <x:c r="B401" s="218" t="str">
        <x:v>26815</x:v>
      </x:c>
      <x:c r="C401" s="218" t="str">
        <x:v>3</x:v>
      </x:c>
      <x:c r="D401" s="218" t="str">
        <x:v>609507</x:v>
      </x:c>
      <x:c r="E401" s="218" t="str">
        <x:v>2020600206</x:v>
      </x:c>
      <x:c r="F401" s="218" t="str">
        <x:v>OUTROS</x:v>
      </x:c>
      <x:c r="G401" s="184" t="str">
        <x:v>A STD PET TXT BCO 1100X60X9 RG(ME) RTO</x:v>
      </x:c>
      <x:c r="H401" s="184" t="str"/>
      <x:c r="I401" s="184" t="str"/>
      <x:c r="J401" s="184" t="str"/>
      <x:c r="K401" s="184" t="str">
        <x:v>ESMALTE</x:v>
      </x:c>
      <x:c r="L401" s="184" t="str">
        <x:v>BRANCO</x:v>
      </x:c>
      <x:c r="M401" s="205" t="n">
        <x:v>92</x:v>
      </x:c>
      <x:c r="N401" s="205" t="n">
        <x:v>1100</x:v>
      </x:c>
      <x:c r="O401" s="205" t="n">
        <x:v>60</x:v>
      </x:c>
      <x:c r="P401" s="205" t="n">
        <x:v>9</x:v>
      </x:c>
      <x:c r="Q401" s="206" t="n">
        <x:v>0</x:v>
      </x:c>
      <x:c r="R401" s="207" t="str"/>
      <x:c r="S401" s="207" t="str"/>
      <x:c r="T401" s="207" t="str"/>
      <x:c r="U401" s="207" t="n">
        <x:v>0</x:v>
      </x:c>
      <x:c r="V401" s="208" t="n">
        <x:f>MAX(0,M401-U401)</x:f>
        <x:v>92</x:v>
      </x:c>
      <x:c r="W401" s="209" t="n">
        <x:f>IFERROR(U401/M401,0)</x:f>
        <x:v>0</x:v>
      </x:c>
      <x:c r="X401" s="201" t="str">
        <x:f>IF(U401=0,"Não iniciado",IF(U401&gt;=M401,"Concluído","Parcial"))</x:f>
        <x:v>Não iniciado</x:v>
      </x:c>
      <x:c r="Y401" s="199" t="str"/>
      <x:c r="Z401" s="188" t="str">
        <x:v>Normal</x:v>
      </x:c>
    </x:row>
    <x:row r="402" ht="22" customHeight="1">
      <x:c r="A402" s="219" t="n">
        <x:v>398</x:v>
      </x:c>
      <x:c r="B402" s="220" t="str">
        <x:v>26792</x:v>
      </x:c>
      <x:c r="C402" s="220" t="str">
        <x:v>1</x:v>
      </x:c>
      <x:c r="D402" s="220" t="str">
        <x:v>609421</x:v>
      </x:c>
      <x:c r="E402" s="220" t="str">
        <x:v>2020600234</x:v>
      </x:c>
      <x:c r="F402" s="220" t="str">
        <x:v>OUTROS</x:v>
      </x:c>
      <x:c r="G402" s="190" t="str">
        <x:v>A STD PET TXT BCO 1100X60X9 RG(55) RTO</x:v>
      </x:c>
      <x:c r="H402" s="190" t="str"/>
      <x:c r="I402" s="190" t="str"/>
      <x:c r="J402" s="190" t="str"/>
      <x:c r="K402" s="190" t="str">
        <x:v>ESMALTE</x:v>
      </x:c>
      <x:c r="L402" s="190" t="str">
        <x:v>BRANCO CARRARA</x:v>
      </x:c>
      <x:c r="M402" s="210" t="n">
        <x:v>137</x:v>
      </x:c>
      <x:c r="N402" s="210" t="n">
        <x:v>1100</x:v>
      </x:c>
      <x:c r="O402" s="210" t="n">
        <x:v>60</x:v>
      </x:c>
      <x:c r="P402" s="210" t="n">
        <x:v>9</x:v>
      </x:c>
      <x:c r="Q402" s="211" t="n">
        <x:v>0</x:v>
      </x:c>
      <x:c r="R402" s="207" t="str"/>
      <x:c r="S402" s="207" t="str"/>
      <x:c r="T402" s="207" t="str"/>
      <x:c r="U402" s="207" t="n">
        <x:v>0</x:v>
      </x:c>
      <x:c r="V402" s="208" t="n">
        <x:f>MAX(0,M402-U402)</x:f>
        <x:v>137</x:v>
      </x:c>
      <x:c r="W402" s="209" t="n">
        <x:f>IFERROR(U402/M402,0)</x:f>
        <x:v>0</x:v>
      </x:c>
      <x:c r="X402" s="201" t="str">
        <x:f>IF(U402=0,"Não iniciado",IF(U402&gt;=M402,"Concluído","Parcial"))</x:f>
        <x:v>Não iniciado</x:v>
      </x:c>
      <x:c r="Y402" s="199" t="str"/>
      <x:c r="Z402" s="188" t="str">
        <x:v>Normal</x:v>
      </x:c>
    </x:row>
    <x:row r="403" ht="22" customHeight="1">
      <x:c r="A403" s="217" t="n">
        <x:v>399</x:v>
      </x:c>
      <x:c r="B403" s="218" t="str">
        <x:v>26792</x:v>
      </x:c>
      <x:c r="C403" s="218" t="str">
        <x:v>1</x:v>
      </x:c>
      <x:c r="D403" s="218" t="str">
        <x:v>609422</x:v>
      </x:c>
      <x:c r="E403" s="218" t="str">
        <x:v>2020600235</x:v>
      </x:c>
      <x:c r="F403" s="218" t="str">
        <x:v>OUTROS</x:v>
      </x:c>
      <x:c r="G403" s="184" t="str">
        <x:v>A STD PET TXT BCO 1100X60X9 RG(ME) RTO</x:v>
      </x:c>
      <x:c r="H403" s="184" t="str"/>
      <x:c r="I403" s="184" t="str"/>
      <x:c r="J403" s="184" t="str"/>
      <x:c r="K403" s="184" t="str">
        <x:v>ESMALTE</x:v>
      </x:c>
      <x:c r="L403" s="184" t="str">
        <x:v>BRANCO CARRARA</x:v>
      </x:c>
      <x:c r="M403" s="205" t="n">
        <x:v>137</x:v>
      </x:c>
      <x:c r="N403" s="205" t="n">
        <x:v>1100</x:v>
      </x:c>
      <x:c r="O403" s="205" t="n">
        <x:v>60</x:v>
      </x:c>
      <x:c r="P403" s="205" t="n">
        <x:v>9</x:v>
      </x:c>
      <x:c r="Q403" s="206" t="n">
        <x:v>0</x:v>
      </x:c>
      <x:c r="R403" s="207" t="str"/>
      <x:c r="S403" s="207" t="str"/>
      <x:c r="T403" s="207" t="str"/>
      <x:c r="U403" s="207" t="n">
        <x:v>0</x:v>
      </x:c>
      <x:c r="V403" s="208" t="n">
        <x:f>MAX(0,M403-U403)</x:f>
        <x:v>137</x:v>
      </x:c>
      <x:c r="W403" s="209" t="n">
        <x:f>IFERROR(U403/M403,0)</x:f>
        <x:v>0</x:v>
      </x:c>
      <x:c r="X403" s="201" t="str">
        <x:f>IF(U403=0,"Não iniciado",IF(U403&gt;=M403,"Concluído","Parcial"))</x:f>
        <x:v>Não iniciado</x:v>
      </x:c>
      <x:c r="Y403" s="199" t="str"/>
      <x:c r="Z403" s="188" t="str">
        <x:v>Normal</x:v>
      </x:c>
    </x:row>
    <x:row r="404" ht="22" customHeight="1">
      <x:c r="A404" s="219" t="n">
        <x:v>400</x:v>
      </x:c>
      <x:c r="B404" s="220" t="str">
        <x:v>26792</x:v>
      </x:c>
      <x:c r="C404" s="220" t="str">
        <x:v>2</x:v>
      </x:c>
      <x:c r="D404" s="220" t="str">
        <x:v>609429</x:v>
      </x:c>
      <x:c r="E404" s="220" t="str">
        <x:v>2020600234</x:v>
      </x:c>
      <x:c r="F404" s="220" t="str">
        <x:v>OUTROS</x:v>
      </x:c>
      <x:c r="G404" s="190" t="str">
        <x:v>A STD PET TXT BCO 1100X60X9 RG(55) RTO</x:v>
      </x:c>
      <x:c r="H404" s="190" t="str"/>
      <x:c r="I404" s="190" t="str"/>
      <x:c r="J404" s="190" t="str"/>
      <x:c r="K404" s="190" t="str">
        <x:v>ESMALTE</x:v>
      </x:c>
      <x:c r="L404" s="190" t="str">
        <x:v>BRANCO CARRARA</x:v>
      </x:c>
      <x:c r="M404" s="210" t="n">
        <x:v>17</x:v>
      </x:c>
      <x:c r="N404" s="210" t="n">
        <x:v>1100</x:v>
      </x:c>
      <x:c r="O404" s="210" t="n">
        <x:v>60</x:v>
      </x:c>
      <x:c r="P404" s="210" t="n">
        <x:v>9</x:v>
      </x:c>
      <x:c r="Q404" s="211" t="n">
        <x:v>0</x:v>
      </x:c>
      <x:c r="R404" s="207" t="str"/>
      <x:c r="S404" s="207" t="str"/>
      <x:c r="T404" s="207" t="str"/>
      <x:c r="U404" s="207" t="n">
        <x:v>0</x:v>
      </x:c>
      <x:c r="V404" s="208" t="n">
        <x:f>MAX(0,M404-U404)</x:f>
        <x:v>17</x:v>
      </x:c>
      <x:c r="W404" s="209" t="n">
        <x:f>IFERROR(U404/M404,0)</x:f>
        <x:v>0</x:v>
      </x:c>
      <x:c r="X404" s="201" t="str">
        <x:f>IF(U404=0,"Não iniciado",IF(U404&gt;=M404,"Concluído","Parcial"))</x:f>
        <x:v>Não iniciado</x:v>
      </x:c>
      <x:c r="Y404" s="199" t="str"/>
      <x:c r="Z404" s="188" t="str">
        <x:v>Normal</x:v>
      </x:c>
    </x:row>
    <x:row r="405" ht="22" customHeight="1">
      <x:c r="A405" s="217" t="n">
        <x:v>401</x:v>
      </x:c>
      <x:c r="B405" s="218" t="str">
        <x:v>26792</x:v>
      </x:c>
      <x:c r="C405" s="218" t="str">
        <x:v>2</x:v>
      </x:c>
      <x:c r="D405" s="218" t="str">
        <x:v>609430</x:v>
      </x:c>
      <x:c r="E405" s="218" t="str">
        <x:v>2020600235</x:v>
      </x:c>
      <x:c r="F405" s="218" t="str">
        <x:v>OUTROS</x:v>
      </x:c>
      <x:c r="G405" s="184" t="str">
        <x:v>A STD PET TXT BCO 1100X60X9 RG(ME) RTO</x:v>
      </x:c>
      <x:c r="H405" s="184" t="str"/>
      <x:c r="I405" s="184" t="str"/>
      <x:c r="J405" s="184" t="str"/>
      <x:c r="K405" s="184" t="str">
        <x:v>ESMALTE</x:v>
      </x:c>
      <x:c r="L405" s="184" t="str">
        <x:v>BRANCO CARRARA</x:v>
      </x:c>
      <x:c r="M405" s="205" t="n">
        <x:v>17</x:v>
      </x:c>
      <x:c r="N405" s="205" t="n">
        <x:v>1100</x:v>
      </x:c>
      <x:c r="O405" s="205" t="n">
        <x:v>60</x:v>
      </x:c>
      <x:c r="P405" s="205" t="n">
        <x:v>9</x:v>
      </x:c>
      <x:c r="Q405" s="206" t="n">
        <x:v>0</x:v>
      </x:c>
      <x:c r="R405" s="207" t="str"/>
      <x:c r="S405" s="207" t="str"/>
      <x:c r="T405" s="207" t="str"/>
      <x:c r="U405" s="207" t="n">
        <x:v>0</x:v>
      </x:c>
      <x:c r="V405" s="208" t="n">
        <x:f>MAX(0,M405-U405)</x:f>
        <x:v>17</x:v>
      </x:c>
      <x:c r="W405" s="209" t="n">
        <x:f>IFERROR(U405/M405,0)</x:f>
        <x:v>0</x:v>
      </x:c>
      <x:c r="X405" s="201" t="str">
        <x:f>IF(U405=0,"Não iniciado",IF(U405&gt;=M405,"Concluído","Parcial"))</x:f>
        <x:v>Não iniciado</x:v>
      </x:c>
      <x:c r="Y405" s="199" t="str"/>
      <x:c r="Z405" s="188" t="str">
        <x:v>Normal</x:v>
      </x:c>
    </x:row>
    <x:row r="406" ht="22" customHeight="1">
      <x:c r="A406" s="219" t="n">
        <x:v>402</x:v>
      </x:c>
      <x:c r="B406" s="220" t="str">
        <x:v>26792</x:v>
      </x:c>
      <x:c r="C406" s="220" t="str">
        <x:v>3</x:v>
      </x:c>
      <x:c r="D406" s="220" t="str">
        <x:v>609437</x:v>
      </x:c>
      <x:c r="E406" s="220" t="str">
        <x:v>2020600238</x:v>
      </x:c>
      <x:c r="F406" s="220" t="str">
        <x:v>OUTROS</x:v>
      </x:c>
      <x:c r="G406" s="190" t="str">
        <x:v>A STD PET TXT BCO 1100X60X9 RG(ME) RTO</x:v>
      </x:c>
      <x:c r="H406" s="190" t="str"/>
      <x:c r="I406" s="190" t="str"/>
      <x:c r="J406" s="190" t="str"/>
      <x:c r="K406" s="190" t="str">
        <x:v>ESMALTE</x:v>
      </x:c>
      <x:c r="L406" s="190" t="str">
        <x:v>BRANCO CARRARA</x:v>
      </x:c>
      <x:c r="M406" s="210" t="n">
        <x:v>1</x:v>
      </x:c>
      <x:c r="N406" s="210" t="n">
        <x:v>1100</x:v>
      </x:c>
      <x:c r="O406" s="210" t="n">
        <x:v>60</x:v>
      </x:c>
      <x:c r="P406" s="210" t="n">
        <x:v>9</x:v>
      </x:c>
      <x:c r="Q406" s="211" t="n">
        <x:v>0</x:v>
      </x:c>
      <x:c r="R406" s="207" t="str"/>
      <x:c r="S406" s="207" t="str"/>
      <x:c r="T406" s="207" t="str"/>
      <x:c r="U406" s="207" t="n">
        <x:v>0</x:v>
      </x:c>
      <x:c r="V406" s="208" t="n">
        <x:f>MAX(0,M406-U406)</x:f>
        <x:v>1</x:v>
      </x:c>
      <x:c r="W406" s="209" t="n">
        <x:f>IFERROR(U406/M406,0)</x:f>
        <x:v>0</x:v>
      </x:c>
      <x:c r="X406" s="201" t="str">
        <x:f>IF(U406=0,"Não iniciado",IF(U406&gt;=M406,"Concluído","Parcial"))</x:f>
        <x:v>Não iniciado</x:v>
      </x:c>
      <x:c r="Y406" s="199" t="str"/>
      <x:c r="Z406" s="188" t="str">
        <x:v>Normal</x:v>
      </x:c>
    </x:row>
    <x:row r="407" ht="22" customHeight="1">
      <x:c r="A407" s="217" t="n">
        <x:v>403</x:v>
      </x:c>
      <x:c r="B407" s="218" t="str">
        <x:v>26792</x:v>
      </x:c>
      <x:c r="C407" s="218" t="str">
        <x:v>5</x:v>
      </x:c>
      <x:c r="D407" s="218" t="str">
        <x:v>609458</x:v>
      </x:c>
      <x:c r="E407" s="218" t="str">
        <x:v>2020600241</x:v>
      </x:c>
      <x:c r="F407" s="218" t="str">
        <x:v>OUTROS</x:v>
      </x:c>
      <x:c r="G407" s="184" t="str">
        <x:v>A STD PET TXT BCO 1100X60X12 RG(ME) RTO</x:v>
      </x:c>
      <x:c r="H407" s="184" t="str"/>
      <x:c r="I407" s="184" t="str"/>
      <x:c r="J407" s="184" t="str"/>
      <x:c r="K407" s="184" t="str">
        <x:v>ESMALTE</x:v>
      </x:c>
      <x:c r="L407" s="184" t="str">
        <x:v>BRANCO CARRARA</x:v>
      </x:c>
      <x:c r="M407" s="205" t="n">
        <x:v>54</x:v>
      </x:c>
      <x:c r="N407" s="205" t="n">
        <x:v>1100</x:v>
      </x:c>
      <x:c r="O407" s="205" t="n">
        <x:v>60</x:v>
      </x:c>
      <x:c r="P407" s="205" t="n">
        <x:v>12</x:v>
      </x:c>
      <x:c r="Q407" s="206" t="n">
        <x:v>0</x:v>
      </x:c>
      <x:c r="R407" s="207" t="str"/>
      <x:c r="S407" s="207" t="str"/>
      <x:c r="T407" s="207" t="str"/>
      <x:c r="U407" s="207" t="n">
        <x:v>0</x:v>
      </x:c>
      <x:c r="V407" s="208" t="n">
        <x:f>MAX(0,M407-U407)</x:f>
        <x:v>54</x:v>
      </x:c>
      <x:c r="W407" s="209" t="n">
        <x:f>IFERROR(U407/M407,0)</x:f>
        <x:v>0</x:v>
      </x:c>
      <x:c r="X407" s="201" t="str">
        <x:f>IF(U407=0,"Não iniciado",IF(U407&gt;=M407,"Concluído","Parcial"))</x:f>
        <x:v>Não iniciado</x:v>
      </x:c>
      <x:c r="Y407" s="199" t="str"/>
      <x:c r="Z407" s="188" t="str">
        <x:v>Normal</x:v>
      </x:c>
    </x:row>
    <x:row r="408" ht="22" customHeight="1">
      <x:c r="A408" s="219" t="n">
        <x:v>404</x:v>
      </x:c>
      <x:c r="B408" s="220" t="str">
        <x:v>26792</x:v>
      </x:c>
      <x:c r="C408" s="220" t="str">
        <x:v>6</x:v>
      </x:c>
      <x:c r="D408" s="220" t="str">
        <x:v>609475</x:v>
      </x:c>
      <x:c r="E408" s="220" t="str">
        <x:v>2020600241</x:v>
      </x:c>
      <x:c r="F408" s="220" t="str">
        <x:v>OUTROS</x:v>
      </x:c>
      <x:c r="G408" s="190" t="str">
        <x:v>A STD PET TXT BCO 1100X60X12 RG(ME) RTO</x:v>
      </x:c>
      <x:c r="H408" s="190" t="str"/>
      <x:c r="I408" s="190" t="str"/>
      <x:c r="J408" s="190" t="str"/>
      <x:c r="K408" s="190" t="str">
        <x:v>ESMALTE</x:v>
      </x:c>
      <x:c r="L408" s="190" t="str">
        <x:v>BRANCO CARRARA</x:v>
      </x:c>
      <x:c r="M408" s="210" t="n">
        <x:v>10</x:v>
      </x:c>
      <x:c r="N408" s="210" t="n">
        <x:v>1100</x:v>
      </x:c>
      <x:c r="O408" s="210" t="n">
        <x:v>60</x:v>
      </x:c>
      <x:c r="P408" s="210" t="n">
        <x:v>12</x:v>
      </x:c>
      <x:c r="Q408" s="211" t="n">
        <x:v>0</x:v>
      </x:c>
      <x:c r="R408" s="207" t="str"/>
      <x:c r="S408" s="207" t="str"/>
      <x:c r="T408" s="207" t="str"/>
      <x:c r="U408" s="207" t="n">
        <x:v>0</x:v>
      </x:c>
      <x:c r="V408" s="208" t="n">
        <x:f>MAX(0,M408-U408)</x:f>
        <x:v>10</x:v>
      </x:c>
      <x:c r="W408" s="209" t="n">
        <x:f>IFERROR(U408/M408,0)</x:f>
        <x:v>0</x:v>
      </x:c>
      <x:c r="X408" s="201" t="str">
        <x:f>IF(U408=0,"Não iniciado",IF(U408&gt;=M408,"Concluído","Parcial"))</x:f>
        <x:v>Não iniciado</x:v>
      </x:c>
      <x:c r="Y408" s="199" t="str"/>
      <x:c r="Z408" s="188" t="str">
        <x:v>Normal</x:v>
      </x:c>
    </x:row>
    <x:row r="409" ht="22" customHeight="1">
      <x:c r="A409" s="217" t="n">
        <x:v>405</x:v>
      </x:c>
      <x:c r="B409" s="218" t="str">
        <x:v>26815</x:v>
      </x:c>
      <x:c r="C409" s="218" t="str">
        <x:v>1</x:v>
      </x:c>
      <x:c r="D409" s="218" t="str">
        <x:v>609490</x:v>
      </x:c>
      <x:c r="E409" s="218" t="str">
        <x:v>2020600234</x:v>
      </x:c>
      <x:c r="F409" s="218" t="str">
        <x:v>OUTROS</x:v>
      </x:c>
      <x:c r="G409" s="184" t="str">
        <x:v>A STD PET TXT BCO 1100X60X9 RG(55) RTO</x:v>
      </x:c>
      <x:c r="H409" s="184" t="str"/>
      <x:c r="I409" s="184" t="str"/>
      <x:c r="J409" s="184" t="str"/>
      <x:c r="K409" s="184" t="str">
        <x:v>ESMALTE</x:v>
      </x:c>
      <x:c r="L409" s="184" t="str">
        <x:v>BRANCO CARRARA</x:v>
      </x:c>
      <x:c r="M409" s="205" t="n">
        <x:v>154</x:v>
      </x:c>
      <x:c r="N409" s="205" t="n">
        <x:v>1100</x:v>
      </x:c>
      <x:c r="O409" s="205" t="n">
        <x:v>60</x:v>
      </x:c>
      <x:c r="P409" s="205" t="n">
        <x:v>9</x:v>
      </x:c>
      <x:c r="Q409" s="206" t="n">
        <x:v>0</x:v>
      </x:c>
      <x:c r="R409" s="207" t="str"/>
      <x:c r="S409" s="207" t="str"/>
      <x:c r="T409" s="207" t="str"/>
      <x:c r="U409" s="207" t="n">
        <x:v>0</x:v>
      </x:c>
      <x:c r="V409" s="208" t="n">
        <x:f>MAX(0,M409-U409)</x:f>
        <x:v>154</x:v>
      </x:c>
      <x:c r="W409" s="209" t="n">
        <x:f>IFERROR(U409/M409,0)</x:f>
        <x:v>0</x:v>
      </x:c>
      <x:c r="X409" s="201" t="str">
        <x:f>IF(U409=0,"Não iniciado",IF(U409&gt;=M409,"Concluído","Parcial"))</x:f>
        <x:v>Não iniciado</x:v>
      </x:c>
      <x:c r="Y409" s="199" t="str"/>
      <x:c r="Z409" s="188" t="str">
        <x:v>Normal</x:v>
      </x:c>
    </x:row>
    <x:row r="410" ht="22" customHeight="1">
      <x:c r="A410" s="219" t="n">
        <x:v>406</x:v>
      </x:c>
      <x:c r="B410" s="220" t="str">
        <x:v>26815</x:v>
      </x:c>
      <x:c r="C410" s="220" t="str">
        <x:v>1</x:v>
      </x:c>
      <x:c r="D410" s="220" t="str">
        <x:v>609491</x:v>
      </x:c>
      <x:c r="E410" s="220" t="str">
        <x:v>2020600235</x:v>
      </x:c>
      <x:c r="F410" s="220" t="str">
        <x:v>OUTROS</x:v>
      </x:c>
      <x:c r="G410" s="190" t="str">
        <x:v>A STD PET TXT BCO 1100X60X9 RG(ME) RTO</x:v>
      </x:c>
      <x:c r="H410" s="190" t="str"/>
      <x:c r="I410" s="190" t="str"/>
      <x:c r="J410" s="190" t="str"/>
      <x:c r="K410" s="190" t="str">
        <x:v>ESMALTE</x:v>
      </x:c>
      <x:c r="L410" s="190" t="str">
        <x:v>BRANCO CARRARA</x:v>
      </x:c>
      <x:c r="M410" s="210" t="n">
        <x:v>154</x:v>
      </x:c>
      <x:c r="N410" s="210" t="n">
        <x:v>1100</x:v>
      </x:c>
      <x:c r="O410" s="210" t="n">
        <x:v>60</x:v>
      </x:c>
      <x:c r="P410" s="210" t="n">
        <x:v>9</x:v>
      </x:c>
      <x:c r="Q410" s="211" t="n">
        <x:v>0</x:v>
      </x:c>
      <x:c r="R410" s="207" t="str"/>
      <x:c r="S410" s="207" t="str"/>
      <x:c r="T410" s="207" t="str"/>
      <x:c r="U410" s="207" t="n">
        <x:v>0</x:v>
      </x:c>
      <x:c r="V410" s="208" t="n">
        <x:f>MAX(0,M410-U410)</x:f>
        <x:v>154</x:v>
      </x:c>
      <x:c r="W410" s="209" t="n">
        <x:f>IFERROR(U410/M410,0)</x:f>
        <x:v>0</x:v>
      </x:c>
      <x:c r="X410" s="201" t="str">
        <x:f>IF(U410=0,"Não iniciado",IF(U410&gt;=M410,"Concluído","Parcial"))</x:f>
        <x:v>Não iniciado</x:v>
      </x:c>
      <x:c r="Y410" s="199" t="str"/>
      <x:c r="Z410" s="188" t="str">
        <x:v>Normal</x:v>
      </x:c>
    </x:row>
    <x:row r="411" ht="22" customHeight="1">
      <x:c r="A411" s="217" t="n">
        <x:v>407</x:v>
      </x:c>
      <x:c r="B411" s="218" t="str">
        <x:v>26815</x:v>
      </x:c>
      <x:c r="C411" s="218" t="str">
        <x:v>2</x:v>
      </x:c>
      <x:c r="D411" s="218" t="str">
        <x:v>609498</x:v>
      </x:c>
      <x:c r="E411" s="218" t="str">
        <x:v>2020600234</x:v>
      </x:c>
      <x:c r="F411" s="218" t="str">
        <x:v>OUTROS</x:v>
      </x:c>
      <x:c r="G411" s="184" t="str">
        <x:v>A STD PET TXT BCO 1100X60X9 RG(55) RTO</x:v>
      </x:c>
      <x:c r="H411" s="184" t="str"/>
      <x:c r="I411" s="184" t="str"/>
      <x:c r="J411" s="184" t="str"/>
      <x:c r="K411" s="184" t="str">
        <x:v>ESMALTE</x:v>
      </x:c>
      <x:c r="L411" s="184" t="str">
        <x:v>BRANCO CARRARA</x:v>
      </x:c>
      <x:c r="M411" s="205" t="n">
        <x:v>10</x:v>
      </x:c>
      <x:c r="N411" s="205" t="n">
        <x:v>1100</x:v>
      </x:c>
      <x:c r="O411" s="205" t="n">
        <x:v>60</x:v>
      </x:c>
      <x:c r="P411" s="205" t="n">
        <x:v>9</x:v>
      </x:c>
      <x:c r="Q411" s="206" t="n">
        <x:v>0</x:v>
      </x:c>
      <x:c r="R411" s="207" t="str"/>
      <x:c r="S411" s="207" t="str"/>
      <x:c r="T411" s="207" t="str"/>
      <x:c r="U411" s="207" t="n">
        <x:v>0</x:v>
      </x:c>
      <x:c r="V411" s="208" t="n">
        <x:f>MAX(0,M411-U411)</x:f>
        <x:v>10</x:v>
      </x:c>
      <x:c r="W411" s="209" t="n">
        <x:f>IFERROR(U411/M411,0)</x:f>
        <x:v>0</x:v>
      </x:c>
      <x:c r="X411" s="201" t="str">
        <x:f>IF(U411=0,"Não iniciado",IF(U411&gt;=M411,"Concluído","Parcial"))</x:f>
        <x:v>Não iniciado</x:v>
      </x:c>
      <x:c r="Y411" s="199" t="str"/>
      <x:c r="Z411" s="188" t="str">
        <x:v>Normal</x:v>
      </x:c>
    </x:row>
    <x:row r="412" ht="22" customHeight="1">
      <x:c r="A412" s="219" t="n">
        <x:v>408</x:v>
      </x:c>
      <x:c r="B412" s="220" t="str">
        <x:v>26815</x:v>
      </x:c>
      <x:c r="C412" s="220" t="str">
        <x:v>2</x:v>
      </x:c>
      <x:c r="D412" s="220" t="str">
        <x:v>609499</x:v>
      </x:c>
      <x:c r="E412" s="220" t="str">
        <x:v>2020600235</x:v>
      </x:c>
      <x:c r="F412" s="220" t="str">
        <x:v>OUTROS</x:v>
      </x:c>
      <x:c r="G412" s="190" t="str">
        <x:v>A STD PET TXT BCO 1100X60X9 RG(ME) RTO</x:v>
      </x:c>
      <x:c r="H412" s="190" t="str"/>
      <x:c r="I412" s="190" t="str"/>
      <x:c r="J412" s="190" t="str"/>
      <x:c r="K412" s="190" t="str">
        <x:v>ESMALTE</x:v>
      </x:c>
      <x:c r="L412" s="190" t="str">
        <x:v>BRANCO CARRARA</x:v>
      </x:c>
      <x:c r="M412" s="210" t="n">
        <x:v>10</x:v>
      </x:c>
      <x:c r="N412" s="210" t="n">
        <x:v>1100</x:v>
      </x:c>
      <x:c r="O412" s="210" t="n">
        <x:v>60</x:v>
      </x:c>
      <x:c r="P412" s="210" t="n">
        <x:v>9</x:v>
      </x:c>
      <x:c r="Q412" s="211" t="n">
        <x:v>0</x:v>
      </x:c>
      <x:c r="R412" s="207" t="str"/>
      <x:c r="S412" s="207" t="str"/>
      <x:c r="T412" s="207" t="str"/>
      <x:c r="U412" s="207" t="n">
        <x:v>0</x:v>
      </x:c>
      <x:c r="V412" s="208" t="n">
        <x:f>MAX(0,M412-U412)</x:f>
        <x:v>10</x:v>
      </x:c>
      <x:c r="W412" s="209" t="n">
        <x:f>IFERROR(U412/M412,0)</x:f>
        <x:v>0</x:v>
      </x:c>
      <x:c r="X412" s="201" t="str">
        <x:f>IF(U412=0,"Não iniciado",IF(U412&gt;=M412,"Concluído","Parcial"))</x:f>
        <x:v>Não iniciado</x:v>
      </x:c>
      <x:c r="Y412" s="199" t="str"/>
      <x:c r="Z412" s="188" t="str">
        <x:v>Normal</x:v>
      </x:c>
    </x:row>
    <x:row r="413" ht="22" customHeight="1">
      <x:c r="A413" s="217" t="n">
        <x:v>409</x:v>
      </x:c>
      <x:c r="B413" s="218" t="str">
        <x:v>26815</x:v>
      </x:c>
      <x:c r="C413" s="218" t="str">
        <x:v>4</x:v>
      </x:c>
      <x:c r="D413" s="218" t="str">
        <x:v>609519</x:v>
      </x:c>
      <x:c r="E413" s="218" t="str">
        <x:v>2020600241</x:v>
      </x:c>
      <x:c r="F413" s="218" t="str">
        <x:v>OUTROS</x:v>
      </x:c>
      <x:c r="G413" s="184" t="str">
        <x:v>A STD PET TXT BCO 1100X60X12 RG(ME) RTO</x:v>
      </x:c>
      <x:c r="H413" s="184" t="str"/>
      <x:c r="I413" s="184" t="str"/>
      <x:c r="J413" s="184" t="str"/>
      <x:c r="K413" s="184" t="str">
        <x:v>ESMALTE</x:v>
      </x:c>
      <x:c r="L413" s="184" t="str">
        <x:v>BRANCO CARRARA</x:v>
      </x:c>
      <x:c r="M413" s="205" t="n">
        <x:v>67</x:v>
      </x:c>
      <x:c r="N413" s="205" t="n">
        <x:v>1100</x:v>
      </x:c>
      <x:c r="O413" s="205" t="n">
        <x:v>60</x:v>
      </x:c>
      <x:c r="P413" s="205" t="n">
        <x:v>12</x:v>
      </x:c>
      <x:c r="Q413" s="206" t="n">
        <x:v>0</x:v>
      </x:c>
      <x:c r="R413" s="207" t="str"/>
      <x:c r="S413" s="207" t="str"/>
      <x:c r="T413" s="207" t="str"/>
      <x:c r="U413" s="207" t="n">
        <x:v>0</x:v>
      </x:c>
      <x:c r="V413" s="208" t="n">
        <x:f>MAX(0,M413-U413)</x:f>
        <x:v>67</x:v>
      </x:c>
      <x:c r="W413" s="209" t="n">
        <x:f>IFERROR(U413/M413,0)</x:f>
        <x:v>0</x:v>
      </x:c>
      <x:c r="X413" s="201" t="str">
        <x:f>IF(U413=0,"Não iniciado",IF(U413&gt;=M413,"Concluído","Parcial"))</x:f>
        <x:v>Não iniciado</x:v>
      </x:c>
      <x:c r="Y413" s="199" t="str"/>
      <x:c r="Z413" s="188" t="str">
        <x:v>Normal</x:v>
      </x:c>
    </x:row>
    <x:row r="414" ht="22" customHeight="1">
      <x:c r="A414" s="219" t="n">
        <x:v>410</x:v>
      </x:c>
      <x:c r="B414" s="220" t="str">
        <x:v>26815</x:v>
      </x:c>
      <x:c r="C414" s="220" t="str">
        <x:v>5</x:v>
      </x:c>
      <x:c r="D414" s="220" t="str">
        <x:v>609536</x:v>
      </x:c>
      <x:c r="E414" s="220" t="str">
        <x:v>2020600241</x:v>
      </x:c>
      <x:c r="F414" s="220" t="str">
        <x:v>OUTROS</x:v>
      </x:c>
      <x:c r="G414" s="190" t="str">
        <x:v>A STD PET TXT BCO 1100X60X12 RG(ME) RTO</x:v>
      </x:c>
      <x:c r="H414" s="190" t="str"/>
      <x:c r="I414" s="190" t="str"/>
      <x:c r="J414" s="190" t="str"/>
      <x:c r="K414" s="190" t="str">
        <x:v>ESMALTE</x:v>
      </x:c>
      <x:c r="L414" s="190" t="str">
        <x:v>BRANCO CARRARA</x:v>
      </x:c>
      <x:c r="M414" s="210" t="n">
        <x:v>8</x:v>
      </x:c>
      <x:c r="N414" s="210" t="n">
        <x:v>1100</x:v>
      </x:c>
      <x:c r="O414" s="210" t="n">
        <x:v>60</x:v>
      </x:c>
      <x:c r="P414" s="210" t="n">
        <x:v>12</x:v>
      </x:c>
      <x:c r="Q414" s="211" t="n">
        <x:v>0</x:v>
      </x:c>
      <x:c r="R414" s="207" t="str"/>
      <x:c r="S414" s="207" t="str"/>
      <x:c r="T414" s="207" t="str"/>
      <x:c r="U414" s="207" t="n">
        <x:v>0</x:v>
      </x:c>
      <x:c r="V414" s="208" t="n">
        <x:f>MAX(0,M414-U414)</x:f>
        <x:v>8</x:v>
      </x:c>
      <x:c r="W414" s="209" t="n">
        <x:f>IFERROR(U414/M414,0)</x:f>
        <x:v>0</x:v>
      </x:c>
      <x:c r="X414" s="201" t="str">
        <x:f>IF(U414=0,"Não iniciado",IF(U414&gt;=M414,"Concluído","Parcial"))</x:f>
        <x:v>Não iniciado</x:v>
      </x:c>
      <x:c r="Y414" s="199" t="str"/>
      <x:c r="Z414" s="188" t="str">
        <x:v>Normal</x:v>
      </x:c>
    </x:row>
    <x:row r="415" ht="22" customHeight="1">
      <x:c r="A415" s="217" t="n">
        <x:v>411</x:v>
      </x:c>
      <x:c r="B415" s="218" t="str">
        <x:v>26815</x:v>
      </x:c>
      <x:c r="C415" s="218" t="str">
        <x:v>6</x:v>
      </x:c>
      <x:c r="D415" s="218" t="str">
        <x:v>609553</x:v>
      </x:c>
      <x:c r="E415" s="218" t="str">
        <x:v>2020600241</x:v>
      </x:c>
      <x:c r="F415" s="218" t="str">
        <x:v>OUTROS</x:v>
      </x:c>
      <x:c r="G415" s="184" t="str">
        <x:v>A STD PET TXT BCO 1100X60X12 RG(ME) RTO</x:v>
      </x:c>
      <x:c r="H415" s="184" t="str"/>
      <x:c r="I415" s="184" t="str"/>
      <x:c r="J415" s="184" t="str"/>
      <x:c r="K415" s="184" t="str">
        <x:v>ESMALTE</x:v>
      </x:c>
      <x:c r="L415" s="184" t="str">
        <x:v>BRANCO CARRARA</x:v>
      </x:c>
      <x:c r="M415" s="205" t="n">
        <x:v>27</x:v>
      </x:c>
      <x:c r="N415" s="205" t="n">
        <x:v>1100</x:v>
      </x:c>
      <x:c r="O415" s="205" t="n">
        <x:v>60</x:v>
      </x:c>
      <x:c r="P415" s="205" t="n">
        <x:v>12</x:v>
      </x:c>
      <x:c r="Q415" s="206" t="n">
        <x:v>0</x:v>
      </x:c>
      <x:c r="R415" s="207" t="str"/>
      <x:c r="S415" s="207" t="str"/>
      <x:c r="T415" s="207" t="str"/>
      <x:c r="U415" s="207" t="n">
        <x:v>0</x:v>
      </x:c>
      <x:c r="V415" s="208" t="n">
        <x:f>MAX(0,M415-U415)</x:f>
        <x:v>27</x:v>
      </x:c>
      <x:c r="W415" s="209" t="n">
        <x:f>IFERROR(U415/M415,0)</x:f>
        <x:v>0</x:v>
      </x:c>
      <x:c r="X415" s="201" t="str">
        <x:f>IF(U415=0,"Não iniciado",IF(U415&gt;=M415,"Concluído","Parcial"))</x:f>
        <x:v>Não iniciado</x:v>
      </x:c>
      <x:c r="Y415" s="199" t="str"/>
      <x:c r="Z415" s="188" t="str">
        <x:v>Normal</x:v>
      </x:c>
    </x:row>
    <x:row r="416" ht="22" customHeight="1">
      <x:c r="A416" s="219" t="n">
        <x:v>412</x:v>
      </x:c>
      <x:c r="B416" s="220" t="str">
        <x:v>26815</x:v>
      </x:c>
      <x:c r="C416" s="220" t="str">
        <x:v>7</x:v>
      </x:c>
      <x:c r="D416" s="220" t="str">
        <x:v>609570</x:v>
      </x:c>
      <x:c r="E416" s="220" t="str">
        <x:v>2020600241</x:v>
      </x:c>
      <x:c r="F416" s="220" t="str">
        <x:v>OUTROS</x:v>
      </x:c>
      <x:c r="G416" s="190" t="str">
        <x:v>A STD PET TXT BCO 1100X60X12 RG(ME) RTO</x:v>
      </x:c>
      <x:c r="H416" s="190" t="str"/>
      <x:c r="I416" s="190" t="str"/>
      <x:c r="J416" s="190" t="str"/>
      <x:c r="K416" s="190" t="str">
        <x:v>ESMALTE</x:v>
      </x:c>
      <x:c r="L416" s="190" t="str">
        <x:v>BRANCO CARRARA</x:v>
      </x:c>
      <x:c r="M416" s="210" t="n">
        <x:v>5</x:v>
      </x:c>
      <x:c r="N416" s="210" t="n">
        <x:v>1100</x:v>
      </x:c>
      <x:c r="O416" s="210" t="n">
        <x:v>60</x:v>
      </x:c>
      <x:c r="P416" s="210" t="n">
        <x:v>12</x:v>
      </x:c>
      <x:c r="Q416" s="211" t="n">
        <x:v>0</x:v>
      </x:c>
      <x:c r="R416" s="207" t="str"/>
      <x:c r="S416" s="207" t="str"/>
      <x:c r="T416" s="207" t="str"/>
      <x:c r="U416" s="207" t="n">
        <x:v>0</x:v>
      </x:c>
      <x:c r="V416" s="208" t="n">
        <x:f>MAX(0,M416-U416)</x:f>
        <x:v>5</x:v>
      </x:c>
      <x:c r="W416" s="209" t="n">
        <x:f>IFERROR(U416/M416,0)</x:f>
        <x:v>0</x:v>
      </x:c>
      <x:c r="X416" s="201" t="str">
        <x:f>IF(U416=0,"Não iniciado",IF(U416&gt;=M416,"Concluído","Parcial"))</x:f>
        <x:v>Não iniciado</x:v>
      </x:c>
      <x:c r="Y416" s="199" t="str"/>
      <x:c r="Z416" s="188" t="str">
        <x:v>Normal</x:v>
      </x:c>
    </x:row>
    <x:row r="417" ht="22" customHeight="1">
      <x:c r="A417" s="217" t="n">
        <x:v>413</x:v>
      </x:c>
      <x:c r="B417" s="218" t="str">
        <x:v>26796</x:v>
      </x:c>
      <x:c r="C417" s="218" t="str">
        <x:v>2</x:v>
      </x:c>
      <x:c r="D417" s="218" t="str">
        <x:v>609292</x:v>
      </x:c>
      <x:c r="E417" s="218" t="str">
        <x:v>956374</x:v>
      </x:c>
      <x:c r="F417" s="218" t="str">
        <x:v>OUTROS</x:v>
      </x:c>
      <x:c r="G417" s="184" t="str">
        <x:v>2250X50X9 RTO LME PET BCO TXT MPMV(STD)</x:v>
      </x:c>
      <x:c r="H417" s="184" t="str"/>
      <x:c r="I417" s="184" t="str"/>
      <x:c r="J417" s="184" t="str"/>
      <x:c r="K417" s="184" t="str">
        <x:v>ESMALTE</x:v>
      </x:c>
      <x:c r="L417" s="184" t="str">
        <x:v>BRANCO</x:v>
      </x:c>
      <x:c r="M417" s="205" t="n">
        <x:v>96</x:v>
      </x:c>
      <x:c r="N417" s="205" t="n">
        <x:v>2250</x:v>
      </x:c>
      <x:c r="O417" s="205" t="n">
        <x:v>50</x:v>
      </x:c>
      <x:c r="P417" s="205" t="n">
        <x:v>9</x:v>
      </x:c>
      <x:c r="Q417" s="206" t="n">
        <x:v>0</x:v>
      </x:c>
      <x:c r="R417" s="207" t="str"/>
      <x:c r="S417" s="207" t="str"/>
      <x:c r="T417" s="207" t="str"/>
      <x:c r="U417" s="207" t="n">
        <x:v>0</x:v>
      </x:c>
      <x:c r="V417" s="208" t="n">
        <x:f>MAX(0,M417-U417)</x:f>
        <x:v>96</x:v>
      </x:c>
      <x:c r="W417" s="209" t="n">
        <x:f>IFERROR(U417/M417,0)</x:f>
        <x:v>0</x:v>
      </x:c>
      <x:c r="X417" s="201" t="str">
        <x:f>IF(U417=0,"Não iniciado",IF(U417&gt;=M417,"Concluído","Parcial"))</x:f>
        <x:v>Não iniciado</x:v>
      </x:c>
      <x:c r="Y417" s="199" t="str"/>
      <x:c r="Z417" s="188" t="str">
        <x:v>Normal</x:v>
      </x:c>
    </x:row>
    <x:row r="418" ht="22" customHeight="1">
      <x:c r="A418" s="219" t="n">
        <x:v>414</x:v>
      </x:c>
      <x:c r="B418" s="220" t="str">
        <x:v>26799</x:v>
      </x:c>
      <x:c r="C418" s="220" t="str">
        <x:v>2</x:v>
      </x:c>
      <x:c r="D418" s="220" t="str">
        <x:v>609397</x:v>
      </x:c>
      <x:c r="E418" s="220" t="str">
        <x:v>956374</x:v>
      </x:c>
      <x:c r="F418" s="220" t="str">
        <x:v>OUTROS</x:v>
      </x:c>
      <x:c r="G418" s="190" t="str">
        <x:v>2250X50X9 RTO LME PET BCO TXT MPMV(STD)</x:v>
      </x:c>
      <x:c r="H418" s="190" t="str"/>
      <x:c r="I418" s="190" t="str"/>
      <x:c r="J418" s="190" t="str"/>
      <x:c r="K418" s="190" t="str">
        <x:v>ESMALTE</x:v>
      </x:c>
      <x:c r="L418" s="190" t="str">
        <x:v>BRANCO</x:v>
      </x:c>
      <x:c r="M418" s="210" t="n">
        <x:v>32</x:v>
      </x:c>
      <x:c r="N418" s="210" t="n">
        <x:v>2250</x:v>
      </x:c>
      <x:c r="O418" s="210" t="n">
        <x:v>50</x:v>
      </x:c>
      <x:c r="P418" s="210" t="n">
        <x:v>9</x:v>
      </x:c>
      <x:c r="Q418" s="211" t="n">
        <x:v>0</x:v>
      </x:c>
      <x:c r="R418" s="207" t="str"/>
      <x:c r="S418" s="207" t="str"/>
      <x:c r="T418" s="207" t="str"/>
      <x:c r="U418" s="207" t="n">
        <x:v>0</x:v>
      </x:c>
      <x:c r="V418" s="208" t="n">
        <x:f>MAX(0,M418-U418)</x:f>
        <x:v>32</x:v>
      </x:c>
      <x:c r="W418" s="209" t="n">
        <x:f>IFERROR(U418/M418,0)</x:f>
        <x:v>0</x:v>
      </x:c>
      <x:c r="X418" s="201" t="str">
        <x:f>IF(U418=0,"Não iniciado",IF(U418&gt;=M418,"Concluído","Parcial"))</x:f>
        <x:v>Não iniciado</x:v>
      </x:c>
      <x:c r="Y418" s="199" t="str"/>
      <x:c r="Z418" s="188" t="str">
        <x:v>Normal</x:v>
      </x:c>
    </x:row>
    <x:row r="419" ht="22" customHeight="1">
      <x:c r="A419" s="217" t="n">
        <x:v>415</x:v>
      </x:c>
      <x:c r="B419" s="218" t="str">
        <x:v>26824</x:v>
      </x:c>
      <x:c r="C419" s="218" t="str">
        <x:v>2</x:v>
      </x:c>
      <x:c r="D419" s="218" t="str">
        <x:v>609587</x:v>
      </x:c>
      <x:c r="E419" s="218" t="str">
        <x:v>956369</x:v>
      </x:c>
      <x:c r="F419" s="218" t="str">
        <x:v>OUTROS</x:v>
      </x:c>
      <x:c r="G419" s="184" t="str">
        <x:v>2250X50X9 RTO RL55 PET BCO TXT MPMV(STD)</x:v>
      </x:c>
      <x:c r="H419" s="184" t="str"/>
      <x:c r="I419" s="184" t="str"/>
      <x:c r="J419" s="184" t="str"/>
      <x:c r="K419" s="184" t="str">
        <x:v>ESMALTE</x:v>
      </x:c>
      <x:c r="L419" s="184" t="str">
        <x:v>BRANCO</x:v>
      </x:c>
      <x:c r="M419" s="205" t="n">
        <x:v>362</x:v>
      </x:c>
      <x:c r="N419" s="205" t="n">
        <x:v>2250</x:v>
      </x:c>
      <x:c r="O419" s="205" t="n">
        <x:v>50</x:v>
      </x:c>
      <x:c r="P419" s="205" t="n">
        <x:v>9</x:v>
      </x:c>
      <x:c r="Q419" s="206" t="n">
        <x:v>0</x:v>
      </x:c>
      <x:c r="R419" s="207" t="str"/>
      <x:c r="S419" s="207" t="str"/>
      <x:c r="T419" s="207" t="str"/>
      <x:c r="U419" s="207" t="n">
        <x:v>0</x:v>
      </x:c>
      <x:c r="V419" s="208" t="n">
        <x:f>MAX(0,M419-U419)</x:f>
        <x:v>362</x:v>
      </x:c>
      <x:c r="W419" s="209" t="n">
        <x:f>IFERROR(U419/M419,0)</x:f>
        <x:v>0</x:v>
      </x:c>
      <x:c r="X419" s="201" t="str">
        <x:f>IF(U419=0,"Não iniciado",IF(U419&gt;=M419,"Concluído","Parcial"))</x:f>
        <x:v>Não iniciado</x:v>
      </x:c>
      <x:c r="Y419" s="199" t="str"/>
      <x:c r="Z419" s="188" t="str">
        <x:v>Normal</x:v>
      </x:c>
    </x:row>
    <x:row r="420" ht="22" customHeight="1">
      <x:c r="A420" s="219" t="n">
        <x:v>416</x:v>
      </x:c>
      <x:c r="B420" s="220" t="str">
        <x:v>26824</x:v>
      </x:c>
      <x:c r="C420" s="220" t="str">
        <x:v>2</x:v>
      </x:c>
      <x:c r="D420" s="220" t="str">
        <x:v>609588</x:v>
      </x:c>
      <x:c r="E420" s="220" t="str">
        <x:v>956374</x:v>
      </x:c>
      <x:c r="F420" s="220" t="str">
        <x:v>OUTROS</x:v>
      </x:c>
      <x:c r="G420" s="190" t="str">
        <x:v>2250X50X9 RTO LME PET BCO TXT MPMV(STD)</x:v>
      </x:c>
      <x:c r="H420" s="190" t="str"/>
      <x:c r="I420" s="190" t="str"/>
      <x:c r="J420" s="190" t="str"/>
      <x:c r="K420" s="190" t="str">
        <x:v>ESMALTE</x:v>
      </x:c>
      <x:c r="L420" s="190" t="str">
        <x:v>BRANCO</x:v>
      </x:c>
      <x:c r="M420" s="210" t="n">
        <x:v>362</x:v>
      </x:c>
      <x:c r="N420" s="210" t="n">
        <x:v>2250</x:v>
      </x:c>
      <x:c r="O420" s="210" t="n">
        <x:v>50</x:v>
      </x:c>
      <x:c r="P420" s="210" t="n">
        <x:v>9</x:v>
      </x:c>
      <x:c r="Q420" s="211" t="n">
        <x:v>0</x:v>
      </x:c>
      <x:c r="R420" s="207" t="str"/>
      <x:c r="S420" s="207" t="str"/>
      <x:c r="T420" s="207" t="str"/>
      <x:c r="U420" s="207" t="n">
        <x:v>0</x:v>
      </x:c>
      <x:c r="V420" s="208" t="n">
        <x:f>MAX(0,M420-U420)</x:f>
        <x:v>362</x:v>
      </x:c>
      <x:c r="W420" s="209" t="n">
        <x:f>IFERROR(U420/M420,0)</x:f>
        <x:v>0</x:v>
      </x:c>
      <x:c r="X420" s="201" t="str">
        <x:f>IF(U420=0,"Não iniciado",IF(U420&gt;=M420,"Concluído","Parcial"))</x:f>
        <x:v>Não iniciado</x:v>
      </x:c>
      <x:c r="Y420" s="199" t="str"/>
      <x:c r="Z420" s="188" t="str">
        <x:v>Normal</x:v>
      </x:c>
    </x:row>
    <x:row r="421" ht="22" customHeight="1">
      <x:c r="A421" s="217" t="n">
        <x:v>417</x:v>
      </x:c>
      <x:c r="B421" s="218" t="str">
        <x:v>26824</x:v>
      </x:c>
      <x:c r="C421" s="218" t="str">
        <x:v>4</x:v>
      </x:c>
      <x:c r="D421" s="218" t="str">
        <x:v>609603</x:v>
      </x:c>
      <x:c r="E421" s="218" t="str">
        <x:v>956374</x:v>
      </x:c>
      <x:c r="F421" s="218" t="str">
        <x:v>OUTROS</x:v>
      </x:c>
      <x:c r="G421" s="184" t="str">
        <x:v>2250X50X9 RTO LME PET BCO TXT MPMV(STD)</x:v>
      </x:c>
      <x:c r="H421" s="184" t="str"/>
      <x:c r="I421" s="184" t="str"/>
      <x:c r="J421" s="184" t="str"/>
      <x:c r="K421" s="184" t="str">
        <x:v>ESMALTE</x:v>
      </x:c>
      <x:c r="L421" s="184" t="str">
        <x:v>BRANCO</x:v>
      </x:c>
      <x:c r="M421" s="205" t="n">
        <x:v>84</x:v>
      </x:c>
      <x:c r="N421" s="205" t="n">
        <x:v>2250</x:v>
      </x:c>
      <x:c r="O421" s="205" t="n">
        <x:v>50</x:v>
      </x:c>
      <x:c r="P421" s="205" t="n">
        <x:v>9</x:v>
      </x:c>
      <x:c r="Q421" s="206" t="n">
        <x:v>0</x:v>
      </x:c>
      <x:c r="R421" s="207" t="str"/>
      <x:c r="S421" s="207" t="str"/>
      <x:c r="T421" s="207" t="str"/>
      <x:c r="U421" s="207" t="n">
        <x:v>0</x:v>
      </x:c>
      <x:c r="V421" s="208" t="n">
        <x:f>MAX(0,M421-U421)</x:f>
        <x:v>84</x:v>
      </x:c>
      <x:c r="W421" s="209" t="n">
        <x:f>IFERROR(U421/M421,0)</x:f>
        <x:v>0</x:v>
      </x:c>
      <x:c r="X421" s="201" t="str">
        <x:f>IF(U421=0,"Não iniciado",IF(U421&gt;=M421,"Concluído","Parcial"))</x:f>
        <x:v>Não iniciado</x:v>
      </x:c>
      <x:c r="Y421" s="199" t="str"/>
      <x:c r="Z421" s="188" t="str">
        <x:v>Normal</x:v>
      </x:c>
    </x:row>
    <x:row r="422" ht="22" customHeight="1">
      <x:c r="A422" s="219" t="n">
        <x:v>418</x:v>
      </x:c>
      <x:c r="B422" s="220" t="str">
        <x:v>26824</x:v>
      </x:c>
      <x:c r="C422" s="220" t="str">
        <x:v>4</x:v>
      </x:c>
      <x:c r="D422" s="220" t="str">
        <x:v>609604</x:v>
      </x:c>
      <x:c r="E422" s="220" t="str">
        <x:v>956400</x:v>
      </x:c>
      <x:c r="F422" s="220" t="str">
        <x:v>OUTROS</x:v>
      </x:c>
      <x:c r="G422" s="190" t="str">
        <x:v>2250X50X9 RTO RL80 PET BCO TXT MPMV(STD)</x:v>
      </x:c>
      <x:c r="H422" s="190" t="str"/>
      <x:c r="I422" s="190" t="str"/>
      <x:c r="J422" s="190" t="str"/>
      <x:c r="K422" s="190" t="str">
        <x:v>ESMALTE</x:v>
      </x:c>
      <x:c r="L422" s="190" t="str">
        <x:v>BRANCO</x:v>
      </x:c>
      <x:c r="M422" s="210" t="n">
        <x:v>84</x:v>
      </x:c>
      <x:c r="N422" s="210" t="n">
        <x:v>2250</x:v>
      </x:c>
      <x:c r="O422" s="210" t="n">
        <x:v>50</x:v>
      </x:c>
      <x:c r="P422" s="210" t="n">
        <x:v>9</x:v>
      </x:c>
      <x:c r="Q422" s="211" t="n">
        <x:v>0</x:v>
      </x:c>
      <x:c r="R422" s="207" t="str"/>
      <x:c r="S422" s="207" t="str"/>
      <x:c r="T422" s="207" t="str"/>
      <x:c r="U422" s="207" t="n">
        <x:v>0</x:v>
      </x:c>
      <x:c r="V422" s="208" t="n">
        <x:f>MAX(0,M422-U422)</x:f>
        <x:v>84</x:v>
      </x:c>
      <x:c r="W422" s="209" t="n">
        <x:f>IFERROR(U422/M422,0)</x:f>
        <x:v>0</x:v>
      </x:c>
      <x:c r="X422" s="201" t="str">
        <x:f>IF(U422=0,"Não iniciado",IF(U422&gt;=M422,"Concluído","Parcial"))</x:f>
        <x:v>Não iniciado</x:v>
      </x:c>
      <x:c r="Y422" s="199" t="str"/>
      <x:c r="Z422" s="188" t="str">
        <x:v>Normal</x:v>
      </x:c>
    </x:row>
    <x:row r="423" ht="22" customHeight="1">
      <x:c r="A423" s="217" t="n">
        <x:v>419</x:v>
      </x:c>
      <x:c r="B423" s="218" t="str">
        <x:v>26824</x:v>
      </x:c>
      <x:c r="C423" s="218" t="str">
        <x:v>5</x:v>
      </x:c>
      <x:c r="D423" s="218" t="str">
        <x:v>609611</x:v>
      </x:c>
      <x:c r="E423" s="218" t="str">
        <x:v>956369</x:v>
      </x:c>
      <x:c r="F423" s="218" t="str">
        <x:v>OUTROS</x:v>
      </x:c>
      <x:c r="G423" s="184" t="str">
        <x:v>2250X50X9 RTO RL55 PET BCO TXT MPMV(STD)</x:v>
      </x:c>
      <x:c r="H423" s="184" t="str"/>
      <x:c r="I423" s="184" t="str"/>
      <x:c r="J423" s="184" t="str"/>
      <x:c r="K423" s="184" t="str">
        <x:v>ESMALTE</x:v>
      </x:c>
      <x:c r="L423" s="184" t="str">
        <x:v>BRANCO</x:v>
      </x:c>
      <x:c r="M423" s="205" t="n">
        <x:v>42</x:v>
      </x:c>
      <x:c r="N423" s="205" t="n">
        <x:v>2250</x:v>
      </x:c>
      <x:c r="O423" s="205" t="n">
        <x:v>50</x:v>
      </x:c>
      <x:c r="P423" s="205" t="n">
        <x:v>9</x:v>
      </x:c>
      <x:c r="Q423" s="206" t="n">
        <x:v>0</x:v>
      </x:c>
      <x:c r="R423" s="207" t="str"/>
      <x:c r="S423" s="207" t="str"/>
      <x:c r="T423" s="207" t="str"/>
      <x:c r="U423" s="207" t="n">
        <x:v>0</x:v>
      </x:c>
      <x:c r="V423" s="208" t="n">
        <x:f>MAX(0,M423-U423)</x:f>
        <x:v>42</x:v>
      </x:c>
      <x:c r="W423" s="209" t="n">
        <x:f>IFERROR(U423/M423,0)</x:f>
        <x:v>0</x:v>
      </x:c>
      <x:c r="X423" s="201" t="str">
        <x:f>IF(U423=0,"Não iniciado",IF(U423&gt;=M423,"Concluído","Parcial"))</x:f>
        <x:v>Não iniciado</x:v>
      </x:c>
      <x:c r="Y423" s="199" t="str"/>
      <x:c r="Z423" s="188" t="str">
        <x:v>Normal</x:v>
      </x:c>
    </x:row>
    <x:row r="424" ht="22" customHeight="1">
      <x:c r="A424" s="219" t="n">
        <x:v>420</x:v>
      </x:c>
      <x:c r="B424" s="220" t="str">
        <x:v>26824</x:v>
      </x:c>
      <x:c r="C424" s="220" t="str">
        <x:v>5</x:v>
      </x:c>
      <x:c r="D424" s="220" t="str">
        <x:v>609612</x:v>
      </x:c>
      <x:c r="E424" s="220" t="str">
        <x:v>956374</x:v>
      </x:c>
      <x:c r="F424" s="220" t="str">
        <x:v>OUTROS</x:v>
      </x:c>
      <x:c r="G424" s="190" t="str">
        <x:v>2250X50X9 RTO LME PET BCO TXT MPMV(STD)</x:v>
      </x:c>
      <x:c r="H424" s="190" t="str"/>
      <x:c r="I424" s="190" t="str"/>
      <x:c r="J424" s="190" t="str"/>
      <x:c r="K424" s="190" t="str">
        <x:v>ESMALTE</x:v>
      </x:c>
      <x:c r="L424" s="190" t="str">
        <x:v>BRANCO</x:v>
      </x:c>
      <x:c r="M424" s="210" t="n">
        <x:v>42</x:v>
      </x:c>
      <x:c r="N424" s="210" t="n">
        <x:v>2250</x:v>
      </x:c>
      <x:c r="O424" s="210" t="n">
        <x:v>50</x:v>
      </x:c>
      <x:c r="P424" s="210" t="n">
        <x:v>9</x:v>
      </x:c>
      <x:c r="Q424" s="211" t="n">
        <x:v>0</x:v>
      </x:c>
      <x:c r="R424" s="207" t="str"/>
      <x:c r="S424" s="207" t="str"/>
      <x:c r="T424" s="207" t="str"/>
      <x:c r="U424" s="207" t="n">
        <x:v>0</x:v>
      </x:c>
      <x:c r="V424" s="208" t="n">
        <x:f>MAX(0,M424-U424)</x:f>
        <x:v>42</x:v>
      </x:c>
      <x:c r="W424" s="209" t="n">
        <x:f>IFERROR(U424/M424,0)</x:f>
        <x:v>0</x:v>
      </x:c>
      <x:c r="X424" s="201" t="str">
        <x:f>IF(U424=0,"Não iniciado",IF(U424&gt;=M424,"Concluído","Parcial"))</x:f>
        <x:v>Não iniciado</x:v>
      </x:c>
      <x:c r="Y424" s="199" t="str"/>
      <x:c r="Z424" s="188" t="str">
        <x:v>Normal</x:v>
      </x:c>
    </x:row>
    <x:row r="425" ht="22" customHeight="1">
      <x:c r="A425" s="217" t="n">
        <x:v>421</x:v>
      </x:c>
      <x:c r="B425" s="218" t="str">
        <x:v>26824</x:v>
      </x:c>
      <x:c r="C425" s="218" t="str">
        <x:v>6</x:v>
      </x:c>
      <x:c r="D425" s="218" t="str">
        <x:v>609619</x:v>
      </x:c>
      <x:c r="E425" s="218" t="str">
        <x:v>956374</x:v>
      </x:c>
      <x:c r="F425" s="218" t="str">
        <x:v>OUTROS</x:v>
      </x:c>
      <x:c r="G425" s="184" t="str">
        <x:v>2250X50X9 RTO LME PET BCO TXT MPMV(STD)</x:v>
      </x:c>
      <x:c r="H425" s="184" t="str"/>
      <x:c r="I425" s="184" t="str"/>
      <x:c r="J425" s="184" t="str"/>
      <x:c r="K425" s="184" t="str">
        <x:v>ESMALTE</x:v>
      </x:c>
      <x:c r="L425" s="184" t="str">
        <x:v>BRANCO</x:v>
      </x:c>
      <x:c r="M425" s="205" t="n">
        <x:v>4</x:v>
      </x:c>
      <x:c r="N425" s="205" t="n">
        <x:v>2250</x:v>
      </x:c>
      <x:c r="O425" s="205" t="n">
        <x:v>50</x:v>
      </x:c>
      <x:c r="P425" s="205" t="n">
        <x:v>9</x:v>
      </x:c>
      <x:c r="Q425" s="206" t="n">
        <x:v>0</x:v>
      </x:c>
      <x:c r="R425" s="207" t="str"/>
      <x:c r="S425" s="207" t="str"/>
      <x:c r="T425" s="207" t="str"/>
      <x:c r="U425" s="207" t="n">
        <x:v>0</x:v>
      </x:c>
      <x:c r="V425" s="208" t="n">
        <x:f>MAX(0,M425-U425)</x:f>
        <x:v>4</x:v>
      </x:c>
      <x:c r="W425" s="209" t="n">
        <x:f>IFERROR(U425/M425,0)</x:f>
        <x:v>0</x:v>
      </x:c>
      <x:c r="X425" s="201" t="str">
        <x:f>IF(U425=0,"Não iniciado",IF(U425&gt;=M425,"Concluído","Parcial"))</x:f>
        <x:v>Não iniciado</x:v>
      </x:c>
      <x:c r="Y425" s="199" t="str"/>
      <x:c r="Z425" s="188" t="str">
        <x:v>Normal</x:v>
      </x:c>
    </x:row>
    <x:row r="426" ht="22" customHeight="1">
      <x:c r="A426" s="219" t="n">
        <x:v>422</x:v>
      </x:c>
      <x:c r="B426" s="220" t="str">
        <x:v>26824</x:v>
      </x:c>
      <x:c r="C426" s="220" t="str">
        <x:v>6</x:v>
      </x:c>
      <x:c r="D426" s="220" t="str">
        <x:v>609620</x:v>
      </x:c>
      <x:c r="E426" s="220" t="str">
        <x:v>956400</x:v>
      </x:c>
      <x:c r="F426" s="220" t="str">
        <x:v>OUTROS</x:v>
      </x:c>
      <x:c r="G426" s="190" t="str">
        <x:v>2250X50X9 RTO RL80 PET BCO TXT MPMV(STD)</x:v>
      </x:c>
      <x:c r="H426" s="190" t="str"/>
      <x:c r="I426" s="190" t="str"/>
      <x:c r="J426" s="190" t="str"/>
      <x:c r="K426" s="190" t="str">
        <x:v>ESMALTE</x:v>
      </x:c>
      <x:c r="L426" s="190" t="str">
        <x:v>BRANCO</x:v>
      </x:c>
      <x:c r="M426" s="210" t="n">
        <x:v>4</x:v>
      </x:c>
      <x:c r="N426" s="210" t="n">
        <x:v>2250</x:v>
      </x:c>
      <x:c r="O426" s="210" t="n">
        <x:v>50</x:v>
      </x:c>
      <x:c r="P426" s="210" t="n">
        <x:v>9</x:v>
      </x:c>
      <x:c r="Q426" s="211" t="n">
        <x:v>0</x:v>
      </x:c>
      <x:c r="R426" s="207" t="str"/>
      <x:c r="S426" s="207" t="str"/>
      <x:c r="T426" s="207" t="str"/>
      <x:c r="U426" s="207" t="n">
        <x:v>0</x:v>
      </x:c>
      <x:c r="V426" s="208" t="n">
        <x:f>MAX(0,M426-U426)</x:f>
        <x:v>4</x:v>
      </x:c>
      <x:c r="W426" s="209" t="n">
        <x:f>IFERROR(U426/M426,0)</x:f>
        <x:v>0</x:v>
      </x:c>
      <x:c r="X426" s="201" t="str">
        <x:f>IF(U426=0,"Não iniciado",IF(U426&gt;=M426,"Concluído","Parcial"))</x:f>
        <x:v>Não iniciado</x:v>
      </x:c>
      <x:c r="Y426" s="199" t="str"/>
      <x:c r="Z426" s="188" t="str">
        <x:v>Normal</x:v>
      </x:c>
    </x:row>
    <x:row r="427" ht="22" customHeight="1">
      <x:c r="A427" s="217" t="n">
        <x:v>423</x:v>
      </x:c>
      <x:c r="B427" s="218" t="str">
        <x:v>26826</x:v>
      </x:c>
      <x:c r="C427" s="218" t="str">
        <x:v>6</x:v>
      </x:c>
      <x:c r="D427" s="218" t="str">
        <x:v>609072</x:v>
      </x:c>
      <x:c r="E427" s="218" t="str">
        <x:v>956369</x:v>
      </x:c>
      <x:c r="F427" s="218" t="str">
        <x:v>OUTROS</x:v>
      </x:c>
      <x:c r="G427" s="184" t="str">
        <x:v>2250X50X9 RTO RL55 PET BCO TXT MPMV(STD)</x:v>
      </x:c>
      <x:c r="H427" s="184" t="str">
        <x:v>REG 2L(MAIOR 55MM)</x:v>
      </x:c>
      <x:c r="I427" s="184" t="str"/>
      <x:c r="J427" s="184" t="str"/>
      <x:c r="K427" s="184" t="str">
        <x:v>RECOBERTO PET TXT</x:v>
      </x:c>
      <x:c r="L427" s="184" t="str">
        <x:v>BRANCO</x:v>
      </x:c>
      <x:c r="M427" s="205" t="n">
        <x:v>230</x:v>
      </x:c>
      <x:c r="N427" s="205" t="n">
        <x:v>2250</x:v>
      </x:c>
      <x:c r="O427" s="205" t="n">
        <x:v>50</x:v>
      </x:c>
      <x:c r="P427" s="205" t="n">
        <x:v>9</x:v>
      </x:c>
      <x:c r="Q427" s="206" t="n">
        <x:v>0</x:v>
      </x:c>
      <x:c r="R427" s="207" t="str"/>
      <x:c r="S427" s="207" t="str"/>
      <x:c r="T427" s="207" t="str"/>
      <x:c r="U427" s="207" t="n">
        <x:v>0</x:v>
      </x:c>
      <x:c r="V427" s="208" t="n">
        <x:f>MAX(0,M427-U427)</x:f>
        <x:v>230</x:v>
      </x:c>
      <x:c r="W427" s="209" t="n">
        <x:f>IFERROR(U427/M427,0)</x:f>
        <x:v>0</x:v>
      </x:c>
      <x:c r="X427" s="201" t="str">
        <x:f>IF(U427=0,"Não iniciado",IF(U427&gt;=M427,"Concluído","Parcial"))</x:f>
        <x:v>Não iniciado</x:v>
      </x:c>
      <x:c r="Y427" s="199" t="str"/>
      <x:c r="Z427" s="188" t="str">
        <x:v>Normal</x:v>
      </x:c>
    </x:row>
    <x:row r="428" ht="22" customHeight="1">
      <x:c r="A428" s="219" t="n">
        <x:v>424</x:v>
      </x:c>
      <x:c r="B428" s="220" t="str">
        <x:v>26826</x:v>
      </x:c>
      <x:c r="C428" s="220" t="str">
        <x:v>6</x:v>
      </x:c>
      <x:c r="D428" s="220" t="str">
        <x:v>609073</x:v>
      </x:c>
      <x:c r="E428" s="220" t="str">
        <x:v>956374</x:v>
      </x:c>
      <x:c r="F428" s="220" t="str">
        <x:v>OUTROS</x:v>
      </x:c>
      <x:c r="G428" s="190" t="str">
        <x:v>2250X50X9 RTO LME PET BCO TXT MPMV(STD)</x:v>
      </x:c>
      <x:c r="H428" s="190" t="str">
        <x:v>REG 2L(MAIOR 55MM)</x:v>
      </x:c>
      <x:c r="I428" s="190" t="str"/>
      <x:c r="J428" s="190" t="str"/>
      <x:c r="K428" s="190" t="str">
        <x:v>RECOBERTO PET TXT</x:v>
      </x:c>
      <x:c r="L428" s="190" t="str">
        <x:v>BRANCO</x:v>
      </x:c>
      <x:c r="M428" s="210" t="n">
        <x:v>230</x:v>
      </x:c>
      <x:c r="N428" s="210" t="n">
        <x:v>2250</x:v>
      </x:c>
      <x:c r="O428" s="210" t="n">
        <x:v>50</x:v>
      </x:c>
      <x:c r="P428" s="210" t="n">
        <x:v>9</x:v>
      </x:c>
      <x:c r="Q428" s="211" t="n">
        <x:v>0</x:v>
      </x:c>
      <x:c r="R428" s="207" t="str"/>
      <x:c r="S428" s="207" t="str"/>
      <x:c r="T428" s="207" t="str"/>
      <x:c r="U428" s="207" t="n">
        <x:v>0</x:v>
      </x:c>
      <x:c r="V428" s="208" t="n">
        <x:f>MAX(0,M428-U428)</x:f>
        <x:v>230</x:v>
      </x:c>
      <x:c r="W428" s="209" t="n">
        <x:f>IFERROR(U428/M428,0)</x:f>
        <x:v>0</x:v>
      </x:c>
      <x:c r="X428" s="201" t="str">
        <x:f>IF(U428=0,"Não iniciado",IF(U428&gt;=M428,"Concluído","Parcial"))</x:f>
        <x:v>Não iniciado</x:v>
      </x:c>
      <x:c r="Y428" s="199" t="str"/>
      <x:c r="Z428" s="188" t="str">
        <x:v>Normal</x:v>
      </x:c>
    </x:row>
    <x:row r="429" ht="22" customHeight="1">
      <x:c r="A429" s="217" t="n">
        <x:v>425</x:v>
      </x:c>
      <x:c r="B429" s="218" t="str">
        <x:v>26739</x:v>
      </x:c>
      <x:c r="C429" s="218" t="str">
        <x:v>8</x:v>
      </x:c>
      <x:c r="D429" s="218" t="str">
        <x:v>609640</x:v>
      </x:c>
      <x:c r="E429" s="218" t="str">
        <x:v>963311</x:v>
      </x:c>
      <x:c r="F429" s="218" t="str">
        <x:v>OUTROS</x:v>
      </x:c>
      <x:c r="G429" s="184" t="str">
        <x:v>PE AL 2250X50X9 RTO LME REC PET BCO(ULTR</x:v>
      </x:c>
      <x:c r="H429" s="184" t="str"/>
      <x:c r="I429" s="184" t="str"/>
      <x:c r="J429" s="184" t="str"/>
      <x:c r="K429" s="184" t="str">
        <x:v>ESMALTE</x:v>
      </x:c>
      <x:c r="L429" s="184" t="str">
        <x:v>BRANCO CARRARA</x:v>
      </x:c>
      <x:c r="M429" s="205" t="n">
        <x:v>36</x:v>
      </x:c>
      <x:c r="N429" s="205" t="n">
        <x:v>2250</x:v>
      </x:c>
      <x:c r="O429" s="205" t="n">
        <x:v>50</x:v>
      </x:c>
      <x:c r="P429" s="205" t="n">
        <x:v>9</x:v>
      </x:c>
      <x:c r="Q429" s="206" t="n">
        <x:v>0</x:v>
      </x:c>
      <x:c r="R429" s="207" t="str"/>
      <x:c r="S429" s="207" t="str"/>
      <x:c r="T429" s="207" t="str"/>
      <x:c r="U429" s="207" t="n">
        <x:v>0</x:v>
      </x:c>
      <x:c r="V429" s="208" t="n">
        <x:f>MAX(0,M429-U429)</x:f>
        <x:v>36</x:v>
      </x:c>
      <x:c r="W429" s="209" t="n">
        <x:f>IFERROR(U429/M429,0)</x:f>
        <x:v>0</x:v>
      </x:c>
      <x:c r="X429" s="201" t="str">
        <x:f>IF(U429=0,"Não iniciado",IF(U429&gt;=M429,"Concluído","Parcial"))</x:f>
        <x:v>Não iniciado</x:v>
      </x:c>
      <x:c r="Y429" s="199" t="str"/>
      <x:c r="Z429" s="188" t="str">
        <x:v>Normal</x:v>
      </x:c>
    </x:row>
    <x:row r="430" ht="22" customHeight="1">
      <x:c r="A430" s="219" t="n">
        <x:v>426</x:v>
      </x:c>
      <x:c r="B430" s="220" t="str">
        <x:v>26739</x:v>
      </x:c>
      <x:c r="C430" s="220" t="str">
        <x:v>8</x:v>
      </x:c>
      <x:c r="D430" s="220" t="str">
        <x:v>609642</x:v>
      </x:c>
      <x:c r="E430" s="220" t="str">
        <x:v>971601</x:v>
      </x:c>
      <x:c r="F430" s="220" t="str">
        <x:v>OUTROS</x:v>
      </x:c>
      <x:c r="G430" s="190" t="str">
        <x:v>PE AL 2250X50X9 RTO RL80 REC PET BCO(ULT</x:v>
      </x:c>
      <x:c r="H430" s="190" t="str"/>
      <x:c r="I430" s="190" t="str"/>
      <x:c r="J430" s="190" t="str"/>
      <x:c r="K430" s="190" t="str">
        <x:v>ESMALTE</x:v>
      </x:c>
      <x:c r="L430" s="190" t="str">
        <x:v>BRANCO CARRARA</x:v>
      </x:c>
      <x:c r="M430" s="210" t="n">
        <x:v>36</x:v>
      </x:c>
      <x:c r="N430" s="210" t="n">
        <x:v>2250</x:v>
      </x:c>
      <x:c r="O430" s="210" t="n">
        <x:v>50</x:v>
      </x:c>
      <x:c r="P430" s="210" t="n">
        <x:v>9</x:v>
      </x:c>
      <x:c r="Q430" s="211" t="n">
        <x:v>0</x:v>
      </x:c>
      <x:c r="R430" s="207" t="str"/>
      <x:c r="S430" s="207" t="str"/>
      <x:c r="T430" s="207" t="str"/>
      <x:c r="U430" s="207" t="n">
        <x:v>0</x:v>
      </x:c>
      <x:c r="V430" s="208" t="n">
        <x:f>MAX(0,M430-U430)</x:f>
        <x:v>36</x:v>
      </x:c>
      <x:c r="W430" s="209" t="n">
        <x:f>IFERROR(U430/M430,0)</x:f>
        <x:v>0</x:v>
      </x:c>
      <x:c r="X430" s="201" t="str">
        <x:f>IF(U430=0,"Não iniciado",IF(U430&gt;=M430,"Concluído","Parcial"))</x:f>
        <x:v>Não iniciado</x:v>
      </x:c>
      <x:c r="Y430" s="199" t="str"/>
      <x:c r="Z430" s="188" t="str">
        <x:v>Normal</x:v>
      </x:c>
    </x:row>
    <x:row r="431" ht="22" customHeight="1">
      <x:c r="A431" s="217" t="n">
        <x:v>427</x:v>
      </x:c>
      <x:c r="B431" s="218" t="str">
        <x:v>26739</x:v>
      </x:c>
      <x:c r="C431" s="218" t="str">
        <x:v>9</x:v>
      </x:c>
      <x:c r="D431" s="218" t="str">
        <x:v>609649</x:v>
      </x:c>
      <x:c r="E431" s="218" t="str">
        <x:v>963311</x:v>
      </x:c>
      <x:c r="F431" s="218" t="str">
        <x:v>OUTROS</x:v>
      </x:c>
      <x:c r="G431" s="184" t="str">
        <x:v>PE AL 2250X50X9 RTO LME REC PET BCO(ULTR</x:v>
      </x:c>
      <x:c r="H431" s="184" t="str"/>
      <x:c r="I431" s="184" t="str"/>
      <x:c r="J431" s="184" t="str"/>
      <x:c r="K431" s="184" t="str">
        <x:v>ESMALTE</x:v>
      </x:c>
      <x:c r="L431" s="184" t="str">
        <x:v>BRANCO CARRARA</x:v>
      </x:c>
      <x:c r="M431" s="205" t="n">
        <x:v>12</x:v>
      </x:c>
      <x:c r="N431" s="205" t="n">
        <x:v>2250</x:v>
      </x:c>
      <x:c r="O431" s="205" t="n">
        <x:v>50</x:v>
      </x:c>
      <x:c r="P431" s="205" t="n">
        <x:v>9</x:v>
      </x:c>
      <x:c r="Q431" s="206" t="n">
        <x:v>0</x:v>
      </x:c>
      <x:c r="R431" s="207" t="str"/>
      <x:c r="S431" s="207" t="str"/>
      <x:c r="T431" s="207" t="str"/>
      <x:c r="U431" s="207" t="n">
        <x:v>0</x:v>
      </x:c>
      <x:c r="V431" s="208" t="n">
        <x:f>MAX(0,M431-U431)</x:f>
        <x:v>12</x:v>
      </x:c>
      <x:c r="W431" s="209" t="n">
        <x:f>IFERROR(U431/M431,0)</x:f>
        <x:v>0</x:v>
      </x:c>
      <x:c r="X431" s="201" t="str">
        <x:f>IF(U431=0,"Não iniciado",IF(U431&gt;=M431,"Concluído","Parcial"))</x:f>
        <x:v>Não iniciado</x:v>
      </x:c>
      <x:c r="Y431" s="199" t="str"/>
      <x:c r="Z431" s="188" t="str">
        <x:v>Normal</x:v>
      </x:c>
    </x:row>
    <x:row r="432" ht="22" customHeight="1">
      <x:c r="A432" s="219" t="n">
        <x:v>428</x:v>
      </x:c>
      <x:c r="B432" s="220" t="str">
        <x:v>26739</x:v>
      </x:c>
      <x:c r="C432" s="220" t="str">
        <x:v>9</x:v>
      </x:c>
      <x:c r="D432" s="220" t="str">
        <x:v>609652</x:v>
      </x:c>
      <x:c r="E432" s="220" t="str">
        <x:v>971601</x:v>
      </x:c>
      <x:c r="F432" s="220" t="str">
        <x:v>OUTROS</x:v>
      </x:c>
      <x:c r="G432" s="190" t="str">
        <x:v>PE AL 2250X50X9 RTO RL80 REC PET BCO(ULT</x:v>
      </x:c>
      <x:c r="H432" s="190" t="str"/>
      <x:c r="I432" s="190" t="str"/>
      <x:c r="J432" s="190" t="str"/>
      <x:c r="K432" s="190" t="str">
        <x:v>ESMALTE</x:v>
      </x:c>
      <x:c r="L432" s="190" t="str">
        <x:v>BRANCO CARRARA</x:v>
      </x:c>
      <x:c r="M432" s="210" t="n">
        <x:v>12</x:v>
      </x:c>
      <x:c r="N432" s="210" t="n">
        <x:v>2250</x:v>
      </x:c>
      <x:c r="O432" s="210" t="n">
        <x:v>50</x:v>
      </x:c>
      <x:c r="P432" s="210" t="n">
        <x:v>9</x:v>
      </x:c>
      <x:c r="Q432" s="211" t="n">
        <x:v>0</x:v>
      </x:c>
      <x:c r="R432" s="207" t="str"/>
      <x:c r="S432" s="207" t="str"/>
      <x:c r="T432" s="207" t="str"/>
      <x:c r="U432" s="207" t="n">
        <x:v>0</x:v>
      </x:c>
      <x:c r="V432" s="208" t="n">
        <x:f>MAX(0,M432-U432)</x:f>
        <x:v>12</x:v>
      </x:c>
      <x:c r="W432" s="209" t="n">
        <x:f>IFERROR(U432/M432,0)</x:f>
        <x:v>0</x:v>
      </x:c>
      <x:c r="X432" s="201" t="str">
        <x:f>IF(U432=0,"Não iniciado",IF(U432&gt;=M432,"Concluído","Parcial"))</x:f>
        <x:v>Não iniciado</x:v>
      </x:c>
      <x:c r="Y432" s="199" t="str"/>
      <x:c r="Z432" s="188" t="str">
        <x:v>Normal</x:v>
      </x:c>
    </x:row>
    <x:row r="433" ht="22" customHeight="1">
      <x:c r="A433" s="217" t="n">
        <x:v>429</x:v>
      </x:c>
      <x:c r="B433" s="218" t="str">
        <x:v>26739</x:v>
      </x:c>
      <x:c r="C433" s="218" t="str">
        <x:v>10</x:v>
      </x:c>
      <x:c r="D433" s="218" t="str">
        <x:v>609656</x:v>
      </x:c>
      <x:c r="E433" s="218" t="str">
        <x:v>963311</x:v>
      </x:c>
      <x:c r="F433" s="218" t="str">
        <x:v>OUTROS</x:v>
      </x:c>
      <x:c r="G433" s="184" t="str">
        <x:v>PE AL 2250X50X9 RTO LME REC PET BCO(ULTR</x:v>
      </x:c>
      <x:c r="H433" s="184" t="str"/>
      <x:c r="I433" s="184" t="str"/>
      <x:c r="J433" s="184" t="str"/>
      <x:c r="K433" s="184" t="str">
        <x:v>ESMALTE</x:v>
      </x:c>
      <x:c r="L433" s="184" t="str">
        <x:v>BRANCO CARRARA</x:v>
      </x:c>
      <x:c r="M433" s="205" t="n">
        <x:v>44</x:v>
      </x:c>
      <x:c r="N433" s="205" t="n">
        <x:v>2250</x:v>
      </x:c>
      <x:c r="O433" s="205" t="n">
        <x:v>50</x:v>
      </x:c>
      <x:c r="P433" s="205" t="n">
        <x:v>9</x:v>
      </x:c>
      <x:c r="Q433" s="206" t="n">
        <x:v>0</x:v>
      </x:c>
      <x:c r="R433" s="207" t="str"/>
      <x:c r="S433" s="207" t="str"/>
      <x:c r="T433" s="207" t="str"/>
      <x:c r="U433" s="207" t="n">
        <x:v>0</x:v>
      </x:c>
      <x:c r="V433" s="208" t="n">
        <x:f>MAX(0,M433-U433)</x:f>
        <x:v>44</x:v>
      </x:c>
      <x:c r="W433" s="209" t="n">
        <x:f>IFERROR(U433/M433,0)</x:f>
        <x:v>0</x:v>
      </x:c>
      <x:c r="X433" s="201" t="str">
        <x:f>IF(U433=0,"Não iniciado",IF(U433&gt;=M433,"Concluído","Parcial"))</x:f>
        <x:v>Não iniciado</x:v>
      </x:c>
      <x:c r="Y433" s="199" t="str"/>
      <x:c r="Z433" s="188" t="str">
        <x:v>Normal</x:v>
      </x:c>
    </x:row>
    <x:row r="434" ht="22" customHeight="1">
      <x:c r="A434" s="219" t="n">
        <x:v>430</x:v>
      </x:c>
      <x:c r="B434" s="220" t="str">
        <x:v>26739</x:v>
      </x:c>
      <x:c r="C434" s="220" t="str">
        <x:v>10</x:v>
      </x:c>
      <x:c r="D434" s="220" t="str">
        <x:v>609658</x:v>
      </x:c>
      <x:c r="E434" s="220" t="str">
        <x:v>971601</x:v>
      </x:c>
      <x:c r="F434" s="220" t="str">
        <x:v>OUTROS</x:v>
      </x:c>
      <x:c r="G434" s="190" t="str">
        <x:v>PE AL 2250X50X9 RTO RL80 REC PET BCO(ULT</x:v>
      </x:c>
      <x:c r="H434" s="190" t="str"/>
      <x:c r="I434" s="190" t="str"/>
      <x:c r="J434" s="190" t="str"/>
      <x:c r="K434" s="190" t="str">
        <x:v>ESMALTE</x:v>
      </x:c>
      <x:c r="L434" s="190" t="str">
        <x:v>BRANCO CARRARA</x:v>
      </x:c>
      <x:c r="M434" s="210" t="n">
        <x:v>44</x:v>
      </x:c>
      <x:c r="N434" s="210" t="n">
        <x:v>2250</x:v>
      </x:c>
      <x:c r="O434" s="210" t="n">
        <x:v>50</x:v>
      </x:c>
      <x:c r="P434" s="210" t="n">
        <x:v>9</x:v>
      </x:c>
      <x:c r="Q434" s="211" t="n">
        <x:v>0</x:v>
      </x:c>
      <x:c r="R434" s="207" t="str"/>
      <x:c r="S434" s="207" t="str"/>
      <x:c r="T434" s="207" t="str"/>
      <x:c r="U434" s="207" t="n">
        <x:v>0</x:v>
      </x:c>
      <x:c r="V434" s="208" t="n">
        <x:f>MAX(0,M434-U434)</x:f>
        <x:v>44</x:v>
      </x:c>
      <x:c r="W434" s="209" t="n">
        <x:f>IFERROR(U434/M434,0)</x:f>
        <x:v>0</x:v>
      </x:c>
      <x:c r="X434" s="201" t="str">
        <x:f>IF(U434=0,"Não iniciado",IF(U434&gt;=M434,"Concluído","Parcial"))</x:f>
        <x:v>Não iniciado</x:v>
      </x:c>
      <x:c r="Y434" s="199" t="str"/>
      <x:c r="Z434" s="188" t="str">
        <x:v>Normal</x:v>
      </x:c>
    </x:row>
    <x:row r="435" ht="22" customHeight="1">
      <x:c r="A435" s="217" t="n">
        <x:v>431</x:v>
      </x:c>
      <x:c r="B435" s="218" t="str">
        <x:v>26739</x:v>
      </x:c>
      <x:c r="C435" s="218" t="str">
        <x:v>11</x:v>
      </x:c>
      <x:c r="D435" s="218" t="str">
        <x:v>609666</x:v>
      </x:c>
      <x:c r="E435" s="218" t="str">
        <x:v>963311</x:v>
      </x:c>
      <x:c r="F435" s="218" t="str">
        <x:v>OUTROS</x:v>
      </x:c>
      <x:c r="G435" s="184" t="str">
        <x:v>PE AL 2250X50X9 RTO LME REC PET BCO(ULTR</x:v>
      </x:c>
      <x:c r="H435" s="184" t="str"/>
      <x:c r="I435" s="184" t="str"/>
      <x:c r="J435" s="184" t="str"/>
      <x:c r="K435" s="184" t="str">
        <x:v>ESMALTE</x:v>
      </x:c>
      <x:c r="L435" s="184" t="str">
        <x:v>BRANCO CARRARA</x:v>
      </x:c>
      <x:c r="M435" s="205" t="n">
        <x:v>32</x:v>
      </x:c>
      <x:c r="N435" s="205" t="n">
        <x:v>2250</x:v>
      </x:c>
      <x:c r="O435" s="205" t="n">
        <x:v>50</x:v>
      </x:c>
      <x:c r="P435" s="205" t="n">
        <x:v>9</x:v>
      </x:c>
      <x:c r="Q435" s="206" t="n">
        <x:v>0</x:v>
      </x:c>
      <x:c r="R435" s="207" t="str"/>
      <x:c r="S435" s="207" t="str"/>
      <x:c r="T435" s="207" t="str"/>
      <x:c r="U435" s="207" t="n">
        <x:v>0</x:v>
      </x:c>
      <x:c r="V435" s="208" t="n">
        <x:f>MAX(0,M435-U435)</x:f>
        <x:v>32</x:v>
      </x:c>
      <x:c r="W435" s="209" t="n">
        <x:f>IFERROR(U435/M435,0)</x:f>
        <x:v>0</x:v>
      </x:c>
      <x:c r="X435" s="201" t="str">
        <x:f>IF(U435=0,"Não iniciado",IF(U435&gt;=M435,"Concluído","Parcial"))</x:f>
        <x:v>Não iniciado</x:v>
      </x:c>
      <x:c r="Y435" s="199" t="str"/>
      <x:c r="Z435" s="188" t="str">
        <x:v>Normal</x:v>
      </x:c>
    </x:row>
    <x:row r="436" ht="22" customHeight="1">
      <x:c r="A436" s="219" t="n">
        <x:v>432</x:v>
      </x:c>
      <x:c r="B436" s="220" t="str">
        <x:v>26739</x:v>
      </x:c>
      <x:c r="C436" s="220" t="str">
        <x:v>11</x:v>
      </x:c>
      <x:c r="D436" s="220" t="str">
        <x:v>609668</x:v>
      </x:c>
      <x:c r="E436" s="220" t="str">
        <x:v>971601</x:v>
      </x:c>
      <x:c r="F436" s="220" t="str">
        <x:v>OUTROS</x:v>
      </x:c>
      <x:c r="G436" s="190" t="str">
        <x:v>PE AL 2250X50X9 RTO RL80 REC PET BCO(ULT</x:v>
      </x:c>
      <x:c r="H436" s="190" t="str"/>
      <x:c r="I436" s="190" t="str"/>
      <x:c r="J436" s="190" t="str"/>
      <x:c r="K436" s="190" t="str">
        <x:v>ESMALTE</x:v>
      </x:c>
      <x:c r="L436" s="190" t="str">
        <x:v>BRANCO CARRARA</x:v>
      </x:c>
      <x:c r="M436" s="210" t="n">
        <x:v>32</x:v>
      </x:c>
      <x:c r="N436" s="210" t="n">
        <x:v>2250</x:v>
      </x:c>
      <x:c r="O436" s="210" t="n">
        <x:v>50</x:v>
      </x:c>
      <x:c r="P436" s="210" t="n">
        <x:v>9</x:v>
      </x:c>
      <x:c r="Q436" s="211" t="n">
        <x:v>0</x:v>
      </x:c>
      <x:c r="R436" s="207" t="str"/>
      <x:c r="S436" s="207" t="str"/>
      <x:c r="T436" s="207" t="str"/>
      <x:c r="U436" s="207" t="n">
        <x:v>0</x:v>
      </x:c>
      <x:c r="V436" s="208" t="n">
        <x:f>MAX(0,M436-U436)</x:f>
        <x:v>32</x:v>
      </x:c>
      <x:c r="W436" s="209" t="n">
        <x:f>IFERROR(U436/M436,0)</x:f>
        <x:v>0</x:v>
      </x:c>
      <x:c r="X436" s="201" t="str">
        <x:f>IF(U436=0,"Não iniciado",IF(U436&gt;=M436,"Concluído","Parcial"))</x:f>
        <x:v>Não iniciado</x:v>
      </x:c>
      <x:c r="Y436" s="199" t="str"/>
      <x:c r="Z436" s="188" t="str">
        <x:v>Normal</x:v>
      </x:c>
    </x:row>
    <x:row r="437" ht="22" customHeight="1">
      <x:c r="A437" s="217" t="n">
        <x:v>433</x:v>
      </x:c>
      <x:c r="B437" s="218" t="str">
        <x:v>26739</x:v>
      </x:c>
      <x:c r="C437" s="218" t="str">
        <x:v>12</x:v>
      </x:c>
      <x:c r="D437" s="218" t="str">
        <x:v>609673</x:v>
      </x:c>
      <x:c r="E437" s="218" t="str">
        <x:v>963311</x:v>
      </x:c>
      <x:c r="F437" s="218" t="str">
        <x:v>OUTROS</x:v>
      </x:c>
      <x:c r="G437" s="184" t="str">
        <x:v>PE AL 2250X50X9 RTO LME REC PET BCO(ULTR</x:v>
      </x:c>
      <x:c r="H437" s="184" t="str"/>
      <x:c r="I437" s="184" t="str"/>
      <x:c r="J437" s="184" t="str"/>
      <x:c r="K437" s="184" t="str">
        <x:v>ESMALTE</x:v>
      </x:c>
      <x:c r="L437" s="184" t="str">
        <x:v>BRANCO CARRARA</x:v>
      </x:c>
      <x:c r="M437" s="205" t="n">
        <x:v>2</x:v>
      </x:c>
      <x:c r="N437" s="205" t="n">
        <x:v>2250</x:v>
      </x:c>
      <x:c r="O437" s="205" t="n">
        <x:v>50</x:v>
      </x:c>
      <x:c r="P437" s="205" t="n">
        <x:v>9</x:v>
      </x:c>
      <x:c r="Q437" s="206" t="n">
        <x:v>0</x:v>
      </x:c>
      <x:c r="R437" s="207" t="str"/>
      <x:c r="S437" s="207" t="str"/>
      <x:c r="T437" s="207" t="str"/>
      <x:c r="U437" s="207" t="n">
        <x:v>0</x:v>
      </x:c>
      <x:c r="V437" s="208" t="n">
        <x:f>MAX(0,M437-U437)</x:f>
        <x:v>2</x:v>
      </x:c>
      <x:c r="W437" s="209" t="n">
        <x:f>IFERROR(U437/M437,0)</x:f>
        <x:v>0</x:v>
      </x:c>
      <x:c r="X437" s="201" t="str">
        <x:f>IF(U437=0,"Não iniciado",IF(U437&gt;=M437,"Concluído","Parcial"))</x:f>
        <x:v>Não iniciado</x:v>
      </x:c>
      <x:c r="Y437" s="199" t="str"/>
      <x:c r="Z437" s="188" t="str">
        <x:v>Normal</x:v>
      </x:c>
    </x:row>
    <x:row r="438" ht="22" customHeight="1">
      <x:c r="A438" s="219" t="n">
        <x:v>434</x:v>
      </x:c>
      <x:c r="B438" s="220" t="str">
        <x:v>26739</x:v>
      </x:c>
      <x:c r="C438" s="220" t="str">
        <x:v>12</x:v>
      </x:c>
      <x:c r="D438" s="220" t="str">
        <x:v>609676</x:v>
      </x:c>
      <x:c r="E438" s="220" t="str">
        <x:v>971601</x:v>
      </x:c>
      <x:c r="F438" s="220" t="str">
        <x:v>OUTROS</x:v>
      </x:c>
      <x:c r="G438" s="190" t="str">
        <x:v>PE AL 2250X50X9 RTO RL80 REC PET BCO(ULT</x:v>
      </x:c>
      <x:c r="H438" s="190" t="str"/>
      <x:c r="I438" s="190" t="str"/>
      <x:c r="J438" s="190" t="str"/>
      <x:c r="K438" s="190" t="str">
        <x:v>ESMALTE</x:v>
      </x:c>
      <x:c r="L438" s="190" t="str">
        <x:v>BRANCO CARRARA</x:v>
      </x:c>
      <x:c r="M438" s="210" t="n">
        <x:v>2</x:v>
      </x:c>
      <x:c r="N438" s="210" t="n">
        <x:v>2250</x:v>
      </x:c>
      <x:c r="O438" s="210" t="n">
        <x:v>50</x:v>
      </x:c>
      <x:c r="P438" s="210" t="n">
        <x:v>9</x:v>
      </x:c>
      <x:c r="Q438" s="211" t="n">
        <x:v>0</x:v>
      </x:c>
      <x:c r="R438" s="207" t="str"/>
      <x:c r="S438" s="207" t="str"/>
      <x:c r="T438" s="207" t="str"/>
      <x:c r="U438" s="207" t="n">
        <x:v>0</x:v>
      </x:c>
      <x:c r="V438" s="208" t="n">
        <x:f>MAX(0,M438-U438)</x:f>
        <x:v>2</x:v>
      </x:c>
      <x:c r="W438" s="209" t="n">
        <x:f>IFERROR(U438/M438,0)</x:f>
        <x:v>0</x:v>
      </x:c>
      <x:c r="X438" s="201" t="str">
        <x:f>IF(U438=0,"Não iniciado",IF(U438&gt;=M438,"Concluído","Parcial"))</x:f>
        <x:v>Não iniciado</x:v>
      </x:c>
      <x:c r="Y438" s="199" t="str"/>
      <x:c r="Z438" s="188" t="str">
        <x:v>Normal</x:v>
      </x:c>
    </x:row>
    <x:row r="439" ht="22" customHeight="1">
      <x:c r="A439" s="217" t="n">
        <x:v>435</x:v>
      </x:c>
      <x:c r="B439" s="218" t="str">
        <x:v>26739</x:v>
      </x:c>
      <x:c r="C439" s="218" t="str">
        <x:v>15</x:v>
      </x:c>
      <x:c r="D439" s="218" t="str">
        <x:v>609684</x:v>
      </x:c>
      <x:c r="E439" s="218" t="str">
        <x:v>963311</x:v>
      </x:c>
      <x:c r="F439" s="218" t="str">
        <x:v>OUTROS</x:v>
      </x:c>
      <x:c r="G439" s="184" t="str">
        <x:v>PE AL 2250X50X9 RTO LME REC PET BCO(ULTR</x:v>
      </x:c>
      <x:c r="H439" s="184" t="str">
        <x:v>REG 2L(MAIOR 80MM)</x:v>
      </x:c>
      <x:c r="I439" s="184" t="str"/>
      <x:c r="J439" s="184" t="str"/>
      <x:c r="K439" s="184" t="str">
        <x:v>RECOBERTO PET</x:v>
      </x:c>
      <x:c r="L439" s="184" t="str">
        <x:v>BRANCO CARRARA</x:v>
      </x:c>
      <x:c r="M439" s="205" t="n">
        <x:v>14</x:v>
      </x:c>
      <x:c r="N439" s="205" t="n">
        <x:v>2250</x:v>
      </x:c>
      <x:c r="O439" s="205" t="n">
        <x:v>50</x:v>
      </x:c>
      <x:c r="P439" s="205" t="n">
        <x:v>9</x:v>
      </x:c>
      <x:c r="Q439" s="206" t="n">
        <x:v>0</x:v>
      </x:c>
      <x:c r="R439" s="207" t="str"/>
      <x:c r="S439" s="207" t="str"/>
      <x:c r="T439" s="207" t="str"/>
      <x:c r="U439" s="207" t="n">
        <x:v>0</x:v>
      </x:c>
      <x:c r="V439" s="208" t="n">
        <x:f>MAX(0,M439-U439)</x:f>
        <x:v>14</x:v>
      </x:c>
      <x:c r="W439" s="209" t="n">
        <x:f>IFERROR(U439/M439,0)</x:f>
        <x:v>0</x:v>
      </x:c>
      <x:c r="X439" s="201" t="str">
        <x:f>IF(U439=0,"Não iniciado",IF(U439&gt;=M439,"Concluído","Parcial"))</x:f>
        <x:v>Não iniciado</x:v>
      </x:c>
      <x:c r="Y439" s="199" t="str"/>
      <x:c r="Z439" s="188" t="str">
        <x:v>Normal</x:v>
      </x:c>
    </x:row>
    <x:row r="440" ht="22" customHeight="1">
      <x:c r="A440" s="219" t="n">
        <x:v>436</x:v>
      </x:c>
      <x:c r="B440" s="220" t="str">
        <x:v>26739</x:v>
      </x:c>
      <x:c r="C440" s="220" t="str">
        <x:v>15</x:v>
      </x:c>
      <x:c r="D440" s="220" t="str">
        <x:v>609686</x:v>
      </x:c>
      <x:c r="E440" s="220" t="str">
        <x:v>971601</x:v>
      </x:c>
      <x:c r="F440" s="220" t="str">
        <x:v>OUTROS</x:v>
      </x:c>
      <x:c r="G440" s="190" t="str">
        <x:v>PE AL 2250X50X9 RTO RL80 REC PET BCO(ULT</x:v>
      </x:c>
      <x:c r="H440" s="190" t="str">
        <x:v>REG 2L(MAIOR 80MM)</x:v>
      </x:c>
      <x:c r="I440" s="190" t="str"/>
      <x:c r="J440" s="190" t="str"/>
      <x:c r="K440" s="190" t="str">
        <x:v>RECOBERTO PET</x:v>
      </x:c>
      <x:c r="L440" s="190" t="str">
        <x:v>BRANCO CARRARA</x:v>
      </x:c>
      <x:c r="M440" s="210" t="n">
        <x:v>14</x:v>
      </x:c>
      <x:c r="N440" s="210" t="n">
        <x:v>2250</x:v>
      </x:c>
      <x:c r="O440" s="210" t="n">
        <x:v>50</x:v>
      </x:c>
      <x:c r="P440" s="210" t="n">
        <x:v>9</x:v>
      </x:c>
      <x:c r="Q440" s="211" t="n">
        <x:v>0</x:v>
      </x:c>
      <x:c r="R440" s="207" t="str"/>
      <x:c r="S440" s="207" t="str"/>
      <x:c r="T440" s="207" t="str"/>
      <x:c r="U440" s="207" t="n">
        <x:v>0</x:v>
      </x:c>
      <x:c r="V440" s="208" t="n">
        <x:f>MAX(0,M440-U440)</x:f>
        <x:v>14</x:v>
      </x:c>
      <x:c r="W440" s="209" t="n">
        <x:f>IFERROR(U440/M440,0)</x:f>
        <x:v>0</x:v>
      </x:c>
      <x:c r="X440" s="201" t="str">
        <x:f>IF(U440=0,"Não iniciado",IF(U440&gt;=M440,"Concluído","Parcial"))</x:f>
        <x:v>Não iniciado</x:v>
      </x:c>
      <x:c r="Y440" s="199" t="str"/>
      <x:c r="Z440" s="188" t="str">
        <x:v>Normal</x:v>
      </x:c>
    </x:row>
    <x:row r="441" ht="22" customHeight="1">
      <x:c r="A441" s="217" t="n">
        <x:v>437</x:v>
      </x:c>
      <x:c r="B441" s="218" t="str">
        <x:v>26739</x:v>
      </x:c>
      <x:c r="C441" s="218" t="str">
        <x:v>17</x:v>
      </x:c>
      <x:c r="D441" s="218" t="str">
        <x:v>609695</x:v>
      </x:c>
      <x:c r="E441" s="218" t="str">
        <x:v>963311</x:v>
      </x:c>
      <x:c r="F441" s="218" t="str">
        <x:v>OUTROS</x:v>
      </x:c>
      <x:c r="G441" s="184" t="str">
        <x:v>PE AL 2250X50X9 RTO LME REC PET BCO(ULTR</x:v>
      </x:c>
      <x:c r="H441" s="184" t="str"/>
      <x:c r="I441" s="184" t="str"/>
      <x:c r="J441" s="184" t="str"/>
      <x:c r="K441" s="184" t="str">
        <x:v>ESMALTE</x:v>
      </x:c>
      <x:c r="L441" s="184" t="str">
        <x:v>BRANCO CARRARA</x:v>
      </x:c>
      <x:c r="M441" s="205" t="n">
        <x:v>18</x:v>
      </x:c>
      <x:c r="N441" s="205" t="n">
        <x:v>2250</x:v>
      </x:c>
      <x:c r="O441" s="205" t="n">
        <x:v>50</x:v>
      </x:c>
      <x:c r="P441" s="205" t="n">
        <x:v>9</x:v>
      </x:c>
      <x:c r="Q441" s="206" t="n">
        <x:v>0</x:v>
      </x:c>
      <x:c r="R441" s="207" t="str"/>
      <x:c r="S441" s="207" t="str"/>
      <x:c r="T441" s="207" t="str"/>
      <x:c r="U441" s="207" t="n">
        <x:v>0</x:v>
      </x:c>
      <x:c r="V441" s="208" t="n">
        <x:f>MAX(0,M441-U441)</x:f>
        <x:v>18</x:v>
      </x:c>
      <x:c r="W441" s="209" t="n">
        <x:f>IFERROR(U441/M441,0)</x:f>
        <x:v>0</x:v>
      </x:c>
      <x:c r="X441" s="201" t="str">
        <x:f>IF(U441=0,"Não iniciado",IF(U441&gt;=M441,"Concluído","Parcial"))</x:f>
        <x:v>Não iniciado</x:v>
      </x:c>
      <x:c r="Y441" s="199" t="str"/>
      <x:c r="Z441" s="188" t="str">
        <x:v>Normal</x:v>
      </x:c>
    </x:row>
    <x:row r="442" ht="22" customHeight="1">
      <x:c r="A442" s="219" t="n">
        <x:v>438</x:v>
      </x:c>
      <x:c r="B442" s="220" t="str">
        <x:v>26739</x:v>
      </x:c>
      <x:c r="C442" s="220" t="str">
        <x:v>17</x:v>
      </x:c>
      <x:c r="D442" s="220" t="str">
        <x:v>609697</x:v>
      </x:c>
      <x:c r="E442" s="220" t="str">
        <x:v>971601</x:v>
      </x:c>
      <x:c r="F442" s="220" t="str">
        <x:v>OUTROS</x:v>
      </x:c>
      <x:c r="G442" s="190" t="str">
        <x:v>PE AL 2250X50X9 RTO RL80 REC PET BCO(ULT</x:v>
      </x:c>
      <x:c r="H442" s="190" t="str"/>
      <x:c r="I442" s="190" t="str"/>
      <x:c r="J442" s="190" t="str"/>
      <x:c r="K442" s="190" t="str">
        <x:v>ESMALTE</x:v>
      </x:c>
      <x:c r="L442" s="190" t="str">
        <x:v>BRANCO CARRARA</x:v>
      </x:c>
      <x:c r="M442" s="210" t="n">
        <x:v>18</x:v>
      </x:c>
      <x:c r="N442" s="210" t="n">
        <x:v>2250</x:v>
      </x:c>
      <x:c r="O442" s="210" t="n">
        <x:v>50</x:v>
      </x:c>
      <x:c r="P442" s="210" t="n">
        <x:v>9</x:v>
      </x:c>
      <x:c r="Q442" s="211" t="n">
        <x:v>0</x:v>
      </x:c>
      <x:c r="R442" s="207" t="str"/>
      <x:c r="S442" s="207" t="str"/>
      <x:c r="T442" s="207" t="str"/>
      <x:c r="U442" s="207" t="n">
        <x:v>0</x:v>
      </x:c>
      <x:c r="V442" s="208" t="n">
        <x:f>MAX(0,M442-U442)</x:f>
        <x:v>18</x:v>
      </x:c>
      <x:c r="W442" s="209" t="n">
        <x:f>IFERROR(U442/M442,0)</x:f>
        <x:v>0</x:v>
      </x:c>
      <x:c r="X442" s="201" t="str">
        <x:f>IF(U442=0,"Não iniciado",IF(U442&gt;=M442,"Concluído","Parcial"))</x:f>
        <x:v>Não iniciado</x:v>
      </x:c>
      <x:c r="Y442" s="199" t="str"/>
      <x:c r="Z442" s="188" t="str">
        <x:v>Normal</x:v>
      </x:c>
    </x:row>
    <x:row r="443" ht="22" customHeight="1">
      <x:c r="A443" s="217" t="n">
        <x:v>439</x:v>
      </x:c>
      <x:c r="B443" s="218" t="str">
        <x:v>26739</x:v>
      </x:c>
      <x:c r="C443" s="218" t="str">
        <x:v>18</x:v>
      </x:c>
      <x:c r="D443" s="218" t="str">
        <x:v>609703</x:v>
      </x:c>
      <x:c r="E443" s="218" t="str">
        <x:v>963311</x:v>
      </x:c>
      <x:c r="F443" s="218" t="str">
        <x:v>OUTROS</x:v>
      </x:c>
      <x:c r="G443" s="184" t="str">
        <x:v>PE AL 2250X50X9 RTO LME REC PET BCO(ULTR</x:v>
      </x:c>
      <x:c r="H443" s="184" t="str"/>
      <x:c r="I443" s="184" t="str"/>
      <x:c r="J443" s="184" t="str"/>
      <x:c r="K443" s="184" t="str">
        <x:v>ESMALTE</x:v>
      </x:c>
      <x:c r="L443" s="184" t="str">
        <x:v>BRANCO CARRARA</x:v>
      </x:c>
      <x:c r="M443" s="205" t="n">
        <x:v>10</x:v>
      </x:c>
      <x:c r="N443" s="205" t="n">
        <x:v>2250</x:v>
      </x:c>
      <x:c r="O443" s="205" t="n">
        <x:v>50</x:v>
      </x:c>
      <x:c r="P443" s="205" t="n">
        <x:v>9</x:v>
      </x:c>
      <x:c r="Q443" s="206" t="n">
        <x:v>0</x:v>
      </x:c>
      <x:c r="R443" s="207" t="str"/>
      <x:c r="S443" s="207" t="str"/>
      <x:c r="T443" s="207" t="str"/>
      <x:c r="U443" s="207" t="n">
        <x:v>0</x:v>
      </x:c>
      <x:c r="V443" s="208" t="n">
        <x:f>MAX(0,M443-U443)</x:f>
        <x:v>10</x:v>
      </x:c>
      <x:c r="W443" s="209" t="n">
        <x:f>IFERROR(U443/M443,0)</x:f>
        <x:v>0</x:v>
      </x:c>
      <x:c r="X443" s="201" t="str">
        <x:f>IF(U443=0,"Não iniciado",IF(U443&gt;=M443,"Concluído","Parcial"))</x:f>
        <x:v>Não iniciado</x:v>
      </x:c>
      <x:c r="Y443" s="199" t="str"/>
      <x:c r="Z443" s="188" t="str">
        <x:v>Normal</x:v>
      </x:c>
    </x:row>
    <x:row r="444" ht="22" customHeight="1">
      <x:c r="A444" s="219" t="n">
        <x:v>440</x:v>
      </x:c>
      <x:c r="B444" s="220" t="str">
        <x:v>26739</x:v>
      </x:c>
      <x:c r="C444" s="220" t="str">
        <x:v>18</x:v>
      </x:c>
      <x:c r="D444" s="220" t="str">
        <x:v>609705</x:v>
      </x:c>
      <x:c r="E444" s="220" t="str">
        <x:v>971601</x:v>
      </x:c>
      <x:c r="F444" s="220" t="str">
        <x:v>OUTROS</x:v>
      </x:c>
      <x:c r="G444" s="190" t="str">
        <x:v>PE AL 2250X50X9 RTO RL80 REC PET BCO(ULT</x:v>
      </x:c>
      <x:c r="H444" s="190" t="str"/>
      <x:c r="I444" s="190" t="str"/>
      <x:c r="J444" s="190" t="str"/>
      <x:c r="K444" s="190" t="str">
        <x:v>ESMALTE</x:v>
      </x:c>
      <x:c r="L444" s="190" t="str">
        <x:v>BRANCO CARRARA</x:v>
      </x:c>
      <x:c r="M444" s="210" t="n">
        <x:v>10</x:v>
      </x:c>
      <x:c r="N444" s="210" t="n">
        <x:v>2250</x:v>
      </x:c>
      <x:c r="O444" s="210" t="n">
        <x:v>50</x:v>
      </x:c>
      <x:c r="P444" s="210" t="n">
        <x:v>9</x:v>
      </x:c>
      <x:c r="Q444" s="211" t="n">
        <x:v>0</x:v>
      </x:c>
      <x:c r="R444" s="207" t="str"/>
      <x:c r="S444" s="207" t="str"/>
      <x:c r="T444" s="207" t="str"/>
      <x:c r="U444" s="207" t="n">
        <x:v>0</x:v>
      </x:c>
      <x:c r="V444" s="208" t="n">
        <x:f>MAX(0,M444-U444)</x:f>
        <x:v>10</x:v>
      </x:c>
      <x:c r="W444" s="209" t="n">
        <x:f>IFERROR(U444/M444,0)</x:f>
        <x:v>0</x:v>
      </x:c>
      <x:c r="X444" s="201" t="str">
        <x:f>IF(U444=0,"Não iniciado",IF(U444&gt;=M444,"Concluído","Parcial"))</x:f>
        <x:v>Não iniciado</x:v>
      </x:c>
      <x:c r="Y444" s="199" t="str"/>
      <x:c r="Z444" s="188" t="str">
        <x:v>Normal</x:v>
      </x:c>
    </x:row>
    <x:row r="445" ht="22" customHeight="1">
      <x:c r="A445" s="217" t="n">
        <x:v>441</x:v>
      </x:c>
      <x:c r="B445" s="218" t="str">
        <x:v>26739</x:v>
      </x:c>
      <x:c r="C445" s="218" t="str">
        <x:v>19</x:v>
      </x:c>
      <x:c r="D445" s="218" t="str">
        <x:v>609712</x:v>
      </x:c>
      <x:c r="E445" s="218" t="str">
        <x:v>963311</x:v>
      </x:c>
      <x:c r="F445" s="218" t="str">
        <x:v>OUTROS</x:v>
      </x:c>
      <x:c r="G445" s="184" t="str">
        <x:v>PE AL 2250X50X9 RTO LME REC PET BCO(ULTR</x:v>
      </x:c>
      <x:c r="H445" s="184" t="str"/>
      <x:c r="I445" s="184" t="str"/>
      <x:c r="J445" s="184" t="str"/>
      <x:c r="K445" s="184" t="str">
        <x:v>ESMALTE</x:v>
      </x:c>
      <x:c r="L445" s="184" t="str">
        <x:v>BRANCO CARRARA</x:v>
      </x:c>
      <x:c r="M445" s="205" t="n">
        <x:v>54</x:v>
      </x:c>
      <x:c r="N445" s="205" t="n">
        <x:v>2250</x:v>
      </x:c>
      <x:c r="O445" s="205" t="n">
        <x:v>50</x:v>
      </x:c>
      <x:c r="P445" s="205" t="n">
        <x:v>9</x:v>
      </x:c>
      <x:c r="Q445" s="206" t="n">
        <x:v>0</x:v>
      </x:c>
      <x:c r="R445" s="207" t="str"/>
      <x:c r="S445" s="207" t="str"/>
      <x:c r="T445" s="207" t="str"/>
      <x:c r="U445" s="207" t="n">
        <x:v>0</x:v>
      </x:c>
      <x:c r="V445" s="208" t="n">
        <x:f>MAX(0,M445-U445)</x:f>
        <x:v>54</x:v>
      </x:c>
      <x:c r="W445" s="209" t="n">
        <x:f>IFERROR(U445/M445,0)</x:f>
        <x:v>0</x:v>
      </x:c>
      <x:c r="X445" s="201" t="str">
        <x:f>IF(U445=0,"Não iniciado",IF(U445&gt;=M445,"Concluído","Parcial"))</x:f>
        <x:v>Não iniciado</x:v>
      </x:c>
      <x:c r="Y445" s="199" t="str"/>
      <x:c r="Z445" s="188" t="str">
        <x:v>Normal</x:v>
      </x:c>
    </x:row>
    <x:row r="446" ht="22" customHeight="1">
      <x:c r="A446" s="219" t="n">
        <x:v>442</x:v>
      </x:c>
      <x:c r="B446" s="220" t="str">
        <x:v>26739</x:v>
      </x:c>
      <x:c r="C446" s="220" t="str">
        <x:v>19</x:v>
      </x:c>
      <x:c r="D446" s="220" t="str">
        <x:v>609714</x:v>
      </x:c>
      <x:c r="E446" s="220" t="str">
        <x:v>971601</x:v>
      </x:c>
      <x:c r="F446" s="220" t="str">
        <x:v>OUTROS</x:v>
      </x:c>
      <x:c r="G446" s="190" t="str">
        <x:v>PE AL 2250X50X9 RTO RL80 REC PET BCO(ULT</x:v>
      </x:c>
      <x:c r="H446" s="190" t="str"/>
      <x:c r="I446" s="190" t="str"/>
      <x:c r="J446" s="190" t="str"/>
      <x:c r="K446" s="190" t="str">
        <x:v>ESMALTE</x:v>
      </x:c>
      <x:c r="L446" s="190" t="str">
        <x:v>BRANCO CARRARA</x:v>
      </x:c>
      <x:c r="M446" s="210" t="n">
        <x:v>54</x:v>
      </x:c>
      <x:c r="N446" s="210" t="n">
        <x:v>2250</x:v>
      </x:c>
      <x:c r="O446" s="210" t="n">
        <x:v>50</x:v>
      </x:c>
      <x:c r="P446" s="210" t="n">
        <x:v>9</x:v>
      </x:c>
      <x:c r="Q446" s="211" t="n">
        <x:v>0</x:v>
      </x:c>
      <x:c r="R446" s="207" t="str"/>
      <x:c r="S446" s="207" t="str"/>
      <x:c r="T446" s="207" t="str"/>
      <x:c r="U446" s="207" t="n">
        <x:v>0</x:v>
      </x:c>
      <x:c r="V446" s="208" t="n">
        <x:f>MAX(0,M446-U446)</x:f>
        <x:v>54</x:v>
      </x:c>
      <x:c r="W446" s="209" t="n">
        <x:f>IFERROR(U446/M446,0)</x:f>
        <x:v>0</x:v>
      </x:c>
      <x:c r="X446" s="201" t="str">
        <x:f>IF(U446=0,"Não iniciado",IF(U446&gt;=M446,"Concluído","Parcial"))</x:f>
        <x:v>Não iniciado</x:v>
      </x:c>
      <x:c r="Y446" s="199" t="str"/>
      <x:c r="Z446" s="188" t="str">
        <x:v>Normal</x:v>
      </x:c>
    </x:row>
    <x:row r="447" ht="22" customHeight="1">
      <x:c r="A447" s="217" t="n">
        <x:v>443</x:v>
      </x:c>
      <x:c r="B447" s="218" t="str">
        <x:v>26739</x:v>
      </x:c>
      <x:c r="C447" s="218" t="str">
        <x:v>20</x:v>
      </x:c>
      <x:c r="D447" s="218" t="str">
        <x:v>609720</x:v>
      </x:c>
      <x:c r="E447" s="218" t="str">
        <x:v>963311</x:v>
      </x:c>
      <x:c r="F447" s="218" t="str">
        <x:v>OUTROS</x:v>
      </x:c>
      <x:c r="G447" s="184" t="str">
        <x:v>PE AL 2250X50X9 RTO LME REC PET BCO(ULTR</x:v>
      </x:c>
      <x:c r="H447" s="184" t="str"/>
      <x:c r="I447" s="184" t="str"/>
      <x:c r="J447" s="184" t="str"/>
      <x:c r="K447" s="184" t="str">
        <x:v>ESMALTE</x:v>
      </x:c>
      <x:c r="L447" s="184" t="str">
        <x:v>BRANCO CARRARA</x:v>
      </x:c>
      <x:c r="M447" s="205" t="n">
        <x:v>6</x:v>
      </x:c>
      <x:c r="N447" s="205" t="n">
        <x:v>2250</x:v>
      </x:c>
      <x:c r="O447" s="205" t="n">
        <x:v>50</x:v>
      </x:c>
      <x:c r="P447" s="205" t="n">
        <x:v>9</x:v>
      </x:c>
      <x:c r="Q447" s="206" t="n">
        <x:v>0</x:v>
      </x:c>
      <x:c r="R447" s="207" t="str"/>
      <x:c r="S447" s="207" t="str"/>
      <x:c r="T447" s="207" t="str"/>
      <x:c r="U447" s="207" t="n">
        <x:v>0</x:v>
      </x:c>
      <x:c r="V447" s="208" t="n">
        <x:f>MAX(0,M447-U447)</x:f>
        <x:v>6</x:v>
      </x:c>
      <x:c r="W447" s="209" t="n">
        <x:f>IFERROR(U447/M447,0)</x:f>
        <x:v>0</x:v>
      </x:c>
      <x:c r="X447" s="201" t="str">
        <x:f>IF(U447=0,"Não iniciado",IF(U447&gt;=M447,"Concluído","Parcial"))</x:f>
        <x:v>Não iniciado</x:v>
      </x:c>
      <x:c r="Y447" s="199" t="str"/>
      <x:c r="Z447" s="188" t="str">
        <x:v>Normal</x:v>
      </x:c>
    </x:row>
    <x:row r="448" ht="22" customHeight="1">
      <x:c r="A448" s="219" t="n">
        <x:v>444</x:v>
      </x:c>
      <x:c r="B448" s="220" t="str">
        <x:v>26739</x:v>
      </x:c>
      <x:c r="C448" s="220" t="str">
        <x:v>20</x:v>
      </x:c>
      <x:c r="D448" s="220" t="str">
        <x:v>609723</x:v>
      </x:c>
      <x:c r="E448" s="220" t="str">
        <x:v>971601</x:v>
      </x:c>
      <x:c r="F448" s="220" t="str">
        <x:v>OUTROS</x:v>
      </x:c>
      <x:c r="G448" s="190" t="str">
        <x:v>PE AL 2250X50X9 RTO RL80 REC PET BCO(ULT</x:v>
      </x:c>
      <x:c r="H448" s="190" t="str"/>
      <x:c r="I448" s="190" t="str"/>
      <x:c r="J448" s="190" t="str"/>
      <x:c r="K448" s="190" t="str">
        <x:v>ESMALTE</x:v>
      </x:c>
      <x:c r="L448" s="190" t="str">
        <x:v>BRANCO CARRARA</x:v>
      </x:c>
      <x:c r="M448" s="210" t="n">
        <x:v>6</x:v>
      </x:c>
      <x:c r="N448" s="210" t="n">
        <x:v>2250</x:v>
      </x:c>
      <x:c r="O448" s="210" t="n">
        <x:v>50</x:v>
      </x:c>
      <x:c r="P448" s="210" t="n">
        <x:v>9</x:v>
      </x:c>
      <x:c r="Q448" s="211" t="n">
        <x:v>0</x:v>
      </x:c>
      <x:c r="R448" s="207" t="str"/>
      <x:c r="S448" s="207" t="str"/>
      <x:c r="T448" s="207" t="str"/>
      <x:c r="U448" s="207" t="n">
        <x:v>0</x:v>
      </x:c>
      <x:c r="V448" s="208" t="n">
        <x:f>MAX(0,M448-U448)</x:f>
        <x:v>6</x:v>
      </x:c>
      <x:c r="W448" s="209" t="n">
        <x:f>IFERROR(U448/M448,0)</x:f>
        <x:v>0</x:v>
      </x:c>
      <x:c r="X448" s="201" t="str">
        <x:f>IF(U448=0,"Não iniciado",IF(U448&gt;=M448,"Concluído","Parcial"))</x:f>
        <x:v>Não iniciado</x:v>
      </x:c>
      <x:c r="Y448" s="199" t="str"/>
      <x:c r="Z448" s="188" t="str">
        <x:v>Normal</x:v>
      </x:c>
    </x:row>
    <x:row r="449" ht="22" customHeight="1">
      <x:c r="A449" s="217" t="n">
        <x:v>445</x:v>
      </x:c>
      <x:c r="B449" s="218" t="str">
        <x:v>26739</x:v>
      </x:c>
      <x:c r="C449" s="218" t="str">
        <x:v>21</x:v>
      </x:c>
      <x:c r="D449" s="218" t="str">
        <x:v>609729</x:v>
      </x:c>
      <x:c r="E449" s="218" t="str">
        <x:v>963311</x:v>
      </x:c>
      <x:c r="F449" s="218" t="str">
        <x:v>OUTROS</x:v>
      </x:c>
      <x:c r="G449" s="184" t="str">
        <x:v>PE AL 2250X50X9 RTO LME REC PET BCO(ULTR</x:v>
      </x:c>
      <x:c r="H449" s="184" t="str"/>
      <x:c r="I449" s="184" t="str"/>
      <x:c r="J449" s="184" t="str"/>
      <x:c r="K449" s="184" t="str">
        <x:v>ESMALTE</x:v>
      </x:c>
      <x:c r="L449" s="184" t="str">
        <x:v>BRANCO CARRARA</x:v>
      </x:c>
      <x:c r="M449" s="205" t="n">
        <x:v>20</x:v>
      </x:c>
      <x:c r="N449" s="205" t="n">
        <x:v>2250</x:v>
      </x:c>
      <x:c r="O449" s="205" t="n">
        <x:v>50</x:v>
      </x:c>
      <x:c r="P449" s="205" t="n">
        <x:v>9</x:v>
      </x:c>
      <x:c r="Q449" s="206" t="n">
        <x:v>0</x:v>
      </x:c>
      <x:c r="R449" s="207" t="str"/>
      <x:c r="S449" s="207" t="str"/>
      <x:c r="T449" s="207" t="str"/>
      <x:c r="U449" s="207" t="n">
        <x:v>0</x:v>
      </x:c>
      <x:c r="V449" s="208" t="n">
        <x:f>MAX(0,M449-U449)</x:f>
        <x:v>20</x:v>
      </x:c>
      <x:c r="W449" s="209" t="n">
        <x:f>IFERROR(U449/M449,0)</x:f>
        <x:v>0</x:v>
      </x:c>
      <x:c r="X449" s="201" t="str">
        <x:f>IF(U449=0,"Não iniciado",IF(U449&gt;=M449,"Concluído","Parcial"))</x:f>
        <x:v>Não iniciado</x:v>
      </x:c>
      <x:c r="Y449" s="199" t="str"/>
      <x:c r="Z449" s="188" t="str">
        <x:v>Normal</x:v>
      </x:c>
    </x:row>
    <x:row r="450" ht="22" customHeight="1">
      <x:c r="A450" s="219" t="n">
        <x:v>446</x:v>
      </x:c>
      <x:c r="B450" s="220" t="str">
        <x:v>26739</x:v>
      </x:c>
      <x:c r="C450" s="220" t="str">
        <x:v>21</x:v>
      </x:c>
      <x:c r="D450" s="220" t="str">
        <x:v>609731</x:v>
      </x:c>
      <x:c r="E450" s="220" t="str">
        <x:v>971601</x:v>
      </x:c>
      <x:c r="F450" s="220" t="str">
        <x:v>OUTROS</x:v>
      </x:c>
      <x:c r="G450" s="190" t="str">
        <x:v>PE AL 2250X50X9 RTO RL80 REC PET BCO(ULT</x:v>
      </x:c>
      <x:c r="H450" s="190" t="str"/>
      <x:c r="I450" s="190" t="str"/>
      <x:c r="J450" s="190" t="str"/>
      <x:c r="K450" s="190" t="str">
        <x:v>ESMALTE</x:v>
      </x:c>
      <x:c r="L450" s="190" t="str">
        <x:v>BRANCO CARRARA</x:v>
      </x:c>
      <x:c r="M450" s="210" t="n">
        <x:v>20</x:v>
      </x:c>
      <x:c r="N450" s="210" t="n">
        <x:v>2250</x:v>
      </x:c>
      <x:c r="O450" s="210" t="n">
        <x:v>50</x:v>
      </x:c>
      <x:c r="P450" s="210" t="n">
        <x:v>9</x:v>
      </x:c>
      <x:c r="Q450" s="211" t="n">
        <x:v>0</x:v>
      </x:c>
      <x:c r="R450" s="207" t="str"/>
      <x:c r="S450" s="207" t="str"/>
      <x:c r="T450" s="207" t="str"/>
      <x:c r="U450" s="207" t="n">
        <x:v>0</x:v>
      </x:c>
      <x:c r="V450" s="208" t="n">
        <x:f>MAX(0,M450-U450)</x:f>
        <x:v>20</x:v>
      </x:c>
      <x:c r="W450" s="209" t="n">
        <x:f>IFERROR(U450/M450,0)</x:f>
        <x:v>0</x:v>
      </x:c>
      <x:c r="X450" s="201" t="str">
        <x:f>IF(U450=0,"Não iniciado",IF(U450&gt;=M450,"Concluído","Parcial"))</x:f>
        <x:v>Não iniciado</x:v>
      </x:c>
      <x:c r="Y450" s="199" t="str"/>
      <x:c r="Z450" s="188" t="str">
        <x:v>Normal</x:v>
      </x:c>
    </x:row>
    <x:row r="451" ht="22" customHeight="1">
      <x:c r="A451" s="217" t="n">
        <x:v>447</x:v>
      </x:c>
      <x:c r="B451" s="218" t="str">
        <x:v>26739</x:v>
      </x:c>
      <x:c r="C451" s="218" t="str">
        <x:v>22</x:v>
      </x:c>
      <x:c r="D451" s="218" t="str">
        <x:v>609735</x:v>
      </x:c>
      <x:c r="E451" s="218" t="str">
        <x:v>963311</x:v>
      </x:c>
      <x:c r="F451" s="218" t="str">
        <x:v>OUTROS</x:v>
      </x:c>
      <x:c r="G451" s="184" t="str">
        <x:v>PE AL 2250X50X9 RTO LME REC PET BCO(ULTR</x:v>
      </x:c>
      <x:c r="H451" s="184" t="str"/>
      <x:c r="I451" s="184" t="str"/>
      <x:c r="J451" s="184" t="str"/>
      <x:c r="K451" s="184" t="str">
        <x:v>ESMALTE</x:v>
      </x:c>
      <x:c r="L451" s="184" t="str">
        <x:v>BRANCO CARRARA</x:v>
      </x:c>
      <x:c r="M451" s="205" t="n">
        <x:v>2</x:v>
      </x:c>
      <x:c r="N451" s="205" t="n">
        <x:v>2250</x:v>
      </x:c>
      <x:c r="O451" s="205" t="n">
        <x:v>50</x:v>
      </x:c>
      <x:c r="P451" s="205" t="n">
        <x:v>9</x:v>
      </x:c>
      <x:c r="Q451" s="206" t="n">
        <x:v>0</x:v>
      </x:c>
      <x:c r="R451" s="207" t="str"/>
      <x:c r="S451" s="207" t="str"/>
      <x:c r="T451" s="207" t="str"/>
      <x:c r="U451" s="207" t="n">
        <x:v>0</x:v>
      </x:c>
      <x:c r="V451" s="208" t="n">
        <x:f>MAX(0,M451-U451)</x:f>
        <x:v>2</x:v>
      </x:c>
      <x:c r="W451" s="209" t="n">
        <x:f>IFERROR(U451/M451,0)</x:f>
        <x:v>0</x:v>
      </x:c>
      <x:c r="X451" s="201" t="str">
        <x:f>IF(U451=0,"Não iniciado",IF(U451&gt;=M451,"Concluído","Parcial"))</x:f>
        <x:v>Não iniciado</x:v>
      </x:c>
      <x:c r="Y451" s="199" t="str"/>
      <x:c r="Z451" s="188" t="str">
        <x:v>Normal</x:v>
      </x:c>
    </x:row>
    <x:row r="452" ht="22" customHeight="1">
      <x:c r="A452" s="219" t="n">
        <x:v>448</x:v>
      </x:c>
      <x:c r="B452" s="220" t="str">
        <x:v>26739</x:v>
      </x:c>
      <x:c r="C452" s="220" t="str">
        <x:v>22</x:v>
      </x:c>
      <x:c r="D452" s="220" t="str">
        <x:v>609737</x:v>
      </x:c>
      <x:c r="E452" s="220" t="str">
        <x:v>971601</x:v>
      </x:c>
      <x:c r="F452" s="220" t="str">
        <x:v>OUTROS</x:v>
      </x:c>
      <x:c r="G452" s="190" t="str">
        <x:v>PE AL 2250X50X9 RTO RL80 REC PET BCO(ULT</x:v>
      </x:c>
      <x:c r="H452" s="190" t="str"/>
      <x:c r="I452" s="190" t="str"/>
      <x:c r="J452" s="190" t="str"/>
      <x:c r="K452" s="190" t="str">
        <x:v>ESMALTE</x:v>
      </x:c>
      <x:c r="L452" s="190" t="str">
        <x:v>BRANCO CARRARA</x:v>
      </x:c>
      <x:c r="M452" s="210" t="n">
        <x:v>2</x:v>
      </x:c>
      <x:c r="N452" s="210" t="n">
        <x:v>2250</x:v>
      </x:c>
      <x:c r="O452" s="210" t="n">
        <x:v>50</x:v>
      </x:c>
      <x:c r="P452" s="210" t="n">
        <x:v>9</x:v>
      </x:c>
      <x:c r="Q452" s="211" t="n">
        <x:v>0</x:v>
      </x:c>
      <x:c r="R452" s="207" t="str"/>
      <x:c r="S452" s="207" t="str"/>
      <x:c r="T452" s="207" t="str"/>
      <x:c r="U452" s="207" t="n">
        <x:v>0</x:v>
      </x:c>
      <x:c r="V452" s="208" t="n">
        <x:f>MAX(0,M452-U452)</x:f>
        <x:v>2</x:v>
      </x:c>
      <x:c r="W452" s="209" t="n">
        <x:f>IFERROR(U452/M452,0)</x:f>
        <x:v>0</x:v>
      </x:c>
      <x:c r="X452" s="201" t="str">
        <x:f>IF(U452=0,"Não iniciado",IF(U452&gt;=M452,"Concluído","Parcial"))</x:f>
        <x:v>Não iniciado</x:v>
      </x:c>
      <x:c r="Y452" s="199" t="str"/>
      <x:c r="Z452" s="188" t="str">
        <x:v>Normal</x:v>
      </x:c>
    </x:row>
    <x:row r="453" ht="22" customHeight="1">
      <x:c r="A453" s="217" t="n">
        <x:v>449</x:v>
      </x:c>
      <x:c r="B453" s="218" t="str">
        <x:v>26739</x:v>
      </x:c>
      <x:c r="C453" s="218" t="str">
        <x:v>23</x:v>
      </x:c>
      <x:c r="D453" s="218" t="str">
        <x:v>609746</x:v>
      </x:c>
      <x:c r="E453" s="218" t="str">
        <x:v>963311</x:v>
      </x:c>
      <x:c r="F453" s="218" t="str">
        <x:v>OUTROS</x:v>
      </x:c>
      <x:c r="G453" s="184" t="str">
        <x:v>PE AL 2250X50X9 RTO LME REC PET BCO(ULTR</x:v>
      </x:c>
      <x:c r="H453" s="184" t="str"/>
      <x:c r="I453" s="184" t="str"/>
      <x:c r="J453" s="184" t="str"/>
      <x:c r="K453" s="184" t="str">
        <x:v>ESMALTE</x:v>
      </x:c>
      <x:c r="L453" s="184" t="str">
        <x:v>BRANCO CARRARA</x:v>
      </x:c>
      <x:c r="M453" s="205" t="n">
        <x:v>2</x:v>
      </x:c>
      <x:c r="N453" s="205" t="n">
        <x:v>2250</x:v>
      </x:c>
      <x:c r="O453" s="205" t="n">
        <x:v>50</x:v>
      </x:c>
      <x:c r="P453" s="205" t="n">
        <x:v>9</x:v>
      </x:c>
      <x:c r="Q453" s="206" t="n">
        <x:v>0</x:v>
      </x:c>
      <x:c r="R453" s="207" t="str"/>
      <x:c r="S453" s="207" t="str"/>
      <x:c r="T453" s="207" t="str"/>
      <x:c r="U453" s="207" t="n">
        <x:v>0</x:v>
      </x:c>
      <x:c r="V453" s="208" t="n">
        <x:f>MAX(0,M453-U453)</x:f>
        <x:v>2</x:v>
      </x:c>
      <x:c r="W453" s="209" t="n">
        <x:f>IFERROR(U453/M453,0)</x:f>
        <x:v>0</x:v>
      </x:c>
      <x:c r="X453" s="201" t="str">
        <x:f>IF(U453=0,"Não iniciado",IF(U453&gt;=M453,"Concluído","Parcial"))</x:f>
        <x:v>Não iniciado</x:v>
      </x:c>
      <x:c r="Y453" s="199" t="str"/>
      <x:c r="Z453" s="188" t="str">
        <x:v>Normal</x:v>
      </x:c>
    </x:row>
    <x:row r="454" ht="22" customHeight="1">
      <x:c r="A454" s="219" t="n">
        <x:v>450</x:v>
      </x:c>
      <x:c r="B454" s="220" t="str">
        <x:v>26739</x:v>
      </x:c>
      <x:c r="C454" s="220" t="str">
        <x:v>23</x:v>
      </x:c>
      <x:c r="D454" s="220" t="str">
        <x:v>609748</x:v>
      </x:c>
      <x:c r="E454" s="220" t="str">
        <x:v>971601</x:v>
      </x:c>
      <x:c r="F454" s="220" t="str">
        <x:v>OUTROS</x:v>
      </x:c>
      <x:c r="G454" s="190" t="str">
        <x:v>PE AL 2250X50X9 RTO RL80 REC PET BCO(ULT</x:v>
      </x:c>
      <x:c r="H454" s="190" t="str"/>
      <x:c r="I454" s="190" t="str"/>
      <x:c r="J454" s="190" t="str"/>
      <x:c r="K454" s="190" t="str">
        <x:v>ESMALTE</x:v>
      </x:c>
      <x:c r="L454" s="190" t="str">
        <x:v>BRANCO CARRARA</x:v>
      </x:c>
      <x:c r="M454" s="210" t="n">
        <x:v>2</x:v>
      </x:c>
      <x:c r="N454" s="210" t="n">
        <x:v>2250</x:v>
      </x:c>
      <x:c r="O454" s="210" t="n">
        <x:v>50</x:v>
      </x:c>
      <x:c r="P454" s="210" t="n">
        <x:v>9</x:v>
      </x:c>
      <x:c r="Q454" s="211" t="n">
        <x:v>0</x:v>
      </x:c>
      <x:c r="R454" s="207" t="str"/>
      <x:c r="S454" s="207" t="str"/>
      <x:c r="T454" s="207" t="str"/>
      <x:c r="U454" s="207" t="n">
        <x:v>0</x:v>
      </x:c>
      <x:c r="V454" s="208" t="n">
        <x:f>MAX(0,M454-U454)</x:f>
        <x:v>2</x:v>
      </x:c>
      <x:c r="W454" s="209" t="n">
        <x:f>IFERROR(U454/M454,0)</x:f>
        <x:v>0</x:v>
      </x:c>
      <x:c r="X454" s="201" t="str">
        <x:f>IF(U454=0,"Não iniciado",IF(U454&gt;=M454,"Concluído","Parcial"))</x:f>
        <x:v>Não iniciado</x:v>
      </x:c>
      <x:c r="Y454" s="199" t="str"/>
      <x:c r="Z454" s="188" t="str">
        <x:v>Normal</x:v>
      </x:c>
    </x:row>
    <x:row r="455" ht="22" customHeight="1">
      <x:c r="A455" s="217" t="n">
        <x:v>451</x:v>
      </x:c>
      <x:c r="B455" s="218" t="str">
        <x:v>26739</x:v>
      </x:c>
      <x:c r="C455" s="218" t="str">
        <x:v>24</x:v>
      </x:c>
      <x:c r="D455" s="218" t="str">
        <x:v>609760</x:v>
      </x:c>
      <x:c r="E455" s="218" t="str">
        <x:v>963311</x:v>
      </x:c>
      <x:c r="F455" s="218" t="str">
        <x:v>OUTROS</x:v>
      </x:c>
      <x:c r="G455" s="184" t="str">
        <x:v>PE AL 2250X50X9 RTO LME REC PET BCO(ULTR</x:v>
      </x:c>
      <x:c r="H455" s="184" t="str"/>
      <x:c r="I455" s="184" t="str"/>
      <x:c r="J455" s="184" t="str"/>
      <x:c r="K455" s="184" t="str">
        <x:v>ESMALTE</x:v>
      </x:c>
      <x:c r="L455" s="184" t="str">
        <x:v>BRANCO CARRARA</x:v>
      </x:c>
      <x:c r="M455" s="205" t="n">
        <x:v>4</x:v>
      </x:c>
      <x:c r="N455" s="205" t="n">
        <x:v>2250</x:v>
      </x:c>
      <x:c r="O455" s="205" t="n">
        <x:v>50</x:v>
      </x:c>
      <x:c r="P455" s="205" t="n">
        <x:v>9</x:v>
      </x:c>
      <x:c r="Q455" s="206" t="n">
        <x:v>0</x:v>
      </x:c>
      <x:c r="R455" s="207" t="str"/>
      <x:c r="S455" s="207" t="str"/>
      <x:c r="T455" s="207" t="str"/>
      <x:c r="U455" s="207" t="n">
        <x:v>0</x:v>
      </x:c>
      <x:c r="V455" s="208" t="n">
        <x:f>MAX(0,M455-U455)</x:f>
        <x:v>4</x:v>
      </x:c>
      <x:c r="W455" s="209" t="n">
        <x:f>IFERROR(U455/M455,0)</x:f>
        <x:v>0</x:v>
      </x:c>
      <x:c r="X455" s="201" t="str">
        <x:f>IF(U455=0,"Não iniciado",IF(U455&gt;=M455,"Concluído","Parcial"))</x:f>
        <x:v>Não iniciado</x:v>
      </x:c>
      <x:c r="Y455" s="199" t="str"/>
      <x:c r="Z455" s="188" t="str">
        <x:v>Normal</x:v>
      </x:c>
    </x:row>
    <x:row r="456" ht="22" customHeight="1">
      <x:c r="A456" s="219" t="n">
        <x:v>452</x:v>
      </x:c>
      <x:c r="B456" s="220" t="str">
        <x:v>26739</x:v>
      </x:c>
      <x:c r="C456" s="220" t="str">
        <x:v>24</x:v>
      </x:c>
      <x:c r="D456" s="220" t="str">
        <x:v>609762</x:v>
      </x:c>
      <x:c r="E456" s="220" t="str">
        <x:v>971601</x:v>
      </x:c>
      <x:c r="F456" s="220" t="str">
        <x:v>OUTROS</x:v>
      </x:c>
      <x:c r="G456" s="190" t="str">
        <x:v>PE AL 2250X50X9 RTO RL80 REC PET BCO(ULT</x:v>
      </x:c>
      <x:c r="H456" s="190" t="str"/>
      <x:c r="I456" s="190" t="str"/>
      <x:c r="J456" s="190" t="str"/>
      <x:c r="K456" s="190" t="str">
        <x:v>ESMALTE</x:v>
      </x:c>
      <x:c r="L456" s="190" t="str">
        <x:v>BRANCO CARRARA</x:v>
      </x:c>
      <x:c r="M456" s="210" t="n">
        <x:v>4</x:v>
      </x:c>
      <x:c r="N456" s="210" t="n">
        <x:v>2250</x:v>
      </x:c>
      <x:c r="O456" s="210" t="n">
        <x:v>50</x:v>
      </x:c>
      <x:c r="P456" s="210" t="n">
        <x:v>9</x:v>
      </x:c>
      <x:c r="Q456" s="211" t="n">
        <x:v>0</x:v>
      </x:c>
      <x:c r="R456" s="207" t="str"/>
      <x:c r="S456" s="207" t="str"/>
      <x:c r="T456" s="207" t="str"/>
      <x:c r="U456" s="207" t="n">
        <x:v>0</x:v>
      </x:c>
      <x:c r="V456" s="208" t="n">
        <x:f>MAX(0,M456-U456)</x:f>
        <x:v>4</x:v>
      </x:c>
      <x:c r="W456" s="209" t="n">
        <x:f>IFERROR(U456/M456,0)</x:f>
        <x:v>0</x:v>
      </x:c>
      <x:c r="X456" s="201" t="str">
        <x:f>IF(U456=0,"Não iniciado",IF(U456&gt;=M456,"Concluído","Parcial"))</x:f>
        <x:v>Não iniciado</x:v>
      </x:c>
      <x:c r="Y456" s="199" t="str"/>
      <x:c r="Z456" s="188" t="str">
        <x:v>Normal</x:v>
      </x:c>
    </x:row>
    <x:row r="457" ht="22" customHeight="1">
      <x:c r="A457" s="217" t="n">
        <x:v>453</x:v>
      </x:c>
      <x:c r="B457" s="218" t="str">
        <x:v>26739</x:v>
      </x:c>
      <x:c r="C457" s="218" t="str">
        <x:v>25</x:v>
      </x:c>
      <x:c r="D457" s="218" t="str">
        <x:v>609774</x:v>
      </x:c>
      <x:c r="E457" s="218" t="str">
        <x:v>963311</x:v>
      </x:c>
      <x:c r="F457" s="218" t="str">
        <x:v>OUTROS</x:v>
      </x:c>
      <x:c r="G457" s="184" t="str">
        <x:v>PE AL 2250X50X9 RTO LME REC PET BCO(ULTR</x:v>
      </x:c>
      <x:c r="H457" s="184" t="str"/>
      <x:c r="I457" s="184" t="str"/>
      <x:c r="J457" s="184" t="str"/>
      <x:c r="K457" s="184" t="str">
        <x:v>ESMALTE</x:v>
      </x:c>
      <x:c r="L457" s="184" t="str">
        <x:v>BRANCO CARRARA</x:v>
      </x:c>
      <x:c r="M457" s="205" t="n">
        <x:v>2</x:v>
      </x:c>
      <x:c r="N457" s="205" t="n">
        <x:v>2250</x:v>
      </x:c>
      <x:c r="O457" s="205" t="n">
        <x:v>50</x:v>
      </x:c>
      <x:c r="P457" s="205" t="n">
        <x:v>9</x:v>
      </x:c>
      <x:c r="Q457" s="206" t="n">
        <x:v>0</x:v>
      </x:c>
      <x:c r="R457" s="207" t="str"/>
      <x:c r="S457" s="207" t="str"/>
      <x:c r="T457" s="207" t="str"/>
      <x:c r="U457" s="207" t="n">
        <x:v>0</x:v>
      </x:c>
      <x:c r="V457" s="208" t="n">
        <x:f>MAX(0,M457-U457)</x:f>
        <x:v>2</x:v>
      </x:c>
      <x:c r="W457" s="209" t="n">
        <x:f>IFERROR(U457/M457,0)</x:f>
        <x:v>0</x:v>
      </x:c>
      <x:c r="X457" s="201" t="str">
        <x:f>IF(U457=0,"Não iniciado",IF(U457&gt;=M457,"Concluído","Parcial"))</x:f>
        <x:v>Não iniciado</x:v>
      </x:c>
      <x:c r="Y457" s="199" t="str"/>
      <x:c r="Z457" s="188" t="str">
        <x:v>Normal</x:v>
      </x:c>
    </x:row>
    <x:row r="458" ht="22" customHeight="1">
      <x:c r="A458" s="219" t="n">
        <x:v>454</x:v>
      </x:c>
      <x:c r="B458" s="220" t="str">
        <x:v>26739</x:v>
      </x:c>
      <x:c r="C458" s="220" t="str">
        <x:v>25</x:v>
      </x:c>
      <x:c r="D458" s="220" t="str">
        <x:v>609777</x:v>
      </x:c>
      <x:c r="E458" s="220" t="str">
        <x:v>971601</x:v>
      </x:c>
      <x:c r="F458" s="220" t="str">
        <x:v>OUTROS</x:v>
      </x:c>
      <x:c r="G458" s="190" t="str">
        <x:v>PE AL 2250X50X9 RTO RL80 REC PET BCO(ULT</x:v>
      </x:c>
      <x:c r="H458" s="190" t="str"/>
      <x:c r="I458" s="190" t="str"/>
      <x:c r="J458" s="190" t="str"/>
      <x:c r="K458" s="190" t="str">
        <x:v>ESMALTE</x:v>
      </x:c>
      <x:c r="L458" s="190" t="str">
        <x:v>BRANCO CARRARA</x:v>
      </x:c>
      <x:c r="M458" s="210" t="n">
        <x:v>2</x:v>
      </x:c>
      <x:c r="N458" s="210" t="n">
        <x:v>2250</x:v>
      </x:c>
      <x:c r="O458" s="210" t="n">
        <x:v>50</x:v>
      </x:c>
      <x:c r="P458" s="210" t="n">
        <x:v>9</x:v>
      </x:c>
      <x:c r="Q458" s="211" t="n">
        <x:v>0</x:v>
      </x:c>
      <x:c r="R458" s="207" t="str"/>
      <x:c r="S458" s="207" t="str"/>
      <x:c r="T458" s="207" t="str"/>
      <x:c r="U458" s="207" t="n">
        <x:v>0</x:v>
      </x:c>
      <x:c r="V458" s="208" t="n">
        <x:f>MAX(0,M458-U458)</x:f>
        <x:v>2</x:v>
      </x:c>
      <x:c r="W458" s="209" t="n">
        <x:f>IFERROR(U458/M458,0)</x:f>
        <x:v>0</x:v>
      </x:c>
      <x:c r="X458" s="201" t="str">
        <x:f>IF(U458=0,"Não iniciado",IF(U458&gt;=M458,"Concluído","Parcial"))</x:f>
        <x:v>Não iniciado</x:v>
      </x:c>
      <x:c r="Y458" s="199" t="str"/>
      <x:c r="Z458" s="188" t="str">
        <x:v>Normal</x:v>
      </x:c>
    </x:row>
    <x:row r="459" ht="22" customHeight="1">
      <x:c r="A459" s="217" t="n">
        <x:v>455</x:v>
      </x:c>
      <x:c r="B459" s="218" t="str">
        <x:v>26744</x:v>
      </x:c>
      <x:c r="C459" s="218" t="str">
        <x:v>1</x:v>
      </x:c>
      <x:c r="D459" s="218" t="str">
        <x:v>609992</x:v>
      </x:c>
      <x:c r="E459" s="218" t="str">
        <x:v>963311</x:v>
      </x:c>
      <x:c r="F459" s="218" t="str">
        <x:v>OUTROS</x:v>
      </x:c>
      <x:c r="G459" s="184" t="str">
        <x:v>PE AL 2250X50X9 RTO LME REC PET BCO(ULTR</x:v>
      </x:c>
      <x:c r="H459" s="184" t="str"/>
      <x:c r="I459" s="184" t="str"/>
      <x:c r="J459" s="184" t="str"/>
      <x:c r="K459" s="184" t="str">
        <x:v>RECOBERTO PET</x:v>
      </x:c>
      <x:c r="L459" s="184" t="str">
        <x:v>BRANCO CARRARA</x:v>
      </x:c>
      <x:c r="M459" s="205" t="n">
        <x:v>8</x:v>
      </x:c>
      <x:c r="N459" s="205" t="n">
        <x:v>2250</x:v>
      </x:c>
      <x:c r="O459" s="205" t="n">
        <x:v>50</x:v>
      </x:c>
      <x:c r="P459" s="205" t="n">
        <x:v>9</x:v>
      </x:c>
      <x:c r="Q459" s="206" t="n">
        <x:v>0</x:v>
      </x:c>
      <x:c r="R459" s="207" t="str"/>
      <x:c r="S459" s="207" t="str"/>
      <x:c r="T459" s="207" t="str"/>
      <x:c r="U459" s="207" t="n">
        <x:v>0</x:v>
      </x:c>
      <x:c r="V459" s="208" t="n">
        <x:f>MAX(0,M459-U459)</x:f>
        <x:v>8</x:v>
      </x:c>
      <x:c r="W459" s="209" t="n">
        <x:f>IFERROR(U459/M459,0)</x:f>
        <x:v>0</x:v>
      </x:c>
      <x:c r="X459" s="201" t="str">
        <x:f>IF(U459=0,"Não iniciado",IF(U459&gt;=M459,"Concluído","Parcial"))</x:f>
        <x:v>Não iniciado</x:v>
      </x:c>
      <x:c r="Y459" s="199" t="str"/>
      <x:c r="Z459" s="188" t="str">
        <x:v>Normal</x:v>
      </x:c>
    </x:row>
    <x:row r="460" ht="22" customHeight="1">
      <x:c r="A460" s="219" t="n">
        <x:v>456</x:v>
      </x:c>
      <x:c r="B460" s="220" t="str">
        <x:v>26744</x:v>
      </x:c>
      <x:c r="C460" s="220" t="str">
        <x:v>2</x:v>
      </x:c>
      <x:c r="D460" s="220" t="str">
        <x:v>610001</x:v>
      </x:c>
      <x:c r="E460" s="220" t="str">
        <x:v>963311</x:v>
      </x:c>
      <x:c r="F460" s="220" t="str">
        <x:v>OUTROS</x:v>
      </x:c>
      <x:c r="G460" s="190" t="str">
        <x:v>PE AL 2250X50X9 RTO LME REC PET BCO(ULTR</x:v>
      </x:c>
      <x:c r="H460" s="190" t="str"/>
      <x:c r="I460" s="190" t="str"/>
      <x:c r="J460" s="190" t="str"/>
      <x:c r="K460" s="190" t="str">
        <x:v>RECOBERTO PET</x:v>
      </x:c>
      <x:c r="L460" s="190" t="str">
        <x:v>BRANCO CARRARA</x:v>
      </x:c>
      <x:c r="M460" s="210" t="n">
        <x:v>10</x:v>
      </x:c>
      <x:c r="N460" s="210" t="n">
        <x:v>2250</x:v>
      </x:c>
      <x:c r="O460" s="210" t="n">
        <x:v>50</x:v>
      </x:c>
      <x:c r="P460" s="210" t="n">
        <x:v>9</x:v>
      </x:c>
      <x:c r="Q460" s="211" t="n">
        <x:v>0</x:v>
      </x:c>
      <x:c r="R460" s="207" t="str"/>
      <x:c r="S460" s="207" t="str"/>
      <x:c r="T460" s="207" t="str"/>
      <x:c r="U460" s="207" t="n">
        <x:v>0</x:v>
      </x:c>
      <x:c r="V460" s="208" t="n">
        <x:f>MAX(0,M460-U460)</x:f>
        <x:v>10</x:v>
      </x:c>
      <x:c r="W460" s="209" t="n">
        <x:f>IFERROR(U460/M460,0)</x:f>
        <x:v>0</x:v>
      </x:c>
      <x:c r="X460" s="201" t="str">
        <x:f>IF(U460=0,"Não iniciado",IF(U460&gt;=M460,"Concluído","Parcial"))</x:f>
        <x:v>Não iniciado</x:v>
      </x:c>
      <x:c r="Y460" s="199" t="str"/>
      <x:c r="Z460" s="188" t="str">
        <x:v>Normal</x:v>
      </x:c>
    </x:row>
    <x:row r="461" ht="22" customHeight="1">
      <x:c r="A461" s="217" t="n">
        <x:v>457</x:v>
      </x:c>
      <x:c r="B461" s="218" t="str">
        <x:v>26744</x:v>
      </x:c>
      <x:c r="C461" s="218" t="str">
        <x:v>3</x:v>
      </x:c>
      <x:c r="D461" s="218" t="str">
        <x:v>610009</x:v>
      </x:c>
      <x:c r="E461" s="218" t="str">
        <x:v>963311</x:v>
      </x:c>
      <x:c r="F461" s="218" t="str">
        <x:v>OUTROS</x:v>
      </x:c>
      <x:c r="G461" s="184" t="str">
        <x:v>PE AL 2250X50X9 RTO LME REC PET BCO(ULTR</x:v>
      </x:c>
      <x:c r="H461" s="184" t="str"/>
      <x:c r="I461" s="184" t="str"/>
      <x:c r="J461" s="184" t="str"/>
      <x:c r="K461" s="184" t="str">
        <x:v>RECOBERTO PET</x:v>
      </x:c>
      <x:c r="L461" s="184" t="str">
        <x:v>BRANCO CARRARA</x:v>
      </x:c>
      <x:c r="M461" s="205" t="n">
        <x:v>2</x:v>
      </x:c>
      <x:c r="N461" s="205" t="n">
        <x:v>2250</x:v>
      </x:c>
      <x:c r="O461" s="205" t="n">
        <x:v>50</x:v>
      </x:c>
      <x:c r="P461" s="205" t="n">
        <x:v>9</x:v>
      </x:c>
      <x:c r="Q461" s="206" t="n">
        <x:v>0</x:v>
      </x:c>
      <x:c r="R461" s="207" t="str"/>
      <x:c r="S461" s="207" t="str"/>
      <x:c r="T461" s="207" t="str"/>
      <x:c r="U461" s="207" t="n">
        <x:v>0</x:v>
      </x:c>
      <x:c r="V461" s="208" t="n">
        <x:f>MAX(0,M461-U461)</x:f>
        <x:v>2</x:v>
      </x:c>
      <x:c r="W461" s="209" t="n">
        <x:f>IFERROR(U461/M461,0)</x:f>
        <x:v>0</x:v>
      </x:c>
      <x:c r="X461" s="201" t="str">
        <x:f>IF(U461=0,"Não iniciado",IF(U461&gt;=M461,"Concluído","Parcial"))</x:f>
        <x:v>Não iniciado</x:v>
      </x:c>
      <x:c r="Y461" s="199" t="str"/>
      <x:c r="Z461" s="188" t="str">
        <x:v>Normal</x:v>
      </x:c>
    </x:row>
    <x:row r="462" ht="22" customHeight="1">
      <x:c r="A462" s="219" t="n">
        <x:v>458</x:v>
      </x:c>
      <x:c r="B462" s="220" t="str">
        <x:v>26744</x:v>
      </x:c>
      <x:c r="C462" s="220" t="str">
        <x:v>3</x:v>
      </x:c>
      <x:c r="D462" s="220" t="str">
        <x:v>610010</x:v>
      </x:c>
      <x:c r="E462" s="220" t="str">
        <x:v>965034</x:v>
      </x:c>
      <x:c r="F462" s="220" t="str">
        <x:v>OUTROS</x:v>
      </x:c>
      <x:c r="G462" s="190" t="str">
        <x:v>PE AL 2250X50X9 RTO RL55 REC PET BCO(ULT</x:v>
      </x:c>
      <x:c r="H462" s="190" t="str"/>
      <x:c r="I462" s="190" t="str"/>
      <x:c r="J462" s="190" t="str"/>
      <x:c r="K462" s="190" t="str">
        <x:v>RECOBERTO PET</x:v>
      </x:c>
      <x:c r="L462" s="190" t="str">
        <x:v>BRANCO CARRARA</x:v>
      </x:c>
      <x:c r="M462" s="210" t="n">
        <x:v>2</x:v>
      </x:c>
      <x:c r="N462" s="210" t="n">
        <x:v>2250</x:v>
      </x:c>
      <x:c r="O462" s="210" t="n">
        <x:v>50</x:v>
      </x:c>
      <x:c r="P462" s="210" t="n">
        <x:v>9</x:v>
      </x:c>
      <x:c r="Q462" s="211" t="n">
        <x:v>0</x:v>
      </x:c>
      <x:c r="R462" s="207" t="str"/>
      <x:c r="S462" s="207" t="str"/>
      <x:c r="T462" s="207" t="str"/>
      <x:c r="U462" s="207" t="n">
        <x:v>0</x:v>
      </x:c>
      <x:c r="V462" s="208" t="n">
        <x:f>MAX(0,M462-U462)</x:f>
        <x:v>2</x:v>
      </x:c>
      <x:c r="W462" s="209" t="n">
        <x:f>IFERROR(U462/M462,0)</x:f>
        <x:v>0</x:v>
      </x:c>
      <x:c r="X462" s="201" t="str">
        <x:f>IF(U462=0,"Não iniciado",IF(U462&gt;=M462,"Concluído","Parcial"))</x:f>
        <x:v>Não iniciado</x:v>
      </x:c>
      <x:c r="Y462" s="199" t="str"/>
      <x:c r="Z462" s="188" t="str">
        <x:v>Normal</x:v>
      </x:c>
    </x:row>
    <x:row r="463" ht="22" customHeight="1">
      <x:c r="A463" s="217" t="n">
        <x:v>459</x:v>
      </x:c>
      <x:c r="B463" s="218" t="str">
        <x:v>26744</x:v>
      </x:c>
      <x:c r="C463" s="218" t="str">
        <x:v>7</x:v>
      </x:c>
      <x:c r="D463" s="218" t="str">
        <x:v>610027</x:v>
      </x:c>
      <x:c r="E463" s="218" t="str">
        <x:v>963311</x:v>
      </x:c>
      <x:c r="F463" s="218" t="str">
        <x:v>OUTROS</x:v>
      </x:c>
      <x:c r="G463" s="184" t="str">
        <x:v>PE AL 2250X50X9 RTO LME REC PET BCO(ULTR</x:v>
      </x:c>
      <x:c r="H463" s="184" t="str">
        <x:v>REG 2L(MAIOR 35mm)</x:v>
      </x:c>
      <x:c r="I463" s="184" t="str"/>
      <x:c r="J463" s="184" t="str"/>
      <x:c r="K463" s="184" t="str">
        <x:v>RECOBERTO PET</x:v>
      </x:c>
      <x:c r="L463" s="184" t="str">
        <x:v>BRANCO CARRARA</x:v>
      </x:c>
      <x:c r="M463" s="205" t="n">
        <x:v>4</x:v>
      </x:c>
      <x:c r="N463" s="205" t="n">
        <x:v>2250</x:v>
      </x:c>
      <x:c r="O463" s="205" t="n">
        <x:v>50</x:v>
      </x:c>
      <x:c r="P463" s="205" t="n">
        <x:v>9</x:v>
      </x:c>
      <x:c r="Q463" s="206" t="n">
        <x:v>0</x:v>
      </x:c>
      <x:c r="R463" s="207" t="str"/>
      <x:c r="S463" s="207" t="str"/>
      <x:c r="T463" s="207" t="str"/>
      <x:c r="U463" s="207" t="n">
        <x:v>0</x:v>
      </x:c>
      <x:c r="V463" s="208" t="n">
        <x:f>MAX(0,M463-U463)</x:f>
        <x:v>4</x:v>
      </x:c>
      <x:c r="W463" s="209" t="n">
        <x:f>IFERROR(U463/M463,0)</x:f>
        <x:v>0</x:v>
      </x:c>
      <x:c r="X463" s="201" t="str">
        <x:f>IF(U463=0,"Não iniciado",IF(U463&gt;=M463,"Concluído","Parcial"))</x:f>
        <x:v>Não iniciado</x:v>
      </x:c>
      <x:c r="Y463" s="199" t="str"/>
      <x:c r="Z463" s="188" t="str">
        <x:v>Normal</x:v>
      </x:c>
    </x:row>
    <x:row r="464" ht="22" customHeight="1">
      <x:c r="A464" s="219" t="n">
        <x:v>460</x:v>
      </x:c>
      <x:c r="B464" s="220" t="str">
        <x:v>26750</x:v>
      </x:c>
      <x:c r="C464" s="220" t="str">
        <x:v>10</x:v>
      </x:c>
      <x:c r="D464" s="220" t="str">
        <x:v>609806</x:v>
      </x:c>
      <x:c r="E464" s="220" t="str">
        <x:v>963311</x:v>
      </x:c>
      <x:c r="F464" s="220" t="str">
        <x:v>OUTROS</x:v>
      </x:c>
      <x:c r="G464" s="190" t="str">
        <x:v>PE AL 2250X50X9 RTO LME REC PET BCO(ULTR</x:v>
      </x:c>
      <x:c r="H464" s="190" t="str"/>
      <x:c r="I464" s="190" t="str"/>
      <x:c r="J464" s="190" t="str"/>
      <x:c r="K464" s="190" t="str">
        <x:v>ESMALTE</x:v>
      </x:c>
      <x:c r="L464" s="190" t="str">
        <x:v>BRANCO CARRARA</x:v>
      </x:c>
      <x:c r="M464" s="210" t="n">
        <x:v>4</x:v>
      </x:c>
      <x:c r="N464" s="210" t="n">
        <x:v>2250</x:v>
      </x:c>
      <x:c r="O464" s="210" t="n">
        <x:v>50</x:v>
      </x:c>
      <x:c r="P464" s="210" t="n">
        <x:v>9</x:v>
      </x:c>
      <x:c r="Q464" s="211" t="n">
        <x:v>0</x:v>
      </x:c>
      <x:c r="R464" s="207" t="str"/>
      <x:c r="S464" s="207" t="str"/>
      <x:c r="T464" s="207" t="str"/>
      <x:c r="U464" s="207" t="n">
        <x:v>0</x:v>
      </x:c>
      <x:c r="V464" s="208" t="n">
        <x:f>MAX(0,M464-U464)</x:f>
        <x:v>4</x:v>
      </x:c>
      <x:c r="W464" s="209" t="n">
        <x:f>IFERROR(U464/M464,0)</x:f>
        <x:v>0</x:v>
      </x:c>
      <x:c r="X464" s="201" t="str">
        <x:f>IF(U464=0,"Não iniciado",IF(U464&gt;=M464,"Concluído","Parcial"))</x:f>
        <x:v>Não iniciado</x:v>
      </x:c>
      <x:c r="Y464" s="199" t="str"/>
      <x:c r="Z464" s="188" t="str">
        <x:v>Normal</x:v>
      </x:c>
    </x:row>
    <x:row r="465" ht="22" customHeight="1">
      <x:c r="A465" s="217" t="n">
        <x:v>461</x:v>
      </x:c>
      <x:c r="B465" s="218" t="str">
        <x:v>26750</x:v>
      </x:c>
      <x:c r="C465" s="218" t="str">
        <x:v>10</x:v>
      </x:c>
      <x:c r="D465" s="218" t="str">
        <x:v>609808</x:v>
      </x:c>
      <x:c r="E465" s="218" t="str">
        <x:v>971601</x:v>
      </x:c>
      <x:c r="F465" s="218" t="str">
        <x:v>OUTROS</x:v>
      </x:c>
      <x:c r="G465" s="184" t="str">
        <x:v>PE AL 2250X50X9 RTO RL80 REC PET BCO(ULT</x:v>
      </x:c>
      <x:c r="H465" s="184" t="str"/>
      <x:c r="I465" s="184" t="str"/>
      <x:c r="J465" s="184" t="str"/>
      <x:c r="K465" s="184" t="str">
        <x:v>ESMALTE</x:v>
      </x:c>
      <x:c r="L465" s="184" t="str">
        <x:v>BRANCO CARRARA</x:v>
      </x:c>
      <x:c r="M465" s="205" t="n">
        <x:v>4</x:v>
      </x:c>
      <x:c r="N465" s="205" t="n">
        <x:v>2250</x:v>
      </x:c>
      <x:c r="O465" s="205" t="n">
        <x:v>50</x:v>
      </x:c>
      <x:c r="P465" s="205" t="n">
        <x:v>9</x:v>
      </x:c>
      <x:c r="Q465" s="206" t="n">
        <x:v>0</x:v>
      </x:c>
      <x:c r="R465" s="207" t="str"/>
      <x:c r="S465" s="207" t="str"/>
      <x:c r="T465" s="207" t="str"/>
      <x:c r="U465" s="207" t="n">
        <x:v>0</x:v>
      </x:c>
      <x:c r="V465" s="208" t="n">
        <x:f>MAX(0,M465-U465)</x:f>
        <x:v>4</x:v>
      </x:c>
      <x:c r="W465" s="209" t="n">
        <x:f>IFERROR(U465/M465,0)</x:f>
        <x:v>0</x:v>
      </x:c>
      <x:c r="X465" s="201" t="str">
        <x:f>IF(U465=0,"Não iniciado",IF(U465&gt;=M465,"Concluído","Parcial"))</x:f>
        <x:v>Não iniciado</x:v>
      </x:c>
      <x:c r="Y465" s="199" t="str"/>
      <x:c r="Z465" s="188" t="str">
        <x:v>Normal</x:v>
      </x:c>
    </x:row>
    <x:row r="466" ht="22" customHeight="1">
      <x:c r="A466" s="219" t="n">
        <x:v>462</x:v>
      </x:c>
      <x:c r="B466" s="220" t="str">
        <x:v>26750</x:v>
      </x:c>
      <x:c r="C466" s="220" t="str">
        <x:v>11</x:v>
      </x:c>
      <x:c r="D466" s="220" t="str">
        <x:v>609813</x:v>
      </x:c>
      <x:c r="E466" s="220" t="str">
        <x:v>963311</x:v>
      </x:c>
      <x:c r="F466" s="220" t="str">
        <x:v>OUTROS</x:v>
      </x:c>
      <x:c r="G466" s="190" t="str">
        <x:v>PE AL 2250X50X9 RTO LME REC PET BCO(ULTR</x:v>
      </x:c>
      <x:c r="H466" s="190" t="str"/>
      <x:c r="I466" s="190" t="str"/>
      <x:c r="J466" s="190" t="str"/>
      <x:c r="K466" s="190" t="str">
        <x:v>ESMALTE</x:v>
      </x:c>
      <x:c r="L466" s="190" t="str">
        <x:v>BRANCO CARRARA</x:v>
      </x:c>
      <x:c r="M466" s="210" t="n">
        <x:v>24</x:v>
      </x:c>
      <x:c r="N466" s="210" t="n">
        <x:v>2250</x:v>
      </x:c>
      <x:c r="O466" s="210" t="n">
        <x:v>50</x:v>
      </x:c>
      <x:c r="P466" s="210" t="n">
        <x:v>9</x:v>
      </x:c>
      <x:c r="Q466" s="211" t="n">
        <x:v>0</x:v>
      </x:c>
      <x:c r="R466" s="207" t="str"/>
      <x:c r="S466" s="207" t="str"/>
      <x:c r="T466" s="207" t="str"/>
      <x:c r="U466" s="207" t="n">
        <x:v>0</x:v>
      </x:c>
      <x:c r="V466" s="208" t="n">
        <x:f>MAX(0,M466-U466)</x:f>
        <x:v>24</x:v>
      </x:c>
      <x:c r="W466" s="209" t="n">
        <x:f>IFERROR(U466/M466,0)</x:f>
        <x:v>0</x:v>
      </x:c>
      <x:c r="X466" s="201" t="str">
        <x:f>IF(U466=0,"Não iniciado",IF(U466&gt;=M466,"Concluído","Parcial"))</x:f>
        <x:v>Não iniciado</x:v>
      </x:c>
      <x:c r="Y466" s="199" t="str"/>
      <x:c r="Z466" s="188" t="str">
        <x:v>Normal</x:v>
      </x:c>
    </x:row>
    <x:row r="467" ht="22" customHeight="1">
      <x:c r="A467" s="217" t="n">
        <x:v>463</x:v>
      </x:c>
      <x:c r="B467" s="218" t="str">
        <x:v>26750</x:v>
      </x:c>
      <x:c r="C467" s="218" t="str">
        <x:v>11</x:v>
      </x:c>
      <x:c r="D467" s="218" t="str">
        <x:v>609815</x:v>
      </x:c>
      <x:c r="E467" s="218" t="str">
        <x:v>971601</x:v>
      </x:c>
      <x:c r="F467" s="218" t="str">
        <x:v>OUTROS</x:v>
      </x:c>
      <x:c r="G467" s="184" t="str">
        <x:v>PE AL 2250X50X9 RTO RL80 REC PET BCO(ULT</x:v>
      </x:c>
      <x:c r="H467" s="184" t="str"/>
      <x:c r="I467" s="184" t="str"/>
      <x:c r="J467" s="184" t="str"/>
      <x:c r="K467" s="184" t="str">
        <x:v>ESMALTE</x:v>
      </x:c>
      <x:c r="L467" s="184" t="str">
        <x:v>BRANCO CARRARA</x:v>
      </x:c>
      <x:c r="M467" s="205" t="n">
        <x:v>24</x:v>
      </x:c>
      <x:c r="N467" s="205" t="n">
        <x:v>2250</x:v>
      </x:c>
      <x:c r="O467" s="205" t="n">
        <x:v>50</x:v>
      </x:c>
      <x:c r="P467" s="205" t="n">
        <x:v>9</x:v>
      </x:c>
      <x:c r="Q467" s="206" t="n">
        <x:v>0</x:v>
      </x:c>
      <x:c r="R467" s="207" t="str"/>
      <x:c r="S467" s="207" t="str"/>
      <x:c r="T467" s="207" t="str"/>
      <x:c r="U467" s="207" t="n">
        <x:v>0</x:v>
      </x:c>
      <x:c r="V467" s="208" t="n">
        <x:f>MAX(0,M467-U467)</x:f>
        <x:v>24</x:v>
      </x:c>
      <x:c r="W467" s="209" t="n">
        <x:f>IFERROR(U467/M467,0)</x:f>
        <x:v>0</x:v>
      </x:c>
      <x:c r="X467" s="201" t="str">
        <x:f>IF(U467=0,"Não iniciado",IF(U467&gt;=M467,"Concluído","Parcial"))</x:f>
        <x:v>Não iniciado</x:v>
      </x:c>
      <x:c r="Y467" s="199" t="str"/>
      <x:c r="Z467" s="188" t="str">
        <x:v>Normal</x:v>
      </x:c>
    </x:row>
    <x:row r="468" ht="22" customHeight="1">
      <x:c r="A468" s="219" t="n">
        <x:v>464</x:v>
      </x:c>
      <x:c r="B468" s="220" t="str">
        <x:v>26750</x:v>
      </x:c>
      <x:c r="C468" s="220" t="str">
        <x:v>12</x:v>
      </x:c>
      <x:c r="D468" s="220" t="str">
        <x:v>609822</x:v>
      </x:c>
      <x:c r="E468" s="220" t="str">
        <x:v>963311</x:v>
      </x:c>
      <x:c r="F468" s="220" t="str">
        <x:v>OUTROS</x:v>
      </x:c>
      <x:c r="G468" s="190" t="str">
        <x:v>PE AL 2250X50X9 RTO LME REC PET BCO(ULTR</x:v>
      </x:c>
      <x:c r="H468" s="190" t="str"/>
      <x:c r="I468" s="190" t="str"/>
      <x:c r="J468" s="190" t="str"/>
      <x:c r="K468" s="190" t="str">
        <x:v>ESMALTE</x:v>
      </x:c>
      <x:c r="L468" s="190" t="str">
        <x:v>BRANCO CARRARA</x:v>
      </x:c>
      <x:c r="M468" s="210" t="n">
        <x:v>8</x:v>
      </x:c>
      <x:c r="N468" s="210" t="n">
        <x:v>2250</x:v>
      </x:c>
      <x:c r="O468" s="210" t="n">
        <x:v>50</x:v>
      </x:c>
      <x:c r="P468" s="210" t="n">
        <x:v>9</x:v>
      </x:c>
      <x:c r="Q468" s="211" t="n">
        <x:v>0</x:v>
      </x:c>
      <x:c r="R468" s="207" t="str"/>
      <x:c r="S468" s="207" t="str"/>
      <x:c r="T468" s="207" t="str"/>
      <x:c r="U468" s="207" t="n">
        <x:v>0</x:v>
      </x:c>
      <x:c r="V468" s="208" t="n">
        <x:f>MAX(0,M468-U468)</x:f>
        <x:v>8</x:v>
      </x:c>
      <x:c r="W468" s="209" t="n">
        <x:f>IFERROR(U468/M468,0)</x:f>
        <x:v>0</x:v>
      </x:c>
      <x:c r="X468" s="201" t="str">
        <x:f>IF(U468=0,"Não iniciado",IF(U468&gt;=M468,"Concluído","Parcial"))</x:f>
        <x:v>Não iniciado</x:v>
      </x:c>
      <x:c r="Y468" s="199" t="str"/>
      <x:c r="Z468" s="188" t="str">
        <x:v>Normal</x:v>
      </x:c>
    </x:row>
    <x:row r="469" ht="22" customHeight="1">
      <x:c r="A469" s="217" t="n">
        <x:v>465</x:v>
      </x:c>
      <x:c r="B469" s="218" t="str">
        <x:v>26750</x:v>
      </x:c>
      <x:c r="C469" s="218" t="str">
        <x:v>12</x:v>
      </x:c>
      <x:c r="D469" s="218" t="str">
        <x:v>609825</x:v>
      </x:c>
      <x:c r="E469" s="218" t="str">
        <x:v>971601</x:v>
      </x:c>
      <x:c r="F469" s="218" t="str">
        <x:v>OUTROS</x:v>
      </x:c>
      <x:c r="G469" s="184" t="str">
        <x:v>PE AL 2250X50X9 RTO RL80 REC PET BCO(ULT</x:v>
      </x:c>
      <x:c r="H469" s="184" t="str"/>
      <x:c r="I469" s="184" t="str"/>
      <x:c r="J469" s="184" t="str"/>
      <x:c r="K469" s="184" t="str">
        <x:v>ESMALTE</x:v>
      </x:c>
      <x:c r="L469" s="184" t="str">
        <x:v>BRANCO CARRARA</x:v>
      </x:c>
      <x:c r="M469" s="205" t="n">
        <x:v>8</x:v>
      </x:c>
      <x:c r="N469" s="205" t="n">
        <x:v>2250</x:v>
      </x:c>
      <x:c r="O469" s="205" t="n">
        <x:v>50</x:v>
      </x:c>
      <x:c r="P469" s="205" t="n">
        <x:v>9</x:v>
      </x:c>
      <x:c r="Q469" s="206" t="n">
        <x:v>0</x:v>
      </x:c>
      <x:c r="R469" s="207" t="str"/>
      <x:c r="S469" s="207" t="str"/>
      <x:c r="T469" s="207" t="str"/>
      <x:c r="U469" s="207" t="n">
        <x:v>0</x:v>
      </x:c>
      <x:c r="V469" s="208" t="n">
        <x:f>MAX(0,M469-U469)</x:f>
        <x:v>8</x:v>
      </x:c>
      <x:c r="W469" s="209" t="n">
        <x:f>IFERROR(U469/M469,0)</x:f>
        <x:v>0</x:v>
      </x:c>
      <x:c r="X469" s="201" t="str">
        <x:f>IF(U469=0,"Não iniciado",IF(U469&gt;=M469,"Concluído","Parcial"))</x:f>
        <x:v>Não iniciado</x:v>
      </x:c>
      <x:c r="Y469" s="199" t="str"/>
      <x:c r="Z469" s="188" t="str">
        <x:v>Normal</x:v>
      </x:c>
    </x:row>
    <x:row r="470" ht="22" customHeight="1">
      <x:c r="A470" s="219" t="n">
        <x:v>466</x:v>
      </x:c>
      <x:c r="B470" s="220" t="str">
        <x:v>26750</x:v>
      </x:c>
      <x:c r="C470" s="220" t="str">
        <x:v>13</x:v>
      </x:c>
      <x:c r="D470" s="220" t="str">
        <x:v>609829</x:v>
      </x:c>
      <x:c r="E470" s="220" t="str">
        <x:v>963311</x:v>
      </x:c>
      <x:c r="F470" s="220" t="str">
        <x:v>OUTROS</x:v>
      </x:c>
      <x:c r="G470" s="190" t="str">
        <x:v>PE AL 2250X50X9 RTO LME REC PET BCO(ULTR</x:v>
      </x:c>
      <x:c r="H470" s="190" t="str"/>
      <x:c r="I470" s="190" t="str"/>
      <x:c r="J470" s="190" t="str"/>
      <x:c r="K470" s="190" t="str">
        <x:v>ESMALTE</x:v>
      </x:c>
      <x:c r="L470" s="190" t="str">
        <x:v>BRANCO CARRARA</x:v>
      </x:c>
      <x:c r="M470" s="210" t="n">
        <x:v>56</x:v>
      </x:c>
      <x:c r="N470" s="210" t="n">
        <x:v>2250</x:v>
      </x:c>
      <x:c r="O470" s="210" t="n">
        <x:v>50</x:v>
      </x:c>
      <x:c r="P470" s="210" t="n">
        <x:v>9</x:v>
      </x:c>
      <x:c r="Q470" s="211" t="n">
        <x:v>0</x:v>
      </x:c>
      <x:c r="R470" s="207" t="str"/>
      <x:c r="S470" s="207" t="str"/>
      <x:c r="T470" s="207" t="str"/>
      <x:c r="U470" s="207" t="n">
        <x:v>0</x:v>
      </x:c>
      <x:c r="V470" s="208" t="n">
        <x:f>MAX(0,M470-U470)</x:f>
        <x:v>56</x:v>
      </x:c>
      <x:c r="W470" s="209" t="n">
        <x:f>IFERROR(U470/M470,0)</x:f>
        <x:v>0</x:v>
      </x:c>
      <x:c r="X470" s="201" t="str">
        <x:f>IF(U470=0,"Não iniciado",IF(U470&gt;=M470,"Concluído","Parcial"))</x:f>
        <x:v>Não iniciado</x:v>
      </x:c>
      <x:c r="Y470" s="199" t="str"/>
      <x:c r="Z470" s="188" t="str">
        <x:v>Normal</x:v>
      </x:c>
    </x:row>
    <x:row r="471" ht="22" customHeight="1">
      <x:c r="A471" s="217" t="n">
        <x:v>467</x:v>
      </x:c>
      <x:c r="B471" s="218" t="str">
        <x:v>26750</x:v>
      </x:c>
      <x:c r="C471" s="218" t="str">
        <x:v>13</x:v>
      </x:c>
      <x:c r="D471" s="218" t="str">
        <x:v>609831</x:v>
      </x:c>
      <x:c r="E471" s="218" t="str">
        <x:v>971601</x:v>
      </x:c>
      <x:c r="F471" s="218" t="str">
        <x:v>OUTROS</x:v>
      </x:c>
      <x:c r="G471" s="184" t="str">
        <x:v>PE AL 2250X50X9 RTO RL80 REC PET BCO(ULT</x:v>
      </x:c>
      <x:c r="H471" s="184" t="str"/>
      <x:c r="I471" s="184" t="str"/>
      <x:c r="J471" s="184" t="str"/>
      <x:c r="K471" s="184" t="str">
        <x:v>ESMALTE</x:v>
      </x:c>
      <x:c r="L471" s="184" t="str">
        <x:v>BRANCO CARRARA</x:v>
      </x:c>
      <x:c r="M471" s="205" t="n">
        <x:v>56</x:v>
      </x:c>
      <x:c r="N471" s="205" t="n">
        <x:v>2250</x:v>
      </x:c>
      <x:c r="O471" s="205" t="n">
        <x:v>50</x:v>
      </x:c>
      <x:c r="P471" s="205" t="n">
        <x:v>9</x:v>
      </x:c>
      <x:c r="Q471" s="206" t="n">
        <x:v>0</x:v>
      </x:c>
      <x:c r="R471" s="207" t="str"/>
      <x:c r="S471" s="207" t="str"/>
      <x:c r="T471" s="207" t="str"/>
      <x:c r="U471" s="207" t="n">
        <x:v>0</x:v>
      </x:c>
      <x:c r="V471" s="208" t="n">
        <x:f>MAX(0,M471-U471)</x:f>
        <x:v>56</x:v>
      </x:c>
      <x:c r="W471" s="209" t="n">
        <x:f>IFERROR(U471/M471,0)</x:f>
        <x:v>0</x:v>
      </x:c>
      <x:c r="X471" s="201" t="str">
        <x:f>IF(U471=0,"Não iniciado",IF(U471&gt;=M471,"Concluído","Parcial"))</x:f>
        <x:v>Não iniciado</x:v>
      </x:c>
      <x:c r="Y471" s="199" t="str"/>
      <x:c r="Z471" s="188" t="str">
        <x:v>Normal</x:v>
      </x:c>
    </x:row>
    <x:row r="472" ht="22" customHeight="1">
      <x:c r="A472" s="219" t="n">
        <x:v>468</x:v>
      </x:c>
      <x:c r="B472" s="220" t="str">
        <x:v>26750</x:v>
      </x:c>
      <x:c r="C472" s="220" t="str">
        <x:v>14</x:v>
      </x:c>
      <x:c r="D472" s="220" t="str">
        <x:v>609839</x:v>
      </x:c>
      <x:c r="E472" s="220" t="str">
        <x:v>963311</x:v>
      </x:c>
      <x:c r="F472" s="220" t="str">
        <x:v>OUTROS</x:v>
      </x:c>
      <x:c r="G472" s="190" t="str">
        <x:v>PE AL 2250X50X9 RTO LME REC PET BCO(ULTR</x:v>
      </x:c>
      <x:c r="H472" s="190" t="str"/>
      <x:c r="I472" s="190" t="str"/>
      <x:c r="J472" s="190" t="str"/>
      <x:c r="K472" s="190" t="str">
        <x:v>ESMALTE</x:v>
      </x:c>
      <x:c r="L472" s="190" t="str">
        <x:v>BRANCO CARRARA</x:v>
      </x:c>
      <x:c r="M472" s="210" t="n">
        <x:v>38</x:v>
      </x:c>
      <x:c r="N472" s="210" t="n">
        <x:v>2250</x:v>
      </x:c>
      <x:c r="O472" s="210" t="n">
        <x:v>50</x:v>
      </x:c>
      <x:c r="P472" s="210" t="n">
        <x:v>9</x:v>
      </x:c>
      <x:c r="Q472" s="211" t="n">
        <x:v>0</x:v>
      </x:c>
      <x:c r="R472" s="207" t="str"/>
      <x:c r="S472" s="207" t="str"/>
      <x:c r="T472" s="207" t="str"/>
      <x:c r="U472" s="207" t="n">
        <x:v>0</x:v>
      </x:c>
      <x:c r="V472" s="208" t="n">
        <x:f>MAX(0,M472-U472)</x:f>
        <x:v>38</x:v>
      </x:c>
      <x:c r="W472" s="209" t="n">
        <x:f>IFERROR(U472/M472,0)</x:f>
        <x:v>0</x:v>
      </x:c>
      <x:c r="X472" s="201" t="str">
        <x:f>IF(U472=0,"Não iniciado",IF(U472&gt;=M472,"Concluído","Parcial"))</x:f>
        <x:v>Não iniciado</x:v>
      </x:c>
      <x:c r="Y472" s="199" t="str"/>
      <x:c r="Z472" s="188" t="str">
        <x:v>Normal</x:v>
      </x:c>
    </x:row>
    <x:row r="473" ht="22" customHeight="1">
      <x:c r="A473" s="217" t="n">
        <x:v>469</x:v>
      </x:c>
      <x:c r="B473" s="218" t="str">
        <x:v>26750</x:v>
      </x:c>
      <x:c r="C473" s="218" t="str">
        <x:v>14</x:v>
      </x:c>
      <x:c r="D473" s="218" t="str">
        <x:v>609841</x:v>
      </x:c>
      <x:c r="E473" s="218" t="str">
        <x:v>971601</x:v>
      </x:c>
      <x:c r="F473" s="218" t="str">
        <x:v>OUTROS</x:v>
      </x:c>
      <x:c r="G473" s="184" t="str">
        <x:v>PE AL 2250X50X9 RTO RL80 REC PET BCO(ULT</x:v>
      </x:c>
      <x:c r="H473" s="184" t="str"/>
      <x:c r="I473" s="184" t="str"/>
      <x:c r="J473" s="184" t="str"/>
      <x:c r="K473" s="184" t="str">
        <x:v>ESMALTE</x:v>
      </x:c>
      <x:c r="L473" s="184" t="str">
        <x:v>BRANCO CARRARA</x:v>
      </x:c>
      <x:c r="M473" s="205" t="n">
        <x:v>38</x:v>
      </x:c>
      <x:c r="N473" s="205" t="n">
        <x:v>2250</x:v>
      </x:c>
      <x:c r="O473" s="205" t="n">
        <x:v>50</x:v>
      </x:c>
      <x:c r="P473" s="205" t="n">
        <x:v>9</x:v>
      </x:c>
      <x:c r="Q473" s="206" t="n">
        <x:v>0</x:v>
      </x:c>
      <x:c r="R473" s="207" t="str"/>
      <x:c r="S473" s="207" t="str"/>
      <x:c r="T473" s="207" t="str"/>
      <x:c r="U473" s="207" t="n">
        <x:v>0</x:v>
      </x:c>
      <x:c r="V473" s="208" t="n">
        <x:f>MAX(0,M473-U473)</x:f>
        <x:v>38</x:v>
      </x:c>
      <x:c r="W473" s="209" t="n">
        <x:f>IFERROR(U473/M473,0)</x:f>
        <x:v>0</x:v>
      </x:c>
      <x:c r="X473" s="201" t="str">
        <x:f>IF(U473=0,"Não iniciado",IF(U473&gt;=M473,"Concluído","Parcial"))</x:f>
        <x:v>Não iniciado</x:v>
      </x:c>
      <x:c r="Y473" s="199" t="str"/>
      <x:c r="Z473" s="188" t="str">
        <x:v>Normal</x:v>
      </x:c>
    </x:row>
    <x:row r="474" ht="22" customHeight="1">
      <x:c r="A474" s="219" t="n">
        <x:v>470</x:v>
      </x:c>
      <x:c r="B474" s="220" t="str">
        <x:v>26750</x:v>
      </x:c>
      <x:c r="C474" s="220" t="str">
        <x:v>15</x:v>
      </x:c>
      <x:c r="D474" s="220" t="str">
        <x:v>609846</x:v>
      </x:c>
      <x:c r="E474" s="220" t="str">
        <x:v>963311</x:v>
      </x:c>
      <x:c r="F474" s="220" t="str">
        <x:v>OUTROS</x:v>
      </x:c>
      <x:c r="G474" s="190" t="str">
        <x:v>PE AL 2250X50X9 RTO LME REC PET BCO(ULTR</x:v>
      </x:c>
      <x:c r="H474" s="190" t="str"/>
      <x:c r="I474" s="190" t="str"/>
      <x:c r="J474" s="190" t="str"/>
      <x:c r="K474" s="190" t="str">
        <x:v>ESMALTE</x:v>
      </x:c>
      <x:c r="L474" s="190" t="str">
        <x:v>BRANCO CARRARA</x:v>
      </x:c>
      <x:c r="M474" s="210" t="n">
        <x:v>8</x:v>
      </x:c>
      <x:c r="N474" s="210" t="n">
        <x:v>2250</x:v>
      </x:c>
      <x:c r="O474" s="210" t="n">
        <x:v>50</x:v>
      </x:c>
      <x:c r="P474" s="210" t="n">
        <x:v>9</x:v>
      </x:c>
      <x:c r="Q474" s="211" t="n">
        <x:v>0</x:v>
      </x:c>
      <x:c r="R474" s="207" t="str"/>
      <x:c r="S474" s="207" t="str"/>
      <x:c r="T474" s="207" t="str"/>
      <x:c r="U474" s="207" t="n">
        <x:v>0</x:v>
      </x:c>
      <x:c r="V474" s="208" t="n">
        <x:f>MAX(0,M474-U474)</x:f>
        <x:v>8</x:v>
      </x:c>
      <x:c r="W474" s="209" t="n">
        <x:f>IFERROR(U474/M474,0)</x:f>
        <x:v>0</x:v>
      </x:c>
      <x:c r="X474" s="201" t="str">
        <x:f>IF(U474=0,"Não iniciado",IF(U474&gt;=M474,"Concluído","Parcial"))</x:f>
        <x:v>Não iniciado</x:v>
      </x:c>
      <x:c r="Y474" s="199" t="str"/>
      <x:c r="Z474" s="188" t="str">
        <x:v>Normal</x:v>
      </x:c>
    </x:row>
    <x:row r="475" ht="22" customHeight="1">
      <x:c r="A475" s="217" t="n">
        <x:v>471</x:v>
      </x:c>
      <x:c r="B475" s="218" t="str">
        <x:v>26750</x:v>
      </x:c>
      <x:c r="C475" s="218" t="str">
        <x:v>15</x:v>
      </x:c>
      <x:c r="D475" s="218" t="str">
        <x:v>609849</x:v>
      </x:c>
      <x:c r="E475" s="218" t="str">
        <x:v>971601</x:v>
      </x:c>
      <x:c r="F475" s="218" t="str">
        <x:v>OUTROS</x:v>
      </x:c>
      <x:c r="G475" s="184" t="str">
        <x:v>PE AL 2250X50X9 RTO RL80 REC PET BCO(ULT</x:v>
      </x:c>
      <x:c r="H475" s="184" t="str"/>
      <x:c r="I475" s="184" t="str"/>
      <x:c r="J475" s="184" t="str"/>
      <x:c r="K475" s="184" t="str">
        <x:v>ESMALTE</x:v>
      </x:c>
      <x:c r="L475" s="184" t="str">
        <x:v>BRANCO CARRARA</x:v>
      </x:c>
      <x:c r="M475" s="205" t="n">
        <x:v>8</x:v>
      </x:c>
      <x:c r="N475" s="205" t="n">
        <x:v>2250</x:v>
      </x:c>
      <x:c r="O475" s="205" t="n">
        <x:v>50</x:v>
      </x:c>
      <x:c r="P475" s="205" t="n">
        <x:v>9</x:v>
      </x:c>
      <x:c r="Q475" s="206" t="n">
        <x:v>0</x:v>
      </x:c>
      <x:c r="R475" s="207" t="str"/>
      <x:c r="S475" s="207" t="str"/>
      <x:c r="T475" s="207" t="str"/>
      <x:c r="U475" s="207" t="n">
        <x:v>0</x:v>
      </x:c>
      <x:c r="V475" s="208" t="n">
        <x:f>MAX(0,M475-U475)</x:f>
        <x:v>8</x:v>
      </x:c>
      <x:c r="W475" s="209" t="n">
        <x:f>IFERROR(U475/M475,0)</x:f>
        <x:v>0</x:v>
      </x:c>
      <x:c r="X475" s="201" t="str">
        <x:f>IF(U475=0,"Não iniciado",IF(U475&gt;=M475,"Concluído","Parcial"))</x:f>
        <x:v>Não iniciado</x:v>
      </x:c>
      <x:c r="Y475" s="199" t="str"/>
      <x:c r="Z475" s="188" t="str">
        <x:v>Normal</x:v>
      </x:c>
    </x:row>
    <x:row r="476" ht="22" customHeight="1">
      <x:c r="A476" s="219" t="n">
        <x:v>472</x:v>
      </x:c>
      <x:c r="B476" s="220" t="str">
        <x:v>26750</x:v>
      </x:c>
      <x:c r="C476" s="220" t="str">
        <x:v>18</x:v>
      </x:c>
      <x:c r="D476" s="220" t="str">
        <x:v>609857</x:v>
      </x:c>
      <x:c r="E476" s="220" t="str">
        <x:v>963311</x:v>
      </x:c>
      <x:c r="F476" s="220" t="str">
        <x:v>OUTROS</x:v>
      </x:c>
      <x:c r="G476" s="190" t="str">
        <x:v>PE AL 2250X50X9 RTO LME REC PET BCO(ULTR</x:v>
      </x:c>
      <x:c r="H476" s="190" t="str">
        <x:v>REG 2L(MAIOR 80MM)</x:v>
      </x:c>
      <x:c r="I476" s="190" t="str"/>
      <x:c r="J476" s="190" t="str"/>
      <x:c r="K476" s="190" t="str">
        <x:v>RECOBERTO PET</x:v>
      </x:c>
      <x:c r="L476" s="190" t="str">
        <x:v>BRANCO CARRARA</x:v>
      </x:c>
      <x:c r="M476" s="210" t="n">
        <x:v>14</x:v>
      </x:c>
      <x:c r="N476" s="210" t="n">
        <x:v>2250</x:v>
      </x:c>
      <x:c r="O476" s="210" t="n">
        <x:v>50</x:v>
      </x:c>
      <x:c r="P476" s="210" t="n">
        <x:v>9</x:v>
      </x:c>
      <x:c r="Q476" s="211" t="n">
        <x:v>0</x:v>
      </x:c>
      <x:c r="R476" s="207" t="str"/>
      <x:c r="S476" s="207" t="str"/>
      <x:c r="T476" s="207" t="str"/>
      <x:c r="U476" s="207" t="n">
        <x:v>0</x:v>
      </x:c>
      <x:c r="V476" s="208" t="n">
        <x:f>MAX(0,M476-U476)</x:f>
        <x:v>14</x:v>
      </x:c>
      <x:c r="W476" s="209" t="n">
        <x:f>IFERROR(U476/M476,0)</x:f>
        <x:v>0</x:v>
      </x:c>
      <x:c r="X476" s="201" t="str">
        <x:f>IF(U476=0,"Não iniciado",IF(U476&gt;=M476,"Concluído","Parcial"))</x:f>
        <x:v>Não iniciado</x:v>
      </x:c>
      <x:c r="Y476" s="199" t="str"/>
      <x:c r="Z476" s="188" t="str">
        <x:v>Normal</x:v>
      </x:c>
    </x:row>
    <x:row r="477" ht="22" customHeight="1">
      <x:c r="A477" s="217" t="n">
        <x:v>473</x:v>
      </x:c>
      <x:c r="B477" s="218" t="str">
        <x:v>26750</x:v>
      </x:c>
      <x:c r="C477" s="218" t="str">
        <x:v>18</x:v>
      </x:c>
      <x:c r="D477" s="218" t="str">
        <x:v>609859</x:v>
      </x:c>
      <x:c r="E477" s="218" t="str">
        <x:v>971601</x:v>
      </x:c>
      <x:c r="F477" s="218" t="str">
        <x:v>OUTROS</x:v>
      </x:c>
      <x:c r="G477" s="184" t="str">
        <x:v>PE AL 2250X50X9 RTO RL80 REC PET BCO(ULT</x:v>
      </x:c>
      <x:c r="H477" s="184" t="str">
        <x:v>REG 2L(MAIOR 80MM)</x:v>
      </x:c>
      <x:c r="I477" s="184" t="str"/>
      <x:c r="J477" s="184" t="str"/>
      <x:c r="K477" s="184" t="str">
        <x:v>RECOBERTO PET</x:v>
      </x:c>
      <x:c r="L477" s="184" t="str">
        <x:v>BRANCO CARRARA</x:v>
      </x:c>
      <x:c r="M477" s="205" t="n">
        <x:v>14</x:v>
      </x:c>
      <x:c r="N477" s="205" t="n">
        <x:v>2250</x:v>
      </x:c>
      <x:c r="O477" s="205" t="n">
        <x:v>50</x:v>
      </x:c>
      <x:c r="P477" s="205" t="n">
        <x:v>9</x:v>
      </x:c>
      <x:c r="Q477" s="206" t="n">
        <x:v>0</x:v>
      </x:c>
      <x:c r="R477" s="207" t="str"/>
      <x:c r="S477" s="207" t="str"/>
      <x:c r="T477" s="207" t="str"/>
      <x:c r="U477" s="207" t="n">
        <x:v>0</x:v>
      </x:c>
      <x:c r="V477" s="208" t="n">
        <x:f>MAX(0,M477-U477)</x:f>
        <x:v>14</x:v>
      </x:c>
      <x:c r="W477" s="209" t="n">
        <x:f>IFERROR(U477/M477,0)</x:f>
        <x:v>0</x:v>
      </x:c>
      <x:c r="X477" s="201" t="str">
        <x:f>IF(U477=0,"Não iniciado",IF(U477&gt;=M477,"Concluído","Parcial"))</x:f>
        <x:v>Não iniciado</x:v>
      </x:c>
      <x:c r="Y477" s="199" t="str"/>
      <x:c r="Z477" s="188" t="str">
        <x:v>Normal</x:v>
      </x:c>
    </x:row>
    <x:row r="478" ht="22" customHeight="1">
      <x:c r="A478" s="219" t="n">
        <x:v>474</x:v>
      </x:c>
      <x:c r="B478" s="220" t="str">
        <x:v>26750</x:v>
      </x:c>
      <x:c r="C478" s="220" t="str">
        <x:v>20</x:v>
      </x:c>
      <x:c r="D478" s="220" t="str">
        <x:v>609868</x:v>
      </x:c>
      <x:c r="E478" s="220" t="str">
        <x:v>963311</x:v>
      </x:c>
      <x:c r="F478" s="220" t="str">
        <x:v>OUTROS</x:v>
      </x:c>
      <x:c r="G478" s="190" t="str">
        <x:v>PE AL 2250X50X9 RTO LME REC PET BCO(ULTR</x:v>
      </x:c>
      <x:c r="H478" s="190" t="str"/>
      <x:c r="I478" s="190" t="str"/>
      <x:c r="J478" s="190" t="str"/>
      <x:c r="K478" s="190" t="str">
        <x:v>ESMALTE</x:v>
      </x:c>
      <x:c r="L478" s="190" t="str">
        <x:v>BRANCO CARRARA</x:v>
      </x:c>
      <x:c r="M478" s="210" t="n">
        <x:v>18</x:v>
      </x:c>
      <x:c r="N478" s="210" t="n">
        <x:v>2250</x:v>
      </x:c>
      <x:c r="O478" s="210" t="n">
        <x:v>50</x:v>
      </x:c>
      <x:c r="P478" s="210" t="n">
        <x:v>9</x:v>
      </x:c>
      <x:c r="Q478" s="211" t="n">
        <x:v>0</x:v>
      </x:c>
      <x:c r="R478" s="207" t="str"/>
      <x:c r="S478" s="207" t="str"/>
      <x:c r="T478" s="207" t="str"/>
      <x:c r="U478" s="207" t="n">
        <x:v>0</x:v>
      </x:c>
      <x:c r="V478" s="208" t="n">
        <x:f>MAX(0,M478-U478)</x:f>
        <x:v>18</x:v>
      </x:c>
      <x:c r="W478" s="209" t="n">
        <x:f>IFERROR(U478/M478,0)</x:f>
        <x:v>0</x:v>
      </x:c>
      <x:c r="X478" s="201" t="str">
        <x:f>IF(U478=0,"Não iniciado",IF(U478&gt;=M478,"Concluído","Parcial"))</x:f>
        <x:v>Não iniciado</x:v>
      </x:c>
      <x:c r="Y478" s="199" t="str"/>
      <x:c r="Z478" s="188" t="str">
        <x:v>Normal</x:v>
      </x:c>
    </x:row>
    <x:row r="479" ht="22" customHeight="1">
      <x:c r="A479" s="217" t="n">
        <x:v>475</x:v>
      </x:c>
      <x:c r="B479" s="218" t="str">
        <x:v>26750</x:v>
      </x:c>
      <x:c r="C479" s="218" t="str">
        <x:v>20</x:v>
      </x:c>
      <x:c r="D479" s="218" t="str">
        <x:v>609870</x:v>
      </x:c>
      <x:c r="E479" s="218" t="str">
        <x:v>971601</x:v>
      </x:c>
      <x:c r="F479" s="218" t="str">
        <x:v>OUTROS</x:v>
      </x:c>
      <x:c r="G479" s="184" t="str">
        <x:v>PE AL 2250X50X9 RTO RL80 REC PET BCO(ULT</x:v>
      </x:c>
      <x:c r="H479" s="184" t="str"/>
      <x:c r="I479" s="184" t="str"/>
      <x:c r="J479" s="184" t="str"/>
      <x:c r="K479" s="184" t="str">
        <x:v>ESMALTE</x:v>
      </x:c>
      <x:c r="L479" s="184" t="str">
        <x:v>BRANCO CARRARA</x:v>
      </x:c>
      <x:c r="M479" s="205" t="n">
        <x:v>18</x:v>
      </x:c>
      <x:c r="N479" s="205" t="n">
        <x:v>2250</x:v>
      </x:c>
      <x:c r="O479" s="205" t="n">
        <x:v>50</x:v>
      </x:c>
      <x:c r="P479" s="205" t="n">
        <x:v>9</x:v>
      </x:c>
      <x:c r="Q479" s="206" t="n">
        <x:v>0</x:v>
      </x:c>
      <x:c r="R479" s="207" t="str"/>
      <x:c r="S479" s="207" t="str"/>
      <x:c r="T479" s="207" t="str"/>
      <x:c r="U479" s="207" t="n">
        <x:v>0</x:v>
      </x:c>
      <x:c r="V479" s="208" t="n">
        <x:f>MAX(0,M479-U479)</x:f>
        <x:v>18</x:v>
      </x:c>
      <x:c r="W479" s="209" t="n">
        <x:f>IFERROR(U479/M479,0)</x:f>
        <x:v>0</x:v>
      </x:c>
      <x:c r="X479" s="201" t="str">
        <x:f>IF(U479=0,"Não iniciado",IF(U479&gt;=M479,"Concluído","Parcial"))</x:f>
        <x:v>Não iniciado</x:v>
      </x:c>
      <x:c r="Y479" s="199" t="str"/>
      <x:c r="Z479" s="188" t="str">
        <x:v>Normal</x:v>
      </x:c>
    </x:row>
    <x:row r="480" ht="22" customHeight="1">
      <x:c r="A480" s="219" t="n">
        <x:v>476</x:v>
      </x:c>
      <x:c r="B480" s="220" t="str">
        <x:v>26750</x:v>
      </x:c>
      <x:c r="C480" s="220" t="str">
        <x:v>21</x:v>
      </x:c>
      <x:c r="D480" s="220" t="str">
        <x:v>609876</x:v>
      </x:c>
      <x:c r="E480" s="220" t="str">
        <x:v>963311</x:v>
      </x:c>
      <x:c r="F480" s="220" t="str">
        <x:v>OUTROS</x:v>
      </x:c>
      <x:c r="G480" s="190" t="str">
        <x:v>PE AL 2250X50X9 RTO LME REC PET BCO(ULTR</x:v>
      </x:c>
      <x:c r="H480" s="190" t="str"/>
      <x:c r="I480" s="190" t="str"/>
      <x:c r="J480" s="190" t="str"/>
      <x:c r="K480" s="190" t="str">
        <x:v>ESMALTE</x:v>
      </x:c>
      <x:c r="L480" s="190" t="str">
        <x:v>BRANCO CARRARA</x:v>
      </x:c>
      <x:c r="M480" s="210" t="n">
        <x:v>10</x:v>
      </x:c>
      <x:c r="N480" s="210" t="n">
        <x:v>2250</x:v>
      </x:c>
      <x:c r="O480" s="210" t="n">
        <x:v>50</x:v>
      </x:c>
      <x:c r="P480" s="210" t="n">
        <x:v>9</x:v>
      </x:c>
      <x:c r="Q480" s="211" t="n">
        <x:v>0</x:v>
      </x:c>
      <x:c r="R480" s="207" t="str"/>
      <x:c r="S480" s="207" t="str"/>
      <x:c r="T480" s="207" t="str"/>
      <x:c r="U480" s="207" t="n">
        <x:v>0</x:v>
      </x:c>
      <x:c r="V480" s="208" t="n">
        <x:f>MAX(0,M480-U480)</x:f>
        <x:v>10</x:v>
      </x:c>
      <x:c r="W480" s="209" t="n">
        <x:f>IFERROR(U480/M480,0)</x:f>
        <x:v>0</x:v>
      </x:c>
      <x:c r="X480" s="201" t="str">
        <x:f>IF(U480=0,"Não iniciado",IF(U480&gt;=M480,"Concluído","Parcial"))</x:f>
        <x:v>Não iniciado</x:v>
      </x:c>
      <x:c r="Y480" s="199" t="str"/>
      <x:c r="Z480" s="188" t="str">
        <x:v>Normal</x:v>
      </x:c>
    </x:row>
    <x:row r="481" ht="22" customHeight="1">
      <x:c r="A481" s="217" t="n">
        <x:v>477</x:v>
      </x:c>
      <x:c r="B481" s="218" t="str">
        <x:v>26750</x:v>
      </x:c>
      <x:c r="C481" s="218" t="str">
        <x:v>21</x:v>
      </x:c>
      <x:c r="D481" s="218" t="str">
        <x:v>609878</x:v>
      </x:c>
      <x:c r="E481" s="218" t="str">
        <x:v>971601</x:v>
      </x:c>
      <x:c r="F481" s="218" t="str">
        <x:v>OUTROS</x:v>
      </x:c>
      <x:c r="G481" s="184" t="str">
        <x:v>PE AL 2250X50X9 RTO RL80 REC PET BCO(ULT</x:v>
      </x:c>
      <x:c r="H481" s="184" t="str"/>
      <x:c r="I481" s="184" t="str"/>
      <x:c r="J481" s="184" t="str"/>
      <x:c r="K481" s="184" t="str">
        <x:v>ESMALTE</x:v>
      </x:c>
      <x:c r="L481" s="184" t="str">
        <x:v>BRANCO CARRARA</x:v>
      </x:c>
      <x:c r="M481" s="205" t="n">
        <x:v>10</x:v>
      </x:c>
      <x:c r="N481" s="205" t="n">
        <x:v>2250</x:v>
      </x:c>
      <x:c r="O481" s="205" t="n">
        <x:v>50</x:v>
      </x:c>
      <x:c r="P481" s="205" t="n">
        <x:v>9</x:v>
      </x:c>
      <x:c r="Q481" s="206" t="n">
        <x:v>0</x:v>
      </x:c>
      <x:c r="R481" s="207" t="str"/>
      <x:c r="S481" s="207" t="str"/>
      <x:c r="T481" s="207" t="str"/>
      <x:c r="U481" s="207" t="n">
        <x:v>0</x:v>
      </x:c>
      <x:c r="V481" s="208" t="n">
        <x:f>MAX(0,M481-U481)</x:f>
        <x:v>10</x:v>
      </x:c>
      <x:c r="W481" s="209" t="n">
        <x:f>IFERROR(U481/M481,0)</x:f>
        <x:v>0</x:v>
      </x:c>
      <x:c r="X481" s="201" t="str">
        <x:f>IF(U481=0,"Não iniciado",IF(U481&gt;=M481,"Concluído","Parcial"))</x:f>
        <x:v>Não iniciado</x:v>
      </x:c>
      <x:c r="Y481" s="199" t="str"/>
      <x:c r="Z481" s="188" t="str">
        <x:v>Normal</x:v>
      </x:c>
    </x:row>
    <x:row r="482" ht="22" customHeight="1">
      <x:c r="A482" s="219" t="n">
        <x:v>478</x:v>
      </x:c>
      <x:c r="B482" s="220" t="str">
        <x:v>26750</x:v>
      </x:c>
      <x:c r="C482" s="220" t="str">
        <x:v>22</x:v>
      </x:c>
      <x:c r="D482" s="220" t="str">
        <x:v>609885</x:v>
      </x:c>
      <x:c r="E482" s="220" t="str">
        <x:v>963311</x:v>
      </x:c>
      <x:c r="F482" s="220" t="str">
        <x:v>OUTROS</x:v>
      </x:c>
      <x:c r="G482" s="190" t="str">
        <x:v>PE AL 2250X50X9 RTO LME REC PET BCO(ULTR</x:v>
      </x:c>
      <x:c r="H482" s="190" t="str"/>
      <x:c r="I482" s="190" t="str"/>
      <x:c r="J482" s="190" t="str"/>
      <x:c r="K482" s="190" t="str">
        <x:v>ESMALTE</x:v>
      </x:c>
      <x:c r="L482" s="190" t="str">
        <x:v>BRANCO CARRARA</x:v>
      </x:c>
      <x:c r="M482" s="210" t="n">
        <x:v>38</x:v>
      </x:c>
      <x:c r="N482" s="210" t="n">
        <x:v>2250</x:v>
      </x:c>
      <x:c r="O482" s="210" t="n">
        <x:v>50</x:v>
      </x:c>
      <x:c r="P482" s="210" t="n">
        <x:v>9</x:v>
      </x:c>
      <x:c r="Q482" s="211" t="n">
        <x:v>0</x:v>
      </x:c>
      <x:c r="R482" s="207" t="str"/>
      <x:c r="S482" s="207" t="str"/>
      <x:c r="T482" s="207" t="str"/>
      <x:c r="U482" s="207" t="n">
        <x:v>0</x:v>
      </x:c>
      <x:c r="V482" s="208" t="n">
        <x:f>MAX(0,M482-U482)</x:f>
        <x:v>38</x:v>
      </x:c>
      <x:c r="W482" s="209" t="n">
        <x:f>IFERROR(U482/M482,0)</x:f>
        <x:v>0</x:v>
      </x:c>
      <x:c r="X482" s="201" t="str">
        <x:f>IF(U482=0,"Não iniciado",IF(U482&gt;=M482,"Concluído","Parcial"))</x:f>
        <x:v>Não iniciado</x:v>
      </x:c>
      <x:c r="Y482" s="199" t="str"/>
      <x:c r="Z482" s="188" t="str">
        <x:v>Normal</x:v>
      </x:c>
    </x:row>
    <x:row r="483" ht="22" customHeight="1">
      <x:c r="A483" s="217" t="n">
        <x:v>479</x:v>
      </x:c>
      <x:c r="B483" s="218" t="str">
        <x:v>26750</x:v>
      </x:c>
      <x:c r="C483" s="218" t="str">
        <x:v>22</x:v>
      </x:c>
      <x:c r="D483" s="218" t="str">
        <x:v>609887</x:v>
      </x:c>
      <x:c r="E483" s="218" t="str">
        <x:v>971601</x:v>
      </x:c>
      <x:c r="F483" s="218" t="str">
        <x:v>OUTROS</x:v>
      </x:c>
      <x:c r="G483" s="184" t="str">
        <x:v>PE AL 2250X50X9 RTO RL80 REC PET BCO(ULT</x:v>
      </x:c>
      <x:c r="H483" s="184" t="str"/>
      <x:c r="I483" s="184" t="str"/>
      <x:c r="J483" s="184" t="str"/>
      <x:c r="K483" s="184" t="str">
        <x:v>ESMALTE</x:v>
      </x:c>
      <x:c r="L483" s="184" t="str">
        <x:v>BRANCO CARRARA</x:v>
      </x:c>
      <x:c r="M483" s="205" t="n">
        <x:v>38</x:v>
      </x:c>
      <x:c r="N483" s="205" t="n">
        <x:v>2250</x:v>
      </x:c>
      <x:c r="O483" s="205" t="n">
        <x:v>50</x:v>
      </x:c>
      <x:c r="P483" s="205" t="n">
        <x:v>9</x:v>
      </x:c>
      <x:c r="Q483" s="206" t="n">
        <x:v>0</x:v>
      </x:c>
      <x:c r="R483" s="207" t="str"/>
      <x:c r="S483" s="207" t="str"/>
      <x:c r="T483" s="207" t="str"/>
      <x:c r="U483" s="207" t="n">
        <x:v>0</x:v>
      </x:c>
      <x:c r="V483" s="208" t="n">
        <x:f>MAX(0,M483-U483)</x:f>
        <x:v>38</x:v>
      </x:c>
      <x:c r="W483" s="209" t="n">
        <x:f>IFERROR(U483/M483,0)</x:f>
        <x:v>0</x:v>
      </x:c>
      <x:c r="X483" s="201" t="str">
        <x:f>IF(U483=0,"Não iniciado",IF(U483&gt;=M483,"Concluído","Parcial"))</x:f>
        <x:v>Não iniciado</x:v>
      </x:c>
      <x:c r="Y483" s="199" t="str"/>
      <x:c r="Z483" s="188" t="str">
        <x:v>Normal</x:v>
      </x:c>
    </x:row>
    <x:row r="484" ht="22" customHeight="1">
      <x:c r="A484" s="219" t="n">
        <x:v>480</x:v>
      </x:c>
      <x:c r="B484" s="220" t="str">
        <x:v>26750</x:v>
      </x:c>
      <x:c r="C484" s="220" t="str">
        <x:v>23</x:v>
      </x:c>
      <x:c r="D484" s="220" t="str">
        <x:v>609893</x:v>
      </x:c>
      <x:c r="E484" s="220" t="str">
        <x:v>963311</x:v>
      </x:c>
      <x:c r="F484" s="220" t="str">
        <x:v>OUTROS</x:v>
      </x:c>
      <x:c r="G484" s="190" t="str">
        <x:v>PE AL 2250X50X9 RTO LME REC PET BCO(ULTR</x:v>
      </x:c>
      <x:c r="H484" s="190" t="str"/>
      <x:c r="I484" s="190" t="str"/>
      <x:c r="J484" s="190" t="str"/>
      <x:c r="K484" s="190" t="str">
        <x:v>ESMALTE</x:v>
      </x:c>
      <x:c r="L484" s="190" t="str">
        <x:v>BRANCO CARRARA</x:v>
      </x:c>
      <x:c r="M484" s="210" t="n">
        <x:v>8</x:v>
      </x:c>
      <x:c r="N484" s="210" t="n">
        <x:v>2250</x:v>
      </x:c>
      <x:c r="O484" s="210" t="n">
        <x:v>50</x:v>
      </x:c>
      <x:c r="P484" s="210" t="n">
        <x:v>9</x:v>
      </x:c>
      <x:c r="Q484" s="211" t="n">
        <x:v>0</x:v>
      </x:c>
      <x:c r="R484" s="207" t="str"/>
      <x:c r="S484" s="207" t="str"/>
      <x:c r="T484" s="207" t="str"/>
      <x:c r="U484" s="207" t="n">
        <x:v>0</x:v>
      </x:c>
      <x:c r="V484" s="208" t="n">
        <x:f>MAX(0,M484-U484)</x:f>
        <x:v>8</x:v>
      </x:c>
      <x:c r="W484" s="209" t="n">
        <x:f>IFERROR(U484/M484,0)</x:f>
        <x:v>0</x:v>
      </x:c>
      <x:c r="X484" s="201" t="str">
        <x:f>IF(U484=0,"Não iniciado",IF(U484&gt;=M484,"Concluído","Parcial"))</x:f>
        <x:v>Não iniciado</x:v>
      </x:c>
      <x:c r="Y484" s="199" t="str"/>
      <x:c r="Z484" s="188" t="str">
        <x:v>Normal</x:v>
      </x:c>
    </x:row>
    <x:row r="485" ht="22" customHeight="1">
      <x:c r="A485" s="217" t="n">
        <x:v>481</x:v>
      </x:c>
      <x:c r="B485" s="218" t="str">
        <x:v>26750</x:v>
      </x:c>
      <x:c r="C485" s="218" t="str">
        <x:v>23</x:v>
      </x:c>
      <x:c r="D485" s="218" t="str">
        <x:v>609896</x:v>
      </x:c>
      <x:c r="E485" s="218" t="str">
        <x:v>971601</x:v>
      </x:c>
      <x:c r="F485" s="218" t="str">
        <x:v>OUTROS</x:v>
      </x:c>
      <x:c r="G485" s="184" t="str">
        <x:v>PE AL 2250X50X9 RTO RL80 REC PET BCO(ULT</x:v>
      </x:c>
      <x:c r="H485" s="184" t="str"/>
      <x:c r="I485" s="184" t="str"/>
      <x:c r="J485" s="184" t="str"/>
      <x:c r="K485" s="184" t="str">
        <x:v>ESMALTE</x:v>
      </x:c>
      <x:c r="L485" s="184" t="str">
        <x:v>BRANCO CARRARA</x:v>
      </x:c>
      <x:c r="M485" s="205" t="n">
        <x:v>8</x:v>
      </x:c>
      <x:c r="N485" s="205" t="n">
        <x:v>2250</x:v>
      </x:c>
      <x:c r="O485" s="205" t="n">
        <x:v>50</x:v>
      </x:c>
      <x:c r="P485" s="205" t="n">
        <x:v>9</x:v>
      </x:c>
      <x:c r="Q485" s="206" t="n">
        <x:v>0</x:v>
      </x:c>
      <x:c r="R485" s="207" t="str"/>
      <x:c r="S485" s="207" t="str"/>
      <x:c r="T485" s="207" t="str"/>
      <x:c r="U485" s="207" t="n">
        <x:v>0</x:v>
      </x:c>
      <x:c r="V485" s="208" t="n">
        <x:f>MAX(0,M485-U485)</x:f>
        <x:v>8</x:v>
      </x:c>
      <x:c r="W485" s="209" t="n">
        <x:f>IFERROR(U485/M485,0)</x:f>
        <x:v>0</x:v>
      </x:c>
      <x:c r="X485" s="201" t="str">
        <x:f>IF(U485=0,"Não iniciado",IF(U485&gt;=M485,"Concluído","Parcial"))</x:f>
        <x:v>Não iniciado</x:v>
      </x:c>
      <x:c r="Y485" s="199" t="str"/>
      <x:c r="Z485" s="188" t="str">
        <x:v>Normal</x:v>
      </x:c>
    </x:row>
    <x:row r="486" ht="22" customHeight="1">
      <x:c r="A486" s="219" t="n">
        <x:v>482</x:v>
      </x:c>
      <x:c r="B486" s="220" t="str">
        <x:v>26750</x:v>
      </x:c>
      <x:c r="C486" s="220" t="str">
        <x:v>24</x:v>
      </x:c>
      <x:c r="D486" s="220" t="str">
        <x:v>609902</x:v>
      </x:c>
      <x:c r="E486" s="220" t="str">
        <x:v>963311</x:v>
      </x:c>
      <x:c r="F486" s="220" t="str">
        <x:v>OUTROS</x:v>
      </x:c>
      <x:c r="G486" s="190" t="str">
        <x:v>PE AL 2250X50X9 RTO LME REC PET BCO(ULTR</x:v>
      </x:c>
      <x:c r="H486" s="190" t="str"/>
      <x:c r="I486" s="190" t="str"/>
      <x:c r="J486" s="190" t="str"/>
      <x:c r="K486" s="190" t="str">
        <x:v>ESMALTE</x:v>
      </x:c>
      <x:c r="L486" s="190" t="str">
        <x:v>BRANCO CARRARA</x:v>
      </x:c>
      <x:c r="M486" s="210" t="n">
        <x:v>20</x:v>
      </x:c>
      <x:c r="N486" s="210" t="n">
        <x:v>2250</x:v>
      </x:c>
      <x:c r="O486" s="210" t="n">
        <x:v>50</x:v>
      </x:c>
      <x:c r="P486" s="210" t="n">
        <x:v>9</x:v>
      </x:c>
      <x:c r="Q486" s="211" t="n">
        <x:v>0</x:v>
      </x:c>
      <x:c r="R486" s="207" t="str"/>
      <x:c r="S486" s="207" t="str"/>
      <x:c r="T486" s="207" t="str"/>
      <x:c r="U486" s="207" t="n">
        <x:v>0</x:v>
      </x:c>
      <x:c r="V486" s="208" t="n">
        <x:f>MAX(0,M486-U486)</x:f>
        <x:v>20</x:v>
      </x:c>
      <x:c r="W486" s="209" t="n">
        <x:f>IFERROR(U486/M486,0)</x:f>
        <x:v>0</x:v>
      </x:c>
      <x:c r="X486" s="201" t="str">
        <x:f>IF(U486=0,"Não iniciado",IF(U486&gt;=M486,"Concluído","Parcial"))</x:f>
        <x:v>Não iniciado</x:v>
      </x:c>
      <x:c r="Y486" s="199" t="str"/>
      <x:c r="Z486" s="188" t="str">
        <x:v>Normal</x:v>
      </x:c>
    </x:row>
    <x:row r="487" ht="22" customHeight="1">
      <x:c r="A487" s="217" t="n">
        <x:v>483</x:v>
      </x:c>
      <x:c r="B487" s="218" t="str">
        <x:v>26750</x:v>
      </x:c>
      <x:c r="C487" s="218" t="str">
        <x:v>24</x:v>
      </x:c>
      <x:c r="D487" s="218" t="str">
        <x:v>609904</x:v>
      </x:c>
      <x:c r="E487" s="218" t="str">
        <x:v>971601</x:v>
      </x:c>
      <x:c r="F487" s="218" t="str">
        <x:v>OUTROS</x:v>
      </x:c>
      <x:c r="G487" s="184" t="str">
        <x:v>PE AL 2250X50X9 RTO RL80 REC PET BCO(ULT</x:v>
      </x:c>
      <x:c r="H487" s="184" t="str"/>
      <x:c r="I487" s="184" t="str"/>
      <x:c r="J487" s="184" t="str"/>
      <x:c r="K487" s="184" t="str">
        <x:v>ESMALTE</x:v>
      </x:c>
      <x:c r="L487" s="184" t="str">
        <x:v>BRANCO CARRARA</x:v>
      </x:c>
      <x:c r="M487" s="205" t="n">
        <x:v>20</x:v>
      </x:c>
      <x:c r="N487" s="205" t="n">
        <x:v>2250</x:v>
      </x:c>
      <x:c r="O487" s="205" t="n">
        <x:v>50</x:v>
      </x:c>
      <x:c r="P487" s="205" t="n">
        <x:v>9</x:v>
      </x:c>
      <x:c r="Q487" s="206" t="n">
        <x:v>0</x:v>
      </x:c>
      <x:c r="R487" s="207" t="str"/>
      <x:c r="S487" s="207" t="str"/>
      <x:c r="T487" s="207" t="str"/>
      <x:c r="U487" s="207" t="n">
        <x:v>0</x:v>
      </x:c>
      <x:c r="V487" s="208" t="n">
        <x:f>MAX(0,M487-U487)</x:f>
        <x:v>20</x:v>
      </x:c>
      <x:c r="W487" s="209" t="n">
        <x:f>IFERROR(U487/M487,0)</x:f>
        <x:v>0</x:v>
      </x:c>
      <x:c r="X487" s="201" t="str">
        <x:f>IF(U487=0,"Não iniciado",IF(U487&gt;=M487,"Concluído","Parcial"))</x:f>
        <x:v>Não iniciado</x:v>
      </x:c>
      <x:c r="Y487" s="199" t="str"/>
      <x:c r="Z487" s="188" t="str">
        <x:v>Normal</x:v>
      </x:c>
    </x:row>
    <x:row r="488" ht="22" customHeight="1">
      <x:c r="A488" s="219" t="n">
        <x:v>484</x:v>
      </x:c>
      <x:c r="B488" s="220" t="str">
        <x:v>26750</x:v>
      </x:c>
      <x:c r="C488" s="220" t="str">
        <x:v>25</x:v>
      </x:c>
      <x:c r="D488" s="220" t="str">
        <x:v>609908</x:v>
      </x:c>
      <x:c r="E488" s="220" t="str">
        <x:v>963311</x:v>
      </x:c>
      <x:c r="F488" s="220" t="str">
        <x:v>OUTROS</x:v>
      </x:c>
      <x:c r="G488" s="190" t="str">
        <x:v>PE AL 2250X50X9 RTO LME REC PET BCO(ULTR</x:v>
      </x:c>
      <x:c r="H488" s="190" t="str"/>
      <x:c r="I488" s="190" t="str"/>
      <x:c r="J488" s="190" t="str"/>
      <x:c r="K488" s="190" t="str">
        <x:v>ESMALTE</x:v>
      </x:c>
      <x:c r="L488" s="190" t="str">
        <x:v>BRANCO CARRARA</x:v>
      </x:c>
      <x:c r="M488" s="210" t="n">
        <x:v>6</x:v>
      </x:c>
      <x:c r="N488" s="210" t="n">
        <x:v>2250</x:v>
      </x:c>
      <x:c r="O488" s="210" t="n">
        <x:v>50</x:v>
      </x:c>
      <x:c r="P488" s="210" t="n">
        <x:v>9</x:v>
      </x:c>
      <x:c r="Q488" s="211" t="n">
        <x:v>0</x:v>
      </x:c>
      <x:c r="R488" s="207" t="str"/>
      <x:c r="S488" s="207" t="str"/>
      <x:c r="T488" s="207" t="str"/>
      <x:c r="U488" s="207" t="n">
        <x:v>0</x:v>
      </x:c>
      <x:c r="V488" s="208" t="n">
        <x:f>MAX(0,M488-U488)</x:f>
        <x:v>6</x:v>
      </x:c>
      <x:c r="W488" s="209" t="n">
        <x:f>IFERROR(U488/M488,0)</x:f>
        <x:v>0</x:v>
      </x:c>
      <x:c r="X488" s="201" t="str">
        <x:f>IF(U488=0,"Não iniciado",IF(U488&gt;=M488,"Concluído","Parcial"))</x:f>
        <x:v>Não iniciado</x:v>
      </x:c>
      <x:c r="Y488" s="199" t="str"/>
      <x:c r="Z488" s="188" t="str">
        <x:v>Normal</x:v>
      </x:c>
    </x:row>
    <x:row r="489" ht="22" customHeight="1">
      <x:c r="A489" s="217" t="n">
        <x:v>485</x:v>
      </x:c>
      <x:c r="B489" s="218" t="str">
        <x:v>26750</x:v>
      </x:c>
      <x:c r="C489" s="218" t="str">
        <x:v>25</x:v>
      </x:c>
      <x:c r="D489" s="218" t="str">
        <x:v>609910</x:v>
      </x:c>
      <x:c r="E489" s="218" t="str">
        <x:v>971601</x:v>
      </x:c>
      <x:c r="F489" s="218" t="str">
        <x:v>OUTROS</x:v>
      </x:c>
      <x:c r="G489" s="184" t="str">
        <x:v>PE AL 2250X50X9 RTO RL80 REC PET BCO(ULT</x:v>
      </x:c>
      <x:c r="H489" s="184" t="str"/>
      <x:c r="I489" s="184" t="str"/>
      <x:c r="J489" s="184" t="str"/>
      <x:c r="K489" s="184" t="str">
        <x:v>ESMALTE</x:v>
      </x:c>
      <x:c r="L489" s="184" t="str">
        <x:v>BRANCO CARRARA</x:v>
      </x:c>
      <x:c r="M489" s="205" t="n">
        <x:v>6</x:v>
      </x:c>
      <x:c r="N489" s="205" t="n">
        <x:v>2250</x:v>
      </x:c>
      <x:c r="O489" s="205" t="n">
        <x:v>50</x:v>
      </x:c>
      <x:c r="P489" s="205" t="n">
        <x:v>9</x:v>
      </x:c>
      <x:c r="Q489" s="206" t="n">
        <x:v>0</x:v>
      </x:c>
      <x:c r="R489" s="207" t="str"/>
      <x:c r="S489" s="207" t="str"/>
      <x:c r="T489" s="207" t="str"/>
      <x:c r="U489" s="207" t="n">
        <x:v>0</x:v>
      </x:c>
      <x:c r="V489" s="208" t="n">
        <x:f>MAX(0,M489-U489)</x:f>
        <x:v>6</x:v>
      </x:c>
      <x:c r="W489" s="209" t="n">
        <x:f>IFERROR(U489/M489,0)</x:f>
        <x:v>0</x:v>
      </x:c>
      <x:c r="X489" s="201" t="str">
        <x:f>IF(U489=0,"Não iniciado",IF(U489&gt;=M489,"Concluído","Parcial"))</x:f>
        <x:v>Não iniciado</x:v>
      </x:c>
      <x:c r="Y489" s="199" t="str"/>
      <x:c r="Z489" s="188" t="str">
        <x:v>Normal</x:v>
      </x:c>
    </x:row>
    <x:row r="490" ht="22" customHeight="1">
      <x:c r="A490" s="219" t="n">
        <x:v>486</x:v>
      </x:c>
      <x:c r="B490" s="220" t="str">
        <x:v>26750</x:v>
      </x:c>
      <x:c r="C490" s="220" t="str">
        <x:v>26</x:v>
      </x:c>
      <x:c r="D490" s="220" t="str">
        <x:v>609921</x:v>
      </x:c>
      <x:c r="E490" s="220" t="str">
        <x:v>963311</x:v>
      </x:c>
      <x:c r="F490" s="220" t="str">
        <x:v>OUTROS</x:v>
      </x:c>
      <x:c r="G490" s="190" t="str">
        <x:v>PE AL 2250X50X9 RTO LME REC PET BCO(ULTR</x:v>
      </x:c>
      <x:c r="H490" s="190" t="str"/>
      <x:c r="I490" s="190" t="str"/>
      <x:c r="J490" s="190" t="str"/>
      <x:c r="K490" s="190" t="str">
        <x:v>ESMALTE</x:v>
      </x:c>
      <x:c r="L490" s="190" t="str">
        <x:v>BRANCO CARRARA</x:v>
      </x:c>
      <x:c r="M490" s="210" t="n">
        <x:v>4</x:v>
      </x:c>
      <x:c r="N490" s="210" t="n">
        <x:v>2250</x:v>
      </x:c>
      <x:c r="O490" s="210" t="n">
        <x:v>50</x:v>
      </x:c>
      <x:c r="P490" s="210" t="n">
        <x:v>9</x:v>
      </x:c>
      <x:c r="Q490" s="211" t="n">
        <x:v>0</x:v>
      </x:c>
      <x:c r="R490" s="207" t="str"/>
      <x:c r="S490" s="207" t="str"/>
      <x:c r="T490" s="207" t="str"/>
      <x:c r="U490" s="207" t="n">
        <x:v>0</x:v>
      </x:c>
      <x:c r="V490" s="208" t="n">
        <x:f>MAX(0,M490-U490)</x:f>
        <x:v>4</x:v>
      </x:c>
      <x:c r="W490" s="209" t="n">
        <x:f>IFERROR(U490/M490,0)</x:f>
        <x:v>0</x:v>
      </x:c>
      <x:c r="X490" s="201" t="str">
        <x:f>IF(U490=0,"Não iniciado",IF(U490&gt;=M490,"Concluído","Parcial"))</x:f>
        <x:v>Não iniciado</x:v>
      </x:c>
      <x:c r="Y490" s="199" t="str"/>
      <x:c r="Z490" s="188" t="str">
        <x:v>Normal</x:v>
      </x:c>
    </x:row>
    <x:row r="491" ht="22" customHeight="1">
      <x:c r="A491" s="217" t="n">
        <x:v>487</x:v>
      </x:c>
      <x:c r="B491" s="218" t="str">
        <x:v>26750</x:v>
      </x:c>
      <x:c r="C491" s="218" t="str">
        <x:v>26</x:v>
      </x:c>
      <x:c r="D491" s="218" t="str">
        <x:v>609923</x:v>
      </x:c>
      <x:c r="E491" s="218" t="str">
        <x:v>971601</x:v>
      </x:c>
      <x:c r="F491" s="218" t="str">
        <x:v>OUTROS</x:v>
      </x:c>
      <x:c r="G491" s="184" t="str">
        <x:v>PE AL 2250X50X9 RTO RL80 REC PET BCO(ULT</x:v>
      </x:c>
      <x:c r="H491" s="184" t="str"/>
      <x:c r="I491" s="184" t="str"/>
      <x:c r="J491" s="184" t="str"/>
      <x:c r="K491" s="184" t="str">
        <x:v>ESMALTE</x:v>
      </x:c>
      <x:c r="L491" s="184" t="str">
        <x:v>BRANCO CARRARA</x:v>
      </x:c>
      <x:c r="M491" s="205" t="n">
        <x:v>4</x:v>
      </x:c>
      <x:c r="N491" s="205" t="n">
        <x:v>2250</x:v>
      </x:c>
      <x:c r="O491" s="205" t="n">
        <x:v>50</x:v>
      </x:c>
      <x:c r="P491" s="205" t="n">
        <x:v>9</x:v>
      </x:c>
      <x:c r="Q491" s="206" t="n">
        <x:v>0</x:v>
      </x:c>
      <x:c r="R491" s="207" t="str"/>
      <x:c r="S491" s="207" t="str"/>
      <x:c r="T491" s="207" t="str"/>
      <x:c r="U491" s="207" t="n">
        <x:v>0</x:v>
      </x:c>
      <x:c r="V491" s="208" t="n">
        <x:f>MAX(0,M491-U491)</x:f>
        <x:v>4</x:v>
      </x:c>
      <x:c r="W491" s="209" t="n">
        <x:f>IFERROR(U491/M491,0)</x:f>
        <x:v>0</x:v>
      </x:c>
      <x:c r="X491" s="201" t="str">
        <x:f>IF(U491=0,"Não iniciado",IF(U491&gt;=M491,"Concluído","Parcial"))</x:f>
        <x:v>Não iniciado</x:v>
      </x:c>
      <x:c r="Y491" s="199" t="str"/>
      <x:c r="Z491" s="188" t="str">
        <x:v>Normal</x:v>
      </x:c>
    </x:row>
    <x:row r="492" ht="22" customHeight="1">
      <x:c r="A492" s="219" t="n">
        <x:v>488</x:v>
      </x:c>
      <x:c r="B492" s="220" t="str">
        <x:v>26796</x:v>
      </x:c>
      <x:c r="C492" s="220" t="str">
        <x:v>1</x:v>
      </x:c>
      <x:c r="D492" s="220" t="str">
        <x:v>609284</x:v>
      </x:c>
      <x:c r="E492" s="220" t="str">
        <x:v>956374</x:v>
      </x:c>
      <x:c r="F492" s="220" t="str">
        <x:v>OUTROS</x:v>
      </x:c>
      <x:c r="G492" s="190" t="str">
        <x:v>2250X50X9 RTO LME PET BCO TXT MPMV(STD)</x:v>
      </x:c>
      <x:c r="H492" s="190" t="str"/>
      <x:c r="I492" s="190" t="str"/>
      <x:c r="J492" s="190" t="str"/>
      <x:c r="K492" s="190" t="str">
        <x:v>ESMALTE</x:v>
      </x:c>
      <x:c r="L492" s="190" t="str">
        <x:v>BRANCO CARRARA</x:v>
      </x:c>
      <x:c r="M492" s="210" t="n">
        <x:v>432</x:v>
      </x:c>
      <x:c r="N492" s="210" t="n">
        <x:v>2250</x:v>
      </x:c>
      <x:c r="O492" s="210" t="n">
        <x:v>50</x:v>
      </x:c>
      <x:c r="P492" s="210" t="n">
        <x:v>9</x:v>
      </x:c>
      <x:c r="Q492" s="211" t="n">
        <x:v>0</x:v>
      </x:c>
      <x:c r="R492" s="207" t="str"/>
      <x:c r="S492" s="207" t="str"/>
      <x:c r="T492" s="207" t="str"/>
      <x:c r="U492" s="207" t="n">
        <x:v>0</x:v>
      </x:c>
      <x:c r="V492" s="208" t="n">
        <x:f>MAX(0,M492-U492)</x:f>
        <x:v>432</x:v>
      </x:c>
      <x:c r="W492" s="209" t="n">
        <x:f>IFERROR(U492/M492,0)</x:f>
        <x:v>0</x:v>
      </x:c>
      <x:c r="X492" s="201" t="str">
        <x:f>IF(U492=0,"Não iniciado",IF(U492&gt;=M492,"Concluído","Parcial"))</x:f>
        <x:v>Não iniciado</x:v>
      </x:c>
      <x:c r="Y492" s="199" t="str"/>
      <x:c r="Z492" s="188" t="str">
        <x:v>Normal</x:v>
      </x:c>
    </x:row>
    <x:row r="493" ht="22" customHeight="1">
      <x:c r="A493" s="217" t="n">
        <x:v>489</x:v>
      </x:c>
      <x:c r="B493" s="218" t="str">
        <x:v>26796</x:v>
      </x:c>
      <x:c r="C493" s="218" t="str">
        <x:v>3</x:v>
      </x:c>
      <x:c r="D493" s="218" t="str">
        <x:v>609300</x:v>
      </x:c>
      <x:c r="E493" s="218" t="str">
        <x:v>956374</x:v>
      </x:c>
      <x:c r="F493" s="218" t="str">
        <x:v>OUTROS</x:v>
      </x:c>
      <x:c r="G493" s="184" t="str">
        <x:v>2250X50X9 RTO LME PET BCO TXT MPMV(STD)</x:v>
      </x:c>
      <x:c r="H493" s="184" t="str"/>
      <x:c r="I493" s="184" t="str"/>
      <x:c r="J493" s="184" t="str"/>
      <x:c r="K493" s="184" t="str">
        <x:v>ESMALTE</x:v>
      </x:c>
      <x:c r="L493" s="184" t="str">
        <x:v>BRANCO CARRARA</x:v>
      </x:c>
      <x:c r="M493" s="205" t="n">
        <x:v>384</x:v>
      </x:c>
      <x:c r="N493" s="205" t="n">
        <x:v>2250</x:v>
      </x:c>
      <x:c r="O493" s="205" t="n">
        <x:v>50</x:v>
      </x:c>
      <x:c r="P493" s="205" t="n">
        <x:v>9</x:v>
      </x:c>
      <x:c r="Q493" s="206" t="n">
        <x:v>0</x:v>
      </x:c>
      <x:c r="R493" s="207" t="str"/>
      <x:c r="S493" s="207" t="str"/>
      <x:c r="T493" s="207" t="str"/>
      <x:c r="U493" s="207" t="n">
        <x:v>0</x:v>
      </x:c>
      <x:c r="V493" s="208" t="n">
        <x:f>MAX(0,M493-U493)</x:f>
        <x:v>384</x:v>
      </x:c>
      <x:c r="W493" s="209" t="n">
        <x:f>IFERROR(U493/M493,0)</x:f>
        <x:v>0</x:v>
      </x:c>
      <x:c r="X493" s="201" t="str">
        <x:f>IF(U493=0,"Não iniciado",IF(U493&gt;=M493,"Concluído","Parcial"))</x:f>
        <x:v>Não iniciado</x:v>
      </x:c>
      <x:c r="Y493" s="199" t="str"/>
      <x:c r="Z493" s="188" t="str">
        <x:v>Normal</x:v>
      </x:c>
    </x:row>
    <x:row r="494" ht="22" customHeight="1">
      <x:c r="A494" s="219" t="n">
        <x:v>490</x:v>
      </x:c>
      <x:c r="B494" s="220" t="str">
        <x:v>26799</x:v>
      </x:c>
      <x:c r="C494" s="220" t="str">
        <x:v>1</x:v>
      </x:c>
      <x:c r="D494" s="220" t="str">
        <x:v>609389</x:v>
      </x:c>
      <x:c r="E494" s="220" t="str">
        <x:v>956374</x:v>
      </x:c>
      <x:c r="F494" s="220" t="str">
        <x:v>OUTROS</x:v>
      </x:c>
      <x:c r="G494" s="190" t="str">
        <x:v>2250X50X9 RTO LME PET BCO TXT MPMV(STD)</x:v>
      </x:c>
      <x:c r="H494" s="190" t="str"/>
      <x:c r="I494" s="190" t="str"/>
      <x:c r="J494" s="190" t="str"/>
      <x:c r="K494" s="190" t="str">
        <x:v>ESMALTE</x:v>
      </x:c>
      <x:c r="L494" s="190" t="str">
        <x:v>BRANCO CARRARA</x:v>
      </x:c>
      <x:c r="M494" s="210" t="n">
        <x:v>144</x:v>
      </x:c>
      <x:c r="N494" s="210" t="n">
        <x:v>2250</x:v>
      </x:c>
      <x:c r="O494" s="210" t="n">
        <x:v>50</x:v>
      </x:c>
      <x:c r="P494" s="210" t="n">
        <x:v>9</x:v>
      </x:c>
      <x:c r="Q494" s="211" t="n">
        <x:v>0</x:v>
      </x:c>
      <x:c r="R494" s="207" t="str"/>
      <x:c r="S494" s="207" t="str"/>
      <x:c r="T494" s="207" t="str"/>
      <x:c r="U494" s="207" t="n">
        <x:v>0</x:v>
      </x:c>
      <x:c r="V494" s="208" t="n">
        <x:f>MAX(0,M494-U494)</x:f>
        <x:v>144</x:v>
      </x:c>
      <x:c r="W494" s="209" t="n">
        <x:f>IFERROR(U494/M494,0)</x:f>
        <x:v>0</x:v>
      </x:c>
      <x:c r="X494" s="201" t="str">
        <x:f>IF(U494=0,"Não iniciado",IF(U494&gt;=M494,"Concluído","Parcial"))</x:f>
        <x:v>Não iniciado</x:v>
      </x:c>
      <x:c r="Y494" s="199" t="str"/>
      <x:c r="Z494" s="188" t="str">
        <x:v>Normal</x:v>
      </x:c>
    </x:row>
    <x:row r="495" ht="22" customHeight="1">
      <x:c r="A495" s="217" t="n">
        <x:v>491</x:v>
      </x:c>
      <x:c r="B495" s="218" t="str">
        <x:v>26799</x:v>
      </x:c>
      <x:c r="C495" s="218" t="str">
        <x:v>3</x:v>
      </x:c>
      <x:c r="D495" s="218" t="str">
        <x:v>609405</x:v>
      </x:c>
      <x:c r="E495" s="218" t="str">
        <x:v>956374</x:v>
      </x:c>
      <x:c r="F495" s="218" t="str">
        <x:v>OUTROS</x:v>
      </x:c>
      <x:c r="G495" s="184" t="str">
        <x:v>2250X50X9 RTO LME PET BCO TXT MPMV(STD)</x:v>
      </x:c>
      <x:c r="H495" s="184" t="str"/>
      <x:c r="I495" s="184" t="str"/>
      <x:c r="J495" s="184" t="str"/>
      <x:c r="K495" s="184" t="str">
        <x:v>ESMALTE</x:v>
      </x:c>
      <x:c r="L495" s="184" t="str">
        <x:v>BRANCO CARRARA</x:v>
      </x:c>
      <x:c r="M495" s="205" t="n">
        <x:v>128</x:v>
      </x:c>
      <x:c r="N495" s="205" t="n">
        <x:v>2250</x:v>
      </x:c>
      <x:c r="O495" s="205" t="n">
        <x:v>50</x:v>
      </x:c>
      <x:c r="P495" s="205" t="n">
        <x:v>9</x:v>
      </x:c>
      <x:c r="Q495" s="206" t="n">
        <x:v>0</x:v>
      </x:c>
      <x:c r="R495" s="207" t="str"/>
      <x:c r="S495" s="207" t="str"/>
      <x:c r="T495" s="207" t="str"/>
      <x:c r="U495" s="207" t="n">
        <x:v>0</x:v>
      </x:c>
      <x:c r="V495" s="208" t="n">
        <x:f>MAX(0,M495-U495)</x:f>
        <x:v>128</x:v>
      </x:c>
      <x:c r="W495" s="209" t="n">
        <x:f>IFERROR(U495/M495,0)</x:f>
        <x:v>0</x:v>
      </x:c>
      <x:c r="X495" s="201" t="str">
        <x:f>IF(U495=0,"Não iniciado",IF(U495&gt;=M495,"Concluído","Parcial"))</x:f>
        <x:v>Não iniciado</x:v>
      </x:c>
      <x:c r="Y495" s="199" t="str"/>
      <x:c r="Z495" s="188" t="str">
        <x:v>Normal</x:v>
      </x:c>
    </x:row>
    <x:row r="496" ht="22" customHeight="1">
      <x:c r="A496" s="219" t="n">
        <x:v>492</x:v>
      </x:c>
      <x:c r="B496" s="220" t="str">
        <x:v>26824</x:v>
      </x:c>
      <x:c r="C496" s="220" t="str">
        <x:v>1</x:v>
      </x:c>
      <x:c r="D496" s="220" t="str">
        <x:v>609579</x:v>
      </x:c>
      <x:c r="E496" s="220" t="str">
        <x:v>956369</x:v>
      </x:c>
      <x:c r="F496" s="220" t="str">
        <x:v>OUTROS</x:v>
      </x:c>
      <x:c r="G496" s="190" t="str">
        <x:v>2250X50X9 RTO RL55 PET BCO TXT MPMV(STD)</x:v>
      </x:c>
      <x:c r="H496" s="190" t="str"/>
      <x:c r="I496" s="190" t="str"/>
      <x:c r="J496" s="190" t="str"/>
      <x:c r="K496" s="190" t="str">
        <x:v>ESMALTE</x:v>
      </x:c>
      <x:c r="L496" s="190" t="str">
        <x:v>BRANCO CARRARA</x:v>
      </x:c>
      <x:c r="M496" s="210" t="n">
        <x:v>246</x:v>
      </x:c>
      <x:c r="N496" s="210" t="n">
        <x:v>2250</x:v>
      </x:c>
      <x:c r="O496" s="210" t="n">
        <x:v>50</x:v>
      </x:c>
      <x:c r="P496" s="210" t="n">
        <x:v>9</x:v>
      </x:c>
      <x:c r="Q496" s="211" t="n">
        <x:v>0</x:v>
      </x:c>
      <x:c r="R496" s="207" t="str"/>
      <x:c r="S496" s="207" t="str"/>
      <x:c r="T496" s="207" t="str"/>
      <x:c r="U496" s="207" t="n">
        <x:v>0</x:v>
      </x:c>
      <x:c r="V496" s="208" t="n">
        <x:f>MAX(0,M496-U496)</x:f>
        <x:v>246</x:v>
      </x:c>
      <x:c r="W496" s="209" t="n">
        <x:f>IFERROR(U496/M496,0)</x:f>
        <x:v>0</x:v>
      </x:c>
      <x:c r="X496" s="201" t="str">
        <x:f>IF(U496=0,"Não iniciado",IF(U496&gt;=M496,"Concluído","Parcial"))</x:f>
        <x:v>Não iniciado</x:v>
      </x:c>
      <x:c r="Y496" s="199" t="str"/>
      <x:c r="Z496" s="188" t="str">
        <x:v>Normal</x:v>
      </x:c>
    </x:row>
    <x:row r="497" ht="22" customHeight="1">
      <x:c r="A497" s="217" t="n">
        <x:v>493</x:v>
      </x:c>
      <x:c r="B497" s="218" t="str">
        <x:v>26824</x:v>
      </x:c>
      <x:c r="C497" s="218" t="str">
        <x:v>1</x:v>
      </x:c>
      <x:c r="D497" s="218" t="str">
        <x:v>609580</x:v>
      </x:c>
      <x:c r="E497" s="218" t="str">
        <x:v>956374</x:v>
      </x:c>
      <x:c r="F497" s="218" t="str">
        <x:v>OUTROS</x:v>
      </x:c>
      <x:c r="G497" s="184" t="str">
        <x:v>2250X50X9 RTO LME PET BCO TXT MPMV(STD)</x:v>
      </x:c>
      <x:c r="H497" s="184" t="str"/>
      <x:c r="I497" s="184" t="str"/>
      <x:c r="J497" s="184" t="str"/>
      <x:c r="K497" s="184" t="str">
        <x:v>ESMALTE</x:v>
      </x:c>
      <x:c r="L497" s="184" t="str">
        <x:v>BRANCO CARRARA</x:v>
      </x:c>
      <x:c r="M497" s="205" t="n">
        <x:v>246</x:v>
      </x:c>
      <x:c r="N497" s="205" t="n">
        <x:v>2250</x:v>
      </x:c>
      <x:c r="O497" s="205" t="n">
        <x:v>50</x:v>
      </x:c>
      <x:c r="P497" s="205" t="n">
        <x:v>9</x:v>
      </x:c>
      <x:c r="Q497" s="206" t="n">
        <x:v>0</x:v>
      </x:c>
      <x:c r="R497" s="207" t="str"/>
      <x:c r="S497" s="207" t="str"/>
      <x:c r="T497" s="207" t="str"/>
      <x:c r="U497" s="207" t="n">
        <x:v>0</x:v>
      </x:c>
      <x:c r="V497" s="208" t="n">
        <x:f>MAX(0,M497-U497)</x:f>
        <x:v>246</x:v>
      </x:c>
      <x:c r="W497" s="209" t="n">
        <x:f>IFERROR(U497/M497,0)</x:f>
        <x:v>0</x:v>
      </x:c>
      <x:c r="X497" s="201" t="str">
        <x:f>IF(U497=0,"Não iniciado",IF(U497&gt;=M497,"Concluído","Parcial"))</x:f>
        <x:v>Não iniciado</x:v>
      </x:c>
      <x:c r="Y497" s="199" t="str"/>
      <x:c r="Z497" s="188" t="str">
        <x:v>Normal</x:v>
      </x:c>
    </x:row>
    <x:row r="498" ht="22" customHeight="1">
      <x:c r="A498" s="219" t="n">
        <x:v>494</x:v>
      </x:c>
      <x:c r="B498" s="220" t="str">
        <x:v>26824</x:v>
      </x:c>
      <x:c r="C498" s="220" t="str">
        <x:v>3</x:v>
      </x:c>
      <x:c r="D498" s="220" t="str">
        <x:v>609595</x:v>
      </x:c>
      <x:c r="E498" s="220" t="str">
        <x:v>956374</x:v>
      </x:c>
      <x:c r="F498" s="220" t="str">
        <x:v>OUTROS</x:v>
      </x:c>
      <x:c r="G498" s="190" t="str">
        <x:v>2250X50X9 RTO LME PET BCO TXT MPMV(STD)</x:v>
      </x:c>
      <x:c r="H498" s="190" t="str"/>
      <x:c r="I498" s="190" t="str"/>
      <x:c r="J498" s="190" t="str"/>
      <x:c r="K498" s="190" t="str">
        <x:v>ESMALTE</x:v>
      </x:c>
      <x:c r="L498" s="190" t="str">
        <x:v>BRANCO CARRARA</x:v>
      </x:c>
      <x:c r="M498" s="210" t="n">
        <x:v>10</x:v>
      </x:c>
      <x:c r="N498" s="210" t="n">
        <x:v>2250</x:v>
      </x:c>
      <x:c r="O498" s="210" t="n">
        <x:v>50</x:v>
      </x:c>
      <x:c r="P498" s="210" t="n">
        <x:v>9</x:v>
      </x:c>
      <x:c r="Q498" s="211" t="n">
        <x:v>0</x:v>
      </x:c>
      <x:c r="R498" s="207" t="str"/>
      <x:c r="S498" s="207" t="str"/>
      <x:c r="T498" s="207" t="str"/>
      <x:c r="U498" s="207" t="n">
        <x:v>0</x:v>
      </x:c>
      <x:c r="V498" s="208" t="n">
        <x:f>MAX(0,M498-U498)</x:f>
        <x:v>10</x:v>
      </x:c>
      <x:c r="W498" s="209" t="n">
        <x:f>IFERROR(U498/M498,0)</x:f>
        <x:v>0</x:v>
      </x:c>
      <x:c r="X498" s="201" t="str">
        <x:f>IF(U498=0,"Não iniciado",IF(U498&gt;=M498,"Concluído","Parcial"))</x:f>
        <x:v>Não iniciado</x:v>
      </x:c>
      <x:c r="Y498" s="199" t="str"/>
      <x:c r="Z498" s="188" t="str">
        <x:v>Normal</x:v>
      </x:c>
    </x:row>
    <x:row r="499" ht="22" customHeight="1">
      <x:c r="A499" s="217" t="n">
        <x:v>495</x:v>
      </x:c>
      <x:c r="B499" s="218" t="str">
        <x:v>26824</x:v>
      </x:c>
      <x:c r="C499" s="218" t="str">
        <x:v>3</x:v>
      </x:c>
      <x:c r="D499" s="218" t="str">
        <x:v>609596</x:v>
      </x:c>
      <x:c r="E499" s="218" t="str">
        <x:v>956400</x:v>
      </x:c>
      <x:c r="F499" s="218" t="str">
        <x:v>OUTROS</x:v>
      </x:c>
      <x:c r="G499" s="184" t="str">
        <x:v>2250X50X9 RTO RL80 PET BCO TXT MPMV(STD)</x:v>
      </x:c>
      <x:c r="H499" s="184" t="str"/>
      <x:c r="I499" s="184" t="str"/>
      <x:c r="J499" s="184" t="str"/>
      <x:c r="K499" s="184" t="str">
        <x:v>ESMALTE</x:v>
      </x:c>
      <x:c r="L499" s="184" t="str">
        <x:v>BRANCO CARRARA</x:v>
      </x:c>
      <x:c r="M499" s="205" t="n">
        <x:v>10</x:v>
      </x:c>
      <x:c r="N499" s="205" t="n">
        <x:v>2250</x:v>
      </x:c>
      <x:c r="O499" s="205" t="n">
        <x:v>50</x:v>
      </x:c>
      <x:c r="P499" s="205" t="n">
        <x:v>9</x:v>
      </x:c>
      <x:c r="Q499" s="206" t="n">
        <x:v>0</x:v>
      </x:c>
      <x:c r="R499" s="207" t="str"/>
      <x:c r="S499" s="207" t="str"/>
      <x:c r="T499" s="207" t="str"/>
      <x:c r="U499" s="207" t="n">
        <x:v>0</x:v>
      </x:c>
      <x:c r="V499" s="208" t="n">
        <x:f>MAX(0,M499-U499)</x:f>
        <x:v>10</x:v>
      </x:c>
      <x:c r="W499" s="209" t="n">
        <x:f>IFERROR(U499/M499,0)</x:f>
        <x:v>0</x:v>
      </x:c>
      <x:c r="X499" s="201" t="str">
        <x:f>IF(U499=0,"Não iniciado",IF(U499&gt;=M499,"Concluído","Parcial"))</x:f>
        <x:v>Não iniciado</x:v>
      </x:c>
      <x:c r="Y499" s="199" t="str"/>
      <x:c r="Z499" s="188" t="str">
        <x:v>Normal</x:v>
      </x:c>
    </x:row>
    <x:row r="500" ht="22" customHeight="1">
      <x:c r="A500" s="219" t="n">
        <x:v>496</x:v>
      </x:c>
      <x:c r="B500" s="220" t="str">
        <x:v>26520</x:v>
      </x:c>
      <x:c r="C500" s="220" t="str">
        <x:v>3</x:v>
      </x:c>
      <x:c r="D500" s="220" t="str">
        <x:v>610079</x:v>
      </x:c>
      <x:c r="E500" s="220" t="str">
        <x:v>969662</x:v>
      </x:c>
      <x:c r="F500" s="220" t="str">
        <x:v>ALIZAR</x:v>
      </x:c>
      <x:c r="G500" s="190" t="str">
        <x:v>P A 2200X50X9 RTO RL55 PET CIN VER ULTRA</x:v>
      </x:c>
      <x:c r="H500" s="190" t="str"/>
      <x:c r="I500" s="190" t="str"/>
      <x:c r="J500" s="190" t="str"/>
      <x:c r="K500" s="190" t="str">
        <x:v>RECOBERTO PET</x:v>
      </x:c>
      <x:c r="L500" s="190" t="str">
        <x:v>CINZA VERONA</x:v>
      </x:c>
      <x:c r="M500" s="210" t="n">
        <x:v>8</x:v>
      </x:c>
      <x:c r="N500" s="210" t="n">
        <x:v>2200</x:v>
      </x:c>
      <x:c r="O500" s="210" t="n">
        <x:v>50</x:v>
      </x:c>
      <x:c r="P500" s="210" t="n">
        <x:v>9</x:v>
      </x:c>
      <x:c r="Q500" s="211" t="n">
        <x:v>0</x:v>
      </x:c>
      <x:c r="R500" s="207" t="str"/>
      <x:c r="S500" s="207" t="str"/>
      <x:c r="T500" s="207" t="str"/>
      <x:c r="U500" s="207" t="n">
        <x:v>0</x:v>
      </x:c>
      <x:c r="V500" s="208" t="n">
        <x:f>MAX(0,M500-U500)</x:f>
        <x:v>8</x:v>
      </x:c>
      <x:c r="W500" s="209" t="n">
        <x:f>IFERROR(U500/M500,0)</x:f>
        <x:v>0</x:v>
      </x:c>
      <x:c r="X500" s="201" t="str">
        <x:f>IF(U500=0,"Não iniciado",IF(U500&gt;=M500,"Concluído","Parcial"))</x:f>
        <x:v>Não iniciado</x:v>
      </x:c>
      <x:c r="Y500" s="199" t="str"/>
      <x:c r="Z500" s="188" t="str">
        <x:v>Normal</x:v>
      </x:c>
    </x:row>
    <x:row r="501" ht="22" customHeight="1">
      <x:c r="A501" s="217" t="n">
        <x:v>497</x:v>
      </x:c>
      <x:c r="B501" s="218" t="str">
        <x:v>26520</x:v>
      </x:c>
      <x:c r="C501" s="218" t="str">
        <x:v>3</x:v>
      </x:c>
      <x:c r="D501" s="218" t="str">
        <x:v>610081</x:v>
      </x:c>
      <x:c r="E501" s="218" t="str">
        <x:v>969664</x:v>
      </x:c>
      <x:c r="F501" s="218" t="str">
        <x:v>ALIZAR</x:v>
      </x:c>
      <x:c r="G501" s="184" t="str">
        <x:v>P A 2200X50X9 RTO LME PET CIN VER ULTRA</x:v>
      </x:c>
      <x:c r="H501" s="184" t="str"/>
      <x:c r="I501" s="184" t="str"/>
      <x:c r="J501" s="184" t="str"/>
      <x:c r="K501" s="184" t="str">
        <x:v>RECOBERTO PET</x:v>
      </x:c>
      <x:c r="L501" s="184" t="str">
        <x:v>CINZA VERONA</x:v>
      </x:c>
      <x:c r="M501" s="205" t="n">
        <x:v>8</x:v>
      </x:c>
      <x:c r="N501" s="205" t="n">
        <x:v>2200</x:v>
      </x:c>
      <x:c r="O501" s="205" t="n">
        <x:v>50</x:v>
      </x:c>
      <x:c r="P501" s="205" t="n">
        <x:v>9</x:v>
      </x:c>
      <x:c r="Q501" s="206" t="n">
        <x:v>0</x:v>
      </x:c>
      <x:c r="R501" s="207" t="str"/>
      <x:c r="S501" s="207" t="str"/>
      <x:c r="T501" s="207" t="str"/>
      <x:c r="U501" s="207" t="n">
        <x:v>0</x:v>
      </x:c>
      <x:c r="V501" s="208" t="n">
        <x:f>MAX(0,M501-U501)</x:f>
        <x:v>8</x:v>
      </x:c>
      <x:c r="W501" s="209" t="n">
        <x:f>IFERROR(U501/M501,0)</x:f>
        <x:v>0</x:v>
      </x:c>
      <x:c r="X501" s="201" t="str">
        <x:f>IF(U501=0,"Não iniciado",IF(U501&gt;=M501,"Concluído","Parcial"))</x:f>
        <x:v>Não iniciado</x:v>
      </x:c>
      <x:c r="Y501" s="199" t="str"/>
      <x:c r="Z501" s="188" t="str">
        <x:v>Normal</x:v>
      </x:c>
    </x:row>
    <x:row r="502" ht="22" customHeight="1">
      <x:c r="A502" s="219" t="n">
        <x:v>498</x:v>
      </x:c>
      <x:c r="B502" s="220" t="str">
        <x:v>26520</x:v>
      </x:c>
      <x:c r="C502" s="220" t="str">
        <x:v>4</x:v>
      </x:c>
      <x:c r="D502" s="220" t="str">
        <x:v>610087</x:v>
      </x:c>
      <x:c r="E502" s="220" t="str">
        <x:v>969662</x:v>
      </x:c>
      <x:c r="F502" s="220" t="str">
        <x:v>ALIZAR</x:v>
      </x:c>
      <x:c r="G502" s="190" t="str">
        <x:v>P A 2200X50X9 RTO RL55 PET CIN VER ULTRA</x:v>
      </x:c>
      <x:c r="H502" s="190" t="str"/>
      <x:c r="I502" s="190" t="str"/>
      <x:c r="J502" s="190" t="str"/>
      <x:c r="K502" s="190" t="str">
        <x:v>RECOBERTO PET</x:v>
      </x:c>
      <x:c r="L502" s="190" t="str">
        <x:v>CINZA VERONA</x:v>
      </x:c>
      <x:c r="M502" s="210" t="n">
        <x:v>8</x:v>
      </x:c>
      <x:c r="N502" s="210" t="n">
        <x:v>2200</x:v>
      </x:c>
      <x:c r="O502" s="210" t="n">
        <x:v>50</x:v>
      </x:c>
      <x:c r="P502" s="210" t="n">
        <x:v>9</x:v>
      </x:c>
      <x:c r="Q502" s="211" t="n">
        <x:v>0</x:v>
      </x:c>
      <x:c r="R502" s="207" t="str"/>
      <x:c r="S502" s="207" t="str"/>
      <x:c r="T502" s="207" t="str"/>
      <x:c r="U502" s="207" t="n">
        <x:v>0</x:v>
      </x:c>
      <x:c r="V502" s="208" t="n">
        <x:f>MAX(0,M502-U502)</x:f>
        <x:v>8</x:v>
      </x:c>
      <x:c r="W502" s="209" t="n">
        <x:f>IFERROR(U502/M502,0)</x:f>
        <x:v>0</x:v>
      </x:c>
      <x:c r="X502" s="201" t="str">
        <x:f>IF(U502=0,"Não iniciado",IF(U502&gt;=M502,"Concluído","Parcial"))</x:f>
        <x:v>Não iniciado</x:v>
      </x:c>
      <x:c r="Y502" s="199" t="str"/>
      <x:c r="Z502" s="188" t="str">
        <x:v>Normal</x:v>
      </x:c>
    </x:row>
    <x:row r="503" ht="22" customHeight="1">
      <x:c r="A503" s="217" t="n">
        <x:v>499</x:v>
      </x:c>
      <x:c r="B503" s="218" t="str">
        <x:v>26520</x:v>
      </x:c>
      <x:c r="C503" s="218" t="str">
        <x:v>4</x:v>
      </x:c>
      <x:c r="D503" s="218" t="str">
        <x:v>610089</x:v>
      </x:c>
      <x:c r="E503" s="218" t="str">
        <x:v>969664</x:v>
      </x:c>
      <x:c r="F503" s="218" t="str">
        <x:v>ALIZAR</x:v>
      </x:c>
      <x:c r="G503" s="184" t="str">
        <x:v>P A 2200X50X9 RTO LME PET CIN VER ULTRA</x:v>
      </x:c>
      <x:c r="H503" s="184" t="str"/>
      <x:c r="I503" s="184" t="str"/>
      <x:c r="J503" s="184" t="str"/>
      <x:c r="K503" s="184" t="str">
        <x:v>RECOBERTO PET</x:v>
      </x:c>
      <x:c r="L503" s="184" t="str">
        <x:v>CINZA VERONA</x:v>
      </x:c>
      <x:c r="M503" s="205" t="n">
        <x:v>8</x:v>
      </x:c>
      <x:c r="N503" s="205" t="n">
        <x:v>2200</x:v>
      </x:c>
      <x:c r="O503" s="205" t="n">
        <x:v>50</x:v>
      </x:c>
      <x:c r="P503" s="205" t="n">
        <x:v>9</x:v>
      </x:c>
      <x:c r="Q503" s="206" t="n">
        <x:v>0</x:v>
      </x:c>
      <x:c r="R503" s="207" t="str"/>
      <x:c r="S503" s="207" t="str"/>
      <x:c r="T503" s="207" t="str"/>
      <x:c r="U503" s="207" t="n">
        <x:v>0</x:v>
      </x:c>
      <x:c r="V503" s="208" t="n">
        <x:f>MAX(0,M503-U503)</x:f>
        <x:v>8</x:v>
      </x:c>
      <x:c r="W503" s="209" t="n">
        <x:f>IFERROR(U503/M503,0)</x:f>
        <x:v>0</x:v>
      </x:c>
      <x:c r="X503" s="201" t="str">
        <x:f>IF(U503=0,"Não iniciado",IF(U503&gt;=M503,"Concluído","Parcial"))</x:f>
        <x:v>Não iniciado</x:v>
      </x:c>
      <x:c r="Y503" s="199" t="str"/>
      <x:c r="Z503" s="188" t="str">
        <x:v>Normal</x:v>
      </x:c>
    </x:row>
    <x:row r="504" ht="22" customHeight="1">
      <x:c r="A504" s="219" t="n">
        <x:v>500</x:v>
      </x:c>
      <x:c r="B504" s="220" t="str">
        <x:v>26520</x:v>
      </x:c>
      <x:c r="C504" s="220" t="str">
        <x:v>5</x:v>
      </x:c>
      <x:c r="D504" s="220" t="str">
        <x:v>610095</x:v>
      </x:c>
      <x:c r="E504" s="220" t="str">
        <x:v>969662</x:v>
      </x:c>
      <x:c r="F504" s="220" t="str">
        <x:v>ALIZAR</x:v>
      </x:c>
      <x:c r="G504" s="190" t="str">
        <x:v>P A 2200X50X9 RTO RL55 PET CIN VER ULTRA</x:v>
      </x:c>
      <x:c r="H504" s="190" t="str"/>
      <x:c r="I504" s="190" t="str"/>
      <x:c r="J504" s="190" t="str"/>
      <x:c r="K504" s="190" t="str">
        <x:v>RECOBERTO PET</x:v>
      </x:c>
      <x:c r="L504" s="190" t="str">
        <x:v>CINZA VERONA</x:v>
      </x:c>
      <x:c r="M504" s="210" t="n">
        <x:v>2</x:v>
      </x:c>
      <x:c r="N504" s="210" t="n">
        <x:v>2200</x:v>
      </x:c>
      <x:c r="O504" s="210" t="n">
        <x:v>50</x:v>
      </x:c>
      <x:c r="P504" s="210" t="n">
        <x:v>9</x:v>
      </x:c>
      <x:c r="Q504" s="211" t="n">
        <x:v>0</x:v>
      </x:c>
      <x:c r="R504" s="207" t="str"/>
      <x:c r="S504" s="207" t="str"/>
      <x:c r="T504" s="207" t="str"/>
      <x:c r="U504" s="207" t="n">
        <x:v>0</x:v>
      </x:c>
      <x:c r="V504" s="208" t="n">
        <x:f>MAX(0,M504-U504)</x:f>
        <x:v>2</x:v>
      </x:c>
      <x:c r="W504" s="209" t="n">
        <x:f>IFERROR(U504/M504,0)</x:f>
        <x:v>0</x:v>
      </x:c>
      <x:c r="X504" s="201" t="str">
        <x:f>IF(U504=0,"Não iniciado",IF(U504&gt;=M504,"Concluído","Parcial"))</x:f>
        <x:v>Não iniciado</x:v>
      </x:c>
      <x:c r="Y504" s="199" t="str"/>
      <x:c r="Z504" s="188" t="str">
        <x:v>Normal</x:v>
      </x:c>
    </x:row>
    <x:row r="505" ht="22" customHeight="1">
      <x:c r="A505" s="217" t="n">
        <x:v>501</x:v>
      </x:c>
      <x:c r="B505" s="218" t="str">
        <x:v>26520</x:v>
      </x:c>
      <x:c r="C505" s="218" t="str">
        <x:v>5</x:v>
      </x:c>
      <x:c r="D505" s="218" t="str">
        <x:v>610097</x:v>
      </x:c>
      <x:c r="E505" s="218" t="str">
        <x:v>969664</x:v>
      </x:c>
      <x:c r="F505" s="218" t="str">
        <x:v>ALIZAR</x:v>
      </x:c>
      <x:c r="G505" s="184" t="str">
        <x:v>P A 2200X50X9 RTO LME PET CIN VER ULTRA</x:v>
      </x:c>
      <x:c r="H505" s="184" t="str"/>
      <x:c r="I505" s="184" t="str"/>
      <x:c r="J505" s="184" t="str"/>
      <x:c r="K505" s="184" t="str">
        <x:v>RECOBERTO PET</x:v>
      </x:c>
      <x:c r="L505" s="184" t="str">
        <x:v>CINZA VERONA</x:v>
      </x:c>
      <x:c r="M505" s="205" t="n">
        <x:v>2</x:v>
      </x:c>
      <x:c r="N505" s="205" t="n">
        <x:v>2200</x:v>
      </x:c>
      <x:c r="O505" s="205" t="n">
        <x:v>50</x:v>
      </x:c>
      <x:c r="P505" s="205" t="n">
        <x:v>9</x:v>
      </x:c>
      <x:c r="Q505" s="206" t="n">
        <x:v>0</x:v>
      </x:c>
      <x:c r="R505" s="207" t="str"/>
      <x:c r="S505" s="207" t="str"/>
      <x:c r="T505" s="207" t="str"/>
      <x:c r="U505" s="207" t="n">
        <x:v>0</x:v>
      </x:c>
      <x:c r="V505" s="208" t="n">
        <x:f>MAX(0,M505-U505)</x:f>
        <x:v>2</x:v>
      </x:c>
      <x:c r="W505" s="209" t="n">
        <x:f>IFERROR(U505/M505,0)</x:f>
        <x:v>0</x:v>
      </x:c>
      <x:c r="X505" s="201" t="str">
        <x:f>IF(U505=0,"Não iniciado",IF(U505&gt;=M505,"Concluído","Parcial"))</x:f>
        <x:v>Não iniciado</x:v>
      </x:c>
      <x:c r="Y505" s="199" t="str"/>
      <x:c r="Z505" s="188" t="str">
        <x:v>Normal</x:v>
      </x:c>
    </x:row>
    <x:row r="506" ht="22" customHeight="1">
      <x:c r="A506" s="219" t="n">
        <x:v>502</x:v>
      </x:c>
      <x:c r="B506" s="220" t="str">
        <x:v>26520</x:v>
      </x:c>
      <x:c r="C506" s="220" t="str">
        <x:v>6</x:v>
      </x:c>
      <x:c r="D506" s="220" t="str">
        <x:v>610103</x:v>
      </x:c>
      <x:c r="E506" s="220" t="str">
        <x:v>969662</x:v>
      </x:c>
      <x:c r="F506" s="220" t="str">
        <x:v>ALIZAR</x:v>
      </x:c>
      <x:c r="G506" s="190" t="str">
        <x:v>P A 2200X50X9 RTO RL55 PET CIN VER ULTRA</x:v>
      </x:c>
      <x:c r="H506" s="190" t="str"/>
      <x:c r="I506" s="190" t="str"/>
      <x:c r="J506" s="190" t="str"/>
      <x:c r="K506" s="190" t="str">
        <x:v>RECOBERTO PET</x:v>
      </x:c>
      <x:c r="L506" s="190" t="str">
        <x:v>CINZA VERONA</x:v>
      </x:c>
      <x:c r="M506" s="210" t="n">
        <x:v>2</x:v>
      </x:c>
      <x:c r="N506" s="210" t="n">
        <x:v>2200</x:v>
      </x:c>
      <x:c r="O506" s="210" t="n">
        <x:v>50</x:v>
      </x:c>
      <x:c r="P506" s="210" t="n">
        <x:v>9</x:v>
      </x:c>
      <x:c r="Q506" s="211" t="n">
        <x:v>0</x:v>
      </x:c>
      <x:c r="R506" s="207" t="str"/>
      <x:c r="S506" s="207" t="str"/>
      <x:c r="T506" s="207" t="str"/>
      <x:c r="U506" s="207" t="n">
        <x:v>0</x:v>
      </x:c>
      <x:c r="V506" s="208" t="n">
        <x:f>MAX(0,M506-U506)</x:f>
        <x:v>2</x:v>
      </x:c>
      <x:c r="W506" s="209" t="n">
        <x:f>IFERROR(U506/M506,0)</x:f>
        <x:v>0</x:v>
      </x:c>
      <x:c r="X506" s="201" t="str">
        <x:f>IF(U506=0,"Não iniciado",IF(U506&gt;=M506,"Concluído","Parcial"))</x:f>
        <x:v>Não iniciado</x:v>
      </x:c>
      <x:c r="Y506" s="199" t="str"/>
      <x:c r="Z506" s="188" t="str">
        <x:v>Normal</x:v>
      </x:c>
    </x:row>
    <x:row r="507" ht="22" customHeight="1">
      <x:c r="A507" s="217" t="n">
        <x:v>503</x:v>
      </x:c>
      <x:c r="B507" s="218" t="str">
        <x:v>26520</x:v>
      </x:c>
      <x:c r="C507" s="218" t="str">
        <x:v>6</x:v>
      </x:c>
      <x:c r="D507" s="218" t="str">
        <x:v>610105</x:v>
      </x:c>
      <x:c r="E507" s="218" t="str">
        <x:v>969664</x:v>
      </x:c>
      <x:c r="F507" s="218" t="str">
        <x:v>ALIZAR</x:v>
      </x:c>
      <x:c r="G507" s="184" t="str">
        <x:v>P A 2200X50X9 RTO LME PET CIN VER ULTRA</x:v>
      </x:c>
      <x:c r="H507" s="184" t="str"/>
      <x:c r="I507" s="184" t="str"/>
      <x:c r="J507" s="184" t="str"/>
      <x:c r="K507" s="184" t="str">
        <x:v>RECOBERTO PET</x:v>
      </x:c>
      <x:c r="L507" s="184" t="str">
        <x:v>CINZA VERONA</x:v>
      </x:c>
      <x:c r="M507" s="205" t="n">
        <x:v>2</x:v>
      </x:c>
      <x:c r="N507" s="205" t="n">
        <x:v>2200</x:v>
      </x:c>
      <x:c r="O507" s="205" t="n">
        <x:v>50</x:v>
      </x:c>
      <x:c r="P507" s="205" t="n">
        <x:v>9</x:v>
      </x:c>
      <x:c r="Q507" s="206" t="n">
        <x:v>0</x:v>
      </x:c>
      <x:c r="R507" s="207" t="str"/>
      <x:c r="S507" s="207" t="str"/>
      <x:c r="T507" s="207" t="str"/>
      <x:c r="U507" s="207" t="n">
        <x:v>0</x:v>
      </x:c>
      <x:c r="V507" s="208" t="n">
        <x:f>MAX(0,M507-U507)</x:f>
        <x:v>2</x:v>
      </x:c>
      <x:c r="W507" s="209" t="n">
        <x:f>IFERROR(U507/M507,0)</x:f>
        <x:v>0</x:v>
      </x:c>
      <x:c r="X507" s="201" t="str">
        <x:f>IF(U507=0,"Não iniciado",IF(U507&gt;=M507,"Concluído","Parcial"))</x:f>
        <x:v>Não iniciado</x:v>
      </x:c>
      <x:c r="Y507" s="199" t="str"/>
      <x:c r="Z507" s="188" t="str">
        <x:v>Normal</x:v>
      </x:c>
    </x:row>
    <x:row r="508" ht="22" customHeight="1">
      <x:c r="A508" s="219" t="n">
        <x:v>504</x:v>
      </x:c>
      <x:c r="B508" s="220" t="str">
        <x:v>26739</x:v>
      </x:c>
      <x:c r="C508" s="220" t="str">
        <x:v>4</x:v>
      </x:c>
      <x:c r="D508" s="220" t="str">
        <x:v>609633</x:v>
      </x:c>
      <x:c r="E508" s="220" t="str">
        <x:v>2020700628</x:v>
      </x:c>
      <x:c r="F508" s="220" t="str">
        <x:v>OUTROS</x:v>
      </x:c>
      <x:c r="G508" s="190" t="str">
        <x:v>A ULTRA PVC R BCO 2200X50X9 RG(ME) RTO</x:v>
      </x:c>
      <x:c r="H508" s="190" t="str">
        <x:v>REG 1L(MENOR)</x:v>
      </x:c>
      <x:c r="I508" s="190" t="str"/>
      <x:c r="J508" s="190" t="str"/>
      <x:c r="K508" s="190" t="str">
        <x:v>RECOBERTO PVC RENOLIT</x:v>
      </x:c>
      <x:c r="L508" s="190" t="str">
        <x:v>BRANCO</x:v>
      </x:c>
      <x:c r="M508" s="210" t="n">
        <x:v>32</x:v>
      </x:c>
      <x:c r="N508" s="210" t="n">
        <x:v>2200</x:v>
      </x:c>
      <x:c r="O508" s="210" t="n">
        <x:v>50</x:v>
      </x:c>
      <x:c r="P508" s="210" t="n">
        <x:v>9</x:v>
      </x:c>
      <x:c r="Q508" s="211" t="n">
        <x:v>0</x:v>
      </x:c>
      <x:c r="R508" s="207" t="str"/>
      <x:c r="S508" s="207" t="str"/>
      <x:c r="T508" s="207" t="str"/>
      <x:c r="U508" s="207" t="n">
        <x:v>0</x:v>
      </x:c>
      <x:c r="V508" s="208" t="n">
        <x:f>MAX(0,M508-U508)</x:f>
        <x:v>32</x:v>
      </x:c>
      <x:c r="W508" s="209" t="n">
        <x:f>IFERROR(U508/M508,0)</x:f>
        <x:v>0</x:v>
      </x:c>
      <x:c r="X508" s="201" t="str">
        <x:f>IF(U508=0,"Não iniciado",IF(U508&gt;=M508,"Concluído","Parcial"))</x:f>
        <x:v>Não iniciado</x:v>
      </x:c>
      <x:c r="Y508" s="199" t="str"/>
      <x:c r="Z508" s="188" t="str">
        <x:v>Normal</x:v>
      </x:c>
    </x:row>
    <x:row r="509" ht="22" customHeight="1">
      <x:c r="A509" s="217" t="n">
        <x:v>505</x:v>
      </x:c>
      <x:c r="B509" s="218" t="str">
        <x:v>26750</x:v>
      </x:c>
      <x:c r="C509" s="218" t="str">
        <x:v>5</x:v>
      </x:c>
      <x:c r="D509" s="218" t="str">
        <x:v>609796</x:v>
      </x:c>
      <x:c r="E509" s="218" t="str">
        <x:v>2020700628</x:v>
      </x:c>
      <x:c r="F509" s="218" t="str">
        <x:v>OUTROS</x:v>
      </x:c>
      <x:c r="G509" s="184" t="str">
        <x:v>A ULTRA PVC R BCO 2200X50X9 RG(ME) RTO</x:v>
      </x:c>
      <x:c r="H509" s="184" t="str">
        <x:v>REG 1L(MENOR)</x:v>
      </x:c>
      <x:c r="I509" s="184" t="str"/>
      <x:c r="J509" s="184" t="str"/>
      <x:c r="K509" s="184" t="str">
        <x:v>RECOBERTO PVC RENOLIT</x:v>
      </x:c>
      <x:c r="L509" s="184" t="str">
        <x:v>BRANCO</x:v>
      </x:c>
      <x:c r="M509" s="205" t="n">
        <x:v>22</x:v>
      </x:c>
      <x:c r="N509" s="205" t="n">
        <x:v>2200</x:v>
      </x:c>
      <x:c r="O509" s="205" t="n">
        <x:v>50</x:v>
      </x:c>
      <x:c r="P509" s="205" t="n">
        <x:v>9</x:v>
      </x:c>
      <x:c r="Q509" s="206" t="n">
        <x:v>0</x:v>
      </x:c>
      <x:c r="R509" s="207" t="str"/>
      <x:c r="S509" s="207" t="str"/>
      <x:c r="T509" s="207" t="str"/>
      <x:c r="U509" s="207" t="n">
        <x:v>0</x:v>
      </x:c>
      <x:c r="V509" s="208" t="n">
        <x:f>MAX(0,M509-U509)</x:f>
        <x:v>22</x:v>
      </x:c>
      <x:c r="W509" s="209" t="n">
        <x:f>IFERROR(U509/M509,0)</x:f>
        <x:v>0</x:v>
      </x:c>
      <x:c r="X509" s="201" t="str">
        <x:f>IF(U509=0,"Não iniciado",IF(U509&gt;=M509,"Concluído","Parcial"))</x:f>
        <x:v>Não iniciado</x:v>
      </x:c>
      <x:c r="Y509" s="199" t="str"/>
      <x:c r="Z509" s="188" t="str">
        <x:v>Normal</x:v>
      </x:c>
    </x:row>
    <x:row r="510" ht="22" customHeight="1">
      <x:c r="A510" s="219" t="n">
        <x:v>506</x:v>
      </x:c>
      <x:c r="B510" s="220" t="str">
        <x:v>26796</x:v>
      </x:c>
      <x:c r="C510" s="220" t="str">
        <x:v>2</x:v>
      </x:c>
      <x:c r="D510" s="220" t="str">
        <x:v>609294</x:v>
      </x:c>
      <x:c r="E510" s="220" t="str">
        <x:v>986855</x:v>
      </x:c>
      <x:c r="F510" s="220" t="str">
        <x:v>OUTROS</x:v>
      </x:c>
      <x:c r="G510" s="190" t="str">
        <x:v>P.A. 2200X50X9 RT RL35 PET TXT BCO STD</x:v>
      </x:c>
      <x:c r="H510" s="190" t="str"/>
      <x:c r="I510" s="190" t="str"/>
      <x:c r="J510" s="190" t="str"/>
      <x:c r="K510" s="190" t="str">
        <x:v>ESMALTE</x:v>
      </x:c>
      <x:c r="L510" s="190" t="str">
        <x:v>BRANCO</x:v>
      </x:c>
      <x:c r="M510" s="210" t="n">
        <x:v>96</x:v>
      </x:c>
      <x:c r="N510" s="210" t="n">
        <x:v>2200</x:v>
      </x:c>
      <x:c r="O510" s="210" t="n">
        <x:v>50</x:v>
      </x:c>
      <x:c r="P510" s="210" t="n">
        <x:v>9</x:v>
      </x:c>
      <x:c r="Q510" s="211" t="n">
        <x:v>0.095</x:v>
      </x:c>
      <x:c r="R510" s="207" t="str"/>
      <x:c r="S510" s="207" t="str"/>
      <x:c r="T510" s="207" t="str"/>
      <x:c r="U510" s="207" t="n">
        <x:v>0</x:v>
      </x:c>
      <x:c r="V510" s="208" t="n">
        <x:f>MAX(0,M510-U510)</x:f>
        <x:v>96</x:v>
      </x:c>
      <x:c r="W510" s="209" t="n">
        <x:f>IFERROR(U510/M510,0)</x:f>
        <x:v>0</x:v>
      </x:c>
      <x:c r="X510" s="201" t="str">
        <x:f>IF(U510=0,"Não iniciado",IF(U510&gt;=M510,"Concluído","Parcial"))</x:f>
        <x:v>Não iniciado</x:v>
      </x:c>
      <x:c r="Y510" s="199" t="str"/>
      <x:c r="Z510" s="188" t="str">
        <x:v>Normal</x:v>
      </x:c>
    </x:row>
    <x:row r="511" ht="22" customHeight="1">
      <x:c r="A511" s="217" t="n">
        <x:v>507</x:v>
      </x:c>
      <x:c r="B511" s="218" t="str">
        <x:v>26799</x:v>
      </x:c>
      <x:c r="C511" s="218" t="str">
        <x:v>2</x:v>
      </x:c>
      <x:c r="D511" s="218" t="str">
        <x:v>609399</x:v>
      </x:c>
      <x:c r="E511" s="218" t="str">
        <x:v>986855</x:v>
      </x:c>
      <x:c r="F511" s="218" t="str">
        <x:v>OUTROS</x:v>
      </x:c>
      <x:c r="G511" s="184" t="str">
        <x:v>P.A. 2200X50X9 RT RL35 PET TXT BCO STD</x:v>
      </x:c>
      <x:c r="H511" s="184" t="str"/>
      <x:c r="I511" s="184" t="str"/>
      <x:c r="J511" s="184" t="str"/>
      <x:c r="K511" s="184" t="str">
        <x:v>ESMALTE</x:v>
      </x:c>
      <x:c r="L511" s="184" t="str">
        <x:v>BRANCO</x:v>
      </x:c>
      <x:c r="M511" s="205" t="n">
        <x:v>32</x:v>
      </x:c>
      <x:c r="N511" s="205" t="n">
        <x:v>2200</x:v>
      </x:c>
      <x:c r="O511" s="205" t="n">
        <x:v>50</x:v>
      </x:c>
      <x:c r="P511" s="205" t="n">
        <x:v>9</x:v>
      </x:c>
      <x:c r="Q511" s="206" t="n">
        <x:v>0.032</x:v>
      </x:c>
      <x:c r="R511" s="207" t="str"/>
      <x:c r="S511" s="207" t="str"/>
      <x:c r="T511" s="207" t="str"/>
      <x:c r="U511" s="207" t="n">
        <x:v>0</x:v>
      </x:c>
      <x:c r="V511" s="208" t="n">
        <x:f>MAX(0,M511-U511)</x:f>
        <x:v>32</x:v>
      </x:c>
      <x:c r="W511" s="209" t="n">
        <x:f>IFERROR(U511/M511,0)</x:f>
        <x:v>0</x:v>
      </x:c>
      <x:c r="X511" s="201" t="str">
        <x:f>IF(U511=0,"Não iniciado",IF(U511&gt;=M511,"Concluído","Parcial"))</x:f>
        <x:v>Não iniciado</x:v>
      </x:c>
      <x:c r="Y511" s="199" t="str"/>
      <x:c r="Z511" s="188" t="str">
        <x:v>Normal</x:v>
      </x:c>
    </x:row>
    <x:row r="512" ht="22" customHeight="1">
      <x:c r="A512" s="219" t="n">
        <x:v>508</x:v>
      </x:c>
      <x:c r="B512" s="220" t="str">
        <x:v>26744</x:v>
      </x:c>
      <x:c r="C512" s="220" t="str">
        <x:v>1</x:v>
      </x:c>
      <x:c r="D512" s="220" t="str">
        <x:v>609990</x:v>
      </x:c>
      <x:c r="E512" s="220" t="str">
        <x:v>962729</x:v>
      </x:c>
      <x:c r="F512" s="220" t="str">
        <x:v>OUTROS</x:v>
      </x:c>
      <x:c r="G512" s="190" t="str">
        <x:v>PE AL 2200X50X9 RTO RL35 REC PET BCO(ULT</x:v>
      </x:c>
      <x:c r="H512" s="190" t="str"/>
      <x:c r="I512" s="190" t="str"/>
      <x:c r="J512" s="190" t="str"/>
      <x:c r="K512" s="190" t="str">
        <x:v>RECOBERTO PET</x:v>
      </x:c>
      <x:c r="L512" s="190" t="str">
        <x:v>BRANCO CARRARA</x:v>
      </x:c>
      <x:c r="M512" s="210" t="n">
        <x:v>8</x:v>
      </x:c>
      <x:c r="N512" s="210" t="n">
        <x:v>2200</x:v>
      </x:c>
      <x:c r="O512" s="210" t="n">
        <x:v>50</x:v>
      </x:c>
      <x:c r="P512" s="210" t="n">
        <x:v>9</x:v>
      </x:c>
      <x:c r="Q512" s="211" t="n">
        <x:v>0</x:v>
      </x:c>
      <x:c r="R512" s="207" t="str"/>
      <x:c r="S512" s="207" t="str"/>
      <x:c r="T512" s="207" t="str"/>
      <x:c r="U512" s="207" t="n">
        <x:v>0</x:v>
      </x:c>
      <x:c r="V512" s="208" t="n">
        <x:f>MAX(0,M512-U512)</x:f>
        <x:v>8</x:v>
      </x:c>
      <x:c r="W512" s="209" t="n">
        <x:f>IFERROR(U512/M512,0)</x:f>
        <x:v>0</x:v>
      </x:c>
      <x:c r="X512" s="201" t="str">
        <x:f>IF(U512=0,"Não iniciado",IF(U512&gt;=M512,"Concluído","Parcial"))</x:f>
        <x:v>Não iniciado</x:v>
      </x:c>
      <x:c r="Y512" s="199" t="str"/>
      <x:c r="Z512" s="188" t="str">
        <x:v>Normal</x:v>
      </x:c>
    </x:row>
    <x:row r="513" ht="22" customHeight="1">
      <x:c r="A513" s="217" t="n">
        <x:v>509</x:v>
      </x:c>
      <x:c r="B513" s="218" t="str">
        <x:v>26744</x:v>
      </x:c>
      <x:c r="C513" s="218" t="str">
        <x:v>2</x:v>
      </x:c>
      <x:c r="D513" s="218" t="str">
        <x:v>609999</x:v>
      </x:c>
      <x:c r="E513" s="218" t="str">
        <x:v>962729</x:v>
      </x:c>
      <x:c r="F513" s="218" t="str">
        <x:v>OUTROS</x:v>
      </x:c>
      <x:c r="G513" s="184" t="str">
        <x:v>PE AL 2200X50X9 RTO RL35 REC PET BCO(ULT</x:v>
      </x:c>
      <x:c r="H513" s="184" t="str"/>
      <x:c r="I513" s="184" t="str"/>
      <x:c r="J513" s="184" t="str"/>
      <x:c r="K513" s="184" t="str">
        <x:v>RECOBERTO PET</x:v>
      </x:c>
      <x:c r="L513" s="184" t="str">
        <x:v>BRANCO CARRARA</x:v>
      </x:c>
      <x:c r="M513" s="205" t="n">
        <x:v>10</x:v>
      </x:c>
      <x:c r="N513" s="205" t="n">
        <x:v>2200</x:v>
      </x:c>
      <x:c r="O513" s="205" t="n">
        <x:v>50</x:v>
      </x:c>
      <x:c r="P513" s="205" t="n">
        <x:v>9</x:v>
      </x:c>
      <x:c r="Q513" s="206" t="n">
        <x:v>0</x:v>
      </x:c>
      <x:c r="R513" s="207" t="str"/>
      <x:c r="S513" s="207" t="str"/>
      <x:c r="T513" s="207" t="str"/>
      <x:c r="U513" s="207" t="n">
        <x:v>0</x:v>
      </x:c>
      <x:c r="V513" s="208" t="n">
        <x:f>MAX(0,M513-U513)</x:f>
        <x:v>10</x:v>
      </x:c>
      <x:c r="W513" s="209" t="n">
        <x:f>IFERROR(U513/M513,0)</x:f>
        <x:v>0</x:v>
      </x:c>
      <x:c r="X513" s="201" t="str">
        <x:f>IF(U513=0,"Não iniciado",IF(U513&gt;=M513,"Concluído","Parcial"))</x:f>
        <x:v>Não iniciado</x:v>
      </x:c>
      <x:c r="Y513" s="199" t="str"/>
      <x:c r="Z513" s="188" t="str">
        <x:v>Normal</x:v>
      </x:c>
    </x:row>
    <x:row r="514" ht="22" customHeight="1">
      <x:c r="A514" s="219" t="n">
        <x:v>510</x:v>
      </x:c>
      <x:c r="B514" s="220" t="str">
        <x:v>26744</x:v>
      </x:c>
      <x:c r="C514" s="220" t="str">
        <x:v>7</x:v>
      </x:c>
      <x:c r="D514" s="220" t="str">
        <x:v>610025</x:v>
      </x:c>
      <x:c r="E514" s="220" t="str">
        <x:v>962729</x:v>
      </x:c>
      <x:c r="F514" s="220" t="str">
        <x:v>OUTROS</x:v>
      </x:c>
      <x:c r="G514" s="190" t="str">
        <x:v>PE AL 2200X50X9 RTO RL35 REC PET BCO(ULT</x:v>
      </x:c>
      <x:c r="H514" s="190" t="str">
        <x:v>REG 2L(MAIOR 35mm)</x:v>
      </x:c>
      <x:c r="I514" s="190" t="str"/>
      <x:c r="J514" s="190" t="str"/>
      <x:c r="K514" s="190" t="str">
        <x:v>RECOBERTO PET</x:v>
      </x:c>
      <x:c r="L514" s="190" t="str">
        <x:v>BRANCO CARRARA</x:v>
      </x:c>
      <x:c r="M514" s="210" t="n">
        <x:v>4</x:v>
      </x:c>
      <x:c r="N514" s="210" t="n">
        <x:v>2200</x:v>
      </x:c>
      <x:c r="O514" s="210" t="n">
        <x:v>50</x:v>
      </x:c>
      <x:c r="P514" s="210" t="n">
        <x:v>9</x:v>
      </x:c>
      <x:c r="Q514" s="211" t="n">
        <x:v>0</x:v>
      </x:c>
      <x:c r="R514" s="207" t="str"/>
      <x:c r="S514" s="207" t="str"/>
      <x:c r="T514" s="207" t="str"/>
      <x:c r="U514" s="207" t="n">
        <x:v>0</x:v>
      </x:c>
      <x:c r="V514" s="208" t="n">
        <x:f>MAX(0,M514-U514)</x:f>
        <x:v>4</x:v>
      </x:c>
      <x:c r="W514" s="209" t="n">
        <x:f>IFERROR(U514/M514,0)</x:f>
        <x:v>0</x:v>
      </x:c>
      <x:c r="X514" s="201" t="str">
        <x:f>IF(U514=0,"Não iniciado",IF(U514&gt;=M514,"Concluído","Parcial"))</x:f>
        <x:v>Não iniciado</x:v>
      </x:c>
      <x:c r="Y514" s="199" t="str"/>
      <x:c r="Z514" s="188" t="str">
        <x:v>Normal</x:v>
      </x:c>
    </x:row>
    <x:row r="515" ht="22" customHeight="1">
      <x:c r="A515" s="217" t="n">
        <x:v>511</x:v>
      </x:c>
      <x:c r="B515" s="218" t="str">
        <x:v>26796</x:v>
      </x:c>
      <x:c r="C515" s="218" t="str">
        <x:v>1</x:v>
      </x:c>
      <x:c r="D515" s="218" t="str">
        <x:v>609286</x:v>
      </x:c>
      <x:c r="E515" s="218" t="str">
        <x:v>986855</x:v>
      </x:c>
      <x:c r="F515" s="218" t="str">
        <x:v>OUTROS</x:v>
      </x:c>
      <x:c r="G515" s="184" t="str">
        <x:v>P.A. 2200X50X9 RT RL35 PET TXT BCO STD</x:v>
      </x:c>
      <x:c r="H515" s="184" t="str"/>
      <x:c r="I515" s="184" t="str"/>
      <x:c r="J515" s="184" t="str"/>
      <x:c r="K515" s="184" t="str">
        <x:v>ESMALTE</x:v>
      </x:c>
      <x:c r="L515" s="184" t="str">
        <x:v>BRANCO CARRARA</x:v>
      </x:c>
      <x:c r="M515" s="205" t="n">
        <x:v>432</x:v>
      </x:c>
      <x:c r="N515" s="205" t="n">
        <x:v>2200</x:v>
      </x:c>
      <x:c r="O515" s="205" t="n">
        <x:v>50</x:v>
      </x:c>
      <x:c r="P515" s="205" t="n">
        <x:v>9</x:v>
      </x:c>
      <x:c r="Q515" s="206" t="n">
        <x:v>0.428</x:v>
      </x:c>
      <x:c r="R515" s="207" t="str"/>
      <x:c r="S515" s="207" t="str"/>
      <x:c r="T515" s="207" t="str"/>
      <x:c r="U515" s="207" t="n">
        <x:v>0</x:v>
      </x:c>
      <x:c r="V515" s="208" t="n">
        <x:f>MAX(0,M515-U515)</x:f>
        <x:v>432</x:v>
      </x:c>
      <x:c r="W515" s="209" t="n">
        <x:f>IFERROR(U515/M515,0)</x:f>
        <x:v>0</x:v>
      </x:c>
      <x:c r="X515" s="201" t="str">
        <x:f>IF(U515=0,"Não iniciado",IF(U515&gt;=M515,"Concluído","Parcial"))</x:f>
        <x:v>Não iniciado</x:v>
      </x:c>
      <x:c r="Y515" s="199" t="str"/>
      <x:c r="Z515" s="188" t="str">
        <x:v>Normal</x:v>
      </x:c>
    </x:row>
    <x:row r="516" ht="22" customHeight="1">
      <x:c r="A516" s="219" t="n">
        <x:v>512</x:v>
      </x:c>
      <x:c r="B516" s="220" t="str">
        <x:v>26796</x:v>
      </x:c>
      <x:c r="C516" s="220" t="str">
        <x:v>3</x:v>
      </x:c>
      <x:c r="D516" s="220" t="str">
        <x:v>609302</x:v>
      </x:c>
      <x:c r="E516" s="220" t="str">
        <x:v>988573</x:v>
      </x:c>
      <x:c r="F516" s="220" t="str">
        <x:v>OUTROS</x:v>
      </x:c>
      <x:c r="G516" s="190" t="str">
        <x:v>P.A. 2200X50X9 RT RL45 PET TXT BCO STD</x:v>
      </x:c>
      <x:c r="H516" s="190" t="str"/>
      <x:c r="I516" s="190" t="str"/>
      <x:c r="J516" s="190" t="str"/>
      <x:c r="K516" s="190" t="str">
        <x:v>ESMALTE</x:v>
      </x:c>
      <x:c r="L516" s="190" t="str">
        <x:v>BRANCO CARRARA</x:v>
      </x:c>
      <x:c r="M516" s="210" t="n">
        <x:v>384</x:v>
      </x:c>
      <x:c r="N516" s="210" t="n">
        <x:v>2200</x:v>
      </x:c>
      <x:c r="O516" s="210" t="n">
        <x:v>50</x:v>
      </x:c>
      <x:c r="P516" s="210" t="n">
        <x:v>9</x:v>
      </x:c>
      <x:c r="Q516" s="211" t="n">
        <x:v>0.38</x:v>
      </x:c>
      <x:c r="R516" s="207" t="str"/>
      <x:c r="S516" s="207" t="str"/>
      <x:c r="T516" s="207" t="str"/>
      <x:c r="U516" s="207" t="n">
        <x:v>0</x:v>
      </x:c>
      <x:c r="V516" s="208" t="n">
        <x:f>MAX(0,M516-U516)</x:f>
        <x:v>384</x:v>
      </x:c>
      <x:c r="W516" s="209" t="n">
        <x:f>IFERROR(U516/M516,0)</x:f>
        <x:v>0</x:v>
      </x:c>
      <x:c r="X516" s="201" t="str">
        <x:f>IF(U516=0,"Não iniciado",IF(U516&gt;=M516,"Concluído","Parcial"))</x:f>
        <x:v>Não iniciado</x:v>
      </x:c>
      <x:c r="Y516" s="199" t="str"/>
      <x:c r="Z516" s="188" t="str">
        <x:v>Normal</x:v>
      </x:c>
    </x:row>
    <x:row r="517" ht="22" customHeight="1">
      <x:c r="A517" s="217" t="n">
        <x:v>513</x:v>
      </x:c>
      <x:c r="B517" s="218" t="str">
        <x:v>26799</x:v>
      </x:c>
      <x:c r="C517" s="218" t="str">
        <x:v>1</x:v>
      </x:c>
      <x:c r="D517" s="218" t="str">
        <x:v>609391</x:v>
      </x:c>
      <x:c r="E517" s="218" t="str">
        <x:v>986855</x:v>
      </x:c>
      <x:c r="F517" s="218" t="str">
        <x:v>OUTROS</x:v>
      </x:c>
      <x:c r="G517" s="184" t="str">
        <x:v>P.A. 2200X50X9 RT RL35 PET TXT BCO STD</x:v>
      </x:c>
      <x:c r="H517" s="184" t="str"/>
      <x:c r="I517" s="184" t="str"/>
      <x:c r="J517" s="184" t="str"/>
      <x:c r="K517" s="184" t="str">
        <x:v>ESMALTE</x:v>
      </x:c>
      <x:c r="L517" s="184" t="str">
        <x:v>BRANCO CARRARA</x:v>
      </x:c>
      <x:c r="M517" s="205" t="n">
        <x:v>144</x:v>
      </x:c>
      <x:c r="N517" s="205" t="n">
        <x:v>2200</x:v>
      </x:c>
      <x:c r="O517" s="205" t="n">
        <x:v>50</x:v>
      </x:c>
      <x:c r="P517" s="205" t="n">
        <x:v>9</x:v>
      </x:c>
      <x:c r="Q517" s="206" t="n">
        <x:v>0.143</x:v>
      </x:c>
      <x:c r="R517" s="207" t="str"/>
      <x:c r="S517" s="207" t="str"/>
      <x:c r="T517" s="207" t="str"/>
      <x:c r="U517" s="207" t="n">
        <x:v>0</x:v>
      </x:c>
      <x:c r="V517" s="208" t="n">
        <x:f>MAX(0,M517-U517)</x:f>
        <x:v>144</x:v>
      </x:c>
      <x:c r="W517" s="209" t="n">
        <x:f>IFERROR(U517/M517,0)</x:f>
        <x:v>0</x:v>
      </x:c>
      <x:c r="X517" s="201" t="str">
        <x:f>IF(U517=0,"Não iniciado",IF(U517&gt;=M517,"Concluído","Parcial"))</x:f>
        <x:v>Não iniciado</x:v>
      </x:c>
      <x:c r="Y517" s="199" t="str"/>
      <x:c r="Z517" s="188" t="str">
        <x:v>Normal</x:v>
      </x:c>
    </x:row>
    <x:row r="518" ht="22" customHeight="1">
      <x:c r="A518" s="219" t="n">
        <x:v>514</x:v>
      </x:c>
      <x:c r="B518" s="220" t="str">
        <x:v>26799</x:v>
      </x:c>
      <x:c r="C518" s="220" t="str">
        <x:v>3</x:v>
      </x:c>
      <x:c r="D518" s="220" t="str">
        <x:v>609407</x:v>
      </x:c>
      <x:c r="E518" s="220" t="str">
        <x:v>988573</x:v>
      </x:c>
      <x:c r="F518" s="220" t="str">
        <x:v>OUTROS</x:v>
      </x:c>
      <x:c r="G518" s="190" t="str">
        <x:v>P.A. 2200X50X9 RT RL45 PET TXT BCO STD</x:v>
      </x:c>
      <x:c r="H518" s="190" t="str"/>
      <x:c r="I518" s="190" t="str"/>
      <x:c r="J518" s="190" t="str"/>
      <x:c r="K518" s="190" t="str">
        <x:v>ESMALTE</x:v>
      </x:c>
      <x:c r="L518" s="190" t="str">
        <x:v>BRANCO CARRARA</x:v>
      </x:c>
      <x:c r="M518" s="210" t="n">
        <x:v>128</x:v>
      </x:c>
      <x:c r="N518" s="210" t="n">
        <x:v>2200</x:v>
      </x:c>
      <x:c r="O518" s="210" t="n">
        <x:v>50</x:v>
      </x:c>
      <x:c r="P518" s="210" t="n">
        <x:v>9</x:v>
      </x:c>
      <x:c r="Q518" s="211" t="n">
        <x:v>0.127</x:v>
      </x:c>
      <x:c r="R518" s="207" t="str"/>
      <x:c r="S518" s="207" t="str"/>
      <x:c r="T518" s="207" t="str"/>
      <x:c r="U518" s="207" t="n">
        <x:v>0</x:v>
      </x:c>
      <x:c r="V518" s="208" t="n">
        <x:f>MAX(0,M518-U518)</x:f>
        <x:v>128</x:v>
      </x:c>
      <x:c r="W518" s="209" t="n">
        <x:f>IFERROR(U518/M518,0)</x:f>
        <x:v>0</x:v>
      </x:c>
      <x:c r="X518" s="201" t="str">
        <x:f>IF(U518=0,"Não iniciado",IF(U518&gt;=M518,"Concluído","Parcial"))</x:f>
        <x:v>Não iniciado</x:v>
      </x:c>
      <x:c r="Y518" s="199" t="str"/>
      <x:c r="Z518" s="188" t="str">
        <x:v>Normal</x:v>
      </x:c>
    </x:row>
    <x:row r="519" ht="22" customHeight="1">
      <x:c r="A519" s="217" t="n">
        <x:v>515</x:v>
      </x:c>
      <x:c r="B519" s="218" t="str">
        <x:v>26807</x:v>
      </x:c>
      <x:c r="C519" s="218" t="str">
        <x:v>2</x:v>
      </x:c>
      <x:c r="D519" s="218" t="str">
        <x:v>610046</x:v>
      </x:c>
      <x:c r="E519" s="218" t="str">
        <x:v>2020700631</x:v>
      </x:c>
      <x:c r="F519" s="218" t="str">
        <x:v>OUTROS</x:v>
      </x:c>
      <x:c r="G519" s="184" t="str">
        <x:v>A ULTRA PET CA PE 2200X50X9 RG(55) RTO</x:v>
      </x:c>
      <x:c r="H519" s="184" t="str">
        <x:v>REG 2L(MAIOR 55MM)</x:v>
      </x:c>
      <x:c r="I519" s="184" t="str"/>
      <x:c r="J519" s="184" t="str"/>
      <x:c r="K519" s="184" t="str">
        <x:v>RECOBERTO PET</x:v>
      </x:c>
      <x:c r="L519" s="184" t="str">
        <x:v>CARVALHO PESCARA</x:v>
      </x:c>
      <x:c r="M519" s="205" t="n">
        <x:v>40</x:v>
      </x:c>
      <x:c r="N519" s="205" t="n">
        <x:v>2200</x:v>
      </x:c>
      <x:c r="O519" s="205" t="n">
        <x:v>50</x:v>
      </x:c>
      <x:c r="P519" s="205" t="n">
        <x:v>9</x:v>
      </x:c>
      <x:c r="Q519" s="206" t="n">
        <x:v>0</x:v>
      </x:c>
      <x:c r="R519" s="207" t="str"/>
      <x:c r="S519" s="207" t="str"/>
      <x:c r="T519" s="207" t="str"/>
      <x:c r="U519" s="207" t="n">
        <x:v>0</x:v>
      </x:c>
      <x:c r="V519" s="208" t="n">
        <x:f>MAX(0,M519-U519)</x:f>
        <x:v>40</x:v>
      </x:c>
      <x:c r="W519" s="209" t="n">
        <x:f>IFERROR(U519/M519,0)</x:f>
        <x:v>0</x:v>
      </x:c>
      <x:c r="X519" s="201" t="str">
        <x:f>IF(U519=0,"Não iniciado",IF(U519&gt;=M519,"Concluído","Parcial"))</x:f>
        <x:v>Não iniciado</x:v>
      </x:c>
      <x:c r="Y519" s="199" t="str"/>
      <x:c r="Z519" s="188" t="str">
        <x:v>Normal</x:v>
      </x:c>
    </x:row>
    <x:row r="520" ht="22" customHeight="1">
      <x:c r="A520" s="219" t="n">
        <x:v>516</x:v>
      </x:c>
      <x:c r="B520" s="220" t="str">
        <x:v>26807</x:v>
      </x:c>
      <x:c r="C520" s="220" t="str">
        <x:v>2</x:v>
      </x:c>
      <x:c r="D520" s="220" t="str">
        <x:v>610047</x:v>
      </x:c>
      <x:c r="E520" s="220" t="str">
        <x:v>2020700632</x:v>
      </x:c>
      <x:c r="F520" s="220" t="str">
        <x:v>OUTROS</x:v>
      </x:c>
      <x:c r="G520" s="190" t="str">
        <x:v>A ULTRA PET CA PE 2200X50X9 RG(ME) RTO</x:v>
      </x:c>
      <x:c r="H520" s="190" t="str">
        <x:v>REG 2L(MAIOR 55MM)</x:v>
      </x:c>
      <x:c r="I520" s="190" t="str"/>
      <x:c r="J520" s="190" t="str"/>
      <x:c r="K520" s="190" t="str">
        <x:v>RECOBERTO PET</x:v>
      </x:c>
      <x:c r="L520" s="190" t="str">
        <x:v>CARVALHO PESCARA</x:v>
      </x:c>
      <x:c r="M520" s="210" t="n">
        <x:v>40</x:v>
      </x:c>
      <x:c r="N520" s="210" t="n">
        <x:v>2200</x:v>
      </x:c>
      <x:c r="O520" s="210" t="n">
        <x:v>50</x:v>
      </x:c>
      <x:c r="P520" s="210" t="n">
        <x:v>9</x:v>
      </x:c>
      <x:c r="Q520" s="211" t="n">
        <x:v>0</x:v>
      </x:c>
      <x:c r="R520" s="207" t="str"/>
      <x:c r="S520" s="207" t="str"/>
      <x:c r="T520" s="207" t="str"/>
      <x:c r="U520" s="207" t="n">
        <x:v>0</x:v>
      </x:c>
      <x:c r="V520" s="208" t="n">
        <x:f>MAX(0,M520-U520)</x:f>
        <x:v>40</x:v>
      </x:c>
      <x:c r="W520" s="209" t="n">
        <x:f>IFERROR(U520/M520,0)</x:f>
        <x:v>0</x:v>
      </x:c>
      <x:c r="X520" s="201" t="str">
        <x:f>IF(U520=0,"Não iniciado",IF(U520&gt;=M520,"Concluído","Parcial"))</x:f>
        <x:v>Não iniciado</x:v>
      </x:c>
      <x:c r="Y520" s="199" t="str"/>
      <x:c r="Z520" s="188" t="str">
        <x:v>Normal</x:v>
      </x:c>
    </x:row>
    <x:row r="521" ht="22" customHeight="1">
      <x:c r="A521" s="217" t="n">
        <x:v>517</x:v>
      </x:c>
      <x:c r="B521" s="218" t="str">
        <x:v>26520</x:v>
      </x:c>
      <x:c r="C521" s="218" t="str">
        <x:v>9</x:v>
      </x:c>
      <x:c r="D521" s="218" t="str">
        <x:v>610115</x:v>
      </x:c>
      <x:c r="E521" s="218" t="str">
        <x:v>975915</x:v>
      </x:c>
      <x:c r="F521" s="218" t="str">
        <x:v>OUTROS</x:v>
      </x:c>
      <x:c r="G521" s="184" t="str">
        <x:v>PE AL 2200X50X9 RTO RL55 REC PET CURUP(U</x:v>
      </x:c>
      <x:c r="H521" s="184" t="str">
        <x:v>REG 1L(MAIOR 55MM)</x:v>
      </x:c>
      <x:c r="I521" s="184" t="str"/>
      <x:c r="J521" s="184" t="str"/>
      <x:c r="K521" s="184" t="str">
        <x:v>RECOBERTO PET</x:v>
      </x:c>
      <x:c r="L521" s="184" t="str">
        <x:v>CURUPIXA RAVENNA</x:v>
      </x:c>
      <x:c r="M521" s="205" t="n">
        <x:v>2</x:v>
      </x:c>
      <x:c r="N521" s="205" t="n">
        <x:v>2200</x:v>
      </x:c>
      <x:c r="O521" s="205" t="n">
        <x:v>50</x:v>
      </x:c>
      <x:c r="P521" s="205" t="n">
        <x:v>9</x:v>
      </x:c>
      <x:c r="Q521" s="206" t="n">
        <x:v>0</x:v>
      </x:c>
      <x:c r="R521" s="207" t="str"/>
      <x:c r="S521" s="207" t="str"/>
      <x:c r="T521" s="207" t="str"/>
      <x:c r="U521" s="207" t="n">
        <x:v>0</x:v>
      </x:c>
      <x:c r="V521" s="208" t="n">
        <x:f>MAX(0,M521-U521)</x:f>
        <x:v>2</x:v>
      </x:c>
      <x:c r="W521" s="209" t="n">
        <x:f>IFERROR(U521/M521,0)</x:f>
        <x:v>0</x:v>
      </x:c>
      <x:c r="X521" s="201" t="str">
        <x:f>IF(U521=0,"Não iniciado",IF(U521&gt;=M521,"Concluído","Parcial"))</x:f>
        <x:v>Não iniciado</x:v>
      </x:c>
      <x:c r="Y521" s="199" t="str"/>
      <x:c r="Z521" s="188" t="str">
        <x:v>Normal</x:v>
      </x:c>
    </x:row>
    <x:row r="522" ht="22" customHeight="1">
      <x:c r="A522" s="219" t="n">
        <x:v>518</x:v>
      </x:c>
      <x:c r="B522" s="220" t="str">
        <x:v>26520</x:v>
      </x:c>
      <x:c r="C522" s="220" t="str">
        <x:v>11</x:v>
      </x:c>
      <x:c r="D522" s="220" t="str">
        <x:v>610124</x:v>
      </x:c>
      <x:c r="E522" s="220" t="str">
        <x:v>975915</x:v>
      </x:c>
      <x:c r="F522" s="220" t="str">
        <x:v>OUTROS</x:v>
      </x:c>
      <x:c r="G522" s="190" t="str">
        <x:v>PE AL 2200X50X9 RTO RL55 REC PET CURUP(U</x:v>
      </x:c>
      <x:c r="H522" s="190" t="str"/>
      <x:c r="I522" s="190" t="str"/>
      <x:c r="J522" s="190" t="str"/>
      <x:c r="K522" s="190" t="str">
        <x:v>RECOBERTO PET</x:v>
      </x:c>
      <x:c r="L522" s="190" t="str">
        <x:v>CURUPIXA RAVENNA</x:v>
      </x:c>
      <x:c r="M522" s="210" t="n">
        <x:v>6</x:v>
      </x:c>
      <x:c r="N522" s="210" t="n">
        <x:v>2200</x:v>
      </x:c>
      <x:c r="O522" s="210" t="n">
        <x:v>50</x:v>
      </x:c>
      <x:c r="P522" s="210" t="n">
        <x:v>9</x:v>
      </x:c>
      <x:c r="Q522" s="211" t="n">
        <x:v>0</x:v>
      </x:c>
      <x:c r="R522" s="207" t="str"/>
      <x:c r="S522" s="207" t="str"/>
      <x:c r="T522" s="207" t="str"/>
      <x:c r="U522" s="207" t="n">
        <x:v>0</x:v>
      </x:c>
      <x:c r="V522" s="208" t="n">
        <x:f>MAX(0,M522-U522)</x:f>
        <x:v>6</x:v>
      </x:c>
      <x:c r="W522" s="209" t="n">
        <x:f>IFERROR(U522/M522,0)</x:f>
        <x:v>0</x:v>
      </x:c>
      <x:c r="X522" s="201" t="str">
        <x:f>IF(U522=0,"Não iniciado",IF(U522&gt;=M522,"Concluído","Parcial"))</x:f>
        <x:v>Não iniciado</x:v>
      </x:c>
      <x:c r="Y522" s="199" t="str"/>
      <x:c r="Z522" s="188" t="str">
        <x:v>Normal</x:v>
      </x:c>
    </x:row>
    <x:row r="523" ht="22" customHeight="1">
      <x:c r="A523" s="217" t="n">
        <x:v>519</x:v>
      </x:c>
      <x:c r="B523" s="218" t="str">
        <x:v>26520</x:v>
      </x:c>
      <x:c r="C523" s="218" t="str">
        <x:v>11</x:v>
      </x:c>
      <x:c r="D523" s="218" t="str">
        <x:v>610126</x:v>
      </x:c>
      <x:c r="E523" s="218" t="str">
        <x:v>975918</x:v>
      </x:c>
      <x:c r="F523" s="218" t="str">
        <x:v>OUTROS</x:v>
      </x:c>
      <x:c r="G523" s="184" t="str">
        <x:v>PE AL 2200X50X9 RTO LME REC PET CURUP(UL</x:v>
      </x:c>
      <x:c r="H523" s="184" t="str"/>
      <x:c r="I523" s="184" t="str"/>
      <x:c r="J523" s="184" t="str"/>
      <x:c r="K523" s="184" t="str">
        <x:v>RECOBERTO PET</x:v>
      </x:c>
      <x:c r="L523" s="184" t="str">
        <x:v>CURUPIXA RAVENNA</x:v>
      </x:c>
      <x:c r="M523" s="205" t="n">
        <x:v>6</x:v>
      </x:c>
      <x:c r="N523" s="205" t="n">
        <x:v>2200</x:v>
      </x:c>
      <x:c r="O523" s="205" t="n">
        <x:v>50</x:v>
      </x:c>
      <x:c r="P523" s="205" t="n">
        <x:v>9</x:v>
      </x:c>
      <x:c r="Q523" s="206" t="n">
        <x:v>0</x:v>
      </x:c>
      <x:c r="R523" s="207" t="str"/>
      <x:c r="S523" s="207" t="str"/>
      <x:c r="T523" s="207" t="str"/>
      <x:c r="U523" s="207" t="n">
        <x:v>0</x:v>
      </x:c>
      <x:c r="V523" s="208" t="n">
        <x:f>MAX(0,M523-U523)</x:f>
        <x:v>6</x:v>
      </x:c>
      <x:c r="W523" s="209" t="n">
        <x:f>IFERROR(U523/M523,0)</x:f>
        <x:v>0</x:v>
      </x:c>
      <x:c r="X523" s="201" t="str">
        <x:f>IF(U523=0,"Não iniciado",IF(U523&gt;=M523,"Concluído","Parcial"))</x:f>
        <x:v>Não iniciado</x:v>
      </x:c>
      <x:c r="Y523" s="199" t="str"/>
      <x:c r="Z523" s="188" t="str">
        <x:v>Normal</x:v>
      </x:c>
    </x:row>
    <x:row r="524" ht="22" customHeight="1">
      <x:c r="A524" s="219" t="n">
        <x:v>520</x:v>
      </x:c>
      <x:c r="B524" s="220" t="str">
        <x:v>26520</x:v>
      </x:c>
      <x:c r="C524" s="220" t="str">
        <x:v>12</x:v>
      </x:c>
      <x:c r="D524" s="220" t="str">
        <x:v>610132</x:v>
      </x:c>
      <x:c r="E524" s="220" t="str">
        <x:v>975915</x:v>
      </x:c>
      <x:c r="F524" s="220" t="str">
        <x:v>OUTROS</x:v>
      </x:c>
      <x:c r="G524" s="190" t="str">
        <x:v>PE AL 2200X50X9 RTO RL55 REC PET CURUP(U</x:v>
      </x:c>
      <x:c r="H524" s="190" t="str"/>
      <x:c r="I524" s="190" t="str"/>
      <x:c r="J524" s="190" t="str"/>
      <x:c r="K524" s="190" t="str">
        <x:v>RECOBERTO PET</x:v>
      </x:c>
      <x:c r="L524" s="190" t="str">
        <x:v>CURUPIXA RAVENNA</x:v>
      </x:c>
      <x:c r="M524" s="210" t="n">
        <x:v>2</x:v>
      </x:c>
      <x:c r="N524" s="210" t="n">
        <x:v>2200</x:v>
      </x:c>
      <x:c r="O524" s="210" t="n">
        <x:v>50</x:v>
      </x:c>
      <x:c r="P524" s="210" t="n">
        <x:v>9</x:v>
      </x:c>
      <x:c r="Q524" s="211" t="n">
        <x:v>0</x:v>
      </x:c>
      <x:c r="R524" s="207" t="str"/>
      <x:c r="S524" s="207" t="str"/>
      <x:c r="T524" s="207" t="str"/>
      <x:c r="U524" s="207" t="n">
        <x:v>0</x:v>
      </x:c>
      <x:c r="V524" s="208" t="n">
        <x:f>MAX(0,M524-U524)</x:f>
        <x:v>2</x:v>
      </x:c>
      <x:c r="W524" s="209" t="n">
        <x:f>IFERROR(U524/M524,0)</x:f>
        <x:v>0</x:v>
      </x:c>
      <x:c r="X524" s="201" t="str">
        <x:f>IF(U524=0,"Não iniciado",IF(U524&gt;=M524,"Concluído","Parcial"))</x:f>
        <x:v>Não iniciado</x:v>
      </x:c>
      <x:c r="Y524" s="199" t="str"/>
      <x:c r="Z524" s="188" t="str">
        <x:v>Normal</x:v>
      </x:c>
    </x:row>
    <x:row r="525" ht="22" customHeight="1">
      <x:c r="A525" s="217" t="n">
        <x:v>521</x:v>
      </x:c>
      <x:c r="B525" s="218" t="str">
        <x:v>26520</x:v>
      </x:c>
      <x:c r="C525" s="218" t="str">
        <x:v>12</x:v>
      </x:c>
      <x:c r="D525" s="218" t="str">
        <x:v>610134</x:v>
      </x:c>
      <x:c r="E525" s="218" t="str">
        <x:v>975918</x:v>
      </x:c>
      <x:c r="F525" s="218" t="str">
        <x:v>OUTROS</x:v>
      </x:c>
      <x:c r="G525" s="184" t="str">
        <x:v>PE AL 2200X50X9 RTO LME REC PET CURUP(UL</x:v>
      </x:c>
      <x:c r="H525" s="184" t="str"/>
      <x:c r="I525" s="184" t="str"/>
      <x:c r="J525" s="184" t="str"/>
      <x:c r="K525" s="184" t="str">
        <x:v>RECOBERTO PET</x:v>
      </x:c>
      <x:c r="L525" s="184" t="str">
        <x:v>CURUPIXA RAVENNA</x:v>
      </x:c>
      <x:c r="M525" s="205" t="n">
        <x:v>2</x:v>
      </x:c>
      <x:c r="N525" s="205" t="n">
        <x:v>2200</x:v>
      </x:c>
      <x:c r="O525" s="205" t="n">
        <x:v>50</x:v>
      </x:c>
      <x:c r="P525" s="205" t="n">
        <x:v>9</x:v>
      </x:c>
      <x:c r="Q525" s="206" t="n">
        <x:v>0</x:v>
      </x:c>
      <x:c r="R525" s="207" t="str"/>
      <x:c r="S525" s="207" t="str"/>
      <x:c r="T525" s="207" t="str"/>
      <x:c r="U525" s="207" t="n">
        <x:v>0</x:v>
      </x:c>
      <x:c r="V525" s="208" t="n">
        <x:f>MAX(0,M525-U525)</x:f>
        <x:v>2</x:v>
      </x:c>
      <x:c r="W525" s="209" t="n">
        <x:f>IFERROR(U525/M525,0)</x:f>
        <x:v>0</x:v>
      </x:c>
      <x:c r="X525" s="201" t="str">
        <x:f>IF(U525=0,"Não iniciado",IF(U525&gt;=M525,"Concluído","Parcial"))</x:f>
        <x:v>Não iniciado</x:v>
      </x:c>
      <x:c r="Y525" s="199" t="str"/>
      <x:c r="Z525" s="188" t="str">
        <x:v>Normal</x:v>
      </x:c>
    </x:row>
    <x:row r="526" ht="22" customHeight="1">
      <x:c r="A526" s="219" t="n">
        <x:v>522</x:v>
      </x:c>
      <x:c r="B526" s="220" t="str">
        <x:v>26739</x:v>
      </x:c>
      <x:c r="C526" s="220" t="str">
        <x:v>4</x:v>
      </x:c>
      <x:c r="D526" s="220" t="str">
        <x:v>609634</x:v>
      </x:c>
      <x:c r="E526" s="220" t="str">
        <x:v>2020700629</x:v>
      </x:c>
      <x:c r="F526" s="220" t="str">
        <x:v>OUTROS</x:v>
      </x:c>
      <x:c r="G526" s="190" t="str">
        <x:v>A ULTRA PVC R BCO 1200X50X9 RG(ME) RTO</x:v>
      </x:c>
      <x:c r="H526" s="190" t="str">
        <x:v>REG 1L(MENOR)</x:v>
      </x:c>
      <x:c r="I526" s="190" t="str"/>
      <x:c r="J526" s="190" t="str"/>
      <x:c r="K526" s="190" t="str">
        <x:v>RECOBERTO PVC RENOLIT</x:v>
      </x:c>
      <x:c r="L526" s="190" t="str">
        <x:v>BRANCO</x:v>
      </x:c>
      <x:c r="M526" s="210" t="n">
        <x:v>16</x:v>
      </x:c>
      <x:c r="N526" s="210" t="n">
        <x:v>1200</x:v>
      </x:c>
      <x:c r="O526" s="210" t="n">
        <x:v>50</x:v>
      </x:c>
      <x:c r="P526" s="210" t="n">
        <x:v>9</x:v>
      </x:c>
      <x:c r="Q526" s="211" t="n">
        <x:v>0</x:v>
      </x:c>
      <x:c r="R526" s="207" t="str"/>
      <x:c r="S526" s="207" t="str"/>
      <x:c r="T526" s="207" t="str"/>
      <x:c r="U526" s="207" t="n">
        <x:v>0</x:v>
      </x:c>
      <x:c r="V526" s="208" t="n">
        <x:f>MAX(0,M526-U526)</x:f>
        <x:v>16</x:v>
      </x:c>
      <x:c r="W526" s="209" t="n">
        <x:f>IFERROR(U526/M526,0)</x:f>
        <x:v>0</x:v>
      </x:c>
      <x:c r="X526" s="201" t="str">
        <x:f>IF(U526=0,"Não iniciado",IF(U526&gt;=M526,"Concluído","Parcial"))</x:f>
        <x:v>Não iniciado</x:v>
      </x:c>
      <x:c r="Y526" s="199" t="str"/>
      <x:c r="Z526" s="188" t="str">
        <x:v>Normal</x:v>
      </x:c>
    </x:row>
    <x:row r="527" ht="22" customHeight="1">
      <x:c r="A527" s="217" t="n">
        <x:v>523</x:v>
      </x:c>
      <x:c r="B527" s="218" t="str">
        <x:v>26750</x:v>
      </x:c>
      <x:c r="C527" s="218" t="str">
        <x:v>5</x:v>
      </x:c>
      <x:c r="D527" s="218" t="str">
        <x:v>609797</x:v>
      </x:c>
      <x:c r="E527" s="218" t="str">
        <x:v>2020700629</x:v>
      </x:c>
      <x:c r="F527" s="218" t="str">
        <x:v>OUTROS</x:v>
      </x:c>
      <x:c r="G527" s="184" t="str">
        <x:v>A ULTRA PVC R BCO 1200X50X9 RG(ME) RTO</x:v>
      </x:c>
      <x:c r="H527" s="184" t="str">
        <x:v>REG 1L(MENOR)</x:v>
      </x:c>
      <x:c r="I527" s="184" t="str"/>
      <x:c r="J527" s="184" t="str"/>
      <x:c r="K527" s="184" t="str">
        <x:v>RECOBERTO PVC RENOLIT</x:v>
      </x:c>
      <x:c r="L527" s="184" t="str">
        <x:v>BRANCO</x:v>
      </x:c>
      <x:c r="M527" s="205" t="n">
        <x:v>11</x:v>
      </x:c>
      <x:c r="N527" s="205" t="n">
        <x:v>1200</x:v>
      </x:c>
      <x:c r="O527" s="205" t="n">
        <x:v>50</x:v>
      </x:c>
      <x:c r="P527" s="205" t="n">
        <x:v>9</x:v>
      </x:c>
      <x:c r="Q527" s="206" t="n">
        <x:v>0</x:v>
      </x:c>
      <x:c r="R527" s="207" t="str"/>
      <x:c r="S527" s="207" t="str"/>
      <x:c r="T527" s="207" t="str"/>
      <x:c r="U527" s="207" t="n">
        <x:v>0</x:v>
      </x:c>
      <x:c r="V527" s="208" t="n">
        <x:f>MAX(0,M527-U527)</x:f>
        <x:v>11</x:v>
      </x:c>
      <x:c r="W527" s="209" t="n">
        <x:f>IFERROR(U527/M527,0)</x:f>
        <x:v>0</x:v>
      </x:c>
      <x:c r="X527" s="201" t="str">
        <x:f>IF(U527=0,"Não iniciado",IF(U527&gt;=M527,"Concluído","Parcial"))</x:f>
        <x:v>Não iniciado</x:v>
      </x:c>
      <x:c r="Y527" s="199" t="str"/>
      <x:c r="Z527" s="188" t="str">
        <x:v>Normal</x:v>
      </x:c>
    </x:row>
    <x:row r="528" ht="22" customHeight="1">
      <x:c r="A528" s="219" t="n">
        <x:v>524</x:v>
      </x:c>
      <x:c r="B528" s="220" t="str">
        <x:v>26796</x:v>
      </x:c>
      <x:c r="C528" s="220" t="str">
        <x:v>2</x:v>
      </x:c>
      <x:c r="D528" s="220" t="str">
        <x:v>609293</x:v>
      </x:c>
      <x:c r="E528" s="220" t="str">
        <x:v>985577</x:v>
      </x:c>
      <x:c r="F528" s="220" t="str">
        <x:v>ALIZAR</x:v>
      </x:c>
      <x:c r="G528" s="190" t="str">
        <x:v>T A 1100X50X9 RTO LME PET BCO TXT (STD)</x:v>
      </x:c>
      <x:c r="H528" s="190" t="str"/>
      <x:c r="I528" s="190" t="str"/>
      <x:c r="J528" s="190" t="str"/>
      <x:c r="K528" s="190" t="str">
        <x:v>ESMALTE</x:v>
      </x:c>
      <x:c r="L528" s="190" t="str">
        <x:v>BRANCO</x:v>
      </x:c>
      <x:c r="M528" s="210" t="n">
        <x:v>48</x:v>
      </x:c>
      <x:c r="N528" s="210" t="n">
        <x:v>1100</x:v>
      </x:c>
      <x:c r="O528" s="210" t="n">
        <x:v>50</x:v>
      </x:c>
      <x:c r="P528" s="210" t="n">
        <x:v>9</x:v>
      </x:c>
      <x:c r="Q528" s="211" t="n">
        <x:v>0</x:v>
      </x:c>
      <x:c r="R528" s="207" t="str"/>
      <x:c r="S528" s="207" t="str"/>
      <x:c r="T528" s="207" t="str"/>
      <x:c r="U528" s="207" t="n">
        <x:v>0</x:v>
      </x:c>
      <x:c r="V528" s="208" t="n">
        <x:f>MAX(0,M528-U528)</x:f>
        <x:v>48</x:v>
      </x:c>
      <x:c r="W528" s="209" t="n">
        <x:f>IFERROR(U528/M528,0)</x:f>
        <x:v>0</x:v>
      </x:c>
      <x:c r="X528" s="201" t="str">
        <x:f>IF(U528=0,"Não iniciado",IF(U528&gt;=M528,"Concluído","Parcial"))</x:f>
        <x:v>Não iniciado</x:v>
      </x:c>
      <x:c r="Y528" s="199" t="str"/>
      <x:c r="Z528" s="188" t="str">
        <x:v>Normal</x:v>
      </x:c>
    </x:row>
    <x:row r="529" ht="22" customHeight="1">
      <x:c r="A529" s="217" t="n">
        <x:v>525</x:v>
      </x:c>
      <x:c r="B529" s="218" t="str">
        <x:v>26799</x:v>
      </x:c>
      <x:c r="C529" s="218" t="str">
        <x:v>2</x:v>
      </x:c>
      <x:c r="D529" s="218" t="str">
        <x:v>609398</x:v>
      </x:c>
      <x:c r="E529" s="218" t="str">
        <x:v>985577</x:v>
      </x:c>
      <x:c r="F529" s="218" t="str">
        <x:v>ALIZAR</x:v>
      </x:c>
      <x:c r="G529" s="184" t="str">
        <x:v>T A 1100X50X9 RTO LME PET BCO TXT (STD)</x:v>
      </x:c>
      <x:c r="H529" s="184" t="str"/>
      <x:c r="I529" s="184" t="str"/>
      <x:c r="J529" s="184" t="str"/>
      <x:c r="K529" s="184" t="str">
        <x:v>ESMALTE</x:v>
      </x:c>
      <x:c r="L529" s="184" t="str">
        <x:v>BRANCO</x:v>
      </x:c>
      <x:c r="M529" s="205" t="n">
        <x:v>16</x:v>
      </x:c>
      <x:c r="N529" s="205" t="n">
        <x:v>1100</x:v>
      </x:c>
      <x:c r="O529" s="205" t="n">
        <x:v>50</x:v>
      </x:c>
      <x:c r="P529" s="205" t="n">
        <x:v>9</x:v>
      </x:c>
      <x:c r="Q529" s="206" t="n">
        <x:v>0</x:v>
      </x:c>
      <x:c r="R529" s="207" t="str"/>
      <x:c r="S529" s="207" t="str"/>
      <x:c r="T529" s="207" t="str"/>
      <x:c r="U529" s="207" t="n">
        <x:v>0</x:v>
      </x:c>
      <x:c r="V529" s="208" t="n">
        <x:f>MAX(0,M529-U529)</x:f>
        <x:v>16</x:v>
      </x:c>
      <x:c r="W529" s="209" t="n">
        <x:f>IFERROR(U529/M529,0)</x:f>
        <x:v>0</x:v>
      </x:c>
      <x:c r="X529" s="201" t="str">
        <x:f>IF(U529=0,"Não iniciado",IF(U529&gt;=M529,"Concluído","Parcial"))</x:f>
        <x:v>Não iniciado</x:v>
      </x:c>
      <x:c r="Y529" s="199" t="str"/>
      <x:c r="Z529" s="188" t="str">
        <x:v>Normal</x:v>
      </x:c>
    </x:row>
    <x:row r="530" ht="22" customHeight="1">
      <x:c r="A530" s="219" t="n">
        <x:v>526</x:v>
      </x:c>
      <x:c r="B530" s="220" t="str">
        <x:v>26824</x:v>
      </x:c>
      <x:c r="C530" s="220" t="str">
        <x:v>2</x:v>
      </x:c>
      <x:c r="D530" s="220" t="str">
        <x:v>609589</x:v>
      </x:c>
      <x:c r="E530" s="220" t="str">
        <x:v>985577</x:v>
      </x:c>
      <x:c r="F530" s="220" t="str">
        <x:v>ALIZAR</x:v>
      </x:c>
      <x:c r="G530" s="190" t="str">
        <x:v>T A 1100X50X9 RTO LME PET BCO TXT (STD)</x:v>
      </x:c>
      <x:c r="H530" s="190" t="str"/>
      <x:c r="I530" s="190" t="str"/>
      <x:c r="J530" s="190" t="str"/>
      <x:c r="K530" s="190" t="str">
        <x:v>ESMALTE</x:v>
      </x:c>
      <x:c r="L530" s="190" t="str">
        <x:v>BRANCO</x:v>
      </x:c>
      <x:c r="M530" s="210" t="n">
        <x:v>181</x:v>
      </x:c>
      <x:c r="N530" s="210" t="n">
        <x:v>1100</x:v>
      </x:c>
      <x:c r="O530" s="210" t="n">
        <x:v>50</x:v>
      </x:c>
      <x:c r="P530" s="210" t="n">
        <x:v>9</x:v>
      </x:c>
      <x:c r="Q530" s="211" t="n">
        <x:v>0</x:v>
      </x:c>
      <x:c r="R530" s="207" t="str"/>
      <x:c r="S530" s="207" t="str"/>
      <x:c r="T530" s="207" t="str"/>
      <x:c r="U530" s="207" t="n">
        <x:v>0</x:v>
      </x:c>
      <x:c r="V530" s="208" t="n">
        <x:f>MAX(0,M530-U530)</x:f>
        <x:v>181</x:v>
      </x:c>
      <x:c r="W530" s="209" t="n">
        <x:f>IFERROR(U530/M530,0)</x:f>
        <x:v>0</x:v>
      </x:c>
      <x:c r="X530" s="201" t="str">
        <x:f>IF(U530=0,"Não iniciado",IF(U530&gt;=M530,"Concluído","Parcial"))</x:f>
        <x:v>Não iniciado</x:v>
      </x:c>
      <x:c r="Y530" s="199" t="str"/>
      <x:c r="Z530" s="188" t="str">
        <x:v>Normal</x:v>
      </x:c>
    </x:row>
    <x:row r="531" ht="22" customHeight="1">
      <x:c r="A531" s="217" t="n">
        <x:v>527</x:v>
      </x:c>
      <x:c r="B531" s="218" t="str">
        <x:v>26824</x:v>
      </x:c>
      <x:c r="C531" s="218" t="str">
        <x:v>2</x:v>
      </x:c>
      <x:c r="D531" s="218" t="str">
        <x:v>609590</x:v>
      </x:c>
      <x:c r="E531" s="218" t="str">
        <x:v>986505</x:v>
      </x:c>
      <x:c r="F531" s="218" t="str">
        <x:v>ALIZAR</x:v>
      </x:c>
      <x:c r="G531" s="184" t="str">
        <x:v>T A 1100X50X9 RT RL55 PET BCO TXT (STD)</x:v>
      </x:c>
      <x:c r="H531" s="184" t="str"/>
      <x:c r="I531" s="184" t="str"/>
      <x:c r="J531" s="184" t="str"/>
      <x:c r="K531" s="184" t="str">
        <x:v>ESMALTE</x:v>
      </x:c>
      <x:c r="L531" s="184" t="str">
        <x:v>BRANCO</x:v>
      </x:c>
      <x:c r="M531" s="205" t="n">
        <x:v>181</x:v>
      </x:c>
      <x:c r="N531" s="205" t="n">
        <x:v>1100</x:v>
      </x:c>
      <x:c r="O531" s="205" t="n">
        <x:v>50</x:v>
      </x:c>
      <x:c r="P531" s="205" t="n">
        <x:v>9</x:v>
      </x:c>
      <x:c r="Q531" s="206" t="n">
        <x:v>0</x:v>
      </x:c>
      <x:c r="R531" s="207" t="str"/>
      <x:c r="S531" s="207" t="str"/>
      <x:c r="T531" s="207" t="str"/>
      <x:c r="U531" s="207" t="n">
        <x:v>0</x:v>
      </x:c>
      <x:c r="V531" s="208" t="n">
        <x:f>MAX(0,M531-U531)</x:f>
        <x:v>181</x:v>
      </x:c>
      <x:c r="W531" s="209" t="n">
        <x:f>IFERROR(U531/M531,0)</x:f>
        <x:v>0</x:v>
      </x:c>
      <x:c r="X531" s="201" t="str">
        <x:f>IF(U531=0,"Não iniciado",IF(U531&gt;=M531,"Concluído","Parcial"))</x:f>
        <x:v>Não iniciado</x:v>
      </x:c>
      <x:c r="Y531" s="199" t="str"/>
      <x:c r="Z531" s="188" t="str">
        <x:v>Normal</x:v>
      </x:c>
    </x:row>
    <x:row r="532" ht="22" customHeight="1">
      <x:c r="A532" s="219" t="n">
        <x:v>528</x:v>
      </x:c>
      <x:c r="B532" s="220" t="str">
        <x:v>26824</x:v>
      </x:c>
      <x:c r="C532" s="220" t="str">
        <x:v>4</x:v>
      </x:c>
      <x:c r="D532" s="220" t="str">
        <x:v>609605</x:v>
      </x:c>
      <x:c r="E532" s="220" t="str">
        <x:v>985576</x:v>
      </x:c>
      <x:c r="F532" s="220" t="str">
        <x:v>ALIZAR</x:v>
      </x:c>
      <x:c r="G532" s="190" t="str">
        <x:v>T A 1100X50X9 RT RL80 PET BCO TXT (STD)</x:v>
      </x:c>
      <x:c r="H532" s="190" t="str"/>
      <x:c r="I532" s="190" t="str"/>
      <x:c r="J532" s="190" t="str"/>
      <x:c r="K532" s="190" t="str">
        <x:v>ESMALTE</x:v>
      </x:c>
      <x:c r="L532" s="190" t="str">
        <x:v>BRANCO</x:v>
      </x:c>
      <x:c r="M532" s="210" t="n">
        <x:v>42</x:v>
      </x:c>
      <x:c r="N532" s="210" t="n">
        <x:v>1100</x:v>
      </x:c>
      <x:c r="O532" s="210" t="n">
        <x:v>50</x:v>
      </x:c>
      <x:c r="P532" s="210" t="n">
        <x:v>9</x:v>
      </x:c>
      <x:c r="Q532" s="211" t="n">
        <x:v>0</x:v>
      </x:c>
      <x:c r="R532" s="207" t="str"/>
      <x:c r="S532" s="207" t="str"/>
      <x:c r="T532" s="207" t="str"/>
      <x:c r="U532" s="207" t="n">
        <x:v>0</x:v>
      </x:c>
      <x:c r="V532" s="208" t="n">
        <x:f>MAX(0,M532-U532)</x:f>
        <x:v>42</x:v>
      </x:c>
      <x:c r="W532" s="209" t="n">
        <x:f>IFERROR(U532/M532,0)</x:f>
        <x:v>0</x:v>
      </x:c>
      <x:c r="X532" s="201" t="str">
        <x:f>IF(U532=0,"Não iniciado",IF(U532&gt;=M532,"Concluído","Parcial"))</x:f>
        <x:v>Não iniciado</x:v>
      </x:c>
      <x:c r="Y532" s="199" t="str"/>
      <x:c r="Z532" s="188" t="str">
        <x:v>Normal</x:v>
      </x:c>
    </x:row>
    <x:row r="533" ht="22" customHeight="1">
      <x:c r="A533" s="217" t="n">
        <x:v>529</x:v>
      </x:c>
      <x:c r="B533" s="218" t="str">
        <x:v>26824</x:v>
      </x:c>
      <x:c r="C533" s="218" t="str">
        <x:v>4</x:v>
      </x:c>
      <x:c r="D533" s="218" t="str">
        <x:v>609606</x:v>
      </x:c>
      <x:c r="E533" s="218" t="str">
        <x:v>985577</x:v>
      </x:c>
      <x:c r="F533" s="218" t="str">
        <x:v>ALIZAR</x:v>
      </x:c>
      <x:c r="G533" s="184" t="str">
        <x:v>T A 1100X50X9 RTO LME PET BCO TXT (STD)</x:v>
      </x:c>
      <x:c r="H533" s="184" t="str"/>
      <x:c r="I533" s="184" t="str"/>
      <x:c r="J533" s="184" t="str"/>
      <x:c r="K533" s="184" t="str">
        <x:v>ESMALTE</x:v>
      </x:c>
      <x:c r="L533" s="184" t="str">
        <x:v>BRANCO</x:v>
      </x:c>
      <x:c r="M533" s="205" t="n">
        <x:v>42</x:v>
      </x:c>
      <x:c r="N533" s="205" t="n">
        <x:v>1100</x:v>
      </x:c>
      <x:c r="O533" s="205" t="n">
        <x:v>50</x:v>
      </x:c>
      <x:c r="P533" s="205" t="n">
        <x:v>9</x:v>
      </x:c>
      <x:c r="Q533" s="206" t="n">
        <x:v>0</x:v>
      </x:c>
      <x:c r="R533" s="207" t="str"/>
      <x:c r="S533" s="207" t="str"/>
      <x:c r="T533" s="207" t="str"/>
      <x:c r="U533" s="207" t="n">
        <x:v>0</x:v>
      </x:c>
      <x:c r="V533" s="208" t="n">
        <x:f>MAX(0,M533-U533)</x:f>
        <x:v>42</x:v>
      </x:c>
      <x:c r="W533" s="209" t="n">
        <x:f>IFERROR(U533/M533,0)</x:f>
        <x:v>0</x:v>
      </x:c>
      <x:c r="X533" s="201" t="str">
        <x:f>IF(U533=0,"Não iniciado",IF(U533&gt;=M533,"Concluído","Parcial"))</x:f>
        <x:v>Não iniciado</x:v>
      </x:c>
      <x:c r="Y533" s="199" t="str"/>
      <x:c r="Z533" s="188" t="str">
        <x:v>Normal</x:v>
      </x:c>
    </x:row>
    <x:row r="534" ht="22" customHeight="1">
      <x:c r="A534" s="219" t="n">
        <x:v>530</x:v>
      </x:c>
      <x:c r="B534" s="220" t="str">
        <x:v>26824</x:v>
      </x:c>
      <x:c r="C534" s="220" t="str">
        <x:v>5</x:v>
      </x:c>
      <x:c r="D534" s="220" t="str">
        <x:v>609613</x:v>
      </x:c>
      <x:c r="E534" s="220" t="str">
        <x:v>985577</x:v>
      </x:c>
      <x:c r="F534" s="220" t="str">
        <x:v>ALIZAR</x:v>
      </x:c>
      <x:c r="G534" s="190" t="str">
        <x:v>T A 1100X50X9 RTO LME PET BCO TXT (STD)</x:v>
      </x:c>
      <x:c r="H534" s="190" t="str"/>
      <x:c r="I534" s="190" t="str"/>
      <x:c r="J534" s="190" t="str"/>
      <x:c r="K534" s="190" t="str">
        <x:v>ESMALTE</x:v>
      </x:c>
      <x:c r="L534" s="190" t="str">
        <x:v>BRANCO</x:v>
      </x:c>
      <x:c r="M534" s="210" t="n">
        <x:v>21</x:v>
      </x:c>
      <x:c r="N534" s="210" t="n">
        <x:v>1100</x:v>
      </x:c>
      <x:c r="O534" s="210" t="n">
        <x:v>50</x:v>
      </x:c>
      <x:c r="P534" s="210" t="n">
        <x:v>9</x:v>
      </x:c>
      <x:c r="Q534" s="211" t="n">
        <x:v>0</x:v>
      </x:c>
      <x:c r="R534" s="207" t="str"/>
      <x:c r="S534" s="207" t="str"/>
      <x:c r="T534" s="207" t="str"/>
      <x:c r="U534" s="207" t="n">
        <x:v>0</x:v>
      </x:c>
      <x:c r="V534" s="208" t="n">
        <x:f>MAX(0,M534-U534)</x:f>
        <x:v>21</x:v>
      </x:c>
      <x:c r="W534" s="209" t="n">
        <x:f>IFERROR(U534/M534,0)</x:f>
        <x:v>0</x:v>
      </x:c>
      <x:c r="X534" s="201" t="str">
        <x:f>IF(U534=0,"Não iniciado",IF(U534&gt;=M534,"Concluído","Parcial"))</x:f>
        <x:v>Não iniciado</x:v>
      </x:c>
      <x:c r="Y534" s="199" t="str"/>
      <x:c r="Z534" s="188" t="str">
        <x:v>Normal</x:v>
      </x:c>
    </x:row>
    <x:row r="535" ht="22" customHeight="1">
      <x:c r="A535" s="217" t="n">
        <x:v>531</x:v>
      </x:c>
      <x:c r="B535" s="218" t="str">
        <x:v>26824</x:v>
      </x:c>
      <x:c r="C535" s="218" t="str">
        <x:v>5</x:v>
      </x:c>
      <x:c r="D535" s="218" t="str">
        <x:v>609614</x:v>
      </x:c>
      <x:c r="E535" s="218" t="str">
        <x:v>986505</x:v>
      </x:c>
      <x:c r="F535" s="218" t="str">
        <x:v>ALIZAR</x:v>
      </x:c>
      <x:c r="G535" s="184" t="str">
        <x:v>T A 1100X50X9 RT RL55 PET BCO TXT (STD)</x:v>
      </x:c>
      <x:c r="H535" s="184" t="str"/>
      <x:c r="I535" s="184" t="str"/>
      <x:c r="J535" s="184" t="str"/>
      <x:c r="K535" s="184" t="str">
        <x:v>ESMALTE</x:v>
      </x:c>
      <x:c r="L535" s="184" t="str">
        <x:v>BRANCO</x:v>
      </x:c>
      <x:c r="M535" s="205" t="n">
        <x:v>21</x:v>
      </x:c>
      <x:c r="N535" s="205" t="n">
        <x:v>1100</x:v>
      </x:c>
      <x:c r="O535" s="205" t="n">
        <x:v>50</x:v>
      </x:c>
      <x:c r="P535" s="205" t="n">
        <x:v>9</x:v>
      </x:c>
      <x:c r="Q535" s="206" t="n">
        <x:v>0</x:v>
      </x:c>
      <x:c r="R535" s="207" t="str"/>
      <x:c r="S535" s="207" t="str"/>
      <x:c r="T535" s="207" t="str"/>
      <x:c r="U535" s="207" t="n">
        <x:v>0</x:v>
      </x:c>
      <x:c r="V535" s="208" t="n">
        <x:f>MAX(0,M535-U535)</x:f>
        <x:v>21</x:v>
      </x:c>
      <x:c r="W535" s="209" t="n">
        <x:f>IFERROR(U535/M535,0)</x:f>
        <x:v>0</x:v>
      </x:c>
      <x:c r="X535" s="201" t="str">
        <x:f>IF(U535=0,"Não iniciado",IF(U535&gt;=M535,"Concluído","Parcial"))</x:f>
        <x:v>Não iniciado</x:v>
      </x:c>
      <x:c r="Y535" s="199" t="str"/>
      <x:c r="Z535" s="188" t="str">
        <x:v>Normal</x:v>
      </x:c>
    </x:row>
    <x:row r="536" ht="22" customHeight="1">
      <x:c r="A536" s="219" t="n">
        <x:v>532</x:v>
      </x:c>
      <x:c r="B536" s="220" t="str">
        <x:v>26824</x:v>
      </x:c>
      <x:c r="C536" s="220" t="str">
        <x:v>6</x:v>
      </x:c>
      <x:c r="D536" s="220" t="str">
        <x:v>609621</x:v>
      </x:c>
      <x:c r="E536" s="220" t="str">
        <x:v>985576</x:v>
      </x:c>
      <x:c r="F536" s="220" t="str">
        <x:v>ALIZAR</x:v>
      </x:c>
      <x:c r="G536" s="190" t="str">
        <x:v>T A 1100X50X9 RT RL80 PET BCO TXT (STD)</x:v>
      </x:c>
      <x:c r="H536" s="190" t="str"/>
      <x:c r="I536" s="190" t="str"/>
      <x:c r="J536" s="190" t="str"/>
      <x:c r="K536" s="190" t="str">
        <x:v>ESMALTE</x:v>
      </x:c>
      <x:c r="L536" s="190" t="str">
        <x:v>BRANCO</x:v>
      </x:c>
      <x:c r="M536" s="210" t="n">
        <x:v>2</x:v>
      </x:c>
      <x:c r="N536" s="210" t="n">
        <x:v>1100</x:v>
      </x:c>
      <x:c r="O536" s="210" t="n">
        <x:v>50</x:v>
      </x:c>
      <x:c r="P536" s="210" t="n">
        <x:v>9</x:v>
      </x:c>
      <x:c r="Q536" s="211" t="n">
        <x:v>0</x:v>
      </x:c>
      <x:c r="R536" s="207" t="str"/>
      <x:c r="S536" s="207" t="str"/>
      <x:c r="T536" s="207" t="str"/>
      <x:c r="U536" s="207" t="n">
        <x:v>0</x:v>
      </x:c>
      <x:c r="V536" s="208" t="n">
        <x:f>MAX(0,M536-U536)</x:f>
        <x:v>2</x:v>
      </x:c>
      <x:c r="W536" s="209" t="n">
        <x:f>IFERROR(U536/M536,0)</x:f>
        <x:v>0</x:v>
      </x:c>
      <x:c r="X536" s="201" t="str">
        <x:f>IF(U536=0,"Não iniciado",IF(U536&gt;=M536,"Concluído","Parcial"))</x:f>
        <x:v>Não iniciado</x:v>
      </x:c>
      <x:c r="Y536" s="199" t="str"/>
      <x:c r="Z536" s="188" t="str">
        <x:v>Normal</x:v>
      </x:c>
    </x:row>
    <x:row r="537" ht="22" customHeight="1">
      <x:c r="A537" s="217" t="n">
        <x:v>533</x:v>
      </x:c>
      <x:c r="B537" s="218" t="str">
        <x:v>26824</x:v>
      </x:c>
      <x:c r="C537" s="218" t="str">
        <x:v>6</x:v>
      </x:c>
      <x:c r="D537" s="218" t="str">
        <x:v>609622</x:v>
      </x:c>
      <x:c r="E537" s="218" t="str">
        <x:v>985577</x:v>
      </x:c>
      <x:c r="F537" s="218" t="str">
        <x:v>ALIZAR</x:v>
      </x:c>
      <x:c r="G537" s="184" t="str">
        <x:v>T A 1100X50X9 RTO LME PET BCO TXT (STD)</x:v>
      </x:c>
      <x:c r="H537" s="184" t="str"/>
      <x:c r="I537" s="184" t="str"/>
      <x:c r="J537" s="184" t="str"/>
      <x:c r="K537" s="184" t="str">
        <x:v>ESMALTE</x:v>
      </x:c>
      <x:c r="L537" s="184" t="str">
        <x:v>BRANCO</x:v>
      </x:c>
      <x:c r="M537" s="205" t="n">
        <x:v>2</x:v>
      </x:c>
      <x:c r="N537" s="205" t="n">
        <x:v>1100</x:v>
      </x:c>
      <x:c r="O537" s="205" t="n">
        <x:v>50</x:v>
      </x:c>
      <x:c r="P537" s="205" t="n">
        <x:v>9</x:v>
      </x:c>
      <x:c r="Q537" s="206" t="n">
        <x:v>0</x:v>
      </x:c>
      <x:c r="R537" s="207" t="str"/>
      <x:c r="S537" s="207" t="str"/>
      <x:c r="T537" s="207" t="str"/>
      <x:c r="U537" s="207" t="n">
        <x:v>0</x:v>
      </x:c>
      <x:c r="V537" s="208" t="n">
        <x:f>MAX(0,M537-U537)</x:f>
        <x:v>2</x:v>
      </x:c>
      <x:c r="W537" s="209" t="n">
        <x:f>IFERROR(U537/M537,0)</x:f>
        <x:v>0</x:v>
      </x:c>
      <x:c r="X537" s="201" t="str">
        <x:f>IF(U537=0,"Não iniciado",IF(U537&gt;=M537,"Concluído","Parcial"))</x:f>
        <x:v>Não iniciado</x:v>
      </x:c>
      <x:c r="Y537" s="199" t="str"/>
      <x:c r="Z537" s="188" t="str">
        <x:v>Normal</x:v>
      </x:c>
    </x:row>
    <x:row r="538" ht="22" customHeight="1">
      <x:c r="A538" s="219" t="n">
        <x:v>534</x:v>
      </x:c>
      <x:c r="B538" s="220" t="str">
        <x:v>26826</x:v>
      </x:c>
      <x:c r="C538" s="220" t="str">
        <x:v>6</x:v>
      </x:c>
      <x:c r="D538" s="220" t="str">
        <x:v>609074</x:v>
      </x:c>
      <x:c r="E538" s="220" t="str">
        <x:v>985577</x:v>
      </x:c>
      <x:c r="F538" s="220" t="str">
        <x:v>ALIZAR</x:v>
      </x:c>
      <x:c r="G538" s="190" t="str">
        <x:v>T A 1100X50X9 RTO LME PET BCO TXT (STD)</x:v>
      </x:c>
      <x:c r="H538" s="190" t="str">
        <x:v>REG 2L(MAIOR 55MM)</x:v>
      </x:c>
      <x:c r="I538" s="190" t="str"/>
      <x:c r="J538" s="190" t="str"/>
      <x:c r="K538" s="190" t="str">
        <x:v>RECOBERTO PET TXT</x:v>
      </x:c>
      <x:c r="L538" s="190" t="str">
        <x:v>BRANCO</x:v>
      </x:c>
      <x:c r="M538" s="210" t="n">
        <x:v>115</x:v>
      </x:c>
      <x:c r="N538" s="210" t="n">
        <x:v>1100</x:v>
      </x:c>
      <x:c r="O538" s="210" t="n">
        <x:v>50</x:v>
      </x:c>
      <x:c r="P538" s="210" t="n">
        <x:v>9</x:v>
      </x:c>
      <x:c r="Q538" s="211" t="n">
        <x:v>0</x:v>
      </x:c>
      <x:c r="R538" s="207" t="str"/>
      <x:c r="S538" s="207" t="str"/>
      <x:c r="T538" s="207" t="str"/>
      <x:c r="U538" s="207" t="n">
        <x:v>0</x:v>
      </x:c>
      <x:c r="V538" s="208" t="n">
        <x:f>MAX(0,M538-U538)</x:f>
        <x:v>115</x:v>
      </x:c>
      <x:c r="W538" s="209" t="n">
        <x:f>IFERROR(U538/M538,0)</x:f>
        <x:v>0</x:v>
      </x:c>
      <x:c r="X538" s="201" t="str">
        <x:f>IF(U538=0,"Não iniciado",IF(U538&gt;=M538,"Concluído","Parcial"))</x:f>
        <x:v>Não iniciado</x:v>
      </x:c>
      <x:c r="Y538" s="199" t="str"/>
      <x:c r="Z538" s="188" t="str">
        <x:v>Normal</x:v>
      </x:c>
    </x:row>
    <x:row r="539" ht="22" customHeight="1">
      <x:c r="A539" s="217" t="n">
        <x:v>535</x:v>
      </x:c>
      <x:c r="B539" s="218" t="str">
        <x:v>26826</x:v>
      </x:c>
      <x:c r="C539" s="218" t="str">
        <x:v>6</x:v>
      </x:c>
      <x:c r="D539" s="218" t="str">
        <x:v>609075</x:v>
      </x:c>
      <x:c r="E539" s="218" t="str">
        <x:v>986505</x:v>
      </x:c>
      <x:c r="F539" s="218" t="str">
        <x:v>ALIZAR</x:v>
      </x:c>
      <x:c r="G539" s="184" t="str">
        <x:v>T A 1100X50X9 RT RL55 PET BCO TXT (STD)</x:v>
      </x:c>
      <x:c r="H539" s="184" t="str">
        <x:v>REG 2L(MAIOR 55MM)</x:v>
      </x:c>
      <x:c r="I539" s="184" t="str"/>
      <x:c r="J539" s="184" t="str"/>
      <x:c r="K539" s="184" t="str">
        <x:v>RECOBERTO PET TXT</x:v>
      </x:c>
      <x:c r="L539" s="184" t="str">
        <x:v>BRANCO</x:v>
      </x:c>
      <x:c r="M539" s="205" t="n">
        <x:v>115</x:v>
      </x:c>
      <x:c r="N539" s="205" t="n">
        <x:v>1100</x:v>
      </x:c>
      <x:c r="O539" s="205" t="n">
        <x:v>50</x:v>
      </x:c>
      <x:c r="P539" s="205" t="n">
        <x:v>9</x:v>
      </x:c>
      <x:c r="Q539" s="206" t="n">
        <x:v>0</x:v>
      </x:c>
      <x:c r="R539" s="207" t="str"/>
      <x:c r="S539" s="207" t="str"/>
      <x:c r="T539" s="207" t="str"/>
      <x:c r="U539" s="207" t="n">
        <x:v>0</x:v>
      </x:c>
      <x:c r="V539" s="208" t="n">
        <x:f>MAX(0,M539-U539)</x:f>
        <x:v>115</x:v>
      </x:c>
      <x:c r="W539" s="209" t="n">
        <x:f>IFERROR(U539/M539,0)</x:f>
        <x:v>0</x:v>
      </x:c>
      <x:c r="X539" s="201" t="str">
        <x:f>IF(U539=0,"Não iniciado",IF(U539&gt;=M539,"Concluído","Parcial"))</x:f>
        <x:v>Não iniciado</x:v>
      </x:c>
      <x:c r="Y539" s="199" t="str"/>
      <x:c r="Z539" s="188" t="str">
        <x:v>Normal</x:v>
      </x:c>
    </x:row>
    <x:row r="540" ht="22" customHeight="1">
      <x:c r="A540" s="219" t="n">
        <x:v>536</x:v>
      </x:c>
      <x:c r="B540" s="220" t="str">
        <x:v>26796</x:v>
      </x:c>
      <x:c r="C540" s="220" t="str">
        <x:v>1</x:v>
      </x:c>
      <x:c r="D540" s="220" t="str">
        <x:v>609285</x:v>
      </x:c>
      <x:c r="E540" s="220" t="str">
        <x:v>985577</x:v>
      </x:c>
      <x:c r="F540" s="220" t="str">
        <x:v>ALIZAR</x:v>
      </x:c>
      <x:c r="G540" s="190" t="str">
        <x:v>T A 1100X50X9 RTO LME PET BCO TXT (STD)</x:v>
      </x:c>
      <x:c r="H540" s="190" t="str"/>
      <x:c r="I540" s="190" t="str"/>
      <x:c r="J540" s="190" t="str"/>
      <x:c r="K540" s="190" t="str">
        <x:v>ESMALTE</x:v>
      </x:c>
      <x:c r="L540" s="190" t="str">
        <x:v>BRANCO CARRARA</x:v>
      </x:c>
      <x:c r="M540" s="210" t="n">
        <x:v>216</x:v>
      </x:c>
      <x:c r="N540" s="210" t="n">
        <x:v>1100</x:v>
      </x:c>
      <x:c r="O540" s="210" t="n">
        <x:v>50</x:v>
      </x:c>
      <x:c r="P540" s="210" t="n">
        <x:v>9</x:v>
      </x:c>
      <x:c r="Q540" s="211" t="n">
        <x:v>0</x:v>
      </x:c>
      <x:c r="R540" s="207" t="str"/>
      <x:c r="S540" s="207" t="str"/>
      <x:c r="T540" s="207" t="str"/>
      <x:c r="U540" s="207" t="n">
        <x:v>0</x:v>
      </x:c>
      <x:c r="V540" s="208" t="n">
        <x:f>MAX(0,M540-U540)</x:f>
        <x:v>216</x:v>
      </x:c>
      <x:c r="W540" s="209" t="n">
        <x:f>IFERROR(U540/M540,0)</x:f>
        <x:v>0</x:v>
      </x:c>
      <x:c r="X540" s="201" t="str">
        <x:f>IF(U540=0,"Não iniciado",IF(U540&gt;=M540,"Concluído","Parcial"))</x:f>
        <x:v>Não iniciado</x:v>
      </x:c>
      <x:c r="Y540" s="199" t="str"/>
      <x:c r="Z540" s="188" t="str">
        <x:v>Normal</x:v>
      </x:c>
    </x:row>
    <x:row r="541" ht="22" customHeight="1">
      <x:c r="A541" s="217" t="n">
        <x:v>537</x:v>
      </x:c>
      <x:c r="B541" s="218" t="str">
        <x:v>26796</x:v>
      </x:c>
      <x:c r="C541" s="218" t="str">
        <x:v>3</x:v>
      </x:c>
      <x:c r="D541" s="218" t="str">
        <x:v>609301</x:v>
      </x:c>
      <x:c r="E541" s="218" t="str">
        <x:v>985577</x:v>
      </x:c>
      <x:c r="F541" s="218" t="str">
        <x:v>ALIZAR</x:v>
      </x:c>
      <x:c r="G541" s="184" t="str">
        <x:v>T A 1100X50X9 RTO LME PET BCO TXT (STD)</x:v>
      </x:c>
      <x:c r="H541" s="184" t="str"/>
      <x:c r="I541" s="184" t="str"/>
      <x:c r="J541" s="184" t="str"/>
      <x:c r="K541" s="184" t="str">
        <x:v>ESMALTE</x:v>
      </x:c>
      <x:c r="L541" s="184" t="str">
        <x:v>BRANCO CARRARA</x:v>
      </x:c>
      <x:c r="M541" s="205" t="n">
        <x:v>192</x:v>
      </x:c>
      <x:c r="N541" s="205" t="n">
        <x:v>1100</x:v>
      </x:c>
      <x:c r="O541" s="205" t="n">
        <x:v>50</x:v>
      </x:c>
      <x:c r="P541" s="205" t="n">
        <x:v>9</x:v>
      </x:c>
      <x:c r="Q541" s="206" t="n">
        <x:v>0</x:v>
      </x:c>
      <x:c r="R541" s="207" t="str"/>
      <x:c r="S541" s="207" t="str"/>
      <x:c r="T541" s="207" t="str"/>
      <x:c r="U541" s="207" t="n">
        <x:v>0</x:v>
      </x:c>
      <x:c r="V541" s="208" t="n">
        <x:f>MAX(0,M541-U541)</x:f>
        <x:v>192</x:v>
      </x:c>
      <x:c r="W541" s="209" t="n">
        <x:f>IFERROR(U541/M541,0)</x:f>
        <x:v>0</x:v>
      </x:c>
      <x:c r="X541" s="201" t="str">
        <x:f>IF(U541=0,"Não iniciado",IF(U541&gt;=M541,"Concluído","Parcial"))</x:f>
        <x:v>Não iniciado</x:v>
      </x:c>
      <x:c r="Y541" s="199" t="str"/>
      <x:c r="Z541" s="188" t="str">
        <x:v>Normal</x:v>
      </x:c>
    </x:row>
    <x:row r="542" ht="22" customHeight="1">
      <x:c r="A542" s="219" t="n">
        <x:v>538</x:v>
      </x:c>
      <x:c r="B542" s="220" t="str">
        <x:v>26799</x:v>
      </x:c>
      <x:c r="C542" s="220" t="str">
        <x:v>1</x:v>
      </x:c>
      <x:c r="D542" s="220" t="str">
        <x:v>609390</x:v>
      </x:c>
      <x:c r="E542" s="220" t="str">
        <x:v>985577</x:v>
      </x:c>
      <x:c r="F542" s="220" t="str">
        <x:v>ALIZAR</x:v>
      </x:c>
      <x:c r="G542" s="190" t="str">
        <x:v>T A 1100X50X9 RTO LME PET BCO TXT (STD)</x:v>
      </x:c>
      <x:c r="H542" s="190" t="str"/>
      <x:c r="I542" s="190" t="str"/>
      <x:c r="J542" s="190" t="str"/>
      <x:c r="K542" s="190" t="str">
        <x:v>ESMALTE</x:v>
      </x:c>
      <x:c r="L542" s="190" t="str">
        <x:v>BRANCO CARRARA</x:v>
      </x:c>
      <x:c r="M542" s="210" t="n">
        <x:v>72</x:v>
      </x:c>
      <x:c r="N542" s="210" t="n">
        <x:v>1100</x:v>
      </x:c>
      <x:c r="O542" s="210" t="n">
        <x:v>50</x:v>
      </x:c>
      <x:c r="P542" s="210" t="n">
        <x:v>9</x:v>
      </x:c>
      <x:c r="Q542" s="211" t="n">
        <x:v>0</x:v>
      </x:c>
      <x:c r="R542" s="207" t="str"/>
      <x:c r="S542" s="207" t="str"/>
      <x:c r="T542" s="207" t="str"/>
      <x:c r="U542" s="207" t="n">
        <x:v>0</x:v>
      </x:c>
      <x:c r="V542" s="208" t="n">
        <x:f>MAX(0,M542-U542)</x:f>
        <x:v>72</x:v>
      </x:c>
      <x:c r="W542" s="209" t="n">
        <x:f>IFERROR(U542/M542,0)</x:f>
        <x:v>0</x:v>
      </x:c>
      <x:c r="X542" s="201" t="str">
        <x:f>IF(U542=0,"Não iniciado",IF(U542&gt;=M542,"Concluído","Parcial"))</x:f>
        <x:v>Não iniciado</x:v>
      </x:c>
      <x:c r="Y542" s="199" t="str"/>
      <x:c r="Z542" s="188" t="str">
        <x:v>Normal</x:v>
      </x:c>
    </x:row>
    <x:row r="543" ht="22" customHeight="1">
      <x:c r="A543" s="217" t="n">
        <x:v>539</x:v>
      </x:c>
      <x:c r="B543" s="218" t="str">
        <x:v>26799</x:v>
      </x:c>
      <x:c r="C543" s="218" t="str">
        <x:v>3</x:v>
      </x:c>
      <x:c r="D543" s="218" t="str">
        <x:v>609406</x:v>
      </x:c>
      <x:c r="E543" s="218" t="str">
        <x:v>985577</x:v>
      </x:c>
      <x:c r="F543" s="218" t="str">
        <x:v>ALIZAR</x:v>
      </x:c>
      <x:c r="G543" s="184" t="str">
        <x:v>T A 1100X50X9 RTO LME PET BCO TXT (STD)</x:v>
      </x:c>
      <x:c r="H543" s="184" t="str"/>
      <x:c r="I543" s="184" t="str"/>
      <x:c r="J543" s="184" t="str"/>
      <x:c r="K543" s="184" t="str">
        <x:v>ESMALTE</x:v>
      </x:c>
      <x:c r="L543" s="184" t="str">
        <x:v>BRANCO CARRARA</x:v>
      </x:c>
      <x:c r="M543" s="205" t="n">
        <x:v>64</x:v>
      </x:c>
      <x:c r="N543" s="205" t="n">
        <x:v>1100</x:v>
      </x:c>
      <x:c r="O543" s="205" t="n">
        <x:v>50</x:v>
      </x:c>
      <x:c r="P543" s="205" t="n">
        <x:v>9</x:v>
      </x:c>
      <x:c r="Q543" s="206" t="n">
        <x:v>0</x:v>
      </x:c>
      <x:c r="R543" s="207" t="str"/>
      <x:c r="S543" s="207" t="str"/>
      <x:c r="T543" s="207" t="str"/>
      <x:c r="U543" s="207" t="n">
        <x:v>0</x:v>
      </x:c>
      <x:c r="V543" s="208" t="n">
        <x:f>MAX(0,M543-U543)</x:f>
        <x:v>64</x:v>
      </x:c>
      <x:c r="W543" s="209" t="n">
        <x:f>IFERROR(U543/M543,0)</x:f>
        <x:v>0</x:v>
      </x:c>
      <x:c r="X543" s="201" t="str">
        <x:f>IF(U543=0,"Não iniciado",IF(U543&gt;=M543,"Concluído","Parcial"))</x:f>
        <x:v>Não iniciado</x:v>
      </x:c>
      <x:c r="Y543" s="199" t="str"/>
      <x:c r="Z543" s="188" t="str">
        <x:v>Normal</x:v>
      </x:c>
    </x:row>
    <x:row r="544" ht="22" customHeight="1">
      <x:c r="A544" s="219" t="n">
        <x:v>540</x:v>
      </x:c>
      <x:c r="B544" s="220" t="str">
        <x:v>26824</x:v>
      </x:c>
      <x:c r="C544" s="220" t="str">
        <x:v>1</x:v>
      </x:c>
      <x:c r="D544" s="220" t="str">
        <x:v>609581</x:v>
      </x:c>
      <x:c r="E544" s="220" t="str">
        <x:v>985577</x:v>
      </x:c>
      <x:c r="F544" s="220" t="str">
        <x:v>ALIZAR</x:v>
      </x:c>
      <x:c r="G544" s="190" t="str">
        <x:v>T A 1100X50X9 RTO LME PET BCO TXT (STD)</x:v>
      </x:c>
      <x:c r="H544" s="190" t="str"/>
      <x:c r="I544" s="190" t="str"/>
      <x:c r="J544" s="190" t="str"/>
      <x:c r="K544" s="190" t="str">
        <x:v>ESMALTE</x:v>
      </x:c>
      <x:c r="L544" s="190" t="str">
        <x:v>BRANCO CARRARA</x:v>
      </x:c>
      <x:c r="M544" s="210" t="n">
        <x:v>123</x:v>
      </x:c>
      <x:c r="N544" s="210" t="n">
        <x:v>1100</x:v>
      </x:c>
      <x:c r="O544" s="210" t="n">
        <x:v>50</x:v>
      </x:c>
      <x:c r="P544" s="210" t="n">
        <x:v>9</x:v>
      </x:c>
      <x:c r="Q544" s="211" t="n">
        <x:v>0</x:v>
      </x:c>
      <x:c r="R544" s="207" t="str"/>
      <x:c r="S544" s="207" t="str"/>
      <x:c r="T544" s="207" t="str"/>
      <x:c r="U544" s="207" t="n">
        <x:v>0</x:v>
      </x:c>
      <x:c r="V544" s="208" t="n">
        <x:f>MAX(0,M544-U544)</x:f>
        <x:v>123</x:v>
      </x:c>
      <x:c r="W544" s="209" t="n">
        <x:f>IFERROR(U544/M544,0)</x:f>
        <x:v>0</x:v>
      </x:c>
      <x:c r="X544" s="201" t="str">
        <x:f>IF(U544=0,"Não iniciado",IF(U544&gt;=M544,"Concluído","Parcial"))</x:f>
        <x:v>Não iniciado</x:v>
      </x:c>
      <x:c r="Y544" s="199" t="str"/>
      <x:c r="Z544" s="188" t="str">
        <x:v>Normal</x:v>
      </x:c>
    </x:row>
    <x:row r="545" ht="22" customHeight="1">
      <x:c r="A545" s="217" t="n">
        <x:v>541</x:v>
      </x:c>
      <x:c r="B545" s="218" t="str">
        <x:v>26824</x:v>
      </x:c>
      <x:c r="C545" s="218" t="str">
        <x:v>1</x:v>
      </x:c>
      <x:c r="D545" s="218" t="str">
        <x:v>609582</x:v>
      </x:c>
      <x:c r="E545" s="218" t="str">
        <x:v>986505</x:v>
      </x:c>
      <x:c r="F545" s="218" t="str">
        <x:v>ALIZAR</x:v>
      </x:c>
      <x:c r="G545" s="184" t="str">
        <x:v>T A 1100X50X9 RT RL55 PET BCO TXT (STD)</x:v>
      </x:c>
      <x:c r="H545" s="184" t="str"/>
      <x:c r="I545" s="184" t="str"/>
      <x:c r="J545" s="184" t="str"/>
      <x:c r="K545" s="184" t="str">
        <x:v>ESMALTE</x:v>
      </x:c>
      <x:c r="L545" s="184" t="str">
        <x:v>BRANCO CARRARA</x:v>
      </x:c>
      <x:c r="M545" s="205" t="n">
        <x:v>123</x:v>
      </x:c>
      <x:c r="N545" s="205" t="n">
        <x:v>1100</x:v>
      </x:c>
      <x:c r="O545" s="205" t="n">
        <x:v>50</x:v>
      </x:c>
      <x:c r="P545" s="205" t="n">
        <x:v>9</x:v>
      </x:c>
      <x:c r="Q545" s="206" t="n">
        <x:v>0</x:v>
      </x:c>
      <x:c r="R545" s="207" t="str"/>
      <x:c r="S545" s="207" t="str"/>
      <x:c r="T545" s="207" t="str"/>
      <x:c r="U545" s="207" t="n">
        <x:v>0</x:v>
      </x:c>
      <x:c r="V545" s="208" t="n">
        <x:f>MAX(0,M545-U545)</x:f>
        <x:v>123</x:v>
      </x:c>
      <x:c r="W545" s="209" t="n">
        <x:f>IFERROR(U545/M545,0)</x:f>
        <x:v>0</x:v>
      </x:c>
      <x:c r="X545" s="201" t="str">
        <x:f>IF(U545=0,"Não iniciado",IF(U545&gt;=M545,"Concluído","Parcial"))</x:f>
        <x:v>Não iniciado</x:v>
      </x:c>
      <x:c r="Y545" s="199" t="str"/>
      <x:c r="Z545" s="188" t="str">
        <x:v>Normal</x:v>
      </x:c>
    </x:row>
    <x:row r="546" ht="22" customHeight="1">
      <x:c r="A546" s="219" t="n">
        <x:v>542</x:v>
      </x:c>
      <x:c r="B546" s="220" t="str">
        <x:v>26824</x:v>
      </x:c>
      <x:c r="C546" s="220" t="str">
        <x:v>3</x:v>
      </x:c>
      <x:c r="D546" s="220" t="str">
        <x:v>609597</x:v>
      </x:c>
      <x:c r="E546" s="220" t="str">
        <x:v>985576</x:v>
      </x:c>
      <x:c r="F546" s="220" t="str">
        <x:v>ALIZAR</x:v>
      </x:c>
      <x:c r="G546" s="190" t="str">
        <x:v>T A 1100X50X9 RT RL80 PET BCO TXT (STD)</x:v>
      </x:c>
      <x:c r="H546" s="190" t="str"/>
      <x:c r="I546" s="190" t="str"/>
      <x:c r="J546" s="190" t="str"/>
      <x:c r="K546" s="190" t="str">
        <x:v>ESMALTE</x:v>
      </x:c>
      <x:c r="L546" s="190" t="str">
        <x:v>BRANCO CARRARA</x:v>
      </x:c>
      <x:c r="M546" s="210" t="n">
        <x:v>5</x:v>
      </x:c>
      <x:c r="N546" s="210" t="n">
        <x:v>1100</x:v>
      </x:c>
      <x:c r="O546" s="210" t="n">
        <x:v>50</x:v>
      </x:c>
      <x:c r="P546" s="210" t="n">
        <x:v>9</x:v>
      </x:c>
      <x:c r="Q546" s="211" t="n">
        <x:v>0</x:v>
      </x:c>
      <x:c r="R546" s="207" t="str"/>
      <x:c r="S546" s="207" t="str"/>
      <x:c r="T546" s="207" t="str"/>
      <x:c r="U546" s="207" t="n">
        <x:v>0</x:v>
      </x:c>
      <x:c r="V546" s="208" t="n">
        <x:f>MAX(0,M546-U546)</x:f>
        <x:v>5</x:v>
      </x:c>
      <x:c r="W546" s="209" t="n">
        <x:f>IFERROR(U546/M546,0)</x:f>
        <x:v>0</x:v>
      </x:c>
      <x:c r="X546" s="201" t="str">
        <x:f>IF(U546=0,"Não iniciado",IF(U546&gt;=M546,"Concluído","Parcial"))</x:f>
        <x:v>Não iniciado</x:v>
      </x:c>
      <x:c r="Y546" s="199" t="str"/>
      <x:c r="Z546" s="188" t="str">
        <x:v>Normal</x:v>
      </x:c>
    </x:row>
    <x:row r="547" ht="22" customHeight="1">
      <x:c r="A547" s="217" t="n">
        <x:v>543</x:v>
      </x:c>
      <x:c r="B547" s="218" t="str">
        <x:v>26824</x:v>
      </x:c>
      <x:c r="C547" s="218" t="str">
        <x:v>3</x:v>
      </x:c>
      <x:c r="D547" s="218" t="str">
        <x:v>609598</x:v>
      </x:c>
      <x:c r="E547" s="218" t="str">
        <x:v>985577</x:v>
      </x:c>
      <x:c r="F547" s="218" t="str">
        <x:v>ALIZAR</x:v>
      </x:c>
      <x:c r="G547" s="184" t="str">
        <x:v>T A 1100X50X9 RTO LME PET BCO TXT (STD)</x:v>
      </x:c>
      <x:c r="H547" s="184" t="str"/>
      <x:c r="I547" s="184" t="str"/>
      <x:c r="J547" s="184" t="str"/>
      <x:c r="K547" s="184" t="str">
        <x:v>ESMALTE</x:v>
      </x:c>
      <x:c r="L547" s="184" t="str">
        <x:v>BRANCO CARRARA</x:v>
      </x:c>
      <x:c r="M547" s="205" t="n">
        <x:v>5</x:v>
      </x:c>
      <x:c r="N547" s="205" t="n">
        <x:v>1100</x:v>
      </x:c>
      <x:c r="O547" s="205" t="n">
        <x:v>50</x:v>
      </x:c>
      <x:c r="P547" s="205" t="n">
        <x:v>9</x:v>
      </x:c>
      <x:c r="Q547" s="206" t="n">
        <x:v>0</x:v>
      </x:c>
      <x:c r="R547" s="207" t="str"/>
      <x:c r="S547" s="207" t="str"/>
      <x:c r="T547" s="207" t="str"/>
      <x:c r="U547" s="207" t="n">
        <x:v>0</x:v>
      </x:c>
      <x:c r="V547" s="208" t="n">
        <x:f>MAX(0,M547-U547)</x:f>
        <x:v>5</x:v>
      </x:c>
      <x:c r="W547" s="209" t="n">
        <x:f>IFERROR(U547/M547,0)</x:f>
        <x:v>0</x:v>
      </x:c>
      <x:c r="X547" s="201" t="str">
        <x:f>IF(U547=0,"Não iniciado",IF(U547&gt;=M547,"Concluído","Parcial"))</x:f>
        <x:v>Não iniciado</x:v>
      </x:c>
      <x:c r="Y547" s="199" t="str"/>
      <x:c r="Z547" s="188" t="str">
        <x:v>Normal</x:v>
      </x:c>
    </x:row>
    <x:row r="548" ht="22" customHeight="1">
      <x:c r="A548" s="219" t="n">
        <x:v>544</x:v>
      </x:c>
      <x:c r="B548" s="220" t="str">
        <x:v>26739</x:v>
      </x:c>
      <x:c r="C548" s="220" t="str">
        <x:v>8</x:v>
      </x:c>
      <x:c r="D548" s="220" t="str">
        <x:v>609639</x:v>
      </x:c>
      <x:c r="E548" s="220" t="str">
        <x:v>919640</x:v>
      </x:c>
      <x:c r="F548" s="220" t="str">
        <x:v>OUTROS</x:v>
      </x:c>
      <x:c r="G548" s="190" t="str">
        <x:v>TR AL 1100X50X9 RTO LME REC PET BCO (ULT</x:v>
      </x:c>
      <x:c r="H548" s="190" t="str"/>
      <x:c r="I548" s="190" t="str"/>
      <x:c r="J548" s="190" t="str"/>
      <x:c r="K548" s="190" t="str">
        <x:v>ESMALTE</x:v>
      </x:c>
      <x:c r="L548" s="190" t="str">
        <x:v>BRANCO CARRARA</x:v>
      </x:c>
      <x:c r="M548" s="210" t="n">
        <x:v>18</x:v>
      </x:c>
      <x:c r="N548" s="210" t="n">
        <x:v>1100</x:v>
      </x:c>
      <x:c r="O548" s="210" t="n">
        <x:v>50</x:v>
      </x:c>
      <x:c r="P548" s="210" t="n">
        <x:v>9</x:v>
      </x:c>
      <x:c r="Q548" s="211" t="n">
        <x:v>0</x:v>
      </x:c>
      <x:c r="R548" s="207" t="str"/>
      <x:c r="S548" s="207" t="str"/>
      <x:c r="T548" s="207" t="str"/>
      <x:c r="U548" s="207" t="n">
        <x:v>0</x:v>
      </x:c>
      <x:c r="V548" s="208" t="n">
        <x:f>MAX(0,M548-U548)</x:f>
        <x:v>18</x:v>
      </x:c>
      <x:c r="W548" s="209" t="n">
        <x:f>IFERROR(U548/M548,0)</x:f>
        <x:v>0</x:v>
      </x:c>
      <x:c r="X548" s="201" t="str">
        <x:f>IF(U548=0,"Não iniciado",IF(U548&gt;=M548,"Concluído","Parcial"))</x:f>
        <x:v>Não iniciado</x:v>
      </x:c>
      <x:c r="Y548" s="199" t="str"/>
      <x:c r="Z548" s="188" t="str">
        <x:v>Normal</x:v>
      </x:c>
    </x:row>
    <x:row r="549" ht="22" customHeight="1">
      <x:c r="A549" s="217" t="n">
        <x:v>545</x:v>
      </x:c>
      <x:c r="B549" s="218" t="str">
        <x:v>26739</x:v>
      </x:c>
      <x:c r="C549" s="218" t="str">
        <x:v>8</x:v>
      </x:c>
      <x:c r="D549" s="218" t="str">
        <x:v>609641</x:v>
      </x:c>
      <x:c r="E549" s="218" t="str">
        <x:v>966149</x:v>
      </x:c>
      <x:c r="F549" s="218" t="str">
        <x:v>OUTROS</x:v>
      </x:c>
      <x:c r="G549" s="184" t="str">
        <x:v>TR AL 1100X50X9 RTO RL80 REC PET BCO (UL</x:v>
      </x:c>
      <x:c r="H549" s="184" t="str"/>
      <x:c r="I549" s="184" t="str"/>
      <x:c r="J549" s="184" t="str"/>
      <x:c r="K549" s="184" t="str">
        <x:v>ESMALTE</x:v>
      </x:c>
      <x:c r="L549" s="184" t="str">
        <x:v>BRANCO CARRARA</x:v>
      </x:c>
      <x:c r="M549" s="205" t="n">
        <x:v>18</x:v>
      </x:c>
      <x:c r="N549" s="205" t="n">
        <x:v>1100</x:v>
      </x:c>
      <x:c r="O549" s="205" t="n">
        <x:v>50</x:v>
      </x:c>
      <x:c r="P549" s="205" t="n">
        <x:v>9</x:v>
      </x:c>
      <x:c r="Q549" s="206" t="n">
        <x:v>0</x:v>
      </x:c>
      <x:c r="R549" s="207" t="str"/>
      <x:c r="S549" s="207" t="str"/>
      <x:c r="T549" s="207" t="str"/>
      <x:c r="U549" s="207" t="n">
        <x:v>0</x:v>
      </x:c>
      <x:c r="V549" s="208" t="n">
        <x:f>MAX(0,M549-U549)</x:f>
        <x:v>18</x:v>
      </x:c>
      <x:c r="W549" s="209" t="n">
        <x:f>IFERROR(U549/M549,0)</x:f>
        <x:v>0</x:v>
      </x:c>
      <x:c r="X549" s="201" t="str">
        <x:f>IF(U549=0,"Não iniciado",IF(U549&gt;=M549,"Concluído","Parcial"))</x:f>
        <x:v>Não iniciado</x:v>
      </x:c>
      <x:c r="Y549" s="199" t="str"/>
      <x:c r="Z549" s="188" t="str">
        <x:v>Normal</x:v>
      </x:c>
    </x:row>
    <x:row r="550" ht="22" customHeight="1">
      <x:c r="A550" s="219" t="n">
        <x:v>546</x:v>
      </x:c>
      <x:c r="B550" s="220" t="str">
        <x:v>26739</x:v>
      </x:c>
      <x:c r="C550" s="220" t="str">
        <x:v>9</x:v>
      </x:c>
      <x:c r="D550" s="220" t="str">
        <x:v>609648</x:v>
      </x:c>
      <x:c r="E550" s="220" t="str">
        <x:v>919640</x:v>
      </x:c>
      <x:c r="F550" s="220" t="str">
        <x:v>OUTROS</x:v>
      </x:c>
      <x:c r="G550" s="190" t="str">
        <x:v>TR AL 1100X50X9 RTO LME REC PET BCO (ULT</x:v>
      </x:c>
      <x:c r="H550" s="190" t="str"/>
      <x:c r="I550" s="190" t="str"/>
      <x:c r="J550" s="190" t="str"/>
      <x:c r="K550" s="190" t="str">
        <x:v>ESMALTE</x:v>
      </x:c>
      <x:c r="L550" s="190" t="str">
        <x:v>BRANCO CARRARA</x:v>
      </x:c>
      <x:c r="M550" s="210" t="n">
        <x:v>6</x:v>
      </x:c>
      <x:c r="N550" s="210" t="n">
        <x:v>1100</x:v>
      </x:c>
      <x:c r="O550" s="210" t="n">
        <x:v>50</x:v>
      </x:c>
      <x:c r="P550" s="210" t="n">
        <x:v>9</x:v>
      </x:c>
      <x:c r="Q550" s="211" t="n">
        <x:v>0</x:v>
      </x:c>
      <x:c r="R550" s="207" t="str"/>
      <x:c r="S550" s="207" t="str"/>
      <x:c r="T550" s="207" t="str"/>
      <x:c r="U550" s="207" t="n">
        <x:v>0</x:v>
      </x:c>
      <x:c r="V550" s="208" t="n">
        <x:f>MAX(0,M550-U550)</x:f>
        <x:v>6</x:v>
      </x:c>
      <x:c r="W550" s="209" t="n">
        <x:f>IFERROR(U550/M550,0)</x:f>
        <x:v>0</x:v>
      </x:c>
      <x:c r="X550" s="201" t="str">
        <x:f>IF(U550=0,"Não iniciado",IF(U550&gt;=M550,"Concluído","Parcial"))</x:f>
        <x:v>Não iniciado</x:v>
      </x:c>
      <x:c r="Y550" s="199" t="str"/>
      <x:c r="Z550" s="188" t="str">
        <x:v>Normal</x:v>
      </x:c>
    </x:row>
    <x:row r="551" ht="22" customHeight="1">
      <x:c r="A551" s="217" t="n">
        <x:v>547</x:v>
      </x:c>
      <x:c r="B551" s="218" t="str">
        <x:v>26739</x:v>
      </x:c>
      <x:c r="C551" s="218" t="str">
        <x:v>9</x:v>
      </x:c>
      <x:c r="D551" s="218" t="str">
        <x:v>609650</x:v>
      </x:c>
      <x:c r="E551" s="218" t="str">
        <x:v>966149</x:v>
      </x:c>
      <x:c r="F551" s="218" t="str">
        <x:v>OUTROS</x:v>
      </x:c>
      <x:c r="G551" s="184" t="str">
        <x:v>TR AL 1100X50X9 RTO RL80 REC PET BCO (UL</x:v>
      </x:c>
      <x:c r="H551" s="184" t="str"/>
      <x:c r="I551" s="184" t="str"/>
      <x:c r="J551" s="184" t="str"/>
      <x:c r="K551" s="184" t="str">
        <x:v>ESMALTE</x:v>
      </x:c>
      <x:c r="L551" s="184" t="str">
        <x:v>BRANCO CARRARA</x:v>
      </x:c>
      <x:c r="M551" s="205" t="n">
        <x:v>6</x:v>
      </x:c>
      <x:c r="N551" s="205" t="n">
        <x:v>1100</x:v>
      </x:c>
      <x:c r="O551" s="205" t="n">
        <x:v>50</x:v>
      </x:c>
      <x:c r="P551" s="205" t="n">
        <x:v>9</x:v>
      </x:c>
      <x:c r="Q551" s="206" t="n">
        <x:v>0</x:v>
      </x:c>
      <x:c r="R551" s="207" t="str"/>
      <x:c r="S551" s="207" t="str"/>
      <x:c r="T551" s="207" t="str"/>
      <x:c r="U551" s="207" t="n">
        <x:v>0</x:v>
      </x:c>
      <x:c r="V551" s="208" t="n">
        <x:f>MAX(0,M551-U551)</x:f>
        <x:v>6</x:v>
      </x:c>
      <x:c r="W551" s="209" t="n">
        <x:f>IFERROR(U551/M551,0)</x:f>
        <x:v>0</x:v>
      </x:c>
      <x:c r="X551" s="201" t="str">
        <x:f>IF(U551=0,"Não iniciado",IF(U551&gt;=M551,"Concluído","Parcial"))</x:f>
        <x:v>Não iniciado</x:v>
      </x:c>
      <x:c r="Y551" s="199" t="str"/>
      <x:c r="Z551" s="188" t="str">
        <x:v>Normal</x:v>
      </x:c>
    </x:row>
    <x:row r="552" ht="22" customHeight="1">
      <x:c r="A552" s="219" t="n">
        <x:v>548</x:v>
      </x:c>
      <x:c r="B552" s="220" t="str">
        <x:v>26739</x:v>
      </x:c>
      <x:c r="C552" s="220" t="str">
        <x:v>10</x:v>
      </x:c>
      <x:c r="D552" s="220" t="str">
        <x:v>609655</x:v>
      </x:c>
      <x:c r="E552" s="220" t="str">
        <x:v>919640</x:v>
      </x:c>
      <x:c r="F552" s="220" t="str">
        <x:v>OUTROS</x:v>
      </x:c>
      <x:c r="G552" s="190" t="str">
        <x:v>TR AL 1100X50X9 RTO LME REC PET BCO (ULT</x:v>
      </x:c>
      <x:c r="H552" s="190" t="str"/>
      <x:c r="I552" s="190" t="str"/>
      <x:c r="J552" s="190" t="str"/>
      <x:c r="K552" s="190" t="str">
        <x:v>ESMALTE</x:v>
      </x:c>
      <x:c r="L552" s="190" t="str">
        <x:v>BRANCO CARRARA</x:v>
      </x:c>
      <x:c r="M552" s="210" t="n">
        <x:v>22</x:v>
      </x:c>
      <x:c r="N552" s="210" t="n">
        <x:v>1100</x:v>
      </x:c>
      <x:c r="O552" s="210" t="n">
        <x:v>50</x:v>
      </x:c>
      <x:c r="P552" s="210" t="n">
        <x:v>9</x:v>
      </x:c>
      <x:c r="Q552" s="211" t="n">
        <x:v>0</x:v>
      </x:c>
      <x:c r="R552" s="207" t="str"/>
      <x:c r="S552" s="207" t="str"/>
      <x:c r="T552" s="207" t="str"/>
      <x:c r="U552" s="207" t="n">
        <x:v>0</x:v>
      </x:c>
      <x:c r="V552" s="208" t="n">
        <x:f>MAX(0,M552-U552)</x:f>
        <x:v>22</x:v>
      </x:c>
      <x:c r="W552" s="209" t="n">
        <x:f>IFERROR(U552/M552,0)</x:f>
        <x:v>0</x:v>
      </x:c>
      <x:c r="X552" s="201" t="str">
        <x:f>IF(U552=0,"Não iniciado",IF(U552&gt;=M552,"Concluído","Parcial"))</x:f>
        <x:v>Não iniciado</x:v>
      </x:c>
      <x:c r="Y552" s="199" t="str"/>
      <x:c r="Z552" s="188" t="str">
        <x:v>Normal</x:v>
      </x:c>
    </x:row>
    <x:row r="553" ht="22" customHeight="1">
      <x:c r="A553" s="217" t="n">
        <x:v>549</x:v>
      </x:c>
      <x:c r="B553" s="218" t="str">
        <x:v>26739</x:v>
      </x:c>
      <x:c r="C553" s="218" t="str">
        <x:v>10</x:v>
      </x:c>
      <x:c r="D553" s="218" t="str">
        <x:v>609657</x:v>
      </x:c>
      <x:c r="E553" s="218" t="str">
        <x:v>966149</x:v>
      </x:c>
      <x:c r="F553" s="218" t="str">
        <x:v>OUTROS</x:v>
      </x:c>
      <x:c r="G553" s="184" t="str">
        <x:v>TR AL 1100X50X9 RTO RL80 REC PET BCO (UL</x:v>
      </x:c>
      <x:c r="H553" s="184" t="str"/>
      <x:c r="I553" s="184" t="str"/>
      <x:c r="J553" s="184" t="str"/>
      <x:c r="K553" s="184" t="str">
        <x:v>ESMALTE</x:v>
      </x:c>
      <x:c r="L553" s="184" t="str">
        <x:v>BRANCO CARRARA</x:v>
      </x:c>
      <x:c r="M553" s="205" t="n">
        <x:v>22</x:v>
      </x:c>
      <x:c r="N553" s="205" t="n">
        <x:v>1100</x:v>
      </x:c>
      <x:c r="O553" s="205" t="n">
        <x:v>50</x:v>
      </x:c>
      <x:c r="P553" s="205" t="n">
        <x:v>9</x:v>
      </x:c>
      <x:c r="Q553" s="206" t="n">
        <x:v>0</x:v>
      </x:c>
      <x:c r="R553" s="207" t="str"/>
      <x:c r="S553" s="207" t="str"/>
      <x:c r="T553" s="207" t="str"/>
      <x:c r="U553" s="207" t="n">
        <x:v>0</x:v>
      </x:c>
      <x:c r="V553" s="208" t="n">
        <x:f>MAX(0,M553-U553)</x:f>
        <x:v>22</x:v>
      </x:c>
      <x:c r="W553" s="209" t="n">
        <x:f>IFERROR(U553/M553,0)</x:f>
        <x:v>0</x:v>
      </x:c>
      <x:c r="X553" s="201" t="str">
        <x:f>IF(U553=0,"Não iniciado",IF(U553&gt;=M553,"Concluído","Parcial"))</x:f>
        <x:v>Não iniciado</x:v>
      </x:c>
      <x:c r="Y553" s="199" t="str"/>
      <x:c r="Z553" s="188" t="str">
        <x:v>Normal</x:v>
      </x:c>
    </x:row>
    <x:row r="554" ht="22" customHeight="1">
      <x:c r="A554" s="219" t="n">
        <x:v>550</x:v>
      </x:c>
      <x:c r="B554" s="220" t="str">
        <x:v>26739</x:v>
      </x:c>
      <x:c r="C554" s="220" t="str">
        <x:v>11</x:v>
      </x:c>
      <x:c r="D554" s="220" t="str">
        <x:v>609663</x:v>
      </x:c>
      <x:c r="E554" s="220" t="str">
        <x:v>919640</x:v>
      </x:c>
      <x:c r="F554" s="220" t="str">
        <x:v>OUTROS</x:v>
      </x:c>
      <x:c r="G554" s="190" t="str">
        <x:v>TR AL 1100X50X9 RTO LME REC PET BCO (ULT</x:v>
      </x:c>
      <x:c r="H554" s="190" t="str"/>
      <x:c r="I554" s="190" t="str"/>
      <x:c r="J554" s="190" t="str"/>
      <x:c r="K554" s="190" t="str">
        <x:v>ESMALTE</x:v>
      </x:c>
      <x:c r="L554" s="190" t="str">
        <x:v>BRANCO CARRARA</x:v>
      </x:c>
      <x:c r="M554" s="210" t="n">
        <x:v>16</x:v>
      </x:c>
      <x:c r="N554" s="210" t="n">
        <x:v>1100</x:v>
      </x:c>
      <x:c r="O554" s="210" t="n">
        <x:v>50</x:v>
      </x:c>
      <x:c r="P554" s="210" t="n">
        <x:v>9</x:v>
      </x:c>
      <x:c r="Q554" s="211" t="n">
        <x:v>0</x:v>
      </x:c>
      <x:c r="R554" s="207" t="str"/>
      <x:c r="S554" s="207" t="str"/>
      <x:c r="T554" s="207" t="str"/>
      <x:c r="U554" s="207" t="n">
        <x:v>0</x:v>
      </x:c>
      <x:c r="V554" s="208" t="n">
        <x:f>MAX(0,M554-U554)</x:f>
        <x:v>16</x:v>
      </x:c>
      <x:c r="W554" s="209" t="n">
        <x:f>IFERROR(U554/M554,0)</x:f>
        <x:v>0</x:v>
      </x:c>
      <x:c r="X554" s="201" t="str">
        <x:f>IF(U554=0,"Não iniciado",IF(U554&gt;=M554,"Concluído","Parcial"))</x:f>
        <x:v>Não iniciado</x:v>
      </x:c>
      <x:c r="Y554" s="199" t="str"/>
      <x:c r="Z554" s="188" t="str">
        <x:v>Normal</x:v>
      </x:c>
    </x:row>
    <x:row r="555" ht="22" customHeight="1">
      <x:c r="A555" s="217" t="n">
        <x:v>551</x:v>
      </x:c>
      <x:c r="B555" s="218" t="str">
        <x:v>26739</x:v>
      </x:c>
      <x:c r="C555" s="218" t="str">
        <x:v>11</x:v>
      </x:c>
      <x:c r="D555" s="218" t="str">
        <x:v>609667</x:v>
      </x:c>
      <x:c r="E555" s="218" t="str">
        <x:v>966149</x:v>
      </x:c>
      <x:c r="F555" s="218" t="str">
        <x:v>OUTROS</x:v>
      </x:c>
      <x:c r="G555" s="184" t="str">
        <x:v>TR AL 1100X50X9 RTO RL80 REC PET BCO (UL</x:v>
      </x:c>
      <x:c r="H555" s="184" t="str"/>
      <x:c r="I555" s="184" t="str"/>
      <x:c r="J555" s="184" t="str"/>
      <x:c r="K555" s="184" t="str">
        <x:v>ESMALTE</x:v>
      </x:c>
      <x:c r="L555" s="184" t="str">
        <x:v>BRANCO CARRARA</x:v>
      </x:c>
      <x:c r="M555" s="205" t="n">
        <x:v>16</x:v>
      </x:c>
      <x:c r="N555" s="205" t="n">
        <x:v>1100</x:v>
      </x:c>
      <x:c r="O555" s="205" t="n">
        <x:v>50</x:v>
      </x:c>
      <x:c r="P555" s="205" t="n">
        <x:v>9</x:v>
      </x:c>
      <x:c r="Q555" s="206" t="n">
        <x:v>0</x:v>
      </x:c>
      <x:c r="R555" s="207" t="str"/>
      <x:c r="S555" s="207" t="str"/>
      <x:c r="T555" s="207" t="str"/>
      <x:c r="U555" s="207" t="n">
        <x:v>0</x:v>
      </x:c>
      <x:c r="V555" s="208" t="n">
        <x:f>MAX(0,M555-U555)</x:f>
        <x:v>16</x:v>
      </x:c>
      <x:c r="W555" s="209" t="n">
        <x:f>IFERROR(U555/M555,0)</x:f>
        <x:v>0</x:v>
      </x:c>
      <x:c r="X555" s="201" t="str">
        <x:f>IF(U555=0,"Não iniciado",IF(U555&gt;=M555,"Concluído","Parcial"))</x:f>
        <x:v>Não iniciado</x:v>
      </x:c>
      <x:c r="Y555" s="199" t="str"/>
      <x:c r="Z555" s="188" t="str">
        <x:v>Normal</x:v>
      </x:c>
    </x:row>
    <x:row r="556" ht="22" customHeight="1">
      <x:c r="A556" s="219" t="n">
        <x:v>552</x:v>
      </x:c>
      <x:c r="B556" s="220" t="str">
        <x:v>26739</x:v>
      </x:c>
      <x:c r="C556" s="220" t="str">
        <x:v>12</x:v>
      </x:c>
      <x:c r="D556" s="220" t="str">
        <x:v>609672</x:v>
      </x:c>
      <x:c r="E556" s="220" t="str">
        <x:v>919640</x:v>
      </x:c>
      <x:c r="F556" s="220" t="str">
        <x:v>OUTROS</x:v>
      </x:c>
      <x:c r="G556" s="190" t="str">
        <x:v>TR AL 1100X50X9 RTO LME REC PET BCO (ULT</x:v>
      </x:c>
      <x:c r="H556" s="190" t="str"/>
      <x:c r="I556" s="190" t="str"/>
      <x:c r="J556" s="190" t="str"/>
      <x:c r="K556" s="190" t="str">
        <x:v>ESMALTE</x:v>
      </x:c>
      <x:c r="L556" s="190" t="str">
        <x:v>BRANCO CARRARA</x:v>
      </x:c>
      <x:c r="M556" s="210" t="n">
        <x:v>1</x:v>
      </x:c>
      <x:c r="N556" s="210" t="n">
        <x:v>1100</x:v>
      </x:c>
      <x:c r="O556" s="210" t="n">
        <x:v>50</x:v>
      </x:c>
      <x:c r="P556" s="210" t="n">
        <x:v>9</x:v>
      </x:c>
      <x:c r="Q556" s="211" t="n">
        <x:v>0</x:v>
      </x:c>
      <x:c r="R556" s="207" t="str"/>
      <x:c r="S556" s="207" t="str"/>
      <x:c r="T556" s="207" t="str"/>
      <x:c r="U556" s="207" t="n">
        <x:v>0</x:v>
      </x:c>
      <x:c r="V556" s="208" t="n">
        <x:f>MAX(0,M556-U556)</x:f>
        <x:v>1</x:v>
      </x:c>
      <x:c r="W556" s="209" t="n">
        <x:f>IFERROR(U556/M556,0)</x:f>
        <x:v>0</x:v>
      </x:c>
      <x:c r="X556" s="201" t="str">
        <x:f>IF(U556=0,"Não iniciado",IF(U556&gt;=M556,"Concluído","Parcial"))</x:f>
        <x:v>Não iniciado</x:v>
      </x:c>
      <x:c r="Y556" s="199" t="str"/>
      <x:c r="Z556" s="188" t="str">
        <x:v>Normal</x:v>
      </x:c>
    </x:row>
    <x:row r="557" ht="22" customHeight="1">
      <x:c r="A557" s="217" t="n">
        <x:v>553</x:v>
      </x:c>
      <x:c r="B557" s="218" t="str">
        <x:v>26739</x:v>
      </x:c>
      <x:c r="C557" s="218" t="str">
        <x:v>12</x:v>
      </x:c>
      <x:c r="D557" s="218" t="str">
        <x:v>609674</x:v>
      </x:c>
      <x:c r="E557" s="218" t="str">
        <x:v>966149</x:v>
      </x:c>
      <x:c r="F557" s="218" t="str">
        <x:v>OUTROS</x:v>
      </x:c>
      <x:c r="G557" s="184" t="str">
        <x:v>TR AL 1100X50X9 RTO RL80 REC PET BCO (UL</x:v>
      </x:c>
      <x:c r="H557" s="184" t="str"/>
      <x:c r="I557" s="184" t="str"/>
      <x:c r="J557" s="184" t="str"/>
      <x:c r="K557" s="184" t="str">
        <x:v>ESMALTE</x:v>
      </x:c>
      <x:c r="L557" s="184" t="str">
        <x:v>BRANCO CARRARA</x:v>
      </x:c>
      <x:c r="M557" s="205" t="n">
        <x:v>1</x:v>
      </x:c>
      <x:c r="N557" s="205" t="n">
        <x:v>1100</x:v>
      </x:c>
      <x:c r="O557" s="205" t="n">
        <x:v>50</x:v>
      </x:c>
      <x:c r="P557" s="205" t="n">
        <x:v>9</x:v>
      </x:c>
      <x:c r="Q557" s="206" t="n">
        <x:v>0</x:v>
      </x:c>
      <x:c r="R557" s="207" t="str"/>
      <x:c r="S557" s="207" t="str"/>
      <x:c r="T557" s="207" t="str"/>
      <x:c r="U557" s="207" t="n">
        <x:v>0</x:v>
      </x:c>
      <x:c r="V557" s="208" t="n">
        <x:f>MAX(0,M557-U557)</x:f>
        <x:v>1</x:v>
      </x:c>
      <x:c r="W557" s="209" t="n">
        <x:f>IFERROR(U557/M557,0)</x:f>
        <x:v>0</x:v>
      </x:c>
      <x:c r="X557" s="201" t="str">
        <x:f>IF(U557=0,"Não iniciado",IF(U557&gt;=M557,"Concluído","Parcial"))</x:f>
        <x:v>Não iniciado</x:v>
      </x:c>
      <x:c r="Y557" s="199" t="str"/>
      <x:c r="Z557" s="188" t="str">
        <x:v>Normal</x:v>
      </x:c>
    </x:row>
    <x:row r="558" ht="22" customHeight="1">
      <x:c r="A558" s="219" t="n">
        <x:v>554</x:v>
      </x:c>
      <x:c r="B558" s="220" t="str">
        <x:v>26739</x:v>
      </x:c>
      <x:c r="C558" s="220" t="str">
        <x:v>15</x:v>
      </x:c>
      <x:c r="D558" s="220" t="str">
        <x:v>609683</x:v>
      </x:c>
      <x:c r="E558" s="220" t="str">
        <x:v>919640</x:v>
      </x:c>
      <x:c r="F558" s="220" t="str">
        <x:v>OUTROS</x:v>
      </x:c>
      <x:c r="G558" s="190" t="str">
        <x:v>TR AL 1100X50X9 RTO LME REC PET BCO (ULT</x:v>
      </x:c>
      <x:c r="H558" s="190" t="str">
        <x:v>REG 2L(MAIOR 80MM)</x:v>
      </x:c>
      <x:c r="I558" s="190" t="str"/>
      <x:c r="J558" s="190" t="str"/>
      <x:c r="K558" s="190" t="str">
        <x:v>RECOBERTO PET</x:v>
      </x:c>
      <x:c r="L558" s="190" t="str">
        <x:v>BRANCO CARRARA</x:v>
      </x:c>
      <x:c r="M558" s="210" t="n">
        <x:v>7</x:v>
      </x:c>
      <x:c r="N558" s="210" t="n">
        <x:v>1100</x:v>
      </x:c>
      <x:c r="O558" s="210" t="n">
        <x:v>50</x:v>
      </x:c>
      <x:c r="P558" s="210" t="n">
        <x:v>9</x:v>
      </x:c>
      <x:c r="Q558" s="211" t="n">
        <x:v>0</x:v>
      </x:c>
      <x:c r="R558" s="207" t="str"/>
      <x:c r="S558" s="207" t="str"/>
      <x:c r="T558" s="207" t="str"/>
      <x:c r="U558" s="207" t="n">
        <x:v>0</x:v>
      </x:c>
      <x:c r="V558" s="208" t="n">
        <x:f>MAX(0,M558-U558)</x:f>
        <x:v>7</x:v>
      </x:c>
      <x:c r="W558" s="209" t="n">
        <x:f>IFERROR(U558/M558,0)</x:f>
        <x:v>0</x:v>
      </x:c>
      <x:c r="X558" s="201" t="str">
        <x:f>IF(U558=0,"Não iniciado",IF(U558&gt;=M558,"Concluído","Parcial"))</x:f>
        <x:v>Não iniciado</x:v>
      </x:c>
      <x:c r="Y558" s="199" t="str"/>
      <x:c r="Z558" s="188" t="str">
        <x:v>Normal</x:v>
      </x:c>
    </x:row>
    <x:row r="559" ht="22" customHeight="1">
      <x:c r="A559" s="217" t="n">
        <x:v>555</x:v>
      </x:c>
      <x:c r="B559" s="218" t="str">
        <x:v>26739</x:v>
      </x:c>
      <x:c r="C559" s="218" t="str">
        <x:v>15</x:v>
      </x:c>
      <x:c r="D559" s="218" t="str">
        <x:v>609685</x:v>
      </x:c>
      <x:c r="E559" s="218" t="str">
        <x:v>966149</x:v>
      </x:c>
      <x:c r="F559" s="218" t="str">
        <x:v>OUTROS</x:v>
      </x:c>
      <x:c r="G559" s="184" t="str">
        <x:v>TR AL 1100X50X9 RTO RL80 REC PET BCO (UL</x:v>
      </x:c>
      <x:c r="H559" s="184" t="str">
        <x:v>REG 2L(MAIOR 80MM)</x:v>
      </x:c>
      <x:c r="I559" s="184" t="str"/>
      <x:c r="J559" s="184" t="str"/>
      <x:c r="K559" s="184" t="str">
        <x:v>RECOBERTO PET</x:v>
      </x:c>
      <x:c r="L559" s="184" t="str">
        <x:v>BRANCO CARRARA</x:v>
      </x:c>
      <x:c r="M559" s="205" t="n">
        <x:v>7</x:v>
      </x:c>
      <x:c r="N559" s="205" t="n">
        <x:v>1100</x:v>
      </x:c>
      <x:c r="O559" s="205" t="n">
        <x:v>50</x:v>
      </x:c>
      <x:c r="P559" s="205" t="n">
        <x:v>9</x:v>
      </x:c>
      <x:c r="Q559" s="206" t="n">
        <x:v>0</x:v>
      </x:c>
      <x:c r="R559" s="207" t="str"/>
      <x:c r="S559" s="207" t="str"/>
      <x:c r="T559" s="207" t="str"/>
      <x:c r="U559" s="207" t="n">
        <x:v>0</x:v>
      </x:c>
      <x:c r="V559" s="208" t="n">
        <x:f>MAX(0,M559-U559)</x:f>
        <x:v>7</x:v>
      </x:c>
      <x:c r="W559" s="209" t="n">
        <x:f>IFERROR(U559/M559,0)</x:f>
        <x:v>0</x:v>
      </x:c>
      <x:c r="X559" s="201" t="str">
        <x:f>IF(U559=0,"Não iniciado",IF(U559&gt;=M559,"Concluído","Parcial"))</x:f>
        <x:v>Não iniciado</x:v>
      </x:c>
      <x:c r="Y559" s="199" t="str"/>
      <x:c r="Z559" s="188" t="str">
        <x:v>Normal</x:v>
      </x:c>
    </x:row>
    <x:row r="560" ht="22" customHeight="1">
      <x:c r="A560" s="219" t="n">
        <x:v>556</x:v>
      </x:c>
      <x:c r="B560" s="220" t="str">
        <x:v>26739</x:v>
      </x:c>
      <x:c r="C560" s="220" t="str">
        <x:v>17</x:v>
      </x:c>
      <x:c r="D560" s="220" t="str">
        <x:v>609694</x:v>
      </x:c>
      <x:c r="E560" s="220" t="str">
        <x:v>919640</x:v>
      </x:c>
      <x:c r="F560" s="220" t="str">
        <x:v>OUTROS</x:v>
      </x:c>
      <x:c r="G560" s="190" t="str">
        <x:v>TR AL 1100X50X9 RTO LME REC PET BCO (ULT</x:v>
      </x:c>
      <x:c r="H560" s="190" t="str"/>
      <x:c r="I560" s="190" t="str"/>
      <x:c r="J560" s="190" t="str"/>
      <x:c r="K560" s="190" t="str">
        <x:v>ESMALTE</x:v>
      </x:c>
      <x:c r="L560" s="190" t="str">
        <x:v>BRANCO CARRARA</x:v>
      </x:c>
      <x:c r="M560" s="210" t="n">
        <x:v>9</x:v>
      </x:c>
      <x:c r="N560" s="210" t="n">
        <x:v>1100</x:v>
      </x:c>
      <x:c r="O560" s="210" t="n">
        <x:v>50</x:v>
      </x:c>
      <x:c r="P560" s="210" t="n">
        <x:v>9</x:v>
      </x:c>
      <x:c r="Q560" s="211" t="n">
        <x:v>0</x:v>
      </x:c>
      <x:c r="R560" s="207" t="str"/>
      <x:c r="S560" s="207" t="str"/>
      <x:c r="T560" s="207" t="str"/>
      <x:c r="U560" s="207" t="n">
        <x:v>0</x:v>
      </x:c>
      <x:c r="V560" s="208" t="n">
        <x:f>MAX(0,M560-U560)</x:f>
        <x:v>9</x:v>
      </x:c>
      <x:c r="W560" s="209" t="n">
        <x:f>IFERROR(U560/M560,0)</x:f>
        <x:v>0</x:v>
      </x:c>
      <x:c r="X560" s="201" t="str">
        <x:f>IF(U560=0,"Não iniciado",IF(U560&gt;=M560,"Concluído","Parcial"))</x:f>
        <x:v>Não iniciado</x:v>
      </x:c>
      <x:c r="Y560" s="199" t="str"/>
      <x:c r="Z560" s="188" t="str">
        <x:v>Normal</x:v>
      </x:c>
    </x:row>
    <x:row r="561" ht="22" customHeight="1">
      <x:c r="A561" s="217" t="n">
        <x:v>557</x:v>
      </x:c>
      <x:c r="B561" s="218" t="str">
        <x:v>26739</x:v>
      </x:c>
      <x:c r="C561" s="218" t="str">
        <x:v>17</x:v>
      </x:c>
      <x:c r="D561" s="218" t="str">
        <x:v>609696</x:v>
      </x:c>
      <x:c r="E561" s="218" t="str">
        <x:v>966149</x:v>
      </x:c>
      <x:c r="F561" s="218" t="str">
        <x:v>OUTROS</x:v>
      </x:c>
      <x:c r="G561" s="184" t="str">
        <x:v>TR AL 1100X50X9 RTO RL80 REC PET BCO (UL</x:v>
      </x:c>
      <x:c r="H561" s="184" t="str"/>
      <x:c r="I561" s="184" t="str"/>
      <x:c r="J561" s="184" t="str"/>
      <x:c r="K561" s="184" t="str">
        <x:v>ESMALTE</x:v>
      </x:c>
      <x:c r="L561" s="184" t="str">
        <x:v>BRANCO CARRARA</x:v>
      </x:c>
      <x:c r="M561" s="205" t="n">
        <x:v>9</x:v>
      </x:c>
      <x:c r="N561" s="205" t="n">
        <x:v>1100</x:v>
      </x:c>
      <x:c r="O561" s="205" t="n">
        <x:v>50</x:v>
      </x:c>
      <x:c r="P561" s="205" t="n">
        <x:v>9</x:v>
      </x:c>
      <x:c r="Q561" s="206" t="n">
        <x:v>0</x:v>
      </x:c>
      <x:c r="R561" s="207" t="str"/>
      <x:c r="S561" s="207" t="str"/>
      <x:c r="T561" s="207" t="str"/>
      <x:c r="U561" s="207" t="n">
        <x:v>0</x:v>
      </x:c>
      <x:c r="V561" s="208" t="n">
        <x:f>MAX(0,M561-U561)</x:f>
        <x:v>9</x:v>
      </x:c>
      <x:c r="W561" s="209" t="n">
        <x:f>IFERROR(U561/M561,0)</x:f>
        <x:v>0</x:v>
      </x:c>
      <x:c r="X561" s="201" t="str">
        <x:f>IF(U561=0,"Não iniciado",IF(U561&gt;=M561,"Concluído","Parcial"))</x:f>
        <x:v>Não iniciado</x:v>
      </x:c>
      <x:c r="Y561" s="199" t="str"/>
      <x:c r="Z561" s="188" t="str">
        <x:v>Normal</x:v>
      </x:c>
    </x:row>
    <x:row r="562" ht="22" customHeight="1">
      <x:c r="A562" s="219" t="n">
        <x:v>558</x:v>
      </x:c>
      <x:c r="B562" s="220" t="str">
        <x:v>26739</x:v>
      </x:c>
      <x:c r="C562" s="220" t="str">
        <x:v>18</x:v>
      </x:c>
      <x:c r="D562" s="220" t="str">
        <x:v>609702</x:v>
      </x:c>
      <x:c r="E562" s="220" t="str">
        <x:v>919640</x:v>
      </x:c>
      <x:c r="F562" s="220" t="str">
        <x:v>OUTROS</x:v>
      </x:c>
      <x:c r="G562" s="190" t="str">
        <x:v>TR AL 1100X50X9 RTO LME REC PET BCO (ULT</x:v>
      </x:c>
      <x:c r="H562" s="190" t="str"/>
      <x:c r="I562" s="190" t="str"/>
      <x:c r="J562" s="190" t="str"/>
      <x:c r="K562" s="190" t="str">
        <x:v>ESMALTE</x:v>
      </x:c>
      <x:c r="L562" s="190" t="str">
        <x:v>BRANCO CARRARA</x:v>
      </x:c>
      <x:c r="M562" s="210" t="n">
        <x:v>5</x:v>
      </x:c>
      <x:c r="N562" s="210" t="n">
        <x:v>1100</x:v>
      </x:c>
      <x:c r="O562" s="210" t="n">
        <x:v>50</x:v>
      </x:c>
      <x:c r="P562" s="210" t="n">
        <x:v>9</x:v>
      </x:c>
      <x:c r="Q562" s="211" t="n">
        <x:v>0</x:v>
      </x:c>
      <x:c r="R562" s="207" t="str"/>
      <x:c r="S562" s="207" t="str"/>
      <x:c r="T562" s="207" t="str"/>
      <x:c r="U562" s="207" t="n">
        <x:v>0</x:v>
      </x:c>
      <x:c r="V562" s="208" t="n">
        <x:f>MAX(0,M562-U562)</x:f>
        <x:v>5</x:v>
      </x:c>
      <x:c r="W562" s="209" t="n">
        <x:f>IFERROR(U562/M562,0)</x:f>
        <x:v>0</x:v>
      </x:c>
      <x:c r="X562" s="201" t="str">
        <x:f>IF(U562=0,"Não iniciado",IF(U562&gt;=M562,"Concluído","Parcial"))</x:f>
        <x:v>Não iniciado</x:v>
      </x:c>
      <x:c r="Y562" s="199" t="str"/>
      <x:c r="Z562" s="188" t="str">
        <x:v>Normal</x:v>
      </x:c>
    </x:row>
    <x:row r="563" ht="22" customHeight="1">
      <x:c r="A563" s="217" t="n">
        <x:v>559</x:v>
      </x:c>
      <x:c r="B563" s="218" t="str">
        <x:v>26739</x:v>
      </x:c>
      <x:c r="C563" s="218" t="str">
        <x:v>18</x:v>
      </x:c>
      <x:c r="D563" s="218" t="str">
        <x:v>609704</x:v>
      </x:c>
      <x:c r="E563" s="218" t="str">
        <x:v>966149</x:v>
      </x:c>
      <x:c r="F563" s="218" t="str">
        <x:v>OUTROS</x:v>
      </x:c>
      <x:c r="G563" s="184" t="str">
        <x:v>TR AL 1100X50X9 RTO RL80 REC PET BCO (UL</x:v>
      </x:c>
      <x:c r="H563" s="184" t="str"/>
      <x:c r="I563" s="184" t="str"/>
      <x:c r="J563" s="184" t="str"/>
      <x:c r="K563" s="184" t="str">
        <x:v>ESMALTE</x:v>
      </x:c>
      <x:c r="L563" s="184" t="str">
        <x:v>BRANCO CARRARA</x:v>
      </x:c>
      <x:c r="M563" s="205" t="n">
        <x:v>5</x:v>
      </x:c>
      <x:c r="N563" s="205" t="n">
        <x:v>1100</x:v>
      </x:c>
      <x:c r="O563" s="205" t="n">
        <x:v>50</x:v>
      </x:c>
      <x:c r="P563" s="205" t="n">
        <x:v>9</x:v>
      </x:c>
      <x:c r="Q563" s="206" t="n">
        <x:v>0</x:v>
      </x:c>
      <x:c r="R563" s="207" t="str"/>
      <x:c r="S563" s="207" t="str"/>
      <x:c r="T563" s="207" t="str"/>
      <x:c r="U563" s="207" t="n">
        <x:v>0</x:v>
      </x:c>
      <x:c r="V563" s="208" t="n">
        <x:f>MAX(0,M563-U563)</x:f>
        <x:v>5</x:v>
      </x:c>
      <x:c r="W563" s="209" t="n">
        <x:f>IFERROR(U563/M563,0)</x:f>
        <x:v>0</x:v>
      </x:c>
      <x:c r="X563" s="201" t="str">
        <x:f>IF(U563=0,"Não iniciado",IF(U563&gt;=M563,"Concluído","Parcial"))</x:f>
        <x:v>Não iniciado</x:v>
      </x:c>
      <x:c r="Y563" s="199" t="str"/>
      <x:c r="Z563" s="188" t="str">
        <x:v>Normal</x:v>
      </x:c>
    </x:row>
    <x:row r="564" ht="22" customHeight="1">
      <x:c r="A564" s="219" t="n">
        <x:v>560</x:v>
      </x:c>
      <x:c r="B564" s="220" t="str">
        <x:v>26739</x:v>
      </x:c>
      <x:c r="C564" s="220" t="str">
        <x:v>19</x:v>
      </x:c>
      <x:c r="D564" s="220" t="str">
        <x:v>609710</x:v>
      </x:c>
      <x:c r="E564" s="220" t="str">
        <x:v>919640</x:v>
      </x:c>
      <x:c r="F564" s="220" t="str">
        <x:v>OUTROS</x:v>
      </x:c>
      <x:c r="G564" s="190" t="str">
        <x:v>TR AL 1100X50X9 RTO LME REC PET BCO (ULT</x:v>
      </x:c>
      <x:c r="H564" s="190" t="str"/>
      <x:c r="I564" s="190" t="str"/>
      <x:c r="J564" s="190" t="str"/>
      <x:c r="K564" s="190" t="str">
        <x:v>ESMALTE</x:v>
      </x:c>
      <x:c r="L564" s="190" t="str">
        <x:v>BRANCO CARRARA</x:v>
      </x:c>
      <x:c r="M564" s="210" t="n">
        <x:v>27</x:v>
      </x:c>
      <x:c r="N564" s="210" t="n">
        <x:v>1100</x:v>
      </x:c>
      <x:c r="O564" s="210" t="n">
        <x:v>50</x:v>
      </x:c>
      <x:c r="P564" s="210" t="n">
        <x:v>9</x:v>
      </x:c>
      <x:c r="Q564" s="211" t="n">
        <x:v>0</x:v>
      </x:c>
      <x:c r="R564" s="207" t="str"/>
      <x:c r="S564" s="207" t="str"/>
      <x:c r="T564" s="207" t="str"/>
      <x:c r="U564" s="207" t="n">
        <x:v>0</x:v>
      </x:c>
      <x:c r="V564" s="208" t="n">
        <x:f>MAX(0,M564-U564)</x:f>
        <x:v>27</x:v>
      </x:c>
      <x:c r="W564" s="209" t="n">
        <x:f>IFERROR(U564/M564,0)</x:f>
        <x:v>0</x:v>
      </x:c>
      <x:c r="X564" s="201" t="str">
        <x:f>IF(U564=0,"Não iniciado",IF(U564&gt;=M564,"Concluído","Parcial"))</x:f>
        <x:v>Não iniciado</x:v>
      </x:c>
      <x:c r="Y564" s="199" t="str"/>
      <x:c r="Z564" s="188" t="str">
        <x:v>Normal</x:v>
      </x:c>
    </x:row>
    <x:row r="565" ht="22" customHeight="1">
      <x:c r="A565" s="217" t="n">
        <x:v>561</x:v>
      </x:c>
      <x:c r="B565" s="218" t="str">
        <x:v>26739</x:v>
      </x:c>
      <x:c r="C565" s="218" t="str">
        <x:v>19</x:v>
      </x:c>
      <x:c r="D565" s="218" t="str">
        <x:v>609713</x:v>
      </x:c>
      <x:c r="E565" s="218" t="str">
        <x:v>966149</x:v>
      </x:c>
      <x:c r="F565" s="218" t="str">
        <x:v>OUTROS</x:v>
      </x:c>
      <x:c r="G565" s="184" t="str">
        <x:v>TR AL 1100X50X9 RTO RL80 REC PET BCO (UL</x:v>
      </x:c>
      <x:c r="H565" s="184" t="str"/>
      <x:c r="I565" s="184" t="str"/>
      <x:c r="J565" s="184" t="str"/>
      <x:c r="K565" s="184" t="str">
        <x:v>ESMALTE</x:v>
      </x:c>
      <x:c r="L565" s="184" t="str">
        <x:v>BRANCO CARRARA</x:v>
      </x:c>
      <x:c r="M565" s="205" t="n">
        <x:v>27</x:v>
      </x:c>
      <x:c r="N565" s="205" t="n">
        <x:v>1100</x:v>
      </x:c>
      <x:c r="O565" s="205" t="n">
        <x:v>50</x:v>
      </x:c>
      <x:c r="P565" s="205" t="n">
        <x:v>9</x:v>
      </x:c>
      <x:c r="Q565" s="206" t="n">
        <x:v>0</x:v>
      </x:c>
      <x:c r="R565" s="207" t="str"/>
      <x:c r="S565" s="207" t="str"/>
      <x:c r="T565" s="207" t="str"/>
      <x:c r="U565" s="207" t="n">
        <x:v>0</x:v>
      </x:c>
      <x:c r="V565" s="208" t="n">
        <x:f>MAX(0,M565-U565)</x:f>
        <x:v>27</x:v>
      </x:c>
      <x:c r="W565" s="209" t="n">
        <x:f>IFERROR(U565/M565,0)</x:f>
        <x:v>0</x:v>
      </x:c>
      <x:c r="X565" s="201" t="str">
        <x:f>IF(U565=0,"Não iniciado",IF(U565&gt;=M565,"Concluído","Parcial"))</x:f>
        <x:v>Não iniciado</x:v>
      </x:c>
      <x:c r="Y565" s="199" t="str"/>
      <x:c r="Z565" s="188" t="str">
        <x:v>Normal</x:v>
      </x:c>
    </x:row>
    <x:row r="566" ht="22" customHeight="1">
      <x:c r="A566" s="219" t="n">
        <x:v>562</x:v>
      </x:c>
      <x:c r="B566" s="220" t="str">
        <x:v>26739</x:v>
      </x:c>
      <x:c r="C566" s="220" t="str">
        <x:v>20</x:v>
      </x:c>
      <x:c r="D566" s="220" t="str">
        <x:v>609718</x:v>
      </x:c>
      <x:c r="E566" s="220" t="str">
        <x:v>919640</x:v>
      </x:c>
      <x:c r="F566" s="220" t="str">
        <x:v>OUTROS</x:v>
      </x:c>
      <x:c r="G566" s="190" t="str">
        <x:v>TR AL 1100X50X9 RTO LME REC PET BCO (ULT</x:v>
      </x:c>
      <x:c r="H566" s="190" t="str"/>
      <x:c r="I566" s="190" t="str"/>
      <x:c r="J566" s="190" t="str"/>
      <x:c r="K566" s="190" t="str">
        <x:v>ESMALTE</x:v>
      </x:c>
      <x:c r="L566" s="190" t="str">
        <x:v>BRANCO CARRARA</x:v>
      </x:c>
      <x:c r="M566" s="210" t="n">
        <x:v>3</x:v>
      </x:c>
      <x:c r="N566" s="210" t="n">
        <x:v>1100</x:v>
      </x:c>
      <x:c r="O566" s="210" t="n">
        <x:v>50</x:v>
      </x:c>
      <x:c r="P566" s="210" t="n">
        <x:v>9</x:v>
      </x:c>
      <x:c r="Q566" s="211" t="n">
        <x:v>0</x:v>
      </x:c>
      <x:c r="R566" s="207" t="str"/>
      <x:c r="S566" s="207" t="str"/>
      <x:c r="T566" s="207" t="str"/>
      <x:c r="U566" s="207" t="n">
        <x:v>0</x:v>
      </x:c>
      <x:c r="V566" s="208" t="n">
        <x:f>MAX(0,M566-U566)</x:f>
        <x:v>3</x:v>
      </x:c>
      <x:c r="W566" s="209" t="n">
        <x:f>IFERROR(U566/M566,0)</x:f>
        <x:v>0</x:v>
      </x:c>
      <x:c r="X566" s="201" t="str">
        <x:f>IF(U566=0,"Não iniciado",IF(U566&gt;=M566,"Concluído","Parcial"))</x:f>
        <x:v>Não iniciado</x:v>
      </x:c>
      <x:c r="Y566" s="199" t="str"/>
      <x:c r="Z566" s="188" t="str">
        <x:v>Normal</x:v>
      </x:c>
    </x:row>
    <x:row r="567" ht="22" customHeight="1">
      <x:c r="A567" s="217" t="n">
        <x:v>563</x:v>
      </x:c>
      <x:c r="B567" s="218" t="str">
        <x:v>26739</x:v>
      </x:c>
      <x:c r="C567" s="218" t="str">
        <x:v>20</x:v>
      </x:c>
      <x:c r="D567" s="218" t="str">
        <x:v>609721</x:v>
      </x:c>
      <x:c r="E567" s="218" t="str">
        <x:v>966149</x:v>
      </x:c>
      <x:c r="F567" s="218" t="str">
        <x:v>OUTROS</x:v>
      </x:c>
      <x:c r="G567" s="184" t="str">
        <x:v>TR AL 1100X50X9 RTO RL80 REC PET BCO (UL</x:v>
      </x:c>
      <x:c r="H567" s="184" t="str"/>
      <x:c r="I567" s="184" t="str"/>
      <x:c r="J567" s="184" t="str"/>
      <x:c r="K567" s="184" t="str">
        <x:v>ESMALTE</x:v>
      </x:c>
      <x:c r="L567" s="184" t="str">
        <x:v>BRANCO CARRARA</x:v>
      </x:c>
      <x:c r="M567" s="205" t="n">
        <x:v>3</x:v>
      </x:c>
      <x:c r="N567" s="205" t="n">
        <x:v>1100</x:v>
      </x:c>
      <x:c r="O567" s="205" t="n">
        <x:v>50</x:v>
      </x:c>
      <x:c r="P567" s="205" t="n">
        <x:v>9</x:v>
      </x:c>
      <x:c r="Q567" s="206" t="n">
        <x:v>0</x:v>
      </x:c>
      <x:c r="R567" s="207" t="str"/>
      <x:c r="S567" s="207" t="str"/>
      <x:c r="T567" s="207" t="str"/>
      <x:c r="U567" s="207" t="n">
        <x:v>0</x:v>
      </x:c>
      <x:c r="V567" s="208" t="n">
        <x:f>MAX(0,M567-U567)</x:f>
        <x:v>3</x:v>
      </x:c>
      <x:c r="W567" s="209" t="n">
        <x:f>IFERROR(U567/M567,0)</x:f>
        <x:v>0</x:v>
      </x:c>
      <x:c r="X567" s="201" t="str">
        <x:f>IF(U567=0,"Não iniciado",IF(U567&gt;=M567,"Concluído","Parcial"))</x:f>
        <x:v>Não iniciado</x:v>
      </x:c>
      <x:c r="Y567" s="199" t="str"/>
      <x:c r="Z567" s="188" t="str">
        <x:v>Normal</x:v>
      </x:c>
    </x:row>
    <x:row r="568" ht="22" customHeight="1">
      <x:c r="A568" s="219" t="n">
        <x:v>564</x:v>
      </x:c>
      <x:c r="B568" s="220" t="str">
        <x:v>26739</x:v>
      </x:c>
      <x:c r="C568" s="220" t="str">
        <x:v>21</x:v>
      </x:c>
      <x:c r="D568" s="220" t="str">
        <x:v>609727</x:v>
      </x:c>
      <x:c r="E568" s="220" t="str">
        <x:v>919640</x:v>
      </x:c>
      <x:c r="F568" s="220" t="str">
        <x:v>OUTROS</x:v>
      </x:c>
      <x:c r="G568" s="190" t="str">
        <x:v>TR AL 1100X50X9 RTO LME REC PET BCO (ULT</x:v>
      </x:c>
      <x:c r="H568" s="190" t="str"/>
      <x:c r="I568" s="190" t="str"/>
      <x:c r="J568" s="190" t="str"/>
      <x:c r="K568" s="190" t="str">
        <x:v>ESMALTE</x:v>
      </x:c>
      <x:c r="L568" s="190" t="str">
        <x:v>BRANCO CARRARA</x:v>
      </x:c>
      <x:c r="M568" s="210" t="n">
        <x:v>10</x:v>
      </x:c>
      <x:c r="N568" s="210" t="n">
        <x:v>1100</x:v>
      </x:c>
      <x:c r="O568" s="210" t="n">
        <x:v>50</x:v>
      </x:c>
      <x:c r="P568" s="210" t="n">
        <x:v>9</x:v>
      </x:c>
      <x:c r="Q568" s="211" t="n">
        <x:v>0</x:v>
      </x:c>
      <x:c r="R568" s="207" t="str"/>
      <x:c r="S568" s="207" t="str"/>
      <x:c r="T568" s="207" t="str"/>
      <x:c r="U568" s="207" t="n">
        <x:v>0</x:v>
      </x:c>
      <x:c r="V568" s="208" t="n">
        <x:f>MAX(0,M568-U568)</x:f>
        <x:v>10</x:v>
      </x:c>
      <x:c r="W568" s="209" t="n">
        <x:f>IFERROR(U568/M568,0)</x:f>
        <x:v>0</x:v>
      </x:c>
      <x:c r="X568" s="201" t="str">
        <x:f>IF(U568=0,"Não iniciado",IF(U568&gt;=M568,"Concluído","Parcial"))</x:f>
        <x:v>Não iniciado</x:v>
      </x:c>
      <x:c r="Y568" s="199" t="str"/>
      <x:c r="Z568" s="188" t="str">
        <x:v>Normal</x:v>
      </x:c>
    </x:row>
    <x:row r="569" ht="22" customHeight="1">
      <x:c r="A569" s="217" t="n">
        <x:v>565</x:v>
      </x:c>
      <x:c r="B569" s="218" t="str">
        <x:v>26739</x:v>
      </x:c>
      <x:c r="C569" s="218" t="str">
        <x:v>21</x:v>
      </x:c>
      <x:c r="D569" s="218" t="str">
        <x:v>609730</x:v>
      </x:c>
      <x:c r="E569" s="218" t="str">
        <x:v>966149</x:v>
      </x:c>
      <x:c r="F569" s="218" t="str">
        <x:v>OUTROS</x:v>
      </x:c>
      <x:c r="G569" s="184" t="str">
        <x:v>TR AL 1100X50X9 RTO RL80 REC PET BCO (UL</x:v>
      </x:c>
      <x:c r="H569" s="184" t="str"/>
      <x:c r="I569" s="184" t="str"/>
      <x:c r="J569" s="184" t="str"/>
      <x:c r="K569" s="184" t="str">
        <x:v>ESMALTE</x:v>
      </x:c>
      <x:c r="L569" s="184" t="str">
        <x:v>BRANCO CARRARA</x:v>
      </x:c>
      <x:c r="M569" s="205" t="n">
        <x:v>10</x:v>
      </x:c>
      <x:c r="N569" s="205" t="n">
        <x:v>1100</x:v>
      </x:c>
      <x:c r="O569" s="205" t="n">
        <x:v>50</x:v>
      </x:c>
      <x:c r="P569" s="205" t="n">
        <x:v>9</x:v>
      </x:c>
      <x:c r="Q569" s="206" t="n">
        <x:v>0</x:v>
      </x:c>
      <x:c r="R569" s="207" t="str"/>
      <x:c r="S569" s="207" t="str"/>
      <x:c r="T569" s="207" t="str"/>
      <x:c r="U569" s="207" t="n">
        <x:v>0</x:v>
      </x:c>
      <x:c r="V569" s="208" t="n">
        <x:f>MAX(0,M569-U569)</x:f>
        <x:v>10</x:v>
      </x:c>
      <x:c r="W569" s="209" t="n">
        <x:f>IFERROR(U569/M569,0)</x:f>
        <x:v>0</x:v>
      </x:c>
      <x:c r="X569" s="201" t="str">
        <x:f>IF(U569=0,"Não iniciado",IF(U569&gt;=M569,"Concluído","Parcial"))</x:f>
        <x:v>Não iniciado</x:v>
      </x:c>
      <x:c r="Y569" s="199" t="str"/>
      <x:c r="Z569" s="188" t="str">
        <x:v>Normal</x:v>
      </x:c>
    </x:row>
    <x:row r="570" ht="22" customHeight="1">
      <x:c r="A570" s="219" t="n">
        <x:v>566</x:v>
      </x:c>
      <x:c r="B570" s="220" t="str">
        <x:v>26739</x:v>
      </x:c>
      <x:c r="C570" s="220" t="str">
        <x:v>22</x:v>
      </x:c>
      <x:c r="D570" s="220" t="str">
        <x:v>609734</x:v>
      </x:c>
      <x:c r="E570" s="220" t="str">
        <x:v>919640</x:v>
      </x:c>
      <x:c r="F570" s="220" t="str">
        <x:v>OUTROS</x:v>
      </x:c>
      <x:c r="G570" s="190" t="str">
        <x:v>TR AL 1100X50X9 RTO LME REC PET BCO (ULT</x:v>
      </x:c>
      <x:c r="H570" s="190" t="str"/>
      <x:c r="I570" s="190" t="str"/>
      <x:c r="J570" s="190" t="str"/>
      <x:c r="K570" s="190" t="str">
        <x:v>ESMALTE</x:v>
      </x:c>
      <x:c r="L570" s="190" t="str">
        <x:v>BRANCO CARRARA</x:v>
      </x:c>
      <x:c r="M570" s="210" t="n">
        <x:v>1</x:v>
      </x:c>
      <x:c r="N570" s="210" t="n">
        <x:v>1100</x:v>
      </x:c>
      <x:c r="O570" s="210" t="n">
        <x:v>50</x:v>
      </x:c>
      <x:c r="P570" s="210" t="n">
        <x:v>9</x:v>
      </x:c>
      <x:c r="Q570" s="211" t="n">
        <x:v>0</x:v>
      </x:c>
      <x:c r="R570" s="207" t="str"/>
      <x:c r="S570" s="207" t="str"/>
      <x:c r="T570" s="207" t="str"/>
      <x:c r="U570" s="207" t="n">
        <x:v>0</x:v>
      </x:c>
      <x:c r="V570" s="208" t="n">
        <x:f>MAX(0,M570-U570)</x:f>
        <x:v>1</x:v>
      </x:c>
      <x:c r="W570" s="209" t="n">
        <x:f>IFERROR(U570/M570,0)</x:f>
        <x:v>0</x:v>
      </x:c>
      <x:c r="X570" s="201" t="str">
        <x:f>IF(U570=0,"Não iniciado",IF(U570&gt;=M570,"Concluído","Parcial"))</x:f>
        <x:v>Não iniciado</x:v>
      </x:c>
      <x:c r="Y570" s="199" t="str"/>
      <x:c r="Z570" s="188" t="str">
        <x:v>Normal</x:v>
      </x:c>
    </x:row>
    <x:row r="571" ht="22" customHeight="1">
      <x:c r="A571" s="217" t="n">
        <x:v>567</x:v>
      </x:c>
      <x:c r="B571" s="218" t="str">
        <x:v>26739</x:v>
      </x:c>
      <x:c r="C571" s="218" t="str">
        <x:v>22</x:v>
      </x:c>
      <x:c r="D571" s="218" t="str">
        <x:v>609736</x:v>
      </x:c>
      <x:c r="E571" s="218" t="str">
        <x:v>966149</x:v>
      </x:c>
      <x:c r="F571" s="218" t="str">
        <x:v>OUTROS</x:v>
      </x:c>
      <x:c r="G571" s="184" t="str">
        <x:v>TR AL 1100X50X9 RTO RL80 REC PET BCO (UL</x:v>
      </x:c>
      <x:c r="H571" s="184" t="str"/>
      <x:c r="I571" s="184" t="str"/>
      <x:c r="J571" s="184" t="str"/>
      <x:c r="K571" s="184" t="str">
        <x:v>ESMALTE</x:v>
      </x:c>
      <x:c r="L571" s="184" t="str">
        <x:v>BRANCO CARRARA</x:v>
      </x:c>
      <x:c r="M571" s="205" t="n">
        <x:v>1</x:v>
      </x:c>
      <x:c r="N571" s="205" t="n">
        <x:v>1100</x:v>
      </x:c>
      <x:c r="O571" s="205" t="n">
        <x:v>50</x:v>
      </x:c>
      <x:c r="P571" s="205" t="n">
        <x:v>9</x:v>
      </x:c>
      <x:c r="Q571" s="206" t="n">
        <x:v>0</x:v>
      </x:c>
      <x:c r="R571" s="207" t="str"/>
      <x:c r="S571" s="207" t="str"/>
      <x:c r="T571" s="207" t="str"/>
      <x:c r="U571" s="207" t="n">
        <x:v>0</x:v>
      </x:c>
      <x:c r="V571" s="208" t="n">
        <x:f>MAX(0,M571-U571)</x:f>
        <x:v>1</x:v>
      </x:c>
      <x:c r="W571" s="209" t="n">
        <x:f>IFERROR(U571/M571,0)</x:f>
        <x:v>0</x:v>
      </x:c>
      <x:c r="X571" s="201" t="str">
        <x:f>IF(U571=0,"Não iniciado",IF(U571&gt;=M571,"Concluído","Parcial"))</x:f>
        <x:v>Não iniciado</x:v>
      </x:c>
      <x:c r="Y571" s="199" t="str"/>
      <x:c r="Z571" s="188" t="str">
        <x:v>Normal</x:v>
      </x:c>
    </x:row>
    <x:row r="572" ht="22" customHeight="1">
      <x:c r="A572" s="219" t="n">
        <x:v>568</x:v>
      </x:c>
      <x:c r="B572" s="220" t="str">
        <x:v>26739</x:v>
      </x:c>
      <x:c r="C572" s="220" t="str">
        <x:v>23</x:v>
      </x:c>
      <x:c r="D572" s="220" t="str">
        <x:v>609742</x:v>
      </x:c>
      <x:c r="E572" s="220" t="str">
        <x:v>919640</x:v>
      </x:c>
      <x:c r="F572" s="220" t="str">
        <x:v>OUTROS</x:v>
      </x:c>
      <x:c r="G572" s="190" t="str">
        <x:v>TR AL 1100X50X9 RTO LME REC PET BCO (ULT</x:v>
      </x:c>
      <x:c r="H572" s="190" t="str"/>
      <x:c r="I572" s="190" t="str"/>
      <x:c r="J572" s="190" t="str"/>
      <x:c r="K572" s="190" t="str">
        <x:v>ESMALTE</x:v>
      </x:c>
      <x:c r="L572" s="190" t="str">
        <x:v>BRANCO CARRARA</x:v>
      </x:c>
      <x:c r="M572" s="210" t="n">
        <x:v>1</x:v>
      </x:c>
      <x:c r="N572" s="210" t="n">
        <x:v>1100</x:v>
      </x:c>
      <x:c r="O572" s="210" t="n">
        <x:v>50</x:v>
      </x:c>
      <x:c r="P572" s="210" t="n">
        <x:v>9</x:v>
      </x:c>
      <x:c r="Q572" s="211" t="n">
        <x:v>0</x:v>
      </x:c>
      <x:c r="R572" s="207" t="str"/>
      <x:c r="S572" s="207" t="str"/>
      <x:c r="T572" s="207" t="str"/>
      <x:c r="U572" s="207" t="n">
        <x:v>0</x:v>
      </x:c>
      <x:c r="V572" s="208" t="n">
        <x:f>MAX(0,M572-U572)</x:f>
        <x:v>1</x:v>
      </x:c>
      <x:c r="W572" s="209" t="n">
        <x:f>IFERROR(U572/M572,0)</x:f>
        <x:v>0</x:v>
      </x:c>
      <x:c r="X572" s="201" t="str">
        <x:f>IF(U572=0,"Não iniciado",IF(U572&gt;=M572,"Concluído","Parcial"))</x:f>
        <x:v>Não iniciado</x:v>
      </x:c>
      <x:c r="Y572" s="199" t="str"/>
      <x:c r="Z572" s="188" t="str">
        <x:v>Normal</x:v>
      </x:c>
    </x:row>
    <x:row r="573" ht="22" customHeight="1">
      <x:c r="A573" s="217" t="n">
        <x:v>569</x:v>
      </x:c>
      <x:c r="B573" s="218" t="str">
        <x:v>26739</x:v>
      </x:c>
      <x:c r="C573" s="218" t="str">
        <x:v>23</x:v>
      </x:c>
      <x:c r="D573" s="218" t="str">
        <x:v>609747</x:v>
      </x:c>
      <x:c r="E573" s="218" t="str">
        <x:v>966149</x:v>
      </x:c>
      <x:c r="F573" s="218" t="str">
        <x:v>OUTROS</x:v>
      </x:c>
      <x:c r="G573" s="184" t="str">
        <x:v>TR AL 1100X50X9 RTO RL80 REC PET BCO (UL</x:v>
      </x:c>
      <x:c r="H573" s="184" t="str"/>
      <x:c r="I573" s="184" t="str"/>
      <x:c r="J573" s="184" t="str"/>
      <x:c r="K573" s="184" t="str">
        <x:v>ESMALTE</x:v>
      </x:c>
      <x:c r="L573" s="184" t="str">
        <x:v>BRANCO CARRARA</x:v>
      </x:c>
      <x:c r="M573" s="205" t="n">
        <x:v>1</x:v>
      </x:c>
      <x:c r="N573" s="205" t="n">
        <x:v>1100</x:v>
      </x:c>
      <x:c r="O573" s="205" t="n">
        <x:v>50</x:v>
      </x:c>
      <x:c r="P573" s="205" t="n">
        <x:v>9</x:v>
      </x:c>
      <x:c r="Q573" s="206" t="n">
        <x:v>0</x:v>
      </x:c>
      <x:c r="R573" s="207" t="str"/>
      <x:c r="S573" s="207" t="str"/>
      <x:c r="T573" s="207" t="str"/>
      <x:c r="U573" s="207" t="n">
        <x:v>0</x:v>
      </x:c>
      <x:c r="V573" s="208" t="n">
        <x:f>MAX(0,M573-U573)</x:f>
        <x:v>1</x:v>
      </x:c>
      <x:c r="W573" s="209" t="n">
        <x:f>IFERROR(U573/M573,0)</x:f>
        <x:v>0</x:v>
      </x:c>
      <x:c r="X573" s="201" t="str">
        <x:f>IF(U573=0,"Não iniciado",IF(U573&gt;=M573,"Concluído","Parcial"))</x:f>
        <x:v>Não iniciado</x:v>
      </x:c>
      <x:c r="Y573" s="199" t="str"/>
      <x:c r="Z573" s="188" t="str">
        <x:v>Normal</x:v>
      </x:c>
    </x:row>
    <x:row r="574" ht="22" customHeight="1">
      <x:c r="A574" s="219" t="n">
        <x:v>570</x:v>
      </x:c>
      <x:c r="B574" s="220" t="str">
        <x:v>26739</x:v>
      </x:c>
      <x:c r="C574" s="220" t="str">
        <x:v>24</x:v>
      </x:c>
      <x:c r="D574" s="220" t="str">
        <x:v>609755</x:v>
      </x:c>
      <x:c r="E574" s="220" t="str">
        <x:v>919640</x:v>
      </x:c>
      <x:c r="F574" s="220" t="str">
        <x:v>OUTROS</x:v>
      </x:c>
      <x:c r="G574" s="190" t="str">
        <x:v>TR AL 1100X50X9 RTO LME REC PET BCO (ULT</x:v>
      </x:c>
      <x:c r="H574" s="190" t="str"/>
      <x:c r="I574" s="190" t="str"/>
      <x:c r="J574" s="190" t="str"/>
      <x:c r="K574" s="190" t="str">
        <x:v>ESMALTE</x:v>
      </x:c>
      <x:c r="L574" s="190" t="str">
        <x:v>BRANCO CARRARA</x:v>
      </x:c>
      <x:c r="M574" s="210" t="n">
        <x:v>2</x:v>
      </x:c>
      <x:c r="N574" s="210" t="n">
        <x:v>1100</x:v>
      </x:c>
      <x:c r="O574" s="210" t="n">
        <x:v>50</x:v>
      </x:c>
      <x:c r="P574" s="210" t="n">
        <x:v>9</x:v>
      </x:c>
      <x:c r="Q574" s="211" t="n">
        <x:v>0</x:v>
      </x:c>
      <x:c r="R574" s="207" t="str"/>
      <x:c r="S574" s="207" t="str"/>
      <x:c r="T574" s="207" t="str"/>
      <x:c r="U574" s="207" t="n">
        <x:v>0</x:v>
      </x:c>
      <x:c r="V574" s="208" t="n">
        <x:f>MAX(0,M574-U574)</x:f>
        <x:v>2</x:v>
      </x:c>
      <x:c r="W574" s="209" t="n">
        <x:f>IFERROR(U574/M574,0)</x:f>
        <x:v>0</x:v>
      </x:c>
      <x:c r="X574" s="201" t="str">
        <x:f>IF(U574=0,"Não iniciado",IF(U574&gt;=M574,"Concluído","Parcial"))</x:f>
        <x:v>Não iniciado</x:v>
      </x:c>
      <x:c r="Y574" s="199" t="str"/>
      <x:c r="Z574" s="188" t="str">
        <x:v>Normal</x:v>
      </x:c>
    </x:row>
    <x:row r="575" ht="22" customHeight="1">
      <x:c r="A575" s="217" t="n">
        <x:v>571</x:v>
      </x:c>
      <x:c r="B575" s="218" t="str">
        <x:v>26739</x:v>
      </x:c>
      <x:c r="C575" s="218" t="str">
        <x:v>24</x:v>
      </x:c>
      <x:c r="D575" s="218" t="str">
        <x:v>609761</x:v>
      </x:c>
      <x:c r="E575" s="218" t="str">
        <x:v>966149</x:v>
      </x:c>
      <x:c r="F575" s="218" t="str">
        <x:v>OUTROS</x:v>
      </x:c>
      <x:c r="G575" s="184" t="str">
        <x:v>TR AL 1100X50X9 RTO RL80 REC PET BCO (UL</x:v>
      </x:c>
      <x:c r="H575" s="184" t="str"/>
      <x:c r="I575" s="184" t="str"/>
      <x:c r="J575" s="184" t="str"/>
      <x:c r="K575" s="184" t="str">
        <x:v>ESMALTE</x:v>
      </x:c>
      <x:c r="L575" s="184" t="str">
        <x:v>BRANCO CARRARA</x:v>
      </x:c>
      <x:c r="M575" s="205" t="n">
        <x:v>2</x:v>
      </x:c>
      <x:c r="N575" s="205" t="n">
        <x:v>1100</x:v>
      </x:c>
      <x:c r="O575" s="205" t="n">
        <x:v>50</x:v>
      </x:c>
      <x:c r="P575" s="205" t="n">
        <x:v>9</x:v>
      </x:c>
      <x:c r="Q575" s="206" t="n">
        <x:v>0</x:v>
      </x:c>
      <x:c r="R575" s="207" t="str"/>
      <x:c r="S575" s="207" t="str"/>
      <x:c r="T575" s="207" t="str"/>
      <x:c r="U575" s="207" t="n">
        <x:v>0</x:v>
      </x:c>
      <x:c r="V575" s="208" t="n">
        <x:f>MAX(0,M575-U575)</x:f>
        <x:v>2</x:v>
      </x:c>
      <x:c r="W575" s="209" t="n">
        <x:f>IFERROR(U575/M575,0)</x:f>
        <x:v>0</x:v>
      </x:c>
      <x:c r="X575" s="201" t="str">
        <x:f>IF(U575=0,"Não iniciado",IF(U575&gt;=M575,"Concluído","Parcial"))</x:f>
        <x:v>Não iniciado</x:v>
      </x:c>
      <x:c r="Y575" s="199" t="str"/>
      <x:c r="Z575" s="188" t="str">
        <x:v>Normal</x:v>
      </x:c>
    </x:row>
    <x:row r="576" ht="22" customHeight="1">
      <x:c r="A576" s="219" t="n">
        <x:v>572</x:v>
      </x:c>
      <x:c r="B576" s="220" t="str">
        <x:v>26739</x:v>
      </x:c>
      <x:c r="C576" s="220" t="str">
        <x:v>25</x:v>
      </x:c>
      <x:c r="D576" s="220" t="str">
        <x:v>609769</x:v>
      </x:c>
      <x:c r="E576" s="220" t="str">
        <x:v>919640</x:v>
      </x:c>
      <x:c r="F576" s="220" t="str">
        <x:v>OUTROS</x:v>
      </x:c>
      <x:c r="G576" s="190" t="str">
        <x:v>TR AL 1100X50X9 RTO LME REC PET BCO (ULT</x:v>
      </x:c>
      <x:c r="H576" s="190" t="str"/>
      <x:c r="I576" s="190" t="str"/>
      <x:c r="J576" s="190" t="str"/>
      <x:c r="K576" s="190" t="str">
        <x:v>ESMALTE</x:v>
      </x:c>
      <x:c r="L576" s="190" t="str">
        <x:v>BRANCO CARRARA</x:v>
      </x:c>
      <x:c r="M576" s="210" t="n">
        <x:v>1</x:v>
      </x:c>
      <x:c r="N576" s="210" t="n">
        <x:v>1100</x:v>
      </x:c>
      <x:c r="O576" s="210" t="n">
        <x:v>50</x:v>
      </x:c>
      <x:c r="P576" s="210" t="n">
        <x:v>9</x:v>
      </x:c>
      <x:c r="Q576" s="211" t="n">
        <x:v>0</x:v>
      </x:c>
      <x:c r="R576" s="207" t="str"/>
      <x:c r="S576" s="207" t="str"/>
      <x:c r="T576" s="207" t="str"/>
      <x:c r="U576" s="207" t="n">
        <x:v>0</x:v>
      </x:c>
      <x:c r="V576" s="208" t="n">
        <x:f>MAX(0,M576-U576)</x:f>
        <x:v>1</x:v>
      </x:c>
      <x:c r="W576" s="209" t="n">
        <x:f>IFERROR(U576/M576,0)</x:f>
        <x:v>0</x:v>
      </x:c>
      <x:c r="X576" s="201" t="str">
        <x:f>IF(U576=0,"Não iniciado",IF(U576&gt;=M576,"Concluído","Parcial"))</x:f>
        <x:v>Não iniciado</x:v>
      </x:c>
      <x:c r="Y576" s="199" t="str"/>
      <x:c r="Z576" s="188" t="str">
        <x:v>Normal</x:v>
      </x:c>
    </x:row>
    <x:row r="577" ht="22" customHeight="1">
      <x:c r="A577" s="217" t="n">
        <x:v>573</x:v>
      </x:c>
      <x:c r="B577" s="218" t="str">
        <x:v>26739</x:v>
      </x:c>
      <x:c r="C577" s="218" t="str">
        <x:v>25</x:v>
      </x:c>
      <x:c r="D577" s="218" t="str">
        <x:v>609775</x:v>
      </x:c>
      <x:c r="E577" s="218" t="str">
        <x:v>966149</x:v>
      </x:c>
      <x:c r="F577" s="218" t="str">
        <x:v>OUTROS</x:v>
      </x:c>
      <x:c r="G577" s="184" t="str">
        <x:v>TR AL 1100X50X9 RTO RL80 REC PET BCO (UL</x:v>
      </x:c>
      <x:c r="H577" s="184" t="str"/>
      <x:c r="I577" s="184" t="str"/>
      <x:c r="J577" s="184" t="str"/>
      <x:c r="K577" s="184" t="str">
        <x:v>ESMALTE</x:v>
      </x:c>
      <x:c r="L577" s="184" t="str">
        <x:v>BRANCO CARRARA</x:v>
      </x:c>
      <x:c r="M577" s="205" t="n">
        <x:v>1</x:v>
      </x:c>
      <x:c r="N577" s="205" t="n">
        <x:v>1100</x:v>
      </x:c>
      <x:c r="O577" s="205" t="n">
        <x:v>50</x:v>
      </x:c>
      <x:c r="P577" s="205" t="n">
        <x:v>9</x:v>
      </x:c>
      <x:c r="Q577" s="206" t="n">
        <x:v>0</x:v>
      </x:c>
      <x:c r="R577" s="207" t="str"/>
      <x:c r="S577" s="207" t="str"/>
      <x:c r="T577" s="207" t="str"/>
      <x:c r="U577" s="207" t="n">
        <x:v>0</x:v>
      </x:c>
      <x:c r="V577" s="208" t="n">
        <x:f>MAX(0,M577-U577)</x:f>
        <x:v>1</x:v>
      </x:c>
      <x:c r="W577" s="209" t="n">
        <x:f>IFERROR(U577/M577,0)</x:f>
        <x:v>0</x:v>
      </x:c>
      <x:c r="X577" s="201" t="str">
        <x:f>IF(U577=0,"Não iniciado",IF(U577&gt;=M577,"Concluído","Parcial"))</x:f>
        <x:v>Não iniciado</x:v>
      </x:c>
      <x:c r="Y577" s="199" t="str"/>
      <x:c r="Z577" s="188" t="str">
        <x:v>Normal</x:v>
      </x:c>
    </x:row>
    <x:row r="578" ht="22" customHeight="1">
      <x:c r="A578" s="219" t="n">
        <x:v>574</x:v>
      </x:c>
      <x:c r="B578" s="220" t="str">
        <x:v>26744</x:v>
      </x:c>
      <x:c r="C578" s="220" t="str">
        <x:v>1</x:v>
      </x:c>
      <x:c r="D578" s="220" t="str">
        <x:v>609989</x:v>
      </x:c>
      <x:c r="E578" s="220" t="str">
        <x:v>919640</x:v>
      </x:c>
      <x:c r="F578" s="220" t="str">
        <x:v>OUTROS</x:v>
      </x:c>
      <x:c r="G578" s="190" t="str">
        <x:v>TR AL 1100X50X9 RTO LME REC PET BCO (ULT</x:v>
      </x:c>
      <x:c r="H578" s="190" t="str"/>
      <x:c r="I578" s="190" t="str"/>
      <x:c r="J578" s="190" t="str"/>
      <x:c r="K578" s="190" t="str">
        <x:v>RECOBERTO PET</x:v>
      </x:c>
      <x:c r="L578" s="190" t="str">
        <x:v>BRANCO CARRARA</x:v>
      </x:c>
      <x:c r="M578" s="210" t="n">
        <x:v>4</x:v>
      </x:c>
      <x:c r="N578" s="210" t="n">
        <x:v>1100</x:v>
      </x:c>
      <x:c r="O578" s="210" t="n">
        <x:v>50</x:v>
      </x:c>
      <x:c r="P578" s="210" t="n">
        <x:v>9</x:v>
      </x:c>
      <x:c r="Q578" s="211" t="n">
        <x:v>0</x:v>
      </x:c>
      <x:c r="R578" s="207" t="str"/>
      <x:c r="S578" s="207" t="str"/>
      <x:c r="T578" s="207" t="str"/>
      <x:c r="U578" s="207" t="n">
        <x:v>0</x:v>
      </x:c>
      <x:c r="V578" s="208" t="n">
        <x:f>MAX(0,M578-U578)</x:f>
        <x:v>4</x:v>
      </x:c>
      <x:c r="W578" s="209" t="n">
        <x:f>IFERROR(U578/M578,0)</x:f>
        <x:v>0</x:v>
      </x:c>
      <x:c r="X578" s="201" t="str">
        <x:f>IF(U578=0,"Não iniciado",IF(U578&gt;=M578,"Concluído","Parcial"))</x:f>
        <x:v>Não iniciado</x:v>
      </x:c>
      <x:c r="Y578" s="199" t="str"/>
      <x:c r="Z578" s="188" t="str">
        <x:v>Normal</x:v>
      </x:c>
    </x:row>
    <x:row r="579" ht="22" customHeight="1">
      <x:c r="A579" s="217" t="n">
        <x:v>575</x:v>
      </x:c>
      <x:c r="B579" s="218" t="str">
        <x:v>26744</x:v>
      </x:c>
      <x:c r="C579" s="218" t="str">
        <x:v>2</x:v>
      </x:c>
      <x:c r="D579" s="218" t="str">
        <x:v>609998</x:v>
      </x:c>
      <x:c r="E579" s="218" t="str">
        <x:v>919640</x:v>
      </x:c>
      <x:c r="F579" s="218" t="str">
        <x:v>OUTROS</x:v>
      </x:c>
      <x:c r="G579" s="184" t="str">
        <x:v>TR AL 1100X50X9 RTO LME REC PET BCO (ULT</x:v>
      </x:c>
      <x:c r="H579" s="184" t="str"/>
      <x:c r="I579" s="184" t="str"/>
      <x:c r="J579" s="184" t="str"/>
      <x:c r="K579" s="184" t="str">
        <x:v>RECOBERTO PET</x:v>
      </x:c>
      <x:c r="L579" s="184" t="str">
        <x:v>BRANCO CARRARA</x:v>
      </x:c>
      <x:c r="M579" s="205" t="n">
        <x:v>5</x:v>
      </x:c>
      <x:c r="N579" s="205" t="n">
        <x:v>1100</x:v>
      </x:c>
      <x:c r="O579" s="205" t="n">
        <x:v>50</x:v>
      </x:c>
      <x:c r="P579" s="205" t="n">
        <x:v>9</x:v>
      </x:c>
      <x:c r="Q579" s="206" t="n">
        <x:v>0</x:v>
      </x:c>
      <x:c r="R579" s="207" t="str"/>
      <x:c r="S579" s="207" t="str"/>
      <x:c r="T579" s="207" t="str"/>
      <x:c r="U579" s="207" t="n">
        <x:v>0</x:v>
      </x:c>
      <x:c r="V579" s="208" t="n">
        <x:f>MAX(0,M579-U579)</x:f>
        <x:v>5</x:v>
      </x:c>
      <x:c r="W579" s="209" t="n">
        <x:f>IFERROR(U579/M579,0)</x:f>
        <x:v>0</x:v>
      </x:c>
      <x:c r="X579" s="201" t="str">
        <x:f>IF(U579=0,"Não iniciado",IF(U579&gt;=M579,"Concluído","Parcial"))</x:f>
        <x:v>Não iniciado</x:v>
      </x:c>
      <x:c r="Y579" s="199" t="str"/>
      <x:c r="Z579" s="188" t="str">
        <x:v>Normal</x:v>
      </x:c>
    </x:row>
    <x:row r="580" ht="22" customHeight="1">
      <x:c r="A580" s="219" t="n">
        <x:v>576</x:v>
      </x:c>
      <x:c r="B580" s="220" t="str">
        <x:v>26744</x:v>
      </x:c>
      <x:c r="C580" s="220" t="str">
        <x:v>3</x:v>
      </x:c>
      <x:c r="D580" s="220" t="str">
        <x:v>610007</x:v>
      </x:c>
      <x:c r="E580" s="220" t="str">
        <x:v>919639</x:v>
      </x:c>
      <x:c r="F580" s="220" t="str">
        <x:v>OUTROS</x:v>
      </x:c>
      <x:c r="G580" s="190" t="str">
        <x:v>TR AL 1100X50X9 RTO RL55 REC PET BCO (UL</x:v>
      </x:c>
      <x:c r="H580" s="190" t="str"/>
      <x:c r="I580" s="190" t="str"/>
      <x:c r="J580" s="190" t="str"/>
      <x:c r="K580" s="190" t="str">
        <x:v>RECOBERTO PET</x:v>
      </x:c>
      <x:c r="L580" s="190" t="str">
        <x:v>BRANCO CARRARA</x:v>
      </x:c>
      <x:c r="M580" s="210" t="n">
        <x:v>1</x:v>
      </x:c>
      <x:c r="N580" s="210" t="n">
        <x:v>1100</x:v>
      </x:c>
      <x:c r="O580" s="210" t="n">
        <x:v>50</x:v>
      </x:c>
      <x:c r="P580" s="210" t="n">
        <x:v>9</x:v>
      </x:c>
      <x:c r="Q580" s="211" t="n">
        <x:v>0</x:v>
      </x:c>
      <x:c r="R580" s="207" t="str"/>
      <x:c r="S580" s="207" t="str"/>
      <x:c r="T580" s="207" t="str"/>
      <x:c r="U580" s="207" t="n">
        <x:v>0</x:v>
      </x:c>
      <x:c r="V580" s="208" t="n">
        <x:f>MAX(0,M580-U580)</x:f>
        <x:v>1</x:v>
      </x:c>
      <x:c r="W580" s="209" t="n">
        <x:f>IFERROR(U580/M580,0)</x:f>
        <x:v>0</x:v>
      </x:c>
      <x:c r="X580" s="201" t="str">
        <x:f>IF(U580=0,"Não iniciado",IF(U580&gt;=M580,"Concluído","Parcial"))</x:f>
        <x:v>Não iniciado</x:v>
      </x:c>
      <x:c r="Y580" s="199" t="str"/>
      <x:c r="Z580" s="188" t="str">
        <x:v>Normal</x:v>
      </x:c>
    </x:row>
    <x:row r="581" ht="22" customHeight="1">
      <x:c r="A581" s="217" t="n">
        <x:v>577</x:v>
      </x:c>
      <x:c r="B581" s="218" t="str">
        <x:v>26744</x:v>
      </x:c>
      <x:c r="C581" s="218" t="str">
        <x:v>3</x:v>
      </x:c>
      <x:c r="D581" s="218" t="str">
        <x:v>610008</x:v>
      </x:c>
      <x:c r="E581" s="218" t="str">
        <x:v>919640</x:v>
      </x:c>
      <x:c r="F581" s="218" t="str">
        <x:v>OUTROS</x:v>
      </x:c>
      <x:c r="G581" s="184" t="str">
        <x:v>TR AL 1100X50X9 RTO LME REC PET BCO (ULT</x:v>
      </x:c>
      <x:c r="H581" s="184" t="str"/>
      <x:c r="I581" s="184" t="str"/>
      <x:c r="J581" s="184" t="str"/>
      <x:c r="K581" s="184" t="str">
        <x:v>RECOBERTO PET</x:v>
      </x:c>
      <x:c r="L581" s="184" t="str">
        <x:v>BRANCO CARRARA</x:v>
      </x:c>
      <x:c r="M581" s="205" t="n">
        <x:v>1</x:v>
      </x:c>
      <x:c r="N581" s="205" t="n">
        <x:v>1100</x:v>
      </x:c>
      <x:c r="O581" s="205" t="n">
        <x:v>50</x:v>
      </x:c>
      <x:c r="P581" s="205" t="n">
        <x:v>9</x:v>
      </x:c>
      <x:c r="Q581" s="206" t="n">
        <x:v>0</x:v>
      </x:c>
      <x:c r="R581" s="207" t="str"/>
      <x:c r="S581" s="207" t="str"/>
      <x:c r="T581" s="207" t="str"/>
      <x:c r="U581" s="207" t="n">
        <x:v>0</x:v>
      </x:c>
      <x:c r="V581" s="208" t="n">
        <x:f>MAX(0,M581-U581)</x:f>
        <x:v>1</x:v>
      </x:c>
      <x:c r="W581" s="209" t="n">
        <x:f>IFERROR(U581/M581,0)</x:f>
        <x:v>0</x:v>
      </x:c>
      <x:c r="X581" s="201" t="str">
        <x:f>IF(U581=0,"Não iniciado",IF(U581&gt;=M581,"Concluído","Parcial"))</x:f>
        <x:v>Não iniciado</x:v>
      </x:c>
      <x:c r="Y581" s="199" t="str"/>
      <x:c r="Z581" s="188" t="str">
        <x:v>Normal</x:v>
      </x:c>
    </x:row>
    <x:row r="582" ht="22" customHeight="1">
      <x:c r="A582" s="219" t="n">
        <x:v>578</x:v>
      </x:c>
      <x:c r="B582" s="220" t="str">
        <x:v>26744</x:v>
      </x:c>
      <x:c r="C582" s="220" t="str">
        <x:v>7</x:v>
      </x:c>
      <x:c r="D582" s="220" t="str">
        <x:v>610024</x:v>
      </x:c>
      <x:c r="E582" s="220" t="str">
        <x:v>919640</x:v>
      </x:c>
      <x:c r="F582" s="220" t="str">
        <x:v>OUTROS</x:v>
      </x:c>
      <x:c r="G582" s="190" t="str">
        <x:v>TR AL 1100X50X9 RTO LME REC PET BCO (ULT</x:v>
      </x:c>
      <x:c r="H582" s="190" t="str">
        <x:v>REG 2L(MAIOR 35mm)</x:v>
      </x:c>
      <x:c r="I582" s="190" t="str"/>
      <x:c r="J582" s="190" t="str"/>
      <x:c r="K582" s="190" t="str">
        <x:v>RECOBERTO PET</x:v>
      </x:c>
      <x:c r="L582" s="190" t="str">
        <x:v>BRANCO CARRARA</x:v>
      </x:c>
      <x:c r="M582" s="210" t="n">
        <x:v>2</x:v>
      </x:c>
      <x:c r="N582" s="210" t="n">
        <x:v>1100</x:v>
      </x:c>
      <x:c r="O582" s="210" t="n">
        <x:v>50</x:v>
      </x:c>
      <x:c r="P582" s="210" t="n">
        <x:v>9</x:v>
      </x:c>
      <x:c r="Q582" s="211" t="n">
        <x:v>0</x:v>
      </x:c>
      <x:c r="R582" s="207" t="str"/>
      <x:c r="S582" s="207" t="str"/>
      <x:c r="T582" s="207" t="str"/>
      <x:c r="U582" s="207" t="n">
        <x:v>0</x:v>
      </x:c>
      <x:c r="V582" s="208" t="n">
        <x:f>MAX(0,M582-U582)</x:f>
        <x:v>2</x:v>
      </x:c>
      <x:c r="W582" s="209" t="n">
        <x:f>IFERROR(U582/M582,0)</x:f>
        <x:v>0</x:v>
      </x:c>
      <x:c r="X582" s="201" t="str">
        <x:f>IF(U582=0,"Não iniciado",IF(U582&gt;=M582,"Concluído","Parcial"))</x:f>
        <x:v>Não iniciado</x:v>
      </x:c>
      <x:c r="Y582" s="199" t="str"/>
      <x:c r="Z582" s="188" t="str">
        <x:v>Normal</x:v>
      </x:c>
    </x:row>
    <x:row r="583" ht="22" customHeight="1">
      <x:c r="A583" s="217" t="n">
        <x:v>579</x:v>
      </x:c>
      <x:c r="B583" s="218" t="str">
        <x:v>26750</x:v>
      </x:c>
      <x:c r="C583" s="218" t="str">
        <x:v>10</x:v>
      </x:c>
      <x:c r="D583" s="218" t="str">
        <x:v>609804</x:v>
      </x:c>
      <x:c r="E583" s="218" t="str">
        <x:v>919640</x:v>
      </x:c>
      <x:c r="F583" s="218" t="str">
        <x:v>OUTROS</x:v>
      </x:c>
      <x:c r="G583" s="184" t="str">
        <x:v>TR AL 1100X50X9 RTO LME REC PET BCO (ULT</x:v>
      </x:c>
      <x:c r="H583" s="184" t="str"/>
      <x:c r="I583" s="184" t="str"/>
      <x:c r="J583" s="184" t="str"/>
      <x:c r="K583" s="184" t="str">
        <x:v>ESMALTE</x:v>
      </x:c>
      <x:c r="L583" s="184" t="str">
        <x:v>BRANCO CARRARA</x:v>
      </x:c>
      <x:c r="M583" s="205" t="n">
        <x:v>2</x:v>
      </x:c>
      <x:c r="N583" s="205" t="n">
        <x:v>1100</x:v>
      </x:c>
      <x:c r="O583" s="205" t="n">
        <x:v>50</x:v>
      </x:c>
      <x:c r="P583" s="205" t="n">
        <x:v>9</x:v>
      </x:c>
      <x:c r="Q583" s="206" t="n">
        <x:v>0</x:v>
      </x:c>
      <x:c r="R583" s="207" t="str"/>
      <x:c r="S583" s="207" t="str"/>
      <x:c r="T583" s="207" t="str"/>
      <x:c r="U583" s="207" t="n">
        <x:v>0</x:v>
      </x:c>
      <x:c r="V583" s="208" t="n">
        <x:f>MAX(0,M583-U583)</x:f>
        <x:v>2</x:v>
      </x:c>
      <x:c r="W583" s="209" t="n">
        <x:f>IFERROR(U583/M583,0)</x:f>
        <x:v>0</x:v>
      </x:c>
      <x:c r="X583" s="201" t="str">
        <x:f>IF(U583=0,"Não iniciado",IF(U583&gt;=M583,"Concluído","Parcial"))</x:f>
        <x:v>Não iniciado</x:v>
      </x:c>
      <x:c r="Y583" s="199" t="str"/>
      <x:c r="Z583" s="188" t="str">
        <x:v>Normal</x:v>
      </x:c>
    </x:row>
    <x:row r="584" ht="22" customHeight="1">
      <x:c r="A584" s="219" t="n">
        <x:v>580</x:v>
      </x:c>
      <x:c r="B584" s="220" t="str">
        <x:v>26750</x:v>
      </x:c>
      <x:c r="C584" s="220" t="str">
        <x:v>10</x:v>
      </x:c>
      <x:c r="D584" s="220" t="str">
        <x:v>609807</x:v>
      </x:c>
      <x:c r="E584" s="220" t="str">
        <x:v>966149</x:v>
      </x:c>
      <x:c r="F584" s="220" t="str">
        <x:v>OUTROS</x:v>
      </x:c>
      <x:c r="G584" s="190" t="str">
        <x:v>TR AL 1100X50X9 RTO RL80 REC PET BCO (UL</x:v>
      </x:c>
      <x:c r="H584" s="190" t="str"/>
      <x:c r="I584" s="190" t="str"/>
      <x:c r="J584" s="190" t="str"/>
      <x:c r="K584" s="190" t="str">
        <x:v>ESMALTE</x:v>
      </x:c>
      <x:c r="L584" s="190" t="str">
        <x:v>BRANCO CARRARA</x:v>
      </x:c>
      <x:c r="M584" s="210" t="n">
        <x:v>2</x:v>
      </x:c>
      <x:c r="N584" s="210" t="n">
        <x:v>1100</x:v>
      </x:c>
      <x:c r="O584" s="210" t="n">
        <x:v>50</x:v>
      </x:c>
      <x:c r="P584" s="210" t="n">
        <x:v>9</x:v>
      </x:c>
      <x:c r="Q584" s="211" t="n">
        <x:v>0</x:v>
      </x:c>
      <x:c r="R584" s="207" t="str"/>
      <x:c r="S584" s="207" t="str"/>
      <x:c r="T584" s="207" t="str"/>
      <x:c r="U584" s="207" t="n">
        <x:v>0</x:v>
      </x:c>
      <x:c r="V584" s="208" t="n">
        <x:f>MAX(0,M584-U584)</x:f>
        <x:v>2</x:v>
      </x:c>
      <x:c r="W584" s="209" t="n">
        <x:f>IFERROR(U584/M584,0)</x:f>
        <x:v>0</x:v>
      </x:c>
      <x:c r="X584" s="201" t="str">
        <x:f>IF(U584=0,"Não iniciado",IF(U584&gt;=M584,"Concluído","Parcial"))</x:f>
        <x:v>Não iniciado</x:v>
      </x:c>
      <x:c r="Y584" s="199" t="str"/>
      <x:c r="Z584" s="188" t="str">
        <x:v>Normal</x:v>
      </x:c>
    </x:row>
    <x:row r="585" ht="22" customHeight="1">
      <x:c r="A585" s="217" t="n">
        <x:v>581</x:v>
      </x:c>
      <x:c r="B585" s="218" t="str">
        <x:v>26750</x:v>
      </x:c>
      <x:c r="C585" s="218" t="str">
        <x:v>11</x:v>
      </x:c>
      <x:c r="D585" s="218" t="str">
        <x:v>609812</x:v>
      </x:c>
      <x:c r="E585" s="218" t="str">
        <x:v>919640</x:v>
      </x:c>
      <x:c r="F585" s="218" t="str">
        <x:v>OUTROS</x:v>
      </x:c>
      <x:c r="G585" s="184" t="str">
        <x:v>TR AL 1100X50X9 RTO LME REC PET BCO (ULT</x:v>
      </x:c>
      <x:c r="H585" s="184" t="str"/>
      <x:c r="I585" s="184" t="str"/>
      <x:c r="J585" s="184" t="str"/>
      <x:c r="K585" s="184" t="str">
        <x:v>ESMALTE</x:v>
      </x:c>
      <x:c r="L585" s="184" t="str">
        <x:v>BRANCO CARRARA</x:v>
      </x:c>
      <x:c r="M585" s="205" t="n">
        <x:v>12</x:v>
      </x:c>
      <x:c r="N585" s="205" t="n">
        <x:v>1100</x:v>
      </x:c>
      <x:c r="O585" s="205" t="n">
        <x:v>50</x:v>
      </x:c>
      <x:c r="P585" s="205" t="n">
        <x:v>9</x:v>
      </x:c>
      <x:c r="Q585" s="206" t="n">
        <x:v>0</x:v>
      </x:c>
      <x:c r="R585" s="207" t="str"/>
      <x:c r="S585" s="207" t="str"/>
      <x:c r="T585" s="207" t="str"/>
      <x:c r="U585" s="207" t="n">
        <x:v>0</x:v>
      </x:c>
      <x:c r="V585" s="208" t="n">
        <x:f>MAX(0,M585-U585)</x:f>
        <x:v>12</x:v>
      </x:c>
      <x:c r="W585" s="209" t="n">
        <x:f>IFERROR(U585/M585,0)</x:f>
        <x:v>0</x:v>
      </x:c>
      <x:c r="X585" s="201" t="str">
        <x:f>IF(U585=0,"Não iniciado",IF(U585&gt;=M585,"Concluído","Parcial"))</x:f>
        <x:v>Não iniciado</x:v>
      </x:c>
      <x:c r="Y585" s="199" t="str"/>
      <x:c r="Z585" s="188" t="str">
        <x:v>Normal</x:v>
      </x:c>
    </x:row>
    <x:row r="586" ht="22" customHeight="1">
      <x:c r="A586" s="219" t="n">
        <x:v>582</x:v>
      </x:c>
      <x:c r="B586" s="220" t="str">
        <x:v>26750</x:v>
      </x:c>
      <x:c r="C586" s="220" t="str">
        <x:v>11</x:v>
      </x:c>
      <x:c r="D586" s="220" t="str">
        <x:v>609814</x:v>
      </x:c>
      <x:c r="E586" s="220" t="str">
        <x:v>966149</x:v>
      </x:c>
      <x:c r="F586" s="220" t="str">
        <x:v>OUTROS</x:v>
      </x:c>
      <x:c r="G586" s="190" t="str">
        <x:v>TR AL 1100X50X9 RTO RL80 REC PET BCO (UL</x:v>
      </x:c>
      <x:c r="H586" s="190" t="str"/>
      <x:c r="I586" s="190" t="str"/>
      <x:c r="J586" s="190" t="str"/>
      <x:c r="K586" s="190" t="str">
        <x:v>ESMALTE</x:v>
      </x:c>
      <x:c r="L586" s="190" t="str">
        <x:v>BRANCO CARRARA</x:v>
      </x:c>
      <x:c r="M586" s="210" t="n">
        <x:v>12</x:v>
      </x:c>
      <x:c r="N586" s="210" t="n">
        <x:v>1100</x:v>
      </x:c>
      <x:c r="O586" s="210" t="n">
        <x:v>50</x:v>
      </x:c>
      <x:c r="P586" s="210" t="n">
        <x:v>9</x:v>
      </x:c>
      <x:c r="Q586" s="211" t="n">
        <x:v>0</x:v>
      </x:c>
      <x:c r="R586" s="207" t="str"/>
      <x:c r="S586" s="207" t="str"/>
      <x:c r="T586" s="207" t="str"/>
      <x:c r="U586" s="207" t="n">
        <x:v>0</x:v>
      </x:c>
      <x:c r="V586" s="208" t="n">
        <x:f>MAX(0,M586-U586)</x:f>
        <x:v>12</x:v>
      </x:c>
      <x:c r="W586" s="209" t="n">
        <x:f>IFERROR(U586/M586,0)</x:f>
        <x:v>0</x:v>
      </x:c>
      <x:c r="X586" s="201" t="str">
        <x:f>IF(U586=0,"Não iniciado",IF(U586&gt;=M586,"Concluído","Parcial"))</x:f>
        <x:v>Não iniciado</x:v>
      </x:c>
      <x:c r="Y586" s="199" t="str"/>
      <x:c r="Z586" s="188" t="str">
        <x:v>Normal</x:v>
      </x:c>
    </x:row>
    <x:row r="587" ht="22" customHeight="1">
      <x:c r="A587" s="217" t="n">
        <x:v>583</x:v>
      </x:c>
      <x:c r="B587" s="218" t="str">
        <x:v>26750</x:v>
      </x:c>
      <x:c r="C587" s="218" t="str">
        <x:v>12</x:v>
      </x:c>
      <x:c r="D587" s="218" t="str">
        <x:v>609821</x:v>
      </x:c>
      <x:c r="E587" s="218" t="str">
        <x:v>919640</x:v>
      </x:c>
      <x:c r="F587" s="218" t="str">
        <x:v>OUTROS</x:v>
      </x:c>
      <x:c r="G587" s="184" t="str">
        <x:v>TR AL 1100X50X9 RTO LME REC PET BCO (ULT</x:v>
      </x:c>
      <x:c r="H587" s="184" t="str"/>
      <x:c r="I587" s="184" t="str"/>
      <x:c r="J587" s="184" t="str"/>
      <x:c r="K587" s="184" t="str">
        <x:v>ESMALTE</x:v>
      </x:c>
      <x:c r="L587" s="184" t="str">
        <x:v>BRANCO CARRARA</x:v>
      </x:c>
      <x:c r="M587" s="205" t="n">
        <x:v>4</x:v>
      </x:c>
      <x:c r="N587" s="205" t="n">
        <x:v>1100</x:v>
      </x:c>
      <x:c r="O587" s="205" t="n">
        <x:v>50</x:v>
      </x:c>
      <x:c r="P587" s="205" t="n">
        <x:v>9</x:v>
      </x:c>
      <x:c r="Q587" s="206" t="n">
        <x:v>0</x:v>
      </x:c>
      <x:c r="R587" s="207" t="str"/>
      <x:c r="S587" s="207" t="str"/>
      <x:c r="T587" s="207" t="str"/>
      <x:c r="U587" s="207" t="n">
        <x:v>0</x:v>
      </x:c>
      <x:c r="V587" s="208" t="n">
        <x:f>MAX(0,M587-U587)</x:f>
        <x:v>4</x:v>
      </x:c>
      <x:c r="W587" s="209" t="n">
        <x:f>IFERROR(U587/M587,0)</x:f>
        <x:v>0</x:v>
      </x:c>
      <x:c r="X587" s="201" t="str">
        <x:f>IF(U587=0,"Não iniciado",IF(U587&gt;=M587,"Concluído","Parcial"))</x:f>
        <x:v>Não iniciado</x:v>
      </x:c>
      <x:c r="Y587" s="199" t="str"/>
      <x:c r="Z587" s="188" t="str">
        <x:v>Normal</x:v>
      </x:c>
    </x:row>
    <x:row r="588" ht="22" customHeight="1">
      <x:c r="A588" s="219" t="n">
        <x:v>584</x:v>
      </x:c>
      <x:c r="B588" s="220" t="str">
        <x:v>26750</x:v>
      </x:c>
      <x:c r="C588" s="220" t="str">
        <x:v>12</x:v>
      </x:c>
      <x:c r="D588" s="220" t="str">
        <x:v>609823</x:v>
      </x:c>
      <x:c r="E588" s="220" t="str">
        <x:v>966149</x:v>
      </x:c>
      <x:c r="F588" s="220" t="str">
        <x:v>OUTROS</x:v>
      </x:c>
      <x:c r="G588" s="190" t="str">
        <x:v>TR AL 1100X50X9 RTO RL80 REC PET BCO (UL</x:v>
      </x:c>
      <x:c r="H588" s="190" t="str"/>
      <x:c r="I588" s="190" t="str"/>
      <x:c r="J588" s="190" t="str"/>
      <x:c r="K588" s="190" t="str">
        <x:v>ESMALTE</x:v>
      </x:c>
      <x:c r="L588" s="190" t="str">
        <x:v>BRANCO CARRARA</x:v>
      </x:c>
      <x:c r="M588" s="210" t="n">
        <x:v>4</x:v>
      </x:c>
      <x:c r="N588" s="210" t="n">
        <x:v>1100</x:v>
      </x:c>
      <x:c r="O588" s="210" t="n">
        <x:v>50</x:v>
      </x:c>
      <x:c r="P588" s="210" t="n">
        <x:v>9</x:v>
      </x:c>
      <x:c r="Q588" s="211" t="n">
        <x:v>0</x:v>
      </x:c>
      <x:c r="R588" s="207" t="str"/>
      <x:c r="S588" s="207" t="str"/>
      <x:c r="T588" s="207" t="str"/>
      <x:c r="U588" s="207" t="n">
        <x:v>0</x:v>
      </x:c>
      <x:c r="V588" s="208" t="n">
        <x:f>MAX(0,M588-U588)</x:f>
        <x:v>4</x:v>
      </x:c>
      <x:c r="W588" s="209" t="n">
        <x:f>IFERROR(U588/M588,0)</x:f>
        <x:v>0</x:v>
      </x:c>
      <x:c r="X588" s="201" t="str">
        <x:f>IF(U588=0,"Não iniciado",IF(U588&gt;=M588,"Concluído","Parcial"))</x:f>
        <x:v>Não iniciado</x:v>
      </x:c>
      <x:c r="Y588" s="199" t="str"/>
      <x:c r="Z588" s="188" t="str">
        <x:v>Normal</x:v>
      </x:c>
    </x:row>
    <x:row r="589" ht="22" customHeight="1">
      <x:c r="A589" s="217" t="n">
        <x:v>585</x:v>
      </x:c>
      <x:c r="B589" s="218" t="str">
        <x:v>26750</x:v>
      </x:c>
      <x:c r="C589" s="218" t="str">
        <x:v>13</x:v>
      </x:c>
      <x:c r="D589" s="218" t="str">
        <x:v>609828</x:v>
      </x:c>
      <x:c r="E589" s="218" t="str">
        <x:v>919640</x:v>
      </x:c>
      <x:c r="F589" s="218" t="str">
        <x:v>OUTROS</x:v>
      </x:c>
      <x:c r="G589" s="184" t="str">
        <x:v>TR AL 1100X50X9 RTO LME REC PET BCO (ULT</x:v>
      </x:c>
      <x:c r="H589" s="184" t="str"/>
      <x:c r="I589" s="184" t="str"/>
      <x:c r="J589" s="184" t="str"/>
      <x:c r="K589" s="184" t="str">
        <x:v>ESMALTE</x:v>
      </x:c>
      <x:c r="L589" s="184" t="str">
        <x:v>BRANCO CARRARA</x:v>
      </x:c>
      <x:c r="M589" s="205" t="n">
        <x:v>28</x:v>
      </x:c>
      <x:c r="N589" s="205" t="n">
        <x:v>1100</x:v>
      </x:c>
      <x:c r="O589" s="205" t="n">
        <x:v>50</x:v>
      </x:c>
      <x:c r="P589" s="205" t="n">
        <x:v>9</x:v>
      </x:c>
      <x:c r="Q589" s="206" t="n">
        <x:v>0</x:v>
      </x:c>
      <x:c r="R589" s="207" t="str"/>
      <x:c r="S589" s="207" t="str"/>
      <x:c r="T589" s="207" t="str"/>
      <x:c r="U589" s="207" t="n">
        <x:v>0</x:v>
      </x:c>
      <x:c r="V589" s="208" t="n">
        <x:f>MAX(0,M589-U589)</x:f>
        <x:v>28</x:v>
      </x:c>
      <x:c r="W589" s="209" t="n">
        <x:f>IFERROR(U589/M589,0)</x:f>
        <x:v>0</x:v>
      </x:c>
      <x:c r="X589" s="201" t="str">
        <x:f>IF(U589=0,"Não iniciado",IF(U589&gt;=M589,"Concluído","Parcial"))</x:f>
        <x:v>Não iniciado</x:v>
      </x:c>
      <x:c r="Y589" s="199" t="str"/>
      <x:c r="Z589" s="188" t="str">
        <x:v>Normal</x:v>
      </x:c>
    </x:row>
    <x:row r="590" ht="22" customHeight="1">
      <x:c r="A590" s="219" t="n">
        <x:v>586</x:v>
      </x:c>
      <x:c r="B590" s="220" t="str">
        <x:v>26750</x:v>
      </x:c>
      <x:c r="C590" s="220" t="str">
        <x:v>13</x:v>
      </x:c>
      <x:c r="D590" s="220" t="str">
        <x:v>609830</x:v>
      </x:c>
      <x:c r="E590" s="220" t="str">
        <x:v>966149</x:v>
      </x:c>
      <x:c r="F590" s="220" t="str">
        <x:v>OUTROS</x:v>
      </x:c>
      <x:c r="G590" s="190" t="str">
        <x:v>TR AL 1100X50X9 RTO RL80 REC PET BCO (UL</x:v>
      </x:c>
      <x:c r="H590" s="190" t="str"/>
      <x:c r="I590" s="190" t="str"/>
      <x:c r="J590" s="190" t="str"/>
      <x:c r="K590" s="190" t="str">
        <x:v>ESMALTE</x:v>
      </x:c>
      <x:c r="L590" s="190" t="str">
        <x:v>BRANCO CARRARA</x:v>
      </x:c>
      <x:c r="M590" s="210" t="n">
        <x:v>28</x:v>
      </x:c>
      <x:c r="N590" s="210" t="n">
        <x:v>1100</x:v>
      </x:c>
      <x:c r="O590" s="210" t="n">
        <x:v>50</x:v>
      </x:c>
      <x:c r="P590" s="210" t="n">
        <x:v>9</x:v>
      </x:c>
      <x:c r="Q590" s="211" t="n">
        <x:v>0</x:v>
      </x:c>
      <x:c r="R590" s="207" t="str"/>
      <x:c r="S590" s="207" t="str"/>
      <x:c r="T590" s="207" t="str"/>
      <x:c r="U590" s="207" t="n">
        <x:v>0</x:v>
      </x:c>
      <x:c r="V590" s="208" t="n">
        <x:f>MAX(0,M590-U590)</x:f>
        <x:v>28</x:v>
      </x:c>
      <x:c r="W590" s="209" t="n">
        <x:f>IFERROR(U590/M590,0)</x:f>
        <x:v>0</x:v>
      </x:c>
      <x:c r="X590" s="201" t="str">
        <x:f>IF(U590=0,"Não iniciado",IF(U590&gt;=M590,"Concluído","Parcial"))</x:f>
        <x:v>Não iniciado</x:v>
      </x:c>
      <x:c r="Y590" s="199" t="str"/>
      <x:c r="Z590" s="188" t="str">
        <x:v>Normal</x:v>
      </x:c>
    </x:row>
    <x:row r="591" ht="22" customHeight="1">
      <x:c r="A591" s="217" t="n">
        <x:v>587</x:v>
      </x:c>
      <x:c r="B591" s="218" t="str">
        <x:v>26750</x:v>
      </x:c>
      <x:c r="C591" s="218" t="str">
        <x:v>14</x:v>
      </x:c>
      <x:c r="D591" s="218" t="str">
        <x:v>609836</x:v>
      </x:c>
      <x:c r="E591" s="218" t="str">
        <x:v>919640</x:v>
      </x:c>
      <x:c r="F591" s="218" t="str">
        <x:v>OUTROS</x:v>
      </x:c>
      <x:c r="G591" s="184" t="str">
        <x:v>TR AL 1100X50X9 RTO LME REC PET BCO (ULT</x:v>
      </x:c>
      <x:c r="H591" s="184" t="str"/>
      <x:c r="I591" s="184" t="str"/>
      <x:c r="J591" s="184" t="str"/>
      <x:c r="K591" s="184" t="str">
        <x:v>ESMALTE</x:v>
      </x:c>
      <x:c r="L591" s="184" t="str">
        <x:v>BRANCO CARRARA</x:v>
      </x:c>
      <x:c r="M591" s="205" t="n">
        <x:v>19</x:v>
      </x:c>
      <x:c r="N591" s="205" t="n">
        <x:v>1100</x:v>
      </x:c>
      <x:c r="O591" s="205" t="n">
        <x:v>50</x:v>
      </x:c>
      <x:c r="P591" s="205" t="n">
        <x:v>9</x:v>
      </x:c>
      <x:c r="Q591" s="206" t="n">
        <x:v>0</x:v>
      </x:c>
      <x:c r="R591" s="207" t="str"/>
      <x:c r="S591" s="207" t="str"/>
      <x:c r="T591" s="207" t="str"/>
      <x:c r="U591" s="207" t="n">
        <x:v>0</x:v>
      </x:c>
      <x:c r="V591" s="208" t="n">
        <x:f>MAX(0,M591-U591)</x:f>
        <x:v>19</x:v>
      </x:c>
      <x:c r="W591" s="209" t="n">
        <x:f>IFERROR(U591/M591,0)</x:f>
        <x:v>0</x:v>
      </x:c>
      <x:c r="X591" s="201" t="str">
        <x:f>IF(U591=0,"Não iniciado",IF(U591&gt;=M591,"Concluído","Parcial"))</x:f>
        <x:v>Não iniciado</x:v>
      </x:c>
      <x:c r="Y591" s="199" t="str"/>
      <x:c r="Z591" s="188" t="str">
        <x:v>Normal</x:v>
      </x:c>
    </x:row>
    <x:row r="592" ht="22" customHeight="1">
      <x:c r="A592" s="219" t="n">
        <x:v>588</x:v>
      </x:c>
      <x:c r="B592" s="220" t="str">
        <x:v>26750</x:v>
      </x:c>
      <x:c r="C592" s="220" t="str">
        <x:v>14</x:v>
      </x:c>
      <x:c r="D592" s="220" t="str">
        <x:v>609840</x:v>
      </x:c>
      <x:c r="E592" s="220" t="str">
        <x:v>966149</x:v>
      </x:c>
      <x:c r="F592" s="220" t="str">
        <x:v>OUTROS</x:v>
      </x:c>
      <x:c r="G592" s="190" t="str">
        <x:v>TR AL 1100X50X9 RTO RL80 REC PET BCO (UL</x:v>
      </x:c>
      <x:c r="H592" s="190" t="str"/>
      <x:c r="I592" s="190" t="str"/>
      <x:c r="J592" s="190" t="str"/>
      <x:c r="K592" s="190" t="str">
        <x:v>ESMALTE</x:v>
      </x:c>
      <x:c r="L592" s="190" t="str">
        <x:v>BRANCO CARRARA</x:v>
      </x:c>
      <x:c r="M592" s="210" t="n">
        <x:v>19</x:v>
      </x:c>
      <x:c r="N592" s="210" t="n">
        <x:v>1100</x:v>
      </x:c>
      <x:c r="O592" s="210" t="n">
        <x:v>50</x:v>
      </x:c>
      <x:c r="P592" s="210" t="n">
        <x:v>9</x:v>
      </x:c>
      <x:c r="Q592" s="211" t="n">
        <x:v>0</x:v>
      </x:c>
      <x:c r="R592" s="207" t="str"/>
      <x:c r="S592" s="207" t="str"/>
      <x:c r="T592" s="207" t="str"/>
      <x:c r="U592" s="207" t="n">
        <x:v>0</x:v>
      </x:c>
      <x:c r="V592" s="208" t="n">
        <x:f>MAX(0,M592-U592)</x:f>
        <x:v>19</x:v>
      </x:c>
      <x:c r="W592" s="209" t="n">
        <x:f>IFERROR(U592/M592,0)</x:f>
        <x:v>0</x:v>
      </x:c>
      <x:c r="X592" s="201" t="str">
        <x:f>IF(U592=0,"Não iniciado",IF(U592&gt;=M592,"Concluído","Parcial"))</x:f>
        <x:v>Não iniciado</x:v>
      </x:c>
      <x:c r="Y592" s="199" t="str"/>
      <x:c r="Z592" s="188" t="str">
        <x:v>Normal</x:v>
      </x:c>
    </x:row>
    <x:row r="593" ht="22" customHeight="1">
      <x:c r="A593" s="217" t="n">
        <x:v>589</x:v>
      </x:c>
      <x:c r="B593" s="218" t="str">
        <x:v>26750</x:v>
      </x:c>
      <x:c r="C593" s="218" t="str">
        <x:v>15</x:v>
      </x:c>
      <x:c r="D593" s="218" t="str">
        <x:v>609845</x:v>
      </x:c>
      <x:c r="E593" s="218" t="str">
        <x:v>919640</x:v>
      </x:c>
      <x:c r="F593" s="218" t="str">
        <x:v>OUTROS</x:v>
      </x:c>
      <x:c r="G593" s="184" t="str">
        <x:v>TR AL 1100X50X9 RTO LME REC PET BCO (ULT</x:v>
      </x:c>
      <x:c r="H593" s="184" t="str"/>
      <x:c r="I593" s="184" t="str"/>
      <x:c r="J593" s="184" t="str"/>
      <x:c r="K593" s="184" t="str">
        <x:v>ESMALTE</x:v>
      </x:c>
      <x:c r="L593" s="184" t="str">
        <x:v>BRANCO CARRARA</x:v>
      </x:c>
      <x:c r="M593" s="205" t="n">
        <x:v>4</x:v>
      </x:c>
      <x:c r="N593" s="205" t="n">
        <x:v>1100</x:v>
      </x:c>
      <x:c r="O593" s="205" t="n">
        <x:v>50</x:v>
      </x:c>
      <x:c r="P593" s="205" t="n">
        <x:v>9</x:v>
      </x:c>
      <x:c r="Q593" s="206" t="n">
        <x:v>0</x:v>
      </x:c>
      <x:c r="R593" s="207" t="str"/>
      <x:c r="S593" s="207" t="str"/>
      <x:c r="T593" s="207" t="str"/>
      <x:c r="U593" s="207" t="n">
        <x:v>0</x:v>
      </x:c>
      <x:c r="V593" s="208" t="n">
        <x:f>MAX(0,M593-U593)</x:f>
        <x:v>4</x:v>
      </x:c>
      <x:c r="W593" s="209" t="n">
        <x:f>IFERROR(U593/M593,0)</x:f>
        <x:v>0</x:v>
      </x:c>
      <x:c r="X593" s="201" t="str">
        <x:f>IF(U593=0,"Não iniciado",IF(U593&gt;=M593,"Concluído","Parcial"))</x:f>
        <x:v>Não iniciado</x:v>
      </x:c>
      <x:c r="Y593" s="199" t="str"/>
      <x:c r="Z593" s="188" t="str">
        <x:v>Normal</x:v>
      </x:c>
    </x:row>
    <x:row r="594" ht="22" customHeight="1">
      <x:c r="A594" s="219" t="n">
        <x:v>590</x:v>
      </x:c>
      <x:c r="B594" s="220" t="str">
        <x:v>26750</x:v>
      </x:c>
      <x:c r="C594" s="220" t="str">
        <x:v>15</x:v>
      </x:c>
      <x:c r="D594" s="220" t="str">
        <x:v>609847</x:v>
      </x:c>
      <x:c r="E594" s="220" t="str">
        <x:v>966149</x:v>
      </x:c>
      <x:c r="F594" s="220" t="str">
        <x:v>OUTROS</x:v>
      </x:c>
      <x:c r="G594" s="190" t="str">
        <x:v>TR AL 1100X50X9 RTO RL80 REC PET BCO (UL</x:v>
      </x:c>
      <x:c r="H594" s="190" t="str"/>
      <x:c r="I594" s="190" t="str"/>
      <x:c r="J594" s="190" t="str"/>
      <x:c r="K594" s="190" t="str">
        <x:v>ESMALTE</x:v>
      </x:c>
      <x:c r="L594" s="190" t="str">
        <x:v>BRANCO CARRARA</x:v>
      </x:c>
      <x:c r="M594" s="210" t="n">
        <x:v>4</x:v>
      </x:c>
      <x:c r="N594" s="210" t="n">
        <x:v>1100</x:v>
      </x:c>
      <x:c r="O594" s="210" t="n">
        <x:v>50</x:v>
      </x:c>
      <x:c r="P594" s="210" t="n">
        <x:v>9</x:v>
      </x:c>
      <x:c r="Q594" s="211" t="n">
        <x:v>0</x:v>
      </x:c>
      <x:c r="R594" s="207" t="str"/>
      <x:c r="S594" s="207" t="str"/>
      <x:c r="T594" s="207" t="str"/>
      <x:c r="U594" s="207" t="n">
        <x:v>0</x:v>
      </x:c>
      <x:c r="V594" s="208" t="n">
        <x:f>MAX(0,M594-U594)</x:f>
        <x:v>4</x:v>
      </x:c>
      <x:c r="W594" s="209" t="n">
        <x:f>IFERROR(U594/M594,0)</x:f>
        <x:v>0</x:v>
      </x:c>
      <x:c r="X594" s="201" t="str">
        <x:f>IF(U594=0,"Não iniciado",IF(U594&gt;=M594,"Concluído","Parcial"))</x:f>
        <x:v>Não iniciado</x:v>
      </x:c>
      <x:c r="Y594" s="199" t="str"/>
      <x:c r="Z594" s="188" t="str">
        <x:v>Normal</x:v>
      </x:c>
    </x:row>
    <x:row r="595" ht="22" customHeight="1">
      <x:c r="A595" s="217" t="n">
        <x:v>591</x:v>
      </x:c>
      <x:c r="B595" s="218" t="str">
        <x:v>26750</x:v>
      </x:c>
      <x:c r="C595" s="218" t="str">
        <x:v>18</x:v>
      </x:c>
      <x:c r="D595" s="218" t="str">
        <x:v>609856</x:v>
      </x:c>
      <x:c r="E595" s="218" t="str">
        <x:v>919640</x:v>
      </x:c>
      <x:c r="F595" s="218" t="str">
        <x:v>OUTROS</x:v>
      </x:c>
      <x:c r="G595" s="184" t="str">
        <x:v>TR AL 1100X50X9 RTO LME REC PET BCO (ULT</x:v>
      </x:c>
      <x:c r="H595" s="184" t="str">
        <x:v>REG 2L(MAIOR 80MM)</x:v>
      </x:c>
      <x:c r="I595" s="184" t="str"/>
      <x:c r="J595" s="184" t="str"/>
      <x:c r="K595" s="184" t="str">
        <x:v>RECOBERTO PET</x:v>
      </x:c>
      <x:c r="L595" s="184" t="str">
        <x:v>BRANCO CARRARA</x:v>
      </x:c>
      <x:c r="M595" s="205" t="n">
        <x:v>7</x:v>
      </x:c>
      <x:c r="N595" s="205" t="n">
        <x:v>1100</x:v>
      </x:c>
      <x:c r="O595" s="205" t="n">
        <x:v>50</x:v>
      </x:c>
      <x:c r="P595" s="205" t="n">
        <x:v>9</x:v>
      </x:c>
      <x:c r="Q595" s="206" t="n">
        <x:v>0</x:v>
      </x:c>
      <x:c r="R595" s="207" t="str"/>
      <x:c r="S595" s="207" t="str"/>
      <x:c r="T595" s="207" t="str"/>
      <x:c r="U595" s="207" t="n">
        <x:v>0</x:v>
      </x:c>
      <x:c r="V595" s="208" t="n">
        <x:f>MAX(0,M595-U595)</x:f>
        <x:v>7</x:v>
      </x:c>
      <x:c r="W595" s="209" t="n">
        <x:f>IFERROR(U595/M595,0)</x:f>
        <x:v>0</x:v>
      </x:c>
      <x:c r="X595" s="201" t="str">
        <x:f>IF(U595=0,"Não iniciado",IF(U595&gt;=M595,"Concluído","Parcial"))</x:f>
        <x:v>Não iniciado</x:v>
      </x:c>
      <x:c r="Y595" s="199" t="str"/>
      <x:c r="Z595" s="188" t="str">
        <x:v>Normal</x:v>
      </x:c>
    </x:row>
    <x:row r="596" ht="22" customHeight="1">
      <x:c r="A596" s="219" t="n">
        <x:v>592</x:v>
      </x:c>
      <x:c r="B596" s="220" t="str">
        <x:v>26750</x:v>
      </x:c>
      <x:c r="C596" s="220" t="str">
        <x:v>18</x:v>
      </x:c>
      <x:c r="D596" s="220" t="str">
        <x:v>609858</x:v>
      </x:c>
      <x:c r="E596" s="220" t="str">
        <x:v>966149</x:v>
      </x:c>
      <x:c r="F596" s="220" t="str">
        <x:v>OUTROS</x:v>
      </x:c>
      <x:c r="G596" s="190" t="str">
        <x:v>TR AL 1100X50X9 RTO RL80 REC PET BCO (UL</x:v>
      </x:c>
      <x:c r="H596" s="190" t="str">
        <x:v>REG 2L(MAIOR 80MM)</x:v>
      </x:c>
      <x:c r="I596" s="190" t="str"/>
      <x:c r="J596" s="190" t="str"/>
      <x:c r="K596" s="190" t="str">
        <x:v>RECOBERTO PET</x:v>
      </x:c>
      <x:c r="L596" s="190" t="str">
        <x:v>BRANCO CARRARA</x:v>
      </x:c>
      <x:c r="M596" s="210" t="n">
        <x:v>7</x:v>
      </x:c>
      <x:c r="N596" s="210" t="n">
        <x:v>1100</x:v>
      </x:c>
      <x:c r="O596" s="210" t="n">
        <x:v>50</x:v>
      </x:c>
      <x:c r="P596" s="210" t="n">
        <x:v>9</x:v>
      </x:c>
      <x:c r="Q596" s="211" t="n">
        <x:v>0</x:v>
      </x:c>
      <x:c r="R596" s="207" t="str"/>
      <x:c r="S596" s="207" t="str"/>
      <x:c r="T596" s="207" t="str"/>
      <x:c r="U596" s="207" t="n">
        <x:v>0</x:v>
      </x:c>
      <x:c r="V596" s="208" t="n">
        <x:f>MAX(0,M596-U596)</x:f>
        <x:v>7</x:v>
      </x:c>
      <x:c r="W596" s="209" t="n">
        <x:f>IFERROR(U596/M596,0)</x:f>
        <x:v>0</x:v>
      </x:c>
      <x:c r="X596" s="201" t="str">
        <x:f>IF(U596=0,"Não iniciado",IF(U596&gt;=M596,"Concluído","Parcial"))</x:f>
        <x:v>Não iniciado</x:v>
      </x:c>
      <x:c r="Y596" s="199" t="str"/>
      <x:c r="Z596" s="188" t="str">
        <x:v>Normal</x:v>
      </x:c>
    </x:row>
    <x:row r="597" ht="22" customHeight="1">
      <x:c r="A597" s="217" t="n">
        <x:v>593</x:v>
      </x:c>
      <x:c r="B597" s="218" t="str">
        <x:v>26750</x:v>
      </x:c>
      <x:c r="C597" s="218" t="str">
        <x:v>20</x:v>
      </x:c>
      <x:c r="D597" s="218" t="str">
        <x:v>609867</x:v>
      </x:c>
      <x:c r="E597" s="218" t="str">
        <x:v>919640</x:v>
      </x:c>
      <x:c r="F597" s="218" t="str">
        <x:v>OUTROS</x:v>
      </x:c>
      <x:c r="G597" s="184" t="str">
        <x:v>TR AL 1100X50X9 RTO LME REC PET BCO (ULT</x:v>
      </x:c>
      <x:c r="H597" s="184" t="str"/>
      <x:c r="I597" s="184" t="str"/>
      <x:c r="J597" s="184" t="str"/>
      <x:c r="K597" s="184" t="str">
        <x:v>ESMALTE</x:v>
      </x:c>
      <x:c r="L597" s="184" t="str">
        <x:v>BRANCO CARRARA</x:v>
      </x:c>
      <x:c r="M597" s="205" t="n">
        <x:v>9</x:v>
      </x:c>
      <x:c r="N597" s="205" t="n">
        <x:v>1100</x:v>
      </x:c>
      <x:c r="O597" s="205" t="n">
        <x:v>50</x:v>
      </x:c>
      <x:c r="P597" s="205" t="n">
        <x:v>9</x:v>
      </x:c>
      <x:c r="Q597" s="206" t="n">
        <x:v>0</x:v>
      </x:c>
      <x:c r="R597" s="207" t="str"/>
      <x:c r="S597" s="207" t="str"/>
      <x:c r="T597" s="207" t="str"/>
      <x:c r="U597" s="207" t="n">
        <x:v>0</x:v>
      </x:c>
      <x:c r="V597" s="208" t="n">
        <x:f>MAX(0,M597-U597)</x:f>
        <x:v>9</x:v>
      </x:c>
      <x:c r="W597" s="209" t="n">
        <x:f>IFERROR(U597/M597,0)</x:f>
        <x:v>0</x:v>
      </x:c>
      <x:c r="X597" s="201" t="str">
        <x:f>IF(U597=0,"Não iniciado",IF(U597&gt;=M597,"Concluído","Parcial"))</x:f>
        <x:v>Não iniciado</x:v>
      </x:c>
      <x:c r="Y597" s="199" t="str"/>
      <x:c r="Z597" s="188" t="str">
        <x:v>Normal</x:v>
      </x:c>
    </x:row>
    <x:row r="598" ht="22" customHeight="1">
      <x:c r="A598" s="219" t="n">
        <x:v>594</x:v>
      </x:c>
      <x:c r="B598" s="220" t="str">
        <x:v>26750</x:v>
      </x:c>
      <x:c r="C598" s="220" t="str">
        <x:v>20</x:v>
      </x:c>
      <x:c r="D598" s="220" t="str">
        <x:v>609869</x:v>
      </x:c>
      <x:c r="E598" s="220" t="str">
        <x:v>966149</x:v>
      </x:c>
      <x:c r="F598" s="220" t="str">
        <x:v>OUTROS</x:v>
      </x:c>
      <x:c r="G598" s="190" t="str">
        <x:v>TR AL 1100X50X9 RTO RL80 REC PET BCO (UL</x:v>
      </x:c>
      <x:c r="H598" s="190" t="str"/>
      <x:c r="I598" s="190" t="str"/>
      <x:c r="J598" s="190" t="str"/>
      <x:c r="K598" s="190" t="str">
        <x:v>ESMALTE</x:v>
      </x:c>
      <x:c r="L598" s="190" t="str">
        <x:v>BRANCO CARRARA</x:v>
      </x:c>
      <x:c r="M598" s="210" t="n">
        <x:v>9</x:v>
      </x:c>
      <x:c r="N598" s="210" t="n">
        <x:v>1100</x:v>
      </x:c>
      <x:c r="O598" s="210" t="n">
        <x:v>50</x:v>
      </x:c>
      <x:c r="P598" s="210" t="n">
        <x:v>9</x:v>
      </x:c>
      <x:c r="Q598" s="211" t="n">
        <x:v>0</x:v>
      </x:c>
      <x:c r="R598" s="207" t="str"/>
      <x:c r="S598" s="207" t="str"/>
      <x:c r="T598" s="207" t="str"/>
      <x:c r="U598" s="207" t="n">
        <x:v>0</x:v>
      </x:c>
      <x:c r="V598" s="208" t="n">
        <x:f>MAX(0,M598-U598)</x:f>
        <x:v>9</x:v>
      </x:c>
      <x:c r="W598" s="209" t="n">
        <x:f>IFERROR(U598/M598,0)</x:f>
        <x:v>0</x:v>
      </x:c>
      <x:c r="X598" s="201" t="str">
        <x:f>IF(U598=0,"Não iniciado",IF(U598&gt;=M598,"Concluído","Parcial"))</x:f>
        <x:v>Não iniciado</x:v>
      </x:c>
      <x:c r="Y598" s="199" t="str"/>
      <x:c r="Z598" s="188" t="str">
        <x:v>Normal</x:v>
      </x:c>
    </x:row>
    <x:row r="599" ht="22" customHeight="1">
      <x:c r="A599" s="217" t="n">
        <x:v>595</x:v>
      </x:c>
      <x:c r="B599" s="218" t="str">
        <x:v>26750</x:v>
      </x:c>
      <x:c r="C599" s="218" t="str">
        <x:v>21</x:v>
      </x:c>
      <x:c r="D599" s="218" t="str">
        <x:v>609875</x:v>
      </x:c>
      <x:c r="E599" s="218" t="str">
        <x:v>919640</x:v>
      </x:c>
      <x:c r="F599" s="218" t="str">
        <x:v>OUTROS</x:v>
      </x:c>
      <x:c r="G599" s="184" t="str">
        <x:v>TR AL 1100X50X9 RTO LME REC PET BCO (ULT</x:v>
      </x:c>
      <x:c r="H599" s="184" t="str"/>
      <x:c r="I599" s="184" t="str"/>
      <x:c r="J599" s="184" t="str"/>
      <x:c r="K599" s="184" t="str">
        <x:v>ESMALTE</x:v>
      </x:c>
      <x:c r="L599" s="184" t="str">
        <x:v>BRANCO CARRARA</x:v>
      </x:c>
      <x:c r="M599" s="205" t="n">
        <x:v>5</x:v>
      </x:c>
      <x:c r="N599" s="205" t="n">
        <x:v>1100</x:v>
      </x:c>
      <x:c r="O599" s="205" t="n">
        <x:v>50</x:v>
      </x:c>
      <x:c r="P599" s="205" t="n">
        <x:v>9</x:v>
      </x:c>
      <x:c r="Q599" s="206" t="n">
        <x:v>0</x:v>
      </x:c>
      <x:c r="R599" s="207" t="str"/>
      <x:c r="S599" s="207" t="str"/>
      <x:c r="T599" s="207" t="str"/>
      <x:c r="U599" s="207" t="n">
        <x:v>0</x:v>
      </x:c>
      <x:c r="V599" s="208" t="n">
        <x:f>MAX(0,M599-U599)</x:f>
        <x:v>5</x:v>
      </x:c>
      <x:c r="W599" s="209" t="n">
        <x:f>IFERROR(U599/M599,0)</x:f>
        <x:v>0</x:v>
      </x:c>
      <x:c r="X599" s="201" t="str">
        <x:f>IF(U599=0,"Não iniciado",IF(U599&gt;=M599,"Concluído","Parcial"))</x:f>
        <x:v>Não iniciado</x:v>
      </x:c>
      <x:c r="Y599" s="199" t="str"/>
      <x:c r="Z599" s="188" t="str">
        <x:v>Normal</x:v>
      </x:c>
    </x:row>
    <x:row r="600" ht="22" customHeight="1">
      <x:c r="A600" s="219" t="n">
        <x:v>596</x:v>
      </x:c>
      <x:c r="B600" s="220" t="str">
        <x:v>26750</x:v>
      </x:c>
      <x:c r="C600" s="220" t="str">
        <x:v>21</x:v>
      </x:c>
      <x:c r="D600" s="220" t="str">
        <x:v>609877</x:v>
      </x:c>
      <x:c r="E600" s="220" t="str">
        <x:v>966149</x:v>
      </x:c>
      <x:c r="F600" s="220" t="str">
        <x:v>OUTROS</x:v>
      </x:c>
      <x:c r="G600" s="190" t="str">
        <x:v>TR AL 1100X50X9 RTO RL80 REC PET BCO (UL</x:v>
      </x:c>
      <x:c r="H600" s="190" t="str"/>
      <x:c r="I600" s="190" t="str"/>
      <x:c r="J600" s="190" t="str"/>
      <x:c r="K600" s="190" t="str">
        <x:v>ESMALTE</x:v>
      </x:c>
      <x:c r="L600" s="190" t="str">
        <x:v>BRANCO CARRARA</x:v>
      </x:c>
      <x:c r="M600" s="210" t="n">
        <x:v>5</x:v>
      </x:c>
      <x:c r="N600" s="210" t="n">
        <x:v>1100</x:v>
      </x:c>
      <x:c r="O600" s="210" t="n">
        <x:v>50</x:v>
      </x:c>
      <x:c r="P600" s="210" t="n">
        <x:v>9</x:v>
      </x:c>
      <x:c r="Q600" s="211" t="n">
        <x:v>0</x:v>
      </x:c>
      <x:c r="R600" s="207" t="str"/>
      <x:c r="S600" s="207" t="str"/>
      <x:c r="T600" s="207" t="str"/>
      <x:c r="U600" s="207" t="n">
        <x:v>0</x:v>
      </x:c>
      <x:c r="V600" s="208" t="n">
        <x:f>MAX(0,M600-U600)</x:f>
        <x:v>5</x:v>
      </x:c>
      <x:c r="W600" s="209" t="n">
        <x:f>IFERROR(U600/M600,0)</x:f>
        <x:v>0</x:v>
      </x:c>
      <x:c r="X600" s="201" t="str">
        <x:f>IF(U600=0,"Não iniciado",IF(U600&gt;=M600,"Concluído","Parcial"))</x:f>
        <x:v>Não iniciado</x:v>
      </x:c>
      <x:c r="Y600" s="199" t="str"/>
      <x:c r="Z600" s="188" t="str">
        <x:v>Normal</x:v>
      </x:c>
    </x:row>
    <x:row r="601" ht="22" customHeight="1">
      <x:c r="A601" s="217" t="n">
        <x:v>597</x:v>
      </x:c>
      <x:c r="B601" s="218" t="str">
        <x:v>26750</x:v>
      </x:c>
      <x:c r="C601" s="218" t="str">
        <x:v>22</x:v>
      </x:c>
      <x:c r="D601" s="218" t="str">
        <x:v>609883</x:v>
      </x:c>
      <x:c r="E601" s="218" t="str">
        <x:v>919640</x:v>
      </x:c>
      <x:c r="F601" s="218" t="str">
        <x:v>OUTROS</x:v>
      </x:c>
      <x:c r="G601" s="184" t="str">
        <x:v>TR AL 1100X50X9 RTO LME REC PET BCO (ULT</x:v>
      </x:c>
      <x:c r="H601" s="184" t="str"/>
      <x:c r="I601" s="184" t="str"/>
      <x:c r="J601" s="184" t="str"/>
      <x:c r="K601" s="184" t="str">
        <x:v>ESMALTE</x:v>
      </x:c>
      <x:c r="L601" s="184" t="str">
        <x:v>BRANCO CARRARA</x:v>
      </x:c>
      <x:c r="M601" s="205" t="n">
        <x:v>19</x:v>
      </x:c>
      <x:c r="N601" s="205" t="n">
        <x:v>1100</x:v>
      </x:c>
      <x:c r="O601" s="205" t="n">
        <x:v>50</x:v>
      </x:c>
      <x:c r="P601" s="205" t="n">
        <x:v>9</x:v>
      </x:c>
      <x:c r="Q601" s="206" t="n">
        <x:v>0</x:v>
      </x:c>
      <x:c r="R601" s="207" t="str"/>
      <x:c r="S601" s="207" t="str"/>
      <x:c r="T601" s="207" t="str"/>
      <x:c r="U601" s="207" t="n">
        <x:v>0</x:v>
      </x:c>
      <x:c r="V601" s="208" t="n">
        <x:f>MAX(0,M601-U601)</x:f>
        <x:v>19</x:v>
      </x:c>
      <x:c r="W601" s="209" t="n">
        <x:f>IFERROR(U601/M601,0)</x:f>
        <x:v>0</x:v>
      </x:c>
      <x:c r="X601" s="201" t="str">
        <x:f>IF(U601=0,"Não iniciado",IF(U601&gt;=M601,"Concluído","Parcial"))</x:f>
        <x:v>Não iniciado</x:v>
      </x:c>
      <x:c r="Y601" s="199" t="str"/>
      <x:c r="Z601" s="188" t="str">
        <x:v>Normal</x:v>
      </x:c>
    </x:row>
    <x:row r="602" ht="22" customHeight="1">
      <x:c r="A602" s="219" t="n">
        <x:v>598</x:v>
      </x:c>
      <x:c r="B602" s="220" t="str">
        <x:v>26750</x:v>
      </x:c>
      <x:c r="C602" s="220" t="str">
        <x:v>22</x:v>
      </x:c>
      <x:c r="D602" s="220" t="str">
        <x:v>609886</x:v>
      </x:c>
      <x:c r="E602" s="220" t="str">
        <x:v>966149</x:v>
      </x:c>
      <x:c r="F602" s="220" t="str">
        <x:v>OUTROS</x:v>
      </x:c>
      <x:c r="G602" s="190" t="str">
        <x:v>TR AL 1100X50X9 RTO RL80 REC PET BCO (UL</x:v>
      </x:c>
      <x:c r="H602" s="190" t="str"/>
      <x:c r="I602" s="190" t="str"/>
      <x:c r="J602" s="190" t="str"/>
      <x:c r="K602" s="190" t="str">
        <x:v>ESMALTE</x:v>
      </x:c>
      <x:c r="L602" s="190" t="str">
        <x:v>BRANCO CARRARA</x:v>
      </x:c>
      <x:c r="M602" s="210" t="n">
        <x:v>19</x:v>
      </x:c>
      <x:c r="N602" s="210" t="n">
        <x:v>1100</x:v>
      </x:c>
      <x:c r="O602" s="210" t="n">
        <x:v>50</x:v>
      </x:c>
      <x:c r="P602" s="210" t="n">
        <x:v>9</x:v>
      </x:c>
      <x:c r="Q602" s="211" t="n">
        <x:v>0</x:v>
      </x:c>
      <x:c r="R602" s="207" t="str"/>
      <x:c r="S602" s="207" t="str"/>
      <x:c r="T602" s="207" t="str"/>
      <x:c r="U602" s="207" t="n">
        <x:v>0</x:v>
      </x:c>
      <x:c r="V602" s="208" t="n">
        <x:f>MAX(0,M602-U602)</x:f>
        <x:v>19</x:v>
      </x:c>
      <x:c r="W602" s="209" t="n">
        <x:f>IFERROR(U602/M602,0)</x:f>
        <x:v>0</x:v>
      </x:c>
      <x:c r="X602" s="201" t="str">
        <x:f>IF(U602=0,"Não iniciado",IF(U602&gt;=M602,"Concluído","Parcial"))</x:f>
        <x:v>Não iniciado</x:v>
      </x:c>
      <x:c r="Y602" s="199" t="str"/>
      <x:c r="Z602" s="188" t="str">
        <x:v>Normal</x:v>
      </x:c>
    </x:row>
    <x:row r="603" ht="22" customHeight="1">
      <x:c r="A603" s="217" t="n">
        <x:v>599</x:v>
      </x:c>
      <x:c r="B603" s="218" t="str">
        <x:v>26750</x:v>
      </x:c>
      <x:c r="C603" s="218" t="str">
        <x:v>23</x:v>
      </x:c>
      <x:c r="D603" s="218" t="str">
        <x:v>609891</x:v>
      </x:c>
      <x:c r="E603" s="218" t="str">
        <x:v>919640</x:v>
      </x:c>
      <x:c r="F603" s="218" t="str">
        <x:v>OUTROS</x:v>
      </x:c>
      <x:c r="G603" s="184" t="str">
        <x:v>TR AL 1100X50X9 RTO LME REC PET BCO (ULT</x:v>
      </x:c>
      <x:c r="H603" s="184" t="str"/>
      <x:c r="I603" s="184" t="str"/>
      <x:c r="J603" s="184" t="str"/>
      <x:c r="K603" s="184" t="str">
        <x:v>ESMALTE</x:v>
      </x:c>
      <x:c r="L603" s="184" t="str">
        <x:v>BRANCO CARRARA</x:v>
      </x:c>
      <x:c r="M603" s="205" t="n">
        <x:v>4</x:v>
      </x:c>
      <x:c r="N603" s="205" t="n">
        <x:v>1100</x:v>
      </x:c>
      <x:c r="O603" s="205" t="n">
        <x:v>50</x:v>
      </x:c>
      <x:c r="P603" s="205" t="n">
        <x:v>9</x:v>
      </x:c>
      <x:c r="Q603" s="206" t="n">
        <x:v>0</x:v>
      </x:c>
      <x:c r="R603" s="207" t="str"/>
      <x:c r="S603" s="207" t="str"/>
      <x:c r="T603" s="207" t="str"/>
      <x:c r="U603" s="207" t="n">
        <x:v>0</x:v>
      </x:c>
      <x:c r="V603" s="208" t="n">
        <x:f>MAX(0,M603-U603)</x:f>
        <x:v>4</x:v>
      </x:c>
      <x:c r="W603" s="209" t="n">
        <x:f>IFERROR(U603/M603,0)</x:f>
        <x:v>0</x:v>
      </x:c>
      <x:c r="X603" s="201" t="str">
        <x:f>IF(U603=0,"Não iniciado",IF(U603&gt;=M603,"Concluído","Parcial"))</x:f>
        <x:v>Não iniciado</x:v>
      </x:c>
      <x:c r="Y603" s="199" t="str"/>
      <x:c r="Z603" s="188" t="str">
        <x:v>Normal</x:v>
      </x:c>
    </x:row>
    <x:row r="604" ht="22" customHeight="1">
      <x:c r="A604" s="219" t="n">
        <x:v>600</x:v>
      </x:c>
      <x:c r="B604" s="220" t="str">
        <x:v>26750</x:v>
      </x:c>
      <x:c r="C604" s="220" t="str">
        <x:v>23</x:v>
      </x:c>
      <x:c r="D604" s="220" t="str">
        <x:v>609894</x:v>
      </x:c>
      <x:c r="E604" s="220" t="str">
        <x:v>966149</x:v>
      </x:c>
      <x:c r="F604" s="220" t="str">
        <x:v>OUTROS</x:v>
      </x:c>
      <x:c r="G604" s="190" t="str">
        <x:v>TR AL 1100X50X9 RTO RL80 REC PET BCO (UL</x:v>
      </x:c>
      <x:c r="H604" s="190" t="str"/>
      <x:c r="I604" s="190" t="str"/>
      <x:c r="J604" s="190" t="str"/>
      <x:c r="K604" s="190" t="str">
        <x:v>ESMALTE</x:v>
      </x:c>
      <x:c r="L604" s="190" t="str">
        <x:v>BRANCO CARRARA</x:v>
      </x:c>
      <x:c r="M604" s="210" t="n">
        <x:v>4</x:v>
      </x:c>
      <x:c r="N604" s="210" t="n">
        <x:v>1100</x:v>
      </x:c>
      <x:c r="O604" s="210" t="n">
        <x:v>50</x:v>
      </x:c>
      <x:c r="P604" s="210" t="n">
        <x:v>9</x:v>
      </x:c>
      <x:c r="Q604" s="211" t="n">
        <x:v>0</x:v>
      </x:c>
      <x:c r="R604" s="207" t="str"/>
      <x:c r="S604" s="207" t="str"/>
      <x:c r="T604" s="207" t="str"/>
      <x:c r="U604" s="207" t="n">
        <x:v>0</x:v>
      </x:c>
      <x:c r="V604" s="208" t="n">
        <x:f>MAX(0,M604-U604)</x:f>
        <x:v>4</x:v>
      </x:c>
      <x:c r="W604" s="209" t="n">
        <x:f>IFERROR(U604/M604,0)</x:f>
        <x:v>0</x:v>
      </x:c>
      <x:c r="X604" s="201" t="str">
        <x:f>IF(U604=0,"Não iniciado",IF(U604&gt;=M604,"Concluído","Parcial"))</x:f>
        <x:v>Não iniciado</x:v>
      </x:c>
      <x:c r="Y604" s="199" t="str"/>
      <x:c r="Z604" s="188" t="str">
        <x:v>Normal</x:v>
      </x:c>
    </x:row>
    <x:row r="605" ht="22" customHeight="1">
      <x:c r="A605" s="217" t="n">
        <x:v>601</x:v>
      </x:c>
      <x:c r="B605" s="218" t="str">
        <x:v>26750</x:v>
      </x:c>
      <x:c r="C605" s="218" t="str">
        <x:v>24</x:v>
      </x:c>
      <x:c r="D605" s="218" t="str">
        <x:v>609900</x:v>
      </x:c>
      <x:c r="E605" s="218" t="str">
        <x:v>919640</x:v>
      </x:c>
      <x:c r="F605" s="218" t="str">
        <x:v>OUTROS</x:v>
      </x:c>
      <x:c r="G605" s="184" t="str">
        <x:v>TR AL 1100X50X9 RTO LME REC PET BCO (ULT</x:v>
      </x:c>
      <x:c r="H605" s="184" t="str"/>
      <x:c r="I605" s="184" t="str"/>
      <x:c r="J605" s="184" t="str"/>
      <x:c r="K605" s="184" t="str">
        <x:v>ESMALTE</x:v>
      </x:c>
      <x:c r="L605" s="184" t="str">
        <x:v>BRANCO CARRARA</x:v>
      </x:c>
      <x:c r="M605" s="205" t="n">
        <x:v>10</x:v>
      </x:c>
      <x:c r="N605" s="205" t="n">
        <x:v>1100</x:v>
      </x:c>
      <x:c r="O605" s="205" t="n">
        <x:v>50</x:v>
      </x:c>
      <x:c r="P605" s="205" t="n">
        <x:v>9</x:v>
      </x:c>
      <x:c r="Q605" s="206" t="n">
        <x:v>0</x:v>
      </x:c>
      <x:c r="R605" s="207" t="str"/>
      <x:c r="S605" s="207" t="str"/>
      <x:c r="T605" s="207" t="str"/>
      <x:c r="U605" s="207" t="n">
        <x:v>0</x:v>
      </x:c>
      <x:c r="V605" s="208" t="n">
        <x:f>MAX(0,M605-U605)</x:f>
        <x:v>10</x:v>
      </x:c>
      <x:c r="W605" s="209" t="n">
        <x:f>IFERROR(U605/M605,0)</x:f>
        <x:v>0</x:v>
      </x:c>
      <x:c r="X605" s="201" t="str">
        <x:f>IF(U605=0,"Não iniciado",IF(U605&gt;=M605,"Concluído","Parcial"))</x:f>
        <x:v>Não iniciado</x:v>
      </x:c>
      <x:c r="Y605" s="199" t="str"/>
      <x:c r="Z605" s="188" t="str">
        <x:v>Normal</x:v>
      </x:c>
    </x:row>
    <x:row r="606" ht="22" customHeight="1">
      <x:c r="A606" s="219" t="n">
        <x:v>602</x:v>
      </x:c>
      <x:c r="B606" s="220" t="str">
        <x:v>26750</x:v>
      </x:c>
      <x:c r="C606" s="220" t="str">
        <x:v>24</x:v>
      </x:c>
      <x:c r="D606" s="220" t="str">
        <x:v>609903</x:v>
      </x:c>
      <x:c r="E606" s="220" t="str">
        <x:v>966149</x:v>
      </x:c>
      <x:c r="F606" s="220" t="str">
        <x:v>OUTROS</x:v>
      </x:c>
      <x:c r="G606" s="190" t="str">
        <x:v>TR AL 1100X50X9 RTO RL80 REC PET BCO (UL</x:v>
      </x:c>
      <x:c r="H606" s="190" t="str"/>
      <x:c r="I606" s="190" t="str"/>
      <x:c r="J606" s="190" t="str"/>
      <x:c r="K606" s="190" t="str">
        <x:v>ESMALTE</x:v>
      </x:c>
      <x:c r="L606" s="190" t="str">
        <x:v>BRANCO CARRARA</x:v>
      </x:c>
      <x:c r="M606" s="210" t="n">
        <x:v>10</x:v>
      </x:c>
      <x:c r="N606" s="210" t="n">
        <x:v>1100</x:v>
      </x:c>
      <x:c r="O606" s="210" t="n">
        <x:v>50</x:v>
      </x:c>
      <x:c r="P606" s="210" t="n">
        <x:v>9</x:v>
      </x:c>
      <x:c r="Q606" s="211" t="n">
        <x:v>0</x:v>
      </x:c>
      <x:c r="R606" s="207" t="str"/>
      <x:c r="S606" s="207" t="str"/>
      <x:c r="T606" s="207" t="str"/>
      <x:c r="U606" s="207" t="n">
        <x:v>0</x:v>
      </x:c>
      <x:c r="V606" s="208" t="n">
        <x:f>MAX(0,M606-U606)</x:f>
        <x:v>10</x:v>
      </x:c>
      <x:c r="W606" s="209" t="n">
        <x:f>IFERROR(U606/M606,0)</x:f>
        <x:v>0</x:v>
      </x:c>
      <x:c r="X606" s="201" t="str">
        <x:f>IF(U606=0,"Não iniciado",IF(U606&gt;=M606,"Concluído","Parcial"))</x:f>
        <x:v>Não iniciado</x:v>
      </x:c>
      <x:c r="Y606" s="199" t="str"/>
      <x:c r="Z606" s="188" t="str">
        <x:v>Normal</x:v>
      </x:c>
    </x:row>
    <x:row r="607" ht="22" customHeight="1">
      <x:c r="A607" s="217" t="n">
        <x:v>603</x:v>
      </x:c>
      <x:c r="B607" s="218" t="str">
        <x:v>26750</x:v>
      </x:c>
      <x:c r="C607" s="218" t="str">
        <x:v>25</x:v>
      </x:c>
      <x:c r="D607" s="218" t="str">
        <x:v>609907</x:v>
      </x:c>
      <x:c r="E607" s="218" t="str">
        <x:v>919640</x:v>
      </x:c>
      <x:c r="F607" s="218" t="str">
        <x:v>OUTROS</x:v>
      </x:c>
      <x:c r="G607" s="184" t="str">
        <x:v>TR AL 1100X50X9 RTO LME REC PET BCO (ULT</x:v>
      </x:c>
      <x:c r="H607" s="184" t="str"/>
      <x:c r="I607" s="184" t="str"/>
      <x:c r="J607" s="184" t="str"/>
      <x:c r="K607" s="184" t="str">
        <x:v>ESMALTE</x:v>
      </x:c>
      <x:c r="L607" s="184" t="str">
        <x:v>BRANCO CARRARA</x:v>
      </x:c>
      <x:c r="M607" s="205" t="n">
        <x:v>3</x:v>
      </x:c>
      <x:c r="N607" s="205" t="n">
        <x:v>1100</x:v>
      </x:c>
      <x:c r="O607" s="205" t="n">
        <x:v>50</x:v>
      </x:c>
      <x:c r="P607" s="205" t="n">
        <x:v>9</x:v>
      </x:c>
      <x:c r="Q607" s="206" t="n">
        <x:v>0</x:v>
      </x:c>
      <x:c r="R607" s="207" t="str"/>
      <x:c r="S607" s="207" t="str"/>
      <x:c r="T607" s="207" t="str"/>
      <x:c r="U607" s="207" t="n">
        <x:v>0</x:v>
      </x:c>
      <x:c r="V607" s="208" t="n">
        <x:f>MAX(0,M607-U607)</x:f>
        <x:v>3</x:v>
      </x:c>
      <x:c r="W607" s="209" t="n">
        <x:f>IFERROR(U607/M607,0)</x:f>
        <x:v>0</x:v>
      </x:c>
      <x:c r="X607" s="201" t="str">
        <x:f>IF(U607=0,"Não iniciado",IF(U607&gt;=M607,"Concluído","Parcial"))</x:f>
        <x:v>Não iniciado</x:v>
      </x:c>
      <x:c r="Y607" s="199" t="str"/>
      <x:c r="Z607" s="188" t="str">
        <x:v>Normal</x:v>
      </x:c>
    </x:row>
    <x:row r="608" ht="22" customHeight="1">
      <x:c r="A608" s="219" t="n">
        <x:v>604</x:v>
      </x:c>
      <x:c r="B608" s="220" t="str">
        <x:v>26750</x:v>
      </x:c>
      <x:c r="C608" s="220" t="str">
        <x:v>25</x:v>
      </x:c>
      <x:c r="D608" s="220" t="str">
        <x:v>609909</x:v>
      </x:c>
      <x:c r="E608" s="220" t="str">
        <x:v>966149</x:v>
      </x:c>
      <x:c r="F608" s="220" t="str">
        <x:v>OUTROS</x:v>
      </x:c>
      <x:c r="G608" s="190" t="str">
        <x:v>TR AL 1100X50X9 RTO RL80 REC PET BCO (UL</x:v>
      </x:c>
      <x:c r="H608" s="190" t="str"/>
      <x:c r="I608" s="190" t="str"/>
      <x:c r="J608" s="190" t="str"/>
      <x:c r="K608" s="190" t="str">
        <x:v>ESMALTE</x:v>
      </x:c>
      <x:c r="L608" s="190" t="str">
        <x:v>BRANCO CARRARA</x:v>
      </x:c>
      <x:c r="M608" s="210" t="n">
        <x:v>3</x:v>
      </x:c>
      <x:c r="N608" s="210" t="n">
        <x:v>1100</x:v>
      </x:c>
      <x:c r="O608" s="210" t="n">
        <x:v>50</x:v>
      </x:c>
      <x:c r="P608" s="210" t="n">
        <x:v>9</x:v>
      </x:c>
      <x:c r="Q608" s="211" t="n">
        <x:v>0</x:v>
      </x:c>
      <x:c r="R608" s="207" t="str"/>
      <x:c r="S608" s="207" t="str"/>
      <x:c r="T608" s="207" t="str"/>
      <x:c r="U608" s="207" t="n">
        <x:v>0</x:v>
      </x:c>
      <x:c r="V608" s="208" t="n">
        <x:f>MAX(0,M608-U608)</x:f>
        <x:v>3</x:v>
      </x:c>
      <x:c r="W608" s="209" t="n">
        <x:f>IFERROR(U608/M608,0)</x:f>
        <x:v>0</x:v>
      </x:c>
      <x:c r="X608" s="201" t="str">
        <x:f>IF(U608=0,"Não iniciado",IF(U608&gt;=M608,"Concluído","Parcial"))</x:f>
        <x:v>Não iniciado</x:v>
      </x:c>
      <x:c r="Y608" s="199" t="str"/>
      <x:c r="Z608" s="188" t="str">
        <x:v>Normal</x:v>
      </x:c>
    </x:row>
    <x:row r="609" ht="22" customHeight="1">
      <x:c r="A609" s="217" t="n">
        <x:v>605</x:v>
      </x:c>
      <x:c r="B609" s="218" t="str">
        <x:v>26750</x:v>
      </x:c>
      <x:c r="C609" s="218" t="str">
        <x:v>26</x:v>
      </x:c>
      <x:c r="D609" s="218" t="str">
        <x:v>609916</x:v>
      </x:c>
      <x:c r="E609" s="218" t="str">
        <x:v>919640</x:v>
      </x:c>
      <x:c r="F609" s="218" t="str">
        <x:v>OUTROS</x:v>
      </x:c>
      <x:c r="G609" s="184" t="str">
        <x:v>TR AL 1100X50X9 RTO LME REC PET BCO (ULT</x:v>
      </x:c>
      <x:c r="H609" s="184" t="str"/>
      <x:c r="I609" s="184" t="str"/>
      <x:c r="J609" s="184" t="str"/>
      <x:c r="K609" s="184" t="str">
        <x:v>ESMALTE</x:v>
      </x:c>
      <x:c r="L609" s="184" t="str">
        <x:v>BRANCO CARRARA</x:v>
      </x:c>
      <x:c r="M609" s="205" t="n">
        <x:v>2</x:v>
      </x:c>
      <x:c r="N609" s="205" t="n">
        <x:v>1100</x:v>
      </x:c>
      <x:c r="O609" s="205" t="n">
        <x:v>50</x:v>
      </x:c>
      <x:c r="P609" s="205" t="n">
        <x:v>9</x:v>
      </x:c>
      <x:c r="Q609" s="206" t="n">
        <x:v>0</x:v>
      </x:c>
      <x:c r="R609" s="207" t="str"/>
      <x:c r="S609" s="207" t="str"/>
      <x:c r="T609" s="207" t="str"/>
      <x:c r="U609" s="207" t="n">
        <x:v>0</x:v>
      </x:c>
      <x:c r="V609" s="208" t="n">
        <x:f>MAX(0,M609-U609)</x:f>
        <x:v>2</x:v>
      </x:c>
      <x:c r="W609" s="209" t="n">
        <x:f>IFERROR(U609/M609,0)</x:f>
        <x:v>0</x:v>
      </x:c>
      <x:c r="X609" s="201" t="str">
        <x:f>IF(U609=0,"Não iniciado",IF(U609&gt;=M609,"Concluído","Parcial"))</x:f>
        <x:v>Não iniciado</x:v>
      </x:c>
      <x:c r="Y609" s="199" t="str"/>
      <x:c r="Z609" s="188" t="str">
        <x:v>Normal</x:v>
      </x:c>
    </x:row>
    <x:row r="610" ht="22" customHeight="1">
      <x:c r="A610" s="219" t="n">
        <x:v>606</x:v>
      </x:c>
      <x:c r="B610" s="220" t="str">
        <x:v>26750</x:v>
      </x:c>
      <x:c r="C610" s="220" t="str">
        <x:v>26</x:v>
      </x:c>
      <x:c r="D610" s="220" t="str">
        <x:v>609922</x:v>
      </x:c>
      <x:c r="E610" s="220" t="str">
        <x:v>966149</x:v>
      </x:c>
      <x:c r="F610" s="220" t="str">
        <x:v>OUTROS</x:v>
      </x:c>
      <x:c r="G610" s="190" t="str">
        <x:v>TR AL 1100X50X9 RTO RL80 REC PET BCO (UL</x:v>
      </x:c>
      <x:c r="H610" s="190" t="str"/>
      <x:c r="I610" s="190" t="str"/>
      <x:c r="J610" s="190" t="str"/>
      <x:c r="K610" s="190" t="str">
        <x:v>ESMALTE</x:v>
      </x:c>
      <x:c r="L610" s="190" t="str">
        <x:v>BRANCO CARRARA</x:v>
      </x:c>
      <x:c r="M610" s="210" t="n">
        <x:v>2</x:v>
      </x:c>
      <x:c r="N610" s="210" t="n">
        <x:v>1100</x:v>
      </x:c>
      <x:c r="O610" s="210" t="n">
        <x:v>50</x:v>
      </x:c>
      <x:c r="P610" s="210" t="n">
        <x:v>9</x:v>
      </x:c>
      <x:c r="Q610" s="211" t="n">
        <x:v>0</x:v>
      </x:c>
      <x:c r="R610" s="207" t="str"/>
      <x:c r="S610" s="207" t="str"/>
      <x:c r="T610" s="207" t="str"/>
      <x:c r="U610" s="207" t="n">
        <x:v>0</x:v>
      </x:c>
      <x:c r="V610" s="208" t="n">
        <x:f>MAX(0,M610-U610)</x:f>
        <x:v>2</x:v>
      </x:c>
      <x:c r="W610" s="209" t="n">
        <x:f>IFERROR(U610/M610,0)</x:f>
        <x:v>0</x:v>
      </x:c>
      <x:c r="X610" s="201" t="str">
        <x:f>IF(U610=0,"Não iniciado",IF(U610&gt;=M610,"Concluído","Parcial"))</x:f>
        <x:v>Não iniciado</x:v>
      </x:c>
      <x:c r="Y610" s="199" t="str"/>
      <x:c r="Z610" s="188" t="str">
        <x:v>Normal</x:v>
      </x:c>
    </x:row>
    <x:row r="611" ht="22" customHeight="1">
      <x:c r="A611" s="217" t="n">
        <x:v>607</x:v>
      </x:c>
      <x:c r="B611" s="218" t="str">
        <x:v>26796</x:v>
      </x:c>
      <x:c r="C611" s="218" t="str">
        <x:v>3</x:v>
      </x:c>
      <x:c r="D611" s="218" t="str">
        <x:v>609303</x:v>
      </x:c>
      <x:c r="E611" s="218" t="str">
        <x:v>988577</x:v>
      </x:c>
      <x:c r="F611" s="218" t="str">
        <x:v>OUTROS</x:v>
      </x:c>
      <x:c r="G611" s="184" t="str">
        <x:v>T.A 1100X50X9 RT RL45 PET TXT BCO STD</x:v>
      </x:c>
      <x:c r="H611" s="184" t="str"/>
      <x:c r="I611" s="184" t="str"/>
      <x:c r="J611" s="184" t="str"/>
      <x:c r="K611" s="184" t="str">
        <x:v>ESMALTE</x:v>
      </x:c>
      <x:c r="L611" s="184" t="str">
        <x:v>BRANCO CARRARA</x:v>
      </x:c>
      <x:c r="M611" s="205" t="n">
        <x:v>192</x:v>
      </x:c>
      <x:c r="N611" s="205" t="n">
        <x:v>1100</x:v>
      </x:c>
      <x:c r="O611" s="205" t="n">
        <x:v>50</x:v>
      </x:c>
      <x:c r="P611" s="205" t="n">
        <x:v>9</x:v>
      </x:c>
      <x:c r="Q611" s="206" t="n">
        <x:v>0.095</x:v>
      </x:c>
      <x:c r="R611" s="207" t="str"/>
      <x:c r="S611" s="207" t="str"/>
      <x:c r="T611" s="207" t="str"/>
      <x:c r="U611" s="207" t="n">
        <x:v>0</x:v>
      </x:c>
      <x:c r="V611" s="208" t="n">
        <x:f>MAX(0,M611-U611)</x:f>
        <x:v>192</x:v>
      </x:c>
      <x:c r="W611" s="209" t="n">
        <x:f>IFERROR(U611/M611,0)</x:f>
        <x:v>0</x:v>
      </x:c>
      <x:c r="X611" s="201" t="str">
        <x:f>IF(U611=0,"Não iniciado",IF(U611&gt;=M611,"Concluído","Parcial"))</x:f>
        <x:v>Não iniciado</x:v>
      </x:c>
      <x:c r="Y611" s="199" t="str"/>
      <x:c r="Z611" s="188" t="str">
        <x:v>Normal</x:v>
      </x:c>
    </x:row>
    <x:row r="612" ht="22" customHeight="1">
      <x:c r="A612" s="219" t="n">
        <x:v>608</x:v>
      </x:c>
      <x:c r="B612" s="220" t="str">
        <x:v>26799</x:v>
      </x:c>
      <x:c r="C612" s="220" t="str">
        <x:v>3</x:v>
      </x:c>
      <x:c r="D612" s="220" t="str">
        <x:v>609408</x:v>
      </x:c>
      <x:c r="E612" s="220" t="str">
        <x:v>988577</x:v>
      </x:c>
      <x:c r="F612" s="220" t="str">
        <x:v>OUTROS</x:v>
      </x:c>
      <x:c r="G612" s="190" t="str">
        <x:v>T.A 1100X50X9 RT RL45 PET TXT BCO STD</x:v>
      </x:c>
      <x:c r="H612" s="190" t="str"/>
      <x:c r="I612" s="190" t="str"/>
      <x:c r="J612" s="190" t="str"/>
      <x:c r="K612" s="190" t="str">
        <x:v>ESMALTE</x:v>
      </x:c>
      <x:c r="L612" s="190" t="str">
        <x:v>BRANCO CARRARA</x:v>
      </x:c>
      <x:c r="M612" s="210" t="n">
        <x:v>64</x:v>
      </x:c>
      <x:c r="N612" s="210" t="n">
        <x:v>1100</x:v>
      </x:c>
      <x:c r="O612" s="210" t="n">
        <x:v>50</x:v>
      </x:c>
      <x:c r="P612" s="210" t="n">
        <x:v>9</x:v>
      </x:c>
      <x:c r="Q612" s="211" t="n">
        <x:v>0.032</x:v>
      </x:c>
      <x:c r="R612" s="207" t="str"/>
      <x:c r="S612" s="207" t="str"/>
      <x:c r="T612" s="207" t="str"/>
      <x:c r="U612" s="207" t="n">
        <x:v>0</x:v>
      </x:c>
      <x:c r="V612" s="208" t="n">
        <x:f>MAX(0,M612-U612)</x:f>
        <x:v>64</x:v>
      </x:c>
      <x:c r="W612" s="209" t="n">
        <x:f>IFERROR(U612/M612,0)</x:f>
        <x:v>0</x:v>
      </x:c>
      <x:c r="X612" s="201" t="str">
        <x:f>IF(U612=0,"Não iniciado",IF(U612&gt;=M612,"Concluído","Parcial"))</x:f>
        <x:v>Não iniciado</x:v>
      </x:c>
      <x:c r="Y612" s="199" t="str"/>
      <x:c r="Z612" s="188" t="str">
        <x:v>Normal</x:v>
      </x:c>
    </x:row>
    <x:row r="613" ht="22" customHeight="1">
      <x:c r="A613" s="217" t="n">
        <x:v>609</x:v>
      </x:c>
      <x:c r="B613" s="218" t="str">
        <x:v>26807</x:v>
      </x:c>
      <x:c r="C613" s="218" t="str">
        <x:v>2</x:v>
      </x:c>
      <x:c r="D613" s="218" t="str">
        <x:v>610048</x:v>
      </x:c>
      <x:c r="E613" s="218" t="str">
        <x:v>2020700633</x:v>
      </x:c>
      <x:c r="F613" s="218" t="str">
        <x:v>OUTROS</x:v>
      </x:c>
      <x:c r="G613" s="184" t="str">
        <x:v>A ULTRA PET CA PE 1100X50X9 RG(55) RTO</x:v>
      </x:c>
      <x:c r="H613" s="184" t="str">
        <x:v>REG 2L(MAIOR 55MM)</x:v>
      </x:c>
      <x:c r="I613" s="184" t="str"/>
      <x:c r="J613" s="184" t="str"/>
      <x:c r="K613" s="184" t="str">
        <x:v>RECOBERTO PET</x:v>
      </x:c>
      <x:c r="L613" s="184" t="str">
        <x:v>CARVALHO PESCARA</x:v>
      </x:c>
      <x:c r="M613" s="205" t="n">
        <x:v>20</x:v>
      </x:c>
      <x:c r="N613" s="205" t="n">
        <x:v>1100</x:v>
      </x:c>
      <x:c r="O613" s="205" t="n">
        <x:v>50</x:v>
      </x:c>
      <x:c r="P613" s="205" t="n">
        <x:v>9</x:v>
      </x:c>
      <x:c r="Q613" s="206" t="n">
        <x:v>0</x:v>
      </x:c>
      <x:c r="R613" s="207" t="str"/>
      <x:c r="S613" s="207" t="str"/>
      <x:c r="T613" s="207" t="str"/>
      <x:c r="U613" s="207" t="n">
        <x:v>0</x:v>
      </x:c>
      <x:c r="V613" s="208" t="n">
        <x:f>MAX(0,M613-U613)</x:f>
        <x:v>20</x:v>
      </x:c>
      <x:c r="W613" s="209" t="n">
        <x:f>IFERROR(U613/M613,0)</x:f>
        <x:v>0</x:v>
      </x:c>
      <x:c r="X613" s="201" t="str">
        <x:f>IF(U613=0,"Não iniciado",IF(U613&gt;=M613,"Concluído","Parcial"))</x:f>
        <x:v>Não iniciado</x:v>
      </x:c>
      <x:c r="Y613" s="199" t="str"/>
      <x:c r="Z613" s="188" t="str">
        <x:v>Normal</x:v>
      </x:c>
    </x:row>
    <x:row r="614" ht="22" customHeight="1">
      <x:c r="A614" s="219" t="n">
        <x:v>610</x:v>
      </x:c>
      <x:c r="B614" s="220" t="str">
        <x:v>26807</x:v>
      </x:c>
      <x:c r="C614" s="220" t="str">
        <x:v>2</x:v>
      </x:c>
      <x:c r="D614" s="220" t="str">
        <x:v>610049</x:v>
      </x:c>
      <x:c r="E614" s="220" t="str">
        <x:v>2020700634</x:v>
      </x:c>
      <x:c r="F614" s="220" t="str">
        <x:v>OUTROS</x:v>
      </x:c>
      <x:c r="G614" s="190" t="str">
        <x:v>A ULTRA PET CA PE 1100X50X9 RG(ME) RTO</x:v>
      </x:c>
      <x:c r="H614" s="190" t="str">
        <x:v>REG 2L(MAIOR 55MM)</x:v>
      </x:c>
      <x:c r="I614" s="190" t="str"/>
      <x:c r="J614" s="190" t="str"/>
      <x:c r="K614" s="190" t="str">
        <x:v>RECOBERTO PET</x:v>
      </x:c>
      <x:c r="L614" s="190" t="str">
        <x:v>CARVALHO PESCARA</x:v>
      </x:c>
      <x:c r="M614" s="210" t="n">
        <x:v>20</x:v>
      </x:c>
      <x:c r="N614" s="210" t="n">
        <x:v>1100</x:v>
      </x:c>
      <x:c r="O614" s="210" t="n">
        <x:v>50</x:v>
      </x:c>
      <x:c r="P614" s="210" t="n">
        <x:v>9</x:v>
      </x:c>
      <x:c r="Q614" s="211" t="n">
        <x:v>0</x:v>
      </x:c>
      <x:c r="R614" s="207" t="str"/>
      <x:c r="S614" s="207" t="str"/>
      <x:c r="T614" s="207" t="str"/>
      <x:c r="U614" s="207" t="n">
        <x:v>0</x:v>
      </x:c>
      <x:c r="V614" s="208" t="n">
        <x:f>MAX(0,M614-U614)</x:f>
        <x:v>20</x:v>
      </x:c>
      <x:c r="W614" s="209" t="n">
        <x:f>IFERROR(U614/M614,0)</x:f>
        <x:v>0</x:v>
      </x:c>
      <x:c r="X614" s="201" t="str">
        <x:f>IF(U614=0,"Não iniciado",IF(U614&gt;=M614,"Concluído","Parcial"))</x:f>
        <x:v>Não iniciado</x:v>
      </x:c>
      <x:c r="Y614" s="199" t="str"/>
      <x:c r="Z614" s="188" t="str">
        <x:v>Normal</x:v>
      </x:c>
    </x:row>
    <x:row r="615" ht="22" customHeight="1">
      <x:c r="A615" s="217" t="n">
        <x:v>611</x:v>
      </x:c>
      <x:c r="B615" s="218" t="str">
        <x:v>26520</x:v>
      </x:c>
      <x:c r="C615" s="218" t="str">
        <x:v>3</x:v>
      </x:c>
      <x:c r="D615" s="218" t="str">
        <x:v>610080</x:v>
      </x:c>
      <x:c r="E615" s="218" t="str">
        <x:v>969663</x:v>
      </x:c>
      <x:c r="F615" s="218" t="str">
        <x:v>ALIZAR</x:v>
      </x:c>
      <x:c r="G615" s="184" t="str">
        <x:v>T A 1000X50X9 RTO RL55 PET CIN VER ULT)</x:v>
      </x:c>
      <x:c r="H615" s="184" t="str"/>
      <x:c r="I615" s="184" t="str"/>
      <x:c r="J615" s="184" t="str"/>
      <x:c r="K615" s="184" t="str">
        <x:v>RECOBERTO PET</x:v>
      </x:c>
      <x:c r="L615" s="184" t="str">
        <x:v>CINZA VERONA</x:v>
      </x:c>
      <x:c r="M615" s="205" t="n">
        <x:v>4</x:v>
      </x:c>
      <x:c r="N615" s="205" t="n">
        <x:v>1000</x:v>
      </x:c>
      <x:c r="O615" s="205" t="n">
        <x:v>50</x:v>
      </x:c>
      <x:c r="P615" s="205" t="n">
        <x:v>9</x:v>
      </x:c>
      <x:c r="Q615" s="206" t="n">
        <x:v>0</x:v>
      </x:c>
      <x:c r="R615" s="207" t="str"/>
      <x:c r="S615" s="207" t="str"/>
      <x:c r="T615" s="207" t="str"/>
      <x:c r="U615" s="207" t="n">
        <x:v>0</x:v>
      </x:c>
      <x:c r="V615" s="208" t="n">
        <x:f>MAX(0,M615-U615)</x:f>
        <x:v>4</x:v>
      </x:c>
      <x:c r="W615" s="209" t="n">
        <x:f>IFERROR(U615/M615,0)</x:f>
        <x:v>0</x:v>
      </x:c>
      <x:c r="X615" s="201" t="str">
        <x:f>IF(U615=0,"Não iniciado",IF(U615&gt;=M615,"Concluído","Parcial"))</x:f>
        <x:v>Não iniciado</x:v>
      </x:c>
      <x:c r="Y615" s="199" t="str"/>
      <x:c r="Z615" s="188" t="str">
        <x:v>Normal</x:v>
      </x:c>
    </x:row>
    <x:row r="616" ht="22" customHeight="1">
      <x:c r="A616" s="219" t="n">
        <x:v>612</x:v>
      </x:c>
      <x:c r="B616" s="220" t="str">
        <x:v>26520</x:v>
      </x:c>
      <x:c r="C616" s="220" t="str">
        <x:v>3</x:v>
      </x:c>
      <x:c r="D616" s="220" t="str">
        <x:v>610082</x:v>
      </x:c>
      <x:c r="E616" s="220" t="str">
        <x:v>969665</x:v>
      </x:c>
      <x:c r="F616" s="220" t="str">
        <x:v>ALIZAR</x:v>
      </x:c>
      <x:c r="G616" s="190" t="str">
        <x:v>T A 1000X50X9 RTO LME PET CIN VER ULTRA</x:v>
      </x:c>
      <x:c r="H616" s="190" t="str"/>
      <x:c r="I616" s="190" t="str"/>
      <x:c r="J616" s="190" t="str"/>
      <x:c r="K616" s="190" t="str">
        <x:v>RECOBERTO PET</x:v>
      </x:c>
      <x:c r="L616" s="190" t="str">
        <x:v>CINZA VERONA</x:v>
      </x:c>
      <x:c r="M616" s="210" t="n">
        <x:v>4</x:v>
      </x:c>
      <x:c r="N616" s="210" t="n">
        <x:v>1000</x:v>
      </x:c>
      <x:c r="O616" s="210" t="n">
        <x:v>50</x:v>
      </x:c>
      <x:c r="P616" s="210" t="n">
        <x:v>9</x:v>
      </x:c>
      <x:c r="Q616" s="211" t="n">
        <x:v>0</x:v>
      </x:c>
      <x:c r="R616" s="207" t="str"/>
      <x:c r="S616" s="207" t="str"/>
      <x:c r="T616" s="207" t="str"/>
      <x:c r="U616" s="207" t="n">
        <x:v>0</x:v>
      </x:c>
      <x:c r="V616" s="208" t="n">
        <x:f>MAX(0,M616-U616)</x:f>
        <x:v>4</x:v>
      </x:c>
      <x:c r="W616" s="209" t="n">
        <x:f>IFERROR(U616/M616,0)</x:f>
        <x:v>0</x:v>
      </x:c>
      <x:c r="X616" s="201" t="str">
        <x:f>IF(U616=0,"Não iniciado",IF(U616&gt;=M616,"Concluído","Parcial"))</x:f>
        <x:v>Não iniciado</x:v>
      </x:c>
      <x:c r="Y616" s="199" t="str"/>
      <x:c r="Z616" s="188" t="str">
        <x:v>Normal</x:v>
      </x:c>
    </x:row>
    <x:row r="617" ht="22" customHeight="1">
      <x:c r="A617" s="217" t="n">
        <x:v>613</x:v>
      </x:c>
      <x:c r="B617" s="218" t="str">
        <x:v>26520</x:v>
      </x:c>
      <x:c r="C617" s="218" t="str">
        <x:v>4</x:v>
      </x:c>
      <x:c r="D617" s="218" t="str">
        <x:v>610088</x:v>
      </x:c>
      <x:c r="E617" s="218" t="str">
        <x:v>969663</x:v>
      </x:c>
      <x:c r="F617" s="218" t="str">
        <x:v>ALIZAR</x:v>
      </x:c>
      <x:c r="G617" s="184" t="str">
        <x:v>T A 1000X50X9 RTO RL55 PET CIN VER ULT)</x:v>
      </x:c>
      <x:c r="H617" s="184" t="str"/>
      <x:c r="I617" s="184" t="str"/>
      <x:c r="J617" s="184" t="str"/>
      <x:c r="K617" s="184" t="str">
        <x:v>RECOBERTO PET</x:v>
      </x:c>
      <x:c r="L617" s="184" t="str">
        <x:v>CINZA VERONA</x:v>
      </x:c>
      <x:c r="M617" s="205" t="n">
        <x:v>4</x:v>
      </x:c>
      <x:c r="N617" s="205" t="n">
        <x:v>1000</x:v>
      </x:c>
      <x:c r="O617" s="205" t="n">
        <x:v>50</x:v>
      </x:c>
      <x:c r="P617" s="205" t="n">
        <x:v>9</x:v>
      </x:c>
      <x:c r="Q617" s="206" t="n">
        <x:v>0</x:v>
      </x:c>
      <x:c r="R617" s="207" t="str"/>
      <x:c r="S617" s="207" t="str"/>
      <x:c r="T617" s="207" t="str"/>
      <x:c r="U617" s="207" t="n">
        <x:v>0</x:v>
      </x:c>
      <x:c r="V617" s="208" t="n">
        <x:f>MAX(0,M617-U617)</x:f>
        <x:v>4</x:v>
      </x:c>
      <x:c r="W617" s="209" t="n">
        <x:f>IFERROR(U617/M617,0)</x:f>
        <x:v>0</x:v>
      </x:c>
      <x:c r="X617" s="201" t="str">
        <x:f>IF(U617=0,"Não iniciado",IF(U617&gt;=M617,"Concluído","Parcial"))</x:f>
        <x:v>Não iniciado</x:v>
      </x:c>
      <x:c r="Y617" s="199" t="str"/>
      <x:c r="Z617" s="188" t="str">
        <x:v>Normal</x:v>
      </x:c>
    </x:row>
    <x:row r="618" ht="22" customHeight="1">
      <x:c r="A618" s="219" t="n">
        <x:v>614</x:v>
      </x:c>
      <x:c r="B618" s="220" t="str">
        <x:v>26520</x:v>
      </x:c>
      <x:c r="C618" s="220" t="str">
        <x:v>4</x:v>
      </x:c>
      <x:c r="D618" s="220" t="str">
        <x:v>610090</x:v>
      </x:c>
      <x:c r="E618" s="220" t="str">
        <x:v>969665</x:v>
      </x:c>
      <x:c r="F618" s="220" t="str">
        <x:v>ALIZAR</x:v>
      </x:c>
      <x:c r="G618" s="190" t="str">
        <x:v>T A 1000X50X9 RTO LME PET CIN VER ULTRA</x:v>
      </x:c>
      <x:c r="H618" s="190" t="str"/>
      <x:c r="I618" s="190" t="str"/>
      <x:c r="J618" s="190" t="str"/>
      <x:c r="K618" s="190" t="str">
        <x:v>RECOBERTO PET</x:v>
      </x:c>
      <x:c r="L618" s="190" t="str">
        <x:v>CINZA VERONA</x:v>
      </x:c>
      <x:c r="M618" s="210" t="n">
        <x:v>4</x:v>
      </x:c>
      <x:c r="N618" s="210" t="n">
        <x:v>1000</x:v>
      </x:c>
      <x:c r="O618" s="210" t="n">
        <x:v>50</x:v>
      </x:c>
      <x:c r="P618" s="210" t="n">
        <x:v>9</x:v>
      </x:c>
      <x:c r="Q618" s="211" t="n">
        <x:v>0</x:v>
      </x:c>
      <x:c r="R618" s="207" t="str"/>
      <x:c r="S618" s="207" t="str"/>
      <x:c r="T618" s="207" t="str"/>
      <x:c r="U618" s="207" t="n">
        <x:v>0</x:v>
      </x:c>
      <x:c r="V618" s="208" t="n">
        <x:f>MAX(0,M618-U618)</x:f>
        <x:v>4</x:v>
      </x:c>
      <x:c r="W618" s="209" t="n">
        <x:f>IFERROR(U618/M618,0)</x:f>
        <x:v>0</x:v>
      </x:c>
      <x:c r="X618" s="201" t="str">
        <x:f>IF(U618=0,"Não iniciado",IF(U618&gt;=M618,"Concluído","Parcial"))</x:f>
        <x:v>Não iniciado</x:v>
      </x:c>
      <x:c r="Y618" s="199" t="str"/>
      <x:c r="Z618" s="188" t="str">
        <x:v>Normal</x:v>
      </x:c>
    </x:row>
    <x:row r="619" ht="22" customHeight="1">
      <x:c r="A619" s="217" t="n">
        <x:v>615</x:v>
      </x:c>
      <x:c r="B619" s="218" t="str">
        <x:v>26520</x:v>
      </x:c>
      <x:c r="C619" s="218" t="str">
        <x:v>5</x:v>
      </x:c>
      <x:c r="D619" s="218" t="str">
        <x:v>610096</x:v>
      </x:c>
      <x:c r="E619" s="218" t="str">
        <x:v>969663</x:v>
      </x:c>
      <x:c r="F619" s="218" t="str">
        <x:v>ALIZAR</x:v>
      </x:c>
      <x:c r="G619" s="184" t="str">
        <x:v>T A 1000X50X9 RTO RL55 PET CIN VER ULT)</x:v>
      </x:c>
      <x:c r="H619" s="184" t="str"/>
      <x:c r="I619" s="184" t="str"/>
      <x:c r="J619" s="184" t="str"/>
      <x:c r="K619" s="184" t="str">
        <x:v>RECOBERTO PET</x:v>
      </x:c>
      <x:c r="L619" s="184" t="str">
        <x:v>CINZA VERONA</x:v>
      </x:c>
      <x:c r="M619" s="205" t="n">
        <x:v>1</x:v>
      </x:c>
      <x:c r="N619" s="205" t="n">
        <x:v>1000</x:v>
      </x:c>
      <x:c r="O619" s="205" t="n">
        <x:v>50</x:v>
      </x:c>
      <x:c r="P619" s="205" t="n">
        <x:v>9</x:v>
      </x:c>
      <x:c r="Q619" s="206" t="n">
        <x:v>0</x:v>
      </x:c>
      <x:c r="R619" s="207" t="str"/>
      <x:c r="S619" s="207" t="str"/>
      <x:c r="T619" s="207" t="str"/>
      <x:c r="U619" s="207" t="n">
        <x:v>0</x:v>
      </x:c>
      <x:c r="V619" s="208" t="n">
        <x:f>MAX(0,M619-U619)</x:f>
        <x:v>1</x:v>
      </x:c>
      <x:c r="W619" s="209" t="n">
        <x:f>IFERROR(U619/M619,0)</x:f>
        <x:v>0</x:v>
      </x:c>
      <x:c r="X619" s="201" t="str">
        <x:f>IF(U619=0,"Não iniciado",IF(U619&gt;=M619,"Concluído","Parcial"))</x:f>
        <x:v>Não iniciado</x:v>
      </x:c>
      <x:c r="Y619" s="199" t="str"/>
      <x:c r="Z619" s="188" t="str">
        <x:v>Normal</x:v>
      </x:c>
    </x:row>
    <x:row r="620" ht="22" customHeight="1">
      <x:c r="A620" s="219" t="n">
        <x:v>616</x:v>
      </x:c>
      <x:c r="B620" s="220" t="str">
        <x:v>26520</x:v>
      </x:c>
      <x:c r="C620" s="220" t="str">
        <x:v>5</x:v>
      </x:c>
      <x:c r="D620" s="220" t="str">
        <x:v>610098</x:v>
      </x:c>
      <x:c r="E620" s="220" t="str">
        <x:v>969665</x:v>
      </x:c>
      <x:c r="F620" s="220" t="str">
        <x:v>ALIZAR</x:v>
      </x:c>
      <x:c r="G620" s="190" t="str">
        <x:v>T A 1000X50X9 RTO LME PET CIN VER ULTRA</x:v>
      </x:c>
      <x:c r="H620" s="190" t="str"/>
      <x:c r="I620" s="190" t="str"/>
      <x:c r="J620" s="190" t="str"/>
      <x:c r="K620" s="190" t="str">
        <x:v>RECOBERTO PET</x:v>
      </x:c>
      <x:c r="L620" s="190" t="str">
        <x:v>CINZA VERONA</x:v>
      </x:c>
      <x:c r="M620" s="210" t="n">
        <x:v>1</x:v>
      </x:c>
      <x:c r="N620" s="210" t="n">
        <x:v>1000</x:v>
      </x:c>
      <x:c r="O620" s="210" t="n">
        <x:v>50</x:v>
      </x:c>
      <x:c r="P620" s="210" t="n">
        <x:v>9</x:v>
      </x:c>
      <x:c r="Q620" s="211" t="n">
        <x:v>0</x:v>
      </x:c>
      <x:c r="R620" s="207" t="str"/>
      <x:c r="S620" s="207" t="str"/>
      <x:c r="T620" s="207" t="str"/>
      <x:c r="U620" s="207" t="n">
        <x:v>0</x:v>
      </x:c>
      <x:c r="V620" s="208" t="n">
        <x:f>MAX(0,M620-U620)</x:f>
        <x:v>1</x:v>
      </x:c>
      <x:c r="W620" s="209" t="n">
        <x:f>IFERROR(U620/M620,0)</x:f>
        <x:v>0</x:v>
      </x:c>
      <x:c r="X620" s="201" t="str">
        <x:f>IF(U620=0,"Não iniciado",IF(U620&gt;=M620,"Concluído","Parcial"))</x:f>
        <x:v>Não iniciado</x:v>
      </x:c>
      <x:c r="Y620" s="199" t="str"/>
      <x:c r="Z620" s="188" t="str">
        <x:v>Normal</x:v>
      </x:c>
    </x:row>
    <x:row r="621" ht="22" customHeight="1">
      <x:c r="A621" s="217" t="n">
        <x:v>617</x:v>
      </x:c>
      <x:c r="B621" s="218" t="str">
        <x:v>26520</x:v>
      </x:c>
      <x:c r="C621" s="218" t="str">
        <x:v>6</x:v>
      </x:c>
      <x:c r="D621" s="218" t="str">
        <x:v>610104</x:v>
      </x:c>
      <x:c r="E621" s="218" t="str">
        <x:v>969663</x:v>
      </x:c>
      <x:c r="F621" s="218" t="str">
        <x:v>ALIZAR</x:v>
      </x:c>
      <x:c r="G621" s="184" t="str">
        <x:v>T A 1000X50X9 RTO RL55 PET CIN VER ULT)</x:v>
      </x:c>
      <x:c r="H621" s="184" t="str"/>
      <x:c r="I621" s="184" t="str"/>
      <x:c r="J621" s="184" t="str"/>
      <x:c r="K621" s="184" t="str">
        <x:v>RECOBERTO PET</x:v>
      </x:c>
      <x:c r="L621" s="184" t="str">
        <x:v>CINZA VERONA</x:v>
      </x:c>
      <x:c r="M621" s="205" t="n">
        <x:v>1</x:v>
      </x:c>
      <x:c r="N621" s="205" t="n">
        <x:v>1000</x:v>
      </x:c>
      <x:c r="O621" s="205" t="n">
        <x:v>50</x:v>
      </x:c>
      <x:c r="P621" s="205" t="n">
        <x:v>9</x:v>
      </x:c>
      <x:c r="Q621" s="206" t="n">
        <x:v>0</x:v>
      </x:c>
      <x:c r="R621" s="207" t="str"/>
      <x:c r="S621" s="207" t="str"/>
      <x:c r="T621" s="207" t="str"/>
      <x:c r="U621" s="207" t="n">
        <x:v>0</x:v>
      </x:c>
      <x:c r="V621" s="208" t="n">
        <x:f>MAX(0,M621-U621)</x:f>
        <x:v>1</x:v>
      </x:c>
      <x:c r="W621" s="209" t="n">
        <x:f>IFERROR(U621/M621,0)</x:f>
        <x:v>0</x:v>
      </x:c>
      <x:c r="X621" s="201" t="str">
        <x:f>IF(U621=0,"Não iniciado",IF(U621&gt;=M621,"Concluído","Parcial"))</x:f>
        <x:v>Não iniciado</x:v>
      </x:c>
      <x:c r="Y621" s="199" t="str"/>
      <x:c r="Z621" s="188" t="str">
        <x:v>Normal</x:v>
      </x:c>
    </x:row>
    <x:row r="622" ht="22" customHeight="1">
      <x:c r="A622" s="219" t="n">
        <x:v>618</x:v>
      </x:c>
      <x:c r="B622" s="220" t="str">
        <x:v>26520</x:v>
      </x:c>
      <x:c r="C622" s="220" t="str">
        <x:v>6</x:v>
      </x:c>
      <x:c r="D622" s="220" t="str">
        <x:v>610106</x:v>
      </x:c>
      <x:c r="E622" s="220" t="str">
        <x:v>969665</x:v>
      </x:c>
      <x:c r="F622" s="220" t="str">
        <x:v>ALIZAR</x:v>
      </x:c>
      <x:c r="G622" s="190" t="str">
        <x:v>T A 1000X50X9 RTO LME PET CIN VER ULTRA</x:v>
      </x:c>
      <x:c r="H622" s="190" t="str"/>
      <x:c r="I622" s="190" t="str"/>
      <x:c r="J622" s="190" t="str"/>
      <x:c r="K622" s="190" t="str">
        <x:v>RECOBERTO PET</x:v>
      </x:c>
      <x:c r="L622" s="190" t="str">
        <x:v>CINZA VERONA</x:v>
      </x:c>
      <x:c r="M622" s="210" t="n">
        <x:v>1</x:v>
      </x:c>
      <x:c r="N622" s="210" t="n">
        <x:v>1000</x:v>
      </x:c>
      <x:c r="O622" s="210" t="n">
        <x:v>50</x:v>
      </x:c>
      <x:c r="P622" s="210" t="n">
        <x:v>9</x:v>
      </x:c>
      <x:c r="Q622" s="211" t="n">
        <x:v>0</x:v>
      </x:c>
      <x:c r="R622" s="207" t="str"/>
      <x:c r="S622" s="207" t="str"/>
      <x:c r="T622" s="207" t="str"/>
      <x:c r="U622" s="207" t="n">
        <x:v>0</x:v>
      </x:c>
      <x:c r="V622" s="208" t="n">
        <x:f>MAX(0,M622-U622)</x:f>
        <x:v>1</x:v>
      </x:c>
      <x:c r="W622" s="209" t="n">
        <x:f>IFERROR(U622/M622,0)</x:f>
        <x:v>0</x:v>
      </x:c>
      <x:c r="X622" s="201" t="str">
        <x:f>IF(U622=0,"Não iniciado",IF(U622&gt;=M622,"Concluído","Parcial"))</x:f>
        <x:v>Não iniciado</x:v>
      </x:c>
      <x:c r="Y622" s="199" t="str"/>
      <x:c r="Z622" s="188" t="str">
        <x:v>Normal</x:v>
      </x:c>
    </x:row>
    <x:row r="623" ht="22" customHeight="1">
      <x:c r="A623" s="217" t="n">
        <x:v>619</x:v>
      </x:c>
      <x:c r="B623" s="218" t="str">
        <x:v>26796</x:v>
      </x:c>
      <x:c r="C623" s="218" t="str">
        <x:v>2</x:v>
      </x:c>
      <x:c r="D623" s="218" t="str">
        <x:v>609295</x:v>
      </x:c>
      <x:c r="E623" s="218" t="str">
        <x:v>986856</x:v>
      </x:c>
      <x:c r="F623" s="218" t="str">
        <x:v>OUTROS</x:v>
      </x:c>
      <x:c r="G623" s="184" t="str">
        <x:v>T.A 1000X50X9 RT RL35 PET TXT BCO STD</x:v>
      </x:c>
      <x:c r="H623" s="184" t="str"/>
      <x:c r="I623" s="184" t="str"/>
      <x:c r="J623" s="184" t="str"/>
      <x:c r="K623" s="184" t="str">
        <x:v>ESMALTE</x:v>
      </x:c>
      <x:c r="L623" s="184" t="str">
        <x:v>BRANCO</x:v>
      </x:c>
      <x:c r="M623" s="205" t="n">
        <x:v>48</x:v>
      </x:c>
      <x:c r="N623" s="205" t="n">
        <x:v>1000</x:v>
      </x:c>
      <x:c r="O623" s="205" t="n">
        <x:v>50</x:v>
      </x:c>
      <x:c r="P623" s="205" t="n">
        <x:v>9</x:v>
      </x:c>
      <x:c r="Q623" s="206" t="n">
        <x:v>0.022</x:v>
      </x:c>
      <x:c r="R623" s="207" t="str"/>
      <x:c r="S623" s="207" t="str"/>
      <x:c r="T623" s="207" t="str"/>
      <x:c r="U623" s="207" t="n">
        <x:v>0</x:v>
      </x:c>
      <x:c r="V623" s="208" t="n">
        <x:f>MAX(0,M623-U623)</x:f>
        <x:v>48</x:v>
      </x:c>
      <x:c r="W623" s="209" t="n">
        <x:f>IFERROR(U623/M623,0)</x:f>
        <x:v>0</x:v>
      </x:c>
      <x:c r="X623" s="201" t="str">
        <x:f>IF(U623=0,"Não iniciado",IF(U623&gt;=M623,"Concluído","Parcial"))</x:f>
        <x:v>Não iniciado</x:v>
      </x:c>
      <x:c r="Y623" s="199" t="str"/>
      <x:c r="Z623" s="188" t="str">
        <x:v>Normal</x:v>
      </x:c>
    </x:row>
    <x:row r="624" ht="22" customHeight="1">
      <x:c r="A624" s="219" t="n">
        <x:v>620</x:v>
      </x:c>
      <x:c r="B624" s="220" t="str">
        <x:v>26799</x:v>
      </x:c>
      <x:c r="C624" s="220" t="str">
        <x:v>2</x:v>
      </x:c>
      <x:c r="D624" s="220" t="str">
        <x:v>609400</x:v>
      </x:c>
      <x:c r="E624" s="220" t="str">
        <x:v>986856</x:v>
      </x:c>
      <x:c r="F624" s="220" t="str">
        <x:v>OUTROS</x:v>
      </x:c>
      <x:c r="G624" s="190" t="str">
        <x:v>T.A 1000X50X9 RT RL35 PET TXT BCO STD</x:v>
      </x:c>
      <x:c r="H624" s="190" t="str"/>
      <x:c r="I624" s="190" t="str"/>
      <x:c r="J624" s="190" t="str"/>
      <x:c r="K624" s="190" t="str">
        <x:v>ESMALTE</x:v>
      </x:c>
      <x:c r="L624" s="190" t="str">
        <x:v>BRANCO</x:v>
      </x:c>
      <x:c r="M624" s="210" t="n">
        <x:v>16</x:v>
      </x:c>
      <x:c r="N624" s="210" t="n">
        <x:v>1000</x:v>
      </x:c>
      <x:c r="O624" s="210" t="n">
        <x:v>50</x:v>
      </x:c>
      <x:c r="P624" s="210" t="n">
        <x:v>9</x:v>
      </x:c>
      <x:c r="Q624" s="211" t="n">
        <x:v>0.007</x:v>
      </x:c>
      <x:c r="R624" s="207" t="str"/>
      <x:c r="S624" s="207" t="str"/>
      <x:c r="T624" s="207" t="str"/>
      <x:c r="U624" s="207" t="n">
        <x:v>0</x:v>
      </x:c>
      <x:c r="V624" s="208" t="n">
        <x:f>MAX(0,M624-U624)</x:f>
        <x:v>16</x:v>
      </x:c>
      <x:c r="W624" s="209" t="n">
        <x:f>IFERROR(U624/M624,0)</x:f>
        <x:v>0</x:v>
      </x:c>
      <x:c r="X624" s="201" t="str">
        <x:f>IF(U624=0,"Não iniciado",IF(U624&gt;=M624,"Concluído","Parcial"))</x:f>
        <x:v>Não iniciado</x:v>
      </x:c>
      <x:c r="Y624" s="199" t="str"/>
      <x:c r="Z624" s="188" t="str">
        <x:v>Normal</x:v>
      </x:c>
    </x:row>
    <x:row r="625" ht="22" customHeight="1">
      <x:c r="A625" s="217" t="n">
        <x:v>621</x:v>
      </x:c>
      <x:c r="B625" s="218" t="str">
        <x:v>26744</x:v>
      </x:c>
      <x:c r="C625" s="218" t="str">
        <x:v>1</x:v>
      </x:c>
      <x:c r="D625" s="218" t="str">
        <x:v>609991</x:v>
      </x:c>
      <x:c r="E625" s="218" t="str">
        <x:v>962730</x:v>
      </x:c>
      <x:c r="F625" s="218" t="str">
        <x:v>OUTROS</x:v>
      </x:c>
      <x:c r="G625" s="184" t="str">
        <x:v>TR AL 1000X50X9 RTO RL35 REC PET BCO (UL</x:v>
      </x:c>
      <x:c r="H625" s="184" t="str"/>
      <x:c r="I625" s="184" t="str"/>
      <x:c r="J625" s="184" t="str"/>
      <x:c r="K625" s="184" t="str">
        <x:v>RECOBERTO PET</x:v>
      </x:c>
      <x:c r="L625" s="184" t="str">
        <x:v>BRANCO CARRARA</x:v>
      </x:c>
      <x:c r="M625" s="205" t="n">
        <x:v>4</x:v>
      </x:c>
      <x:c r="N625" s="205" t="n">
        <x:v>1000</x:v>
      </x:c>
      <x:c r="O625" s="205" t="n">
        <x:v>50</x:v>
      </x:c>
      <x:c r="P625" s="205" t="n">
        <x:v>9</x:v>
      </x:c>
      <x:c r="Q625" s="206" t="n">
        <x:v>0</x:v>
      </x:c>
      <x:c r="R625" s="207" t="str"/>
      <x:c r="S625" s="207" t="str"/>
      <x:c r="T625" s="207" t="str"/>
      <x:c r="U625" s="207" t="n">
        <x:v>0</x:v>
      </x:c>
      <x:c r="V625" s="208" t="n">
        <x:f>MAX(0,M625-U625)</x:f>
        <x:v>4</x:v>
      </x:c>
      <x:c r="W625" s="209" t="n">
        <x:f>IFERROR(U625/M625,0)</x:f>
        <x:v>0</x:v>
      </x:c>
      <x:c r="X625" s="201" t="str">
        <x:f>IF(U625=0,"Não iniciado",IF(U625&gt;=M625,"Concluído","Parcial"))</x:f>
        <x:v>Não iniciado</x:v>
      </x:c>
      <x:c r="Y625" s="199" t="str"/>
      <x:c r="Z625" s="188" t="str">
        <x:v>Normal</x:v>
      </x:c>
    </x:row>
    <x:row r="626" ht="22" customHeight="1">
      <x:c r="A626" s="219" t="n">
        <x:v>622</x:v>
      </x:c>
      <x:c r="B626" s="220" t="str">
        <x:v>26744</x:v>
      </x:c>
      <x:c r="C626" s="220" t="str">
        <x:v>2</x:v>
      </x:c>
      <x:c r="D626" s="220" t="str">
        <x:v>610000</x:v>
      </x:c>
      <x:c r="E626" s="220" t="str">
        <x:v>962730</x:v>
      </x:c>
      <x:c r="F626" s="220" t="str">
        <x:v>OUTROS</x:v>
      </x:c>
      <x:c r="G626" s="190" t="str">
        <x:v>TR AL 1000X50X9 RTO RL35 REC PET BCO (UL</x:v>
      </x:c>
      <x:c r="H626" s="190" t="str"/>
      <x:c r="I626" s="190" t="str"/>
      <x:c r="J626" s="190" t="str"/>
      <x:c r="K626" s="190" t="str">
        <x:v>RECOBERTO PET</x:v>
      </x:c>
      <x:c r="L626" s="190" t="str">
        <x:v>BRANCO CARRARA</x:v>
      </x:c>
      <x:c r="M626" s="210" t="n">
        <x:v>5</x:v>
      </x:c>
      <x:c r="N626" s="210" t="n">
        <x:v>1000</x:v>
      </x:c>
      <x:c r="O626" s="210" t="n">
        <x:v>50</x:v>
      </x:c>
      <x:c r="P626" s="210" t="n">
        <x:v>9</x:v>
      </x:c>
      <x:c r="Q626" s="211" t="n">
        <x:v>0</x:v>
      </x:c>
      <x:c r="R626" s="207" t="str"/>
      <x:c r="S626" s="207" t="str"/>
      <x:c r="T626" s="207" t="str"/>
      <x:c r="U626" s="207" t="n">
        <x:v>0</x:v>
      </x:c>
      <x:c r="V626" s="208" t="n">
        <x:f>MAX(0,M626-U626)</x:f>
        <x:v>5</x:v>
      </x:c>
      <x:c r="W626" s="209" t="n">
        <x:f>IFERROR(U626/M626,0)</x:f>
        <x:v>0</x:v>
      </x:c>
      <x:c r="X626" s="201" t="str">
        <x:f>IF(U626=0,"Não iniciado",IF(U626&gt;=M626,"Concluído","Parcial"))</x:f>
        <x:v>Não iniciado</x:v>
      </x:c>
      <x:c r="Y626" s="199" t="str"/>
      <x:c r="Z626" s="188" t="str">
        <x:v>Normal</x:v>
      </x:c>
    </x:row>
    <x:row r="627" ht="22" customHeight="1">
      <x:c r="A627" s="217" t="n">
        <x:v>623</x:v>
      </x:c>
      <x:c r="B627" s="218" t="str">
        <x:v>26744</x:v>
      </x:c>
      <x:c r="C627" s="218" t="str">
        <x:v>7</x:v>
      </x:c>
      <x:c r="D627" s="218" t="str">
        <x:v>610026</x:v>
      </x:c>
      <x:c r="E627" s="218" t="str">
        <x:v>962730</x:v>
      </x:c>
      <x:c r="F627" s="218" t="str">
        <x:v>OUTROS</x:v>
      </x:c>
      <x:c r="G627" s="184" t="str">
        <x:v>TR AL 1000X50X9 RTO RL35 REC PET BCO (UL</x:v>
      </x:c>
      <x:c r="H627" s="184" t="str">
        <x:v>REG 2L(MAIOR 35mm)</x:v>
      </x:c>
      <x:c r="I627" s="184" t="str"/>
      <x:c r="J627" s="184" t="str"/>
      <x:c r="K627" s="184" t="str">
        <x:v>RECOBERTO PET</x:v>
      </x:c>
      <x:c r="L627" s="184" t="str">
        <x:v>BRANCO CARRARA</x:v>
      </x:c>
      <x:c r="M627" s="205" t="n">
        <x:v>2</x:v>
      </x:c>
      <x:c r="N627" s="205" t="n">
        <x:v>1000</x:v>
      </x:c>
      <x:c r="O627" s="205" t="n">
        <x:v>50</x:v>
      </x:c>
      <x:c r="P627" s="205" t="n">
        <x:v>9</x:v>
      </x:c>
      <x:c r="Q627" s="206" t="n">
        <x:v>0</x:v>
      </x:c>
      <x:c r="R627" s="207" t="str"/>
      <x:c r="S627" s="207" t="str"/>
      <x:c r="T627" s="207" t="str"/>
      <x:c r="U627" s="207" t="n">
        <x:v>0</x:v>
      </x:c>
      <x:c r="V627" s="208" t="n">
        <x:f>MAX(0,M627-U627)</x:f>
        <x:v>2</x:v>
      </x:c>
      <x:c r="W627" s="209" t="n">
        <x:f>IFERROR(U627/M627,0)</x:f>
        <x:v>0</x:v>
      </x:c>
      <x:c r="X627" s="201" t="str">
        <x:f>IF(U627=0,"Não iniciado",IF(U627&gt;=M627,"Concluído","Parcial"))</x:f>
        <x:v>Não iniciado</x:v>
      </x:c>
      <x:c r="Y627" s="199" t="str"/>
      <x:c r="Z627" s="188" t="str">
        <x:v>Normal</x:v>
      </x:c>
    </x:row>
    <x:row r="628" ht="22" customHeight="1">
      <x:c r="A628" s="219" t="n">
        <x:v>624</x:v>
      </x:c>
      <x:c r="B628" s="220" t="str">
        <x:v>26796</x:v>
      </x:c>
      <x:c r="C628" s="220" t="str">
        <x:v>1</x:v>
      </x:c>
      <x:c r="D628" s="220" t="str">
        <x:v>609287</x:v>
      </x:c>
      <x:c r="E628" s="220" t="str">
        <x:v>986856</x:v>
      </x:c>
      <x:c r="F628" s="220" t="str">
        <x:v>OUTROS</x:v>
      </x:c>
      <x:c r="G628" s="190" t="str">
        <x:v>T.A 1000X50X9 RT RL35 PET TXT BCO STD</x:v>
      </x:c>
      <x:c r="H628" s="190" t="str"/>
      <x:c r="I628" s="190" t="str"/>
      <x:c r="J628" s="190" t="str"/>
      <x:c r="K628" s="190" t="str">
        <x:v>ESMALTE</x:v>
      </x:c>
      <x:c r="L628" s="190" t="str">
        <x:v>BRANCO CARRARA</x:v>
      </x:c>
      <x:c r="M628" s="210" t="n">
        <x:v>216</x:v>
      </x:c>
      <x:c r="N628" s="210" t="n">
        <x:v>1000</x:v>
      </x:c>
      <x:c r="O628" s="210" t="n">
        <x:v>50</x:v>
      </x:c>
      <x:c r="P628" s="210" t="n">
        <x:v>9</x:v>
      </x:c>
      <x:c r="Q628" s="211" t="n">
        <x:v>0.097</x:v>
      </x:c>
      <x:c r="R628" s="207" t="str"/>
      <x:c r="S628" s="207" t="str"/>
      <x:c r="T628" s="207" t="str"/>
      <x:c r="U628" s="207" t="n">
        <x:v>0</x:v>
      </x:c>
      <x:c r="V628" s="208" t="n">
        <x:f>MAX(0,M628-U628)</x:f>
        <x:v>216</x:v>
      </x:c>
      <x:c r="W628" s="209" t="n">
        <x:f>IFERROR(U628/M628,0)</x:f>
        <x:v>0</x:v>
      </x:c>
      <x:c r="X628" s="201" t="str">
        <x:f>IF(U628=0,"Não iniciado",IF(U628&gt;=M628,"Concluído","Parcial"))</x:f>
        <x:v>Não iniciado</x:v>
      </x:c>
      <x:c r="Y628" s="199" t="str"/>
      <x:c r="Z628" s="188" t="str">
        <x:v>Normal</x:v>
      </x:c>
    </x:row>
    <x:row r="629" ht="22" customHeight="1">
      <x:c r="A629" s="217" t="n">
        <x:v>625</x:v>
      </x:c>
      <x:c r="B629" s="218" t="str">
        <x:v>26799</x:v>
      </x:c>
      <x:c r="C629" s="218" t="str">
        <x:v>1</x:v>
      </x:c>
      <x:c r="D629" s="218" t="str">
        <x:v>609392</x:v>
      </x:c>
      <x:c r="E629" s="218" t="str">
        <x:v>986856</x:v>
      </x:c>
      <x:c r="F629" s="218" t="str">
        <x:v>OUTROS</x:v>
      </x:c>
      <x:c r="G629" s="184" t="str">
        <x:v>T.A 1000X50X9 RT RL35 PET TXT BCO STD</x:v>
      </x:c>
      <x:c r="H629" s="184" t="str"/>
      <x:c r="I629" s="184" t="str"/>
      <x:c r="J629" s="184" t="str"/>
      <x:c r="K629" s="184" t="str">
        <x:v>ESMALTE</x:v>
      </x:c>
      <x:c r="L629" s="184" t="str">
        <x:v>BRANCO CARRARA</x:v>
      </x:c>
      <x:c r="M629" s="205" t="n">
        <x:v>72</x:v>
      </x:c>
      <x:c r="N629" s="205" t="n">
        <x:v>1000</x:v>
      </x:c>
      <x:c r="O629" s="205" t="n">
        <x:v>50</x:v>
      </x:c>
      <x:c r="P629" s="205" t="n">
        <x:v>9</x:v>
      </x:c>
      <x:c r="Q629" s="206" t="n">
        <x:v>0.032</x:v>
      </x:c>
      <x:c r="R629" s="207" t="str"/>
      <x:c r="S629" s="207" t="str"/>
      <x:c r="T629" s="207" t="str"/>
      <x:c r="U629" s="207" t="n">
        <x:v>0</x:v>
      </x:c>
      <x:c r="V629" s="208" t="n">
        <x:f>MAX(0,M629-U629)</x:f>
        <x:v>72</x:v>
      </x:c>
      <x:c r="W629" s="209" t="n">
        <x:f>IFERROR(U629/M629,0)</x:f>
        <x:v>0</x:v>
      </x:c>
      <x:c r="X629" s="201" t="str">
        <x:f>IF(U629=0,"Não iniciado",IF(U629&gt;=M629,"Concluído","Parcial"))</x:f>
        <x:v>Não iniciado</x:v>
      </x:c>
      <x:c r="Y629" s="199" t="str"/>
      <x:c r="Z629" s="188" t="str">
        <x:v>Normal</x:v>
      </x:c>
    </x:row>
    <x:row r="630" ht="22" customHeight="1">
      <x:c r="A630" s="219" t="n">
        <x:v>626</x:v>
      </x:c>
      <x:c r="B630" s="220" t="str">
        <x:v>26520</x:v>
      </x:c>
      <x:c r="C630" s="220" t="str">
        <x:v>9</x:v>
      </x:c>
      <x:c r="D630" s="220" t="str">
        <x:v>610116</x:v>
      </x:c>
      <x:c r="E630" s="220" t="str">
        <x:v>975916</x:v>
      </x:c>
      <x:c r="F630" s="220" t="str">
        <x:v>OUTROS</x:v>
      </x:c>
      <x:c r="G630" s="190" t="str">
        <x:v>TR AL 1000X50X9 RTO RL55 REC PET CURUP(U</x:v>
      </x:c>
      <x:c r="H630" s="190" t="str">
        <x:v>REG 1L(MAIOR 55MM)</x:v>
      </x:c>
      <x:c r="I630" s="190" t="str"/>
      <x:c r="J630" s="190" t="str"/>
      <x:c r="K630" s="190" t="str">
        <x:v>RECOBERTO PET</x:v>
      </x:c>
      <x:c r="L630" s="190" t="str">
        <x:v>CURUPIXA RAVENNA</x:v>
      </x:c>
      <x:c r="M630" s="210" t="n">
        <x:v>1</x:v>
      </x:c>
      <x:c r="N630" s="210" t="n">
        <x:v>1000</x:v>
      </x:c>
      <x:c r="O630" s="210" t="n">
        <x:v>50</x:v>
      </x:c>
      <x:c r="P630" s="210" t="n">
        <x:v>9</x:v>
      </x:c>
      <x:c r="Q630" s="211" t="n">
        <x:v>0</x:v>
      </x:c>
      <x:c r="R630" s="207" t="str"/>
      <x:c r="S630" s="207" t="str"/>
      <x:c r="T630" s="207" t="str"/>
      <x:c r="U630" s="207" t="n">
        <x:v>0</x:v>
      </x:c>
      <x:c r="V630" s="208" t="n">
        <x:f>MAX(0,M630-U630)</x:f>
        <x:v>1</x:v>
      </x:c>
      <x:c r="W630" s="209" t="n">
        <x:f>IFERROR(U630/M630,0)</x:f>
        <x:v>0</x:v>
      </x:c>
      <x:c r="X630" s="201" t="str">
        <x:f>IF(U630=0,"Não iniciado",IF(U630&gt;=M630,"Concluído","Parcial"))</x:f>
        <x:v>Não iniciado</x:v>
      </x:c>
      <x:c r="Y630" s="199" t="str"/>
      <x:c r="Z630" s="188" t="str">
        <x:v>Normal</x:v>
      </x:c>
    </x:row>
    <x:row r="631" ht="22" customHeight="1">
      <x:c r="A631" s="217" t="n">
        <x:v>627</x:v>
      </x:c>
      <x:c r="B631" s="218" t="str">
        <x:v>26520</x:v>
      </x:c>
      <x:c r="C631" s="218" t="str">
        <x:v>11</x:v>
      </x:c>
      <x:c r="D631" s="218" t="str">
        <x:v>610125</x:v>
      </x:c>
      <x:c r="E631" s="218" t="str">
        <x:v>975916</x:v>
      </x:c>
      <x:c r="F631" s="218" t="str">
        <x:v>OUTROS</x:v>
      </x:c>
      <x:c r="G631" s="184" t="str">
        <x:v>TR AL 1000X50X9 RTO RL55 REC PET CURUP(U</x:v>
      </x:c>
      <x:c r="H631" s="184" t="str"/>
      <x:c r="I631" s="184" t="str"/>
      <x:c r="J631" s="184" t="str"/>
      <x:c r="K631" s="184" t="str">
        <x:v>RECOBERTO PET</x:v>
      </x:c>
      <x:c r="L631" s="184" t="str">
        <x:v>CURUPIXA RAVENNA</x:v>
      </x:c>
      <x:c r="M631" s="205" t="n">
        <x:v>3</x:v>
      </x:c>
      <x:c r="N631" s="205" t="n">
        <x:v>1000</x:v>
      </x:c>
      <x:c r="O631" s="205" t="n">
        <x:v>50</x:v>
      </x:c>
      <x:c r="P631" s="205" t="n">
        <x:v>9</x:v>
      </x:c>
      <x:c r="Q631" s="206" t="n">
        <x:v>0</x:v>
      </x:c>
      <x:c r="R631" s="207" t="str"/>
      <x:c r="S631" s="207" t="str"/>
      <x:c r="T631" s="207" t="str"/>
      <x:c r="U631" s="207" t="n">
        <x:v>0</x:v>
      </x:c>
      <x:c r="V631" s="208" t="n">
        <x:f>MAX(0,M631-U631)</x:f>
        <x:v>3</x:v>
      </x:c>
      <x:c r="W631" s="209" t="n">
        <x:f>IFERROR(U631/M631,0)</x:f>
        <x:v>0</x:v>
      </x:c>
      <x:c r="X631" s="201" t="str">
        <x:f>IF(U631=0,"Não iniciado",IF(U631&gt;=M631,"Concluído","Parcial"))</x:f>
        <x:v>Não iniciado</x:v>
      </x:c>
      <x:c r="Y631" s="199" t="str"/>
      <x:c r="Z631" s="188" t="str">
        <x:v>Normal</x:v>
      </x:c>
    </x:row>
    <x:row r="632" ht="22" customHeight="1">
      <x:c r="A632" s="219" t="n">
        <x:v>628</x:v>
      </x:c>
      <x:c r="B632" s="220" t="str">
        <x:v>26520</x:v>
      </x:c>
      <x:c r="C632" s="220" t="str">
        <x:v>11</x:v>
      </x:c>
      <x:c r="D632" s="220" t="str">
        <x:v>610127</x:v>
      </x:c>
      <x:c r="E632" s="220" t="str">
        <x:v>975919</x:v>
      </x:c>
      <x:c r="F632" s="220" t="str">
        <x:v>OUTROS</x:v>
      </x:c>
      <x:c r="G632" s="190" t="str">
        <x:v>TR AL 1000X50X9 RTO LME REC PET CURUP(UL</x:v>
      </x:c>
      <x:c r="H632" s="190" t="str"/>
      <x:c r="I632" s="190" t="str"/>
      <x:c r="J632" s="190" t="str"/>
      <x:c r="K632" s="190" t="str">
        <x:v>RECOBERTO PET</x:v>
      </x:c>
      <x:c r="L632" s="190" t="str">
        <x:v>CURUPIXA RAVENNA</x:v>
      </x:c>
      <x:c r="M632" s="210" t="n">
        <x:v>3</x:v>
      </x:c>
      <x:c r="N632" s="210" t="n">
        <x:v>1000</x:v>
      </x:c>
      <x:c r="O632" s="210" t="n">
        <x:v>50</x:v>
      </x:c>
      <x:c r="P632" s="210" t="n">
        <x:v>9</x:v>
      </x:c>
      <x:c r="Q632" s="211" t="n">
        <x:v>0</x:v>
      </x:c>
      <x:c r="R632" s="207" t="str"/>
      <x:c r="S632" s="207" t="str"/>
      <x:c r="T632" s="207" t="str"/>
      <x:c r="U632" s="207" t="n">
        <x:v>0</x:v>
      </x:c>
      <x:c r="V632" s="208" t="n">
        <x:f>MAX(0,M632-U632)</x:f>
        <x:v>3</x:v>
      </x:c>
      <x:c r="W632" s="209" t="n">
        <x:f>IFERROR(U632/M632,0)</x:f>
        <x:v>0</x:v>
      </x:c>
      <x:c r="X632" s="201" t="str">
        <x:f>IF(U632=0,"Não iniciado",IF(U632&gt;=M632,"Concluído","Parcial"))</x:f>
        <x:v>Não iniciado</x:v>
      </x:c>
      <x:c r="Y632" s="199" t="str"/>
      <x:c r="Z632" s="188" t="str">
        <x:v>Normal</x:v>
      </x:c>
    </x:row>
    <x:row r="633" ht="22" customHeight="1">
      <x:c r="A633" s="217" t="n">
        <x:v>629</x:v>
      </x:c>
      <x:c r="B633" s="218" t="str">
        <x:v>26520</x:v>
      </x:c>
      <x:c r="C633" s="218" t="str">
        <x:v>12</x:v>
      </x:c>
      <x:c r="D633" s="218" t="str">
        <x:v>610133</x:v>
      </x:c>
      <x:c r="E633" s="218" t="str">
        <x:v>975916</x:v>
      </x:c>
      <x:c r="F633" s="218" t="str">
        <x:v>OUTROS</x:v>
      </x:c>
      <x:c r="G633" s="184" t="str">
        <x:v>TR AL 1000X50X9 RTO RL55 REC PET CURUP(U</x:v>
      </x:c>
      <x:c r="H633" s="184" t="str"/>
      <x:c r="I633" s="184" t="str"/>
      <x:c r="J633" s="184" t="str"/>
      <x:c r="K633" s="184" t="str">
        <x:v>RECOBERTO PET</x:v>
      </x:c>
      <x:c r="L633" s="184" t="str">
        <x:v>CURUPIXA RAVENNA</x:v>
      </x:c>
      <x:c r="M633" s="205" t="n">
        <x:v>1</x:v>
      </x:c>
      <x:c r="N633" s="205" t="n">
        <x:v>1000</x:v>
      </x:c>
      <x:c r="O633" s="205" t="n">
        <x:v>50</x:v>
      </x:c>
      <x:c r="P633" s="205" t="n">
        <x:v>9</x:v>
      </x:c>
      <x:c r="Q633" s="206" t="n">
        <x:v>0</x:v>
      </x:c>
      <x:c r="R633" s="207" t="str"/>
      <x:c r="S633" s="207" t="str"/>
      <x:c r="T633" s="207" t="str"/>
      <x:c r="U633" s="207" t="n">
        <x:v>0</x:v>
      </x:c>
      <x:c r="V633" s="208" t="n">
        <x:f>MAX(0,M633-U633)</x:f>
        <x:v>1</x:v>
      </x:c>
      <x:c r="W633" s="209" t="n">
        <x:f>IFERROR(U633/M633,0)</x:f>
        <x:v>0</x:v>
      </x:c>
      <x:c r="X633" s="201" t="str">
        <x:f>IF(U633=0,"Não iniciado",IF(U633&gt;=M633,"Concluído","Parcial"))</x:f>
        <x:v>Não iniciado</x:v>
      </x:c>
      <x:c r="Y633" s="199" t="str"/>
      <x:c r="Z633" s="188" t="str">
        <x:v>Normal</x:v>
      </x:c>
    </x:row>
    <x:row r="634" ht="22" customHeight="1">
      <x:c r="A634" s="219" t="n">
        <x:v>630</x:v>
      </x:c>
      <x:c r="B634" s="220" t="str">
        <x:v>26520</x:v>
      </x:c>
      <x:c r="C634" s="220" t="str">
        <x:v>12</x:v>
      </x:c>
      <x:c r="D634" s="220" t="str">
        <x:v>610135</x:v>
      </x:c>
      <x:c r="E634" s="220" t="str">
        <x:v>975919</x:v>
      </x:c>
      <x:c r="F634" s="220" t="str">
        <x:v>OUTROS</x:v>
      </x:c>
      <x:c r="G634" s="190" t="str">
        <x:v>TR AL 1000X50X9 RTO LME REC PET CURUP(UL</x:v>
      </x:c>
      <x:c r="H634" s="190" t="str"/>
      <x:c r="I634" s="190" t="str"/>
      <x:c r="J634" s="190" t="str"/>
      <x:c r="K634" s="190" t="str">
        <x:v>RECOBERTO PET</x:v>
      </x:c>
      <x:c r="L634" s="190" t="str">
        <x:v>CURUPIXA RAVENNA</x:v>
      </x:c>
      <x:c r="M634" s="210" t="n">
        <x:v>1</x:v>
      </x:c>
      <x:c r="N634" s="210" t="n">
        <x:v>1000</x:v>
      </x:c>
      <x:c r="O634" s="210" t="n">
        <x:v>50</x:v>
      </x:c>
      <x:c r="P634" s="210" t="n">
        <x:v>9</x:v>
      </x:c>
      <x:c r="Q634" s="211" t="n">
        <x:v>0</x:v>
      </x:c>
      <x:c r="R634" s="207" t="str"/>
      <x:c r="S634" s="207" t="str"/>
      <x:c r="T634" s="207" t="str"/>
      <x:c r="U634" s="207" t="n">
        <x:v>0</x:v>
      </x:c>
      <x:c r="V634" s="208" t="n">
        <x:f>MAX(0,M634-U634)</x:f>
        <x:v>1</x:v>
      </x:c>
      <x:c r="W634" s="209" t="n">
        <x:f>IFERROR(U634/M634,0)</x:f>
        <x:v>0</x:v>
      </x:c>
      <x:c r="X634" s="201" t="str">
        <x:f>IF(U634=0,"Não iniciado",IF(U634&gt;=M634,"Concluído","Parcial"))</x:f>
        <x:v>Não iniciado</x:v>
      </x:c>
      <x:c r="Y634" s="199" t="str"/>
      <x:c r="Z634" s="188" t="str">
        <x:v>Normal</x:v>
      </x:c>
    </x:row>
    <x:row r="635" ht="22" customHeight="1">
      <x:c r="A635" s="217" t="n">
        <x:v>631</x:v>
      </x:c>
      <x:c r="B635" s="218" t="str">
        <x:v>26820</x:v>
      </x:c>
      <x:c r="C635" s="218" t="str">
        <x:v>1</x:v>
      </x:c>
      <x:c r="D635" s="218" t="str">
        <x:v>610051</x:v>
      </x:c>
      <x:c r="E635" s="218" t="str">
        <x:v>2020700637</x:v>
      </x:c>
      <x:c r="F635" s="218" t="str">
        <x:v>OUTROS</x:v>
      </x:c>
      <x:c r="G635" s="184" t="str">
        <x:v>A ULTRA PET BCO CAR 2250X40X9 RG(ME) RTO</x:v>
      </x:c>
      <x:c r="H635" s="184" t="str">
        <x:v>REG 2L(MAIOR 80MM)</x:v>
      </x:c>
      <x:c r="I635" s="184" t="str"/>
      <x:c r="J635" s="184" t="str"/>
      <x:c r="K635" s="184" t="str">
        <x:v>RECOBERTO PET</x:v>
      </x:c>
      <x:c r="L635" s="184" t="str">
        <x:v>BRANCO CARRARA</x:v>
      </x:c>
      <x:c r="M635" s="205" t="n">
        <x:v>60</x:v>
      </x:c>
      <x:c r="N635" s="205" t="n">
        <x:v>2250</x:v>
      </x:c>
      <x:c r="O635" s="205" t="n">
        <x:v>40</x:v>
      </x:c>
      <x:c r="P635" s="205" t="n">
        <x:v>9</x:v>
      </x:c>
      <x:c r="Q635" s="206" t="n">
        <x:v>0</x:v>
      </x:c>
      <x:c r="R635" s="207" t="str"/>
      <x:c r="S635" s="207" t="str"/>
      <x:c r="T635" s="207" t="str"/>
      <x:c r="U635" s="207" t="n">
        <x:v>0</x:v>
      </x:c>
      <x:c r="V635" s="208" t="n">
        <x:f>MAX(0,M635-U635)</x:f>
        <x:v>60</x:v>
      </x:c>
      <x:c r="W635" s="209" t="n">
        <x:f>IFERROR(U635/M635,0)</x:f>
        <x:v>0</x:v>
      </x:c>
      <x:c r="X635" s="201" t="str">
        <x:f>IF(U635=0,"Não iniciado",IF(U635&gt;=M635,"Concluído","Parcial"))</x:f>
        <x:v>Não iniciado</x:v>
      </x:c>
      <x:c r="Y635" s="199" t="str"/>
      <x:c r="Z635" s="188" t="str">
        <x:v>Normal</x:v>
      </x:c>
    </x:row>
    <x:row r="636" ht="22" customHeight="1">
      <x:c r="A636" s="219" t="n">
        <x:v>632</x:v>
      </x:c>
      <x:c r="B636" s="220" t="str">
        <x:v>26820</x:v>
      </x:c>
      <x:c r="C636" s="220" t="str">
        <x:v>1</x:v>
      </x:c>
      <x:c r="D636" s="220" t="str">
        <x:v>610052</x:v>
      </x:c>
      <x:c r="E636" s="220" t="str">
        <x:v>2020700638</x:v>
      </x:c>
      <x:c r="F636" s="220" t="str">
        <x:v>OUTROS</x:v>
      </x:c>
      <x:c r="G636" s="190" t="str">
        <x:v>A ULTRA PET BCO CAR 2250X40X9 RG(80) RTO</x:v>
      </x:c>
      <x:c r="H636" s="190" t="str">
        <x:v>REG 2L(MAIOR 80MM)</x:v>
      </x:c>
      <x:c r="I636" s="190" t="str"/>
      <x:c r="J636" s="190" t="str"/>
      <x:c r="K636" s="190" t="str">
        <x:v>RECOBERTO PET</x:v>
      </x:c>
      <x:c r="L636" s="190" t="str">
        <x:v>BRANCO CARRARA</x:v>
      </x:c>
      <x:c r="M636" s="210" t="n">
        <x:v>60</x:v>
      </x:c>
      <x:c r="N636" s="210" t="n">
        <x:v>2250</x:v>
      </x:c>
      <x:c r="O636" s="210" t="n">
        <x:v>40</x:v>
      </x:c>
      <x:c r="P636" s="210" t="n">
        <x:v>9</x:v>
      </x:c>
      <x:c r="Q636" s="211" t="n">
        <x:v>0</x:v>
      </x:c>
      <x:c r="R636" s="207" t="str"/>
      <x:c r="S636" s="207" t="str"/>
      <x:c r="T636" s="207" t="str"/>
      <x:c r="U636" s="207" t="n">
        <x:v>0</x:v>
      </x:c>
      <x:c r="V636" s="208" t="n">
        <x:f>MAX(0,M636-U636)</x:f>
        <x:v>60</x:v>
      </x:c>
      <x:c r="W636" s="209" t="n">
        <x:f>IFERROR(U636/M636,0)</x:f>
        <x:v>0</x:v>
      </x:c>
      <x:c r="X636" s="201" t="str">
        <x:f>IF(U636=0,"Não iniciado",IF(U636&gt;=M636,"Concluído","Parcial"))</x:f>
        <x:v>Não iniciado</x:v>
      </x:c>
      <x:c r="Y636" s="199" t="str"/>
      <x:c r="Z636" s="188" t="str">
        <x:v>Normal</x:v>
      </x:c>
    </x:row>
    <x:row r="637" ht="22" customHeight="1">
      <x:c r="A637" s="217" t="n">
        <x:v>633</x:v>
      </x:c>
      <x:c r="B637" s="218" t="str">
        <x:v>26750</x:v>
      </x:c>
      <x:c r="C637" s="218" t="str">
        <x:v>9</x:v>
      </x:c>
      <x:c r="D637" s="218" t="str">
        <x:v>609802</x:v>
      </x:c>
      <x:c r="E637" s="218" t="str">
        <x:v>961470</x:v>
      </x:c>
      <x:c r="F637" s="218" t="str">
        <x:v>BAGUETE</x:v>
      </x:c>
      <x:c r="G637" s="184" t="str">
        <x:v>BAG 2200X40X14 RTO BTA. PVC REN BCO</x:v>
      </x:c>
      <x:c r="H637" s="184" t="str"/>
      <x:c r="I637" s="184" t="str"/>
      <x:c r="J637" s="184" t="str"/>
      <x:c r="K637" s="184" t="str">
        <x:v>RECOBERTO PVC RENOLIT</x:v>
      </x:c>
      <x:c r="L637" s="184" t="str">
        <x:v>BRANCO</x:v>
      </x:c>
      <x:c r="M637" s="205" t="n">
        <x:v>25</x:v>
      </x:c>
      <x:c r="N637" s="205" t="n">
        <x:v>2200</x:v>
      </x:c>
      <x:c r="O637" s="205" t="n">
        <x:v>40</x:v>
      </x:c>
      <x:c r="P637" s="205" t="n">
        <x:v>14</x:v>
      </x:c>
      <x:c r="Q637" s="206" t="n">
        <x:v>0.031</x:v>
      </x:c>
      <x:c r="R637" s="207" t="str"/>
      <x:c r="S637" s="207" t="str"/>
      <x:c r="T637" s="207" t="str"/>
      <x:c r="U637" s="207" t="n">
        <x:v>0</x:v>
      </x:c>
      <x:c r="V637" s="208" t="n">
        <x:f>MAX(0,M637-U637)</x:f>
        <x:v>25</x:v>
      </x:c>
      <x:c r="W637" s="209" t="n">
        <x:f>IFERROR(U637/M637,0)</x:f>
        <x:v>0</x:v>
      </x:c>
      <x:c r="X637" s="201" t="str">
        <x:f>IF(U637=0,"Não iniciado",IF(U637&gt;=M637,"Concluído","Parcial"))</x:f>
        <x:v>Não iniciado</x:v>
      </x:c>
      <x:c r="Y637" s="199" t="str"/>
      <x:c r="Z637" s="188" t="str">
        <x:v>Normal</x:v>
      </x:c>
    </x:row>
    <x:row r="638" ht="22" customHeight="1">
      <x:c r="A638" s="219" t="n">
        <x:v>634</x:v>
      </x:c>
      <x:c r="B638" s="220" t="str">
        <x:v>26739</x:v>
      </x:c>
      <x:c r="C638" s="220" t="str">
        <x:v>26</x:v>
      </x:c>
      <x:c r="D638" s="220" t="str">
        <x:v>609782</x:v>
      </x:c>
      <x:c r="E638" s="220" t="str">
        <x:v>675659</x:v>
      </x:c>
      <x:c r="F638" s="220" t="str">
        <x:v>BAGUETE</x:v>
      </x:c>
      <x:c r="G638" s="190" t="str">
        <x:v>BAGUETE 2200X40X14 RTO BTA. REC PET BRC</x:v>
      </x:c>
      <x:c r="H638" s="190" t="str"/>
      <x:c r="I638" s="190" t="str"/>
      <x:c r="J638" s="190" t="str"/>
      <x:c r="K638" s="190" t="str">
        <x:v>RECOBERTO PET</x:v>
      </x:c>
      <x:c r="L638" s="190" t="str">
        <x:v>BRANCO CARRARA</x:v>
      </x:c>
      <x:c r="M638" s="210" t="n">
        <x:v>35</x:v>
      </x:c>
      <x:c r="N638" s="210" t="n">
        <x:v>2200</x:v>
      </x:c>
      <x:c r="O638" s="210" t="n">
        <x:v>40</x:v>
      </x:c>
      <x:c r="P638" s="210" t="n">
        <x:v>14</x:v>
      </x:c>
      <x:c r="Q638" s="211" t="n">
        <x:v>0.043</x:v>
      </x:c>
      <x:c r="R638" s="207" t="str"/>
      <x:c r="S638" s="207" t="str"/>
      <x:c r="T638" s="207" t="str"/>
      <x:c r="U638" s="207" t="n">
        <x:v>0</x:v>
      </x:c>
      <x:c r="V638" s="208" t="n">
        <x:f>MAX(0,M638-U638)</x:f>
        <x:v>35</x:v>
      </x:c>
      <x:c r="W638" s="209" t="n">
        <x:f>IFERROR(U638/M638,0)</x:f>
        <x:v>0</x:v>
      </x:c>
      <x:c r="X638" s="201" t="str">
        <x:f>IF(U638=0,"Não iniciado",IF(U638&gt;=M638,"Concluído","Parcial"))</x:f>
        <x:v>Não iniciado</x:v>
      </x:c>
      <x:c r="Y638" s="199" t="str"/>
      <x:c r="Z638" s="188" t="str">
        <x:v>Normal</x:v>
      </x:c>
    </x:row>
    <x:row r="639" ht="22" customHeight="1">
      <x:c r="A639" s="217" t="n">
        <x:v>635</x:v>
      </x:c>
      <x:c r="B639" s="218" t="str">
        <x:v>26820</x:v>
      </x:c>
      <x:c r="C639" s="218" t="str">
        <x:v>1</x:v>
      </x:c>
      <x:c r="D639" s="218" t="str">
        <x:v>610053</x:v>
      </x:c>
      <x:c r="E639" s="218" t="str">
        <x:v>2020700639</x:v>
      </x:c>
      <x:c r="F639" s="218" t="str">
        <x:v>OUTROS</x:v>
      </x:c>
      <x:c r="G639" s="184" t="str">
        <x:v>A ULTRA PET BCO CAR 1200X40X9 RG(ME) RTO</x:v>
      </x:c>
      <x:c r="H639" s="184" t="str">
        <x:v>REG 2L(MAIOR 80MM)</x:v>
      </x:c>
      <x:c r="I639" s="184" t="str"/>
      <x:c r="J639" s="184" t="str"/>
      <x:c r="K639" s="184" t="str">
        <x:v>RECOBERTO PET</x:v>
      </x:c>
      <x:c r="L639" s="184" t="str">
        <x:v>BRANCO CARRARA</x:v>
      </x:c>
      <x:c r="M639" s="205" t="n">
        <x:v>30</x:v>
      </x:c>
      <x:c r="N639" s="205" t="n">
        <x:v>1200</x:v>
      </x:c>
      <x:c r="O639" s="205" t="n">
        <x:v>40</x:v>
      </x:c>
      <x:c r="P639" s="205" t="n">
        <x:v>9</x:v>
      </x:c>
      <x:c r="Q639" s="206" t="n">
        <x:v>0</x:v>
      </x:c>
      <x:c r="R639" s="207" t="str"/>
      <x:c r="S639" s="207" t="str"/>
      <x:c r="T639" s="207" t="str"/>
      <x:c r="U639" s="207" t="n">
        <x:v>0</x:v>
      </x:c>
      <x:c r="V639" s="208" t="n">
        <x:f>MAX(0,M639-U639)</x:f>
        <x:v>30</x:v>
      </x:c>
      <x:c r="W639" s="209" t="n">
        <x:f>IFERROR(U639/M639,0)</x:f>
        <x:v>0</x:v>
      </x:c>
      <x:c r="X639" s="201" t="str">
        <x:f>IF(U639=0,"Não iniciado",IF(U639&gt;=M639,"Concluído","Parcial"))</x:f>
        <x:v>Não iniciado</x:v>
      </x:c>
      <x:c r="Y639" s="199" t="str"/>
      <x:c r="Z639" s="188" t="str">
        <x:v>Normal</x:v>
      </x:c>
    </x:row>
    <x:row r="640" ht="22" customHeight="1">
      <x:c r="A640" s="219" t="n">
        <x:v>636</x:v>
      </x:c>
      <x:c r="B640" s="220" t="str">
        <x:v>26820</x:v>
      </x:c>
      <x:c r="C640" s="220" t="str">
        <x:v>1</x:v>
      </x:c>
      <x:c r="D640" s="220" t="str">
        <x:v>610054</x:v>
      </x:c>
      <x:c r="E640" s="220" t="str">
        <x:v>2020700640</x:v>
      </x:c>
      <x:c r="F640" s="220" t="str">
        <x:v>OUTROS</x:v>
      </x:c>
      <x:c r="G640" s="190" t="str">
        <x:v>A ULTRA PET BCO CAR 1200X40X9 RG(80) RTO</x:v>
      </x:c>
      <x:c r="H640" s="190" t="str">
        <x:v>REG 2L(MAIOR 80MM)</x:v>
      </x:c>
      <x:c r="I640" s="190" t="str"/>
      <x:c r="J640" s="190" t="str"/>
      <x:c r="K640" s="190" t="str">
        <x:v>RECOBERTO PET</x:v>
      </x:c>
      <x:c r="L640" s="190" t="str">
        <x:v>BRANCO CARRARA</x:v>
      </x:c>
      <x:c r="M640" s="210" t="n">
        <x:v>30</x:v>
      </x:c>
      <x:c r="N640" s="210" t="n">
        <x:v>1200</x:v>
      </x:c>
      <x:c r="O640" s="210" t="n">
        <x:v>40</x:v>
      </x:c>
      <x:c r="P640" s="210" t="n">
        <x:v>9</x:v>
      </x:c>
      <x:c r="Q640" s="211" t="n">
        <x:v>0</x:v>
      </x:c>
      <x:c r="R640" s="207" t="str"/>
      <x:c r="S640" s="207" t="str"/>
      <x:c r="T640" s="207" t="str"/>
      <x:c r="U640" s="207" t="n">
        <x:v>0</x:v>
      </x:c>
      <x:c r="V640" s="208" t="n">
        <x:f>MAX(0,M640-U640)</x:f>
        <x:v>30</x:v>
      </x:c>
      <x:c r="W640" s="209" t="n">
        <x:f>IFERROR(U640/M640,0)</x:f>
        <x:v>0</x:v>
      </x:c>
      <x:c r="X640" s="201" t="str">
        <x:f>IF(U640=0,"Não iniciado",IF(U640&gt;=M640,"Concluído","Parcial"))</x:f>
        <x:v>Não iniciado</x:v>
      </x:c>
      <x:c r="Y640" s="199" t="str"/>
      <x:c r="Z640" s="188" t="str">
        <x:v>Normal</x:v>
      </x:c>
    </x:row>
    <x:row r="641" ht="22" customHeight="1">
      <x:c r="A641" s="217" t="n">
        <x:v>637</x:v>
      </x:c>
      <x:c r="B641" s="218" t="str">
        <x:v>26820</x:v>
      </x:c>
      <x:c r="C641" s="218" t="str">
        <x:v>2</x:v>
      </x:c>
      <x:c r="D641" s="218" t="str">
        <x:v>610056</x:v>
      </x:c>
      <x:c r="E641" s="218" t="str">
        <x:v>2020700641</x:v>
      </x:c>
      <x:c r="F641" s="218" t="str">
        <x:v>OUTROS</x:v>
      </x:c>
      <x:c r="G641" s="184" t="str">
        <x:v>A ULTRA PET BCO CAR 2300X30X9 RG(ME) RTO</x:v>
      </x:c>
      <x:c r="H641" s="184" t="str">
        <x:v>REG 2L(MAIOR 80MM)</x:v>
      </x:c>
      <x:c r="I641" s="184" t="str"/>
      <x:c r="J641" s="184" t="str"/>
      <x:c r="K641" s="184" t="str">
        <x:v>RECOBERTO PET</x:v>
      </x:c>
      <x:c r="L641" s="184" t="str">
        <x:v>BRANCO CARRARA</x:v>
      </x:c>
      <x:c r="M641" s="205" t="n">
        <x:v>20</x:v>
      </x:c>
      <x:c r="N641" s="205" t="n">
        <x:v>2300</x:v>
      </x:c>
      <x:c r="O641" s="205" t="n">
        <x:v>30</x:v>
      </x:c>
      <x:c r="P641" s="205" t="n">
        <x:v>9</x:v>
      </x:c>
      <x:c r="Q641" s="206" t="n">
        <x:v>0</x:v>
      </x:c>
      <x:c r="R641" s="207" t="str"/>
      <x:c r="S641" s="207" t="str"/>
      <x:c r="T641" s="207" t="str"/>
      <x:c r="U641" s="207" t="n">
        <x:v>0</x:v>
      </x:c>
      <x:c r="V641" s="208" t="n">
        <x:f>MAX(0,M641-U641)</x:f>
        <x:v>20</x:v>
      </x:c>
      <x:c r="W641" s="209" t="n">
        <x:f>IFERROR(U641/M641,0)</x:f>
        <x:v>0</x:v>
      </x:c>
      <x:c r="X641" s="201" t="str">
        <x:f>IF(U641=0,"Não iniciado",IF(U641&gt;=M641,"Concluído","Parcial"))</x:f>
        <x:v>Não iniciado</x:v>
      </x:c>
      <x:c r="Y641" s="199" t="str"/>
      <x:c r="Z641" s="188" t="str">
        <x:v>Normal</x:v>
      </x:c>
    </x:row>
    <x:row r="642" ht="22" customHeight="1">
      <x:c r="A642" s="219" t="n">
        <x:v>638</x:v>
      </x:c>
      <x:c r="B642" s="220" t="str">
        <x:v>26820</x:v>
      </x:c>
      <x:c r="C642" s="220" t="str">
        <x:v>2</x:v>
      </x:c>
      <x:c r="D642" s="220" t="str">
        <x:v>610057</x:v>
      </x:c>
      <x:c r="E642" s="220" t="str">
        <x:v>2020700642</x:v>
      </x:c>
      <x:c r="F642" s="220" t="str">
        <x:v>OUTROS</x:v>
      </x:c>
      <x:c r="G642" s="190" t="str">
        <x:v>A ULTRA PET BCO CAR 2300X30X9 RG(80) RTO</x:v>
      </x:c>
      <x:c r="H642" s="190" t="str">
        <x:v>REG 2L(MAIOR 80MM)</x:v>
      </x:c>
      <x:c r="I642" s="190" t="str"/>
      <x:c r="J642" s="190" t="str"/>
      <x:c r="K642" s="190" t="str">
        <x:v>RECOBERTO PET</x:v>
      </x:c>
      <x:c r="L642" s="190" t="str">
        <x:v>BRANCO CARRARA</x:v>
      </x:c>
      <x:c r="M642" s="210" t="n">
        <x:v>20</x:v>
      </x:c>
      <x:c r="N642" s="210" t="n">
        <x:v>2300</x:v>
      </x:c>
      <x:c r="O642" s="210" t="n">
        <x:v>30</x:v>
      </x:c>
      <x:c r="P642" s="210" t="n">
        <x:v>9</x:v>
      </x:c>
      <x:c r="Q642" s="211" t="n">
        <x:v>0</x:v>
      </x:c>
      <x:c r="R642" s="207" t="str"/>
      <x:c r="S642" s="207" t="str"/>
      <x:c r="T642" s="207" t="str"/>
      <x:c r="U642" s="207" t="n">
        <x:v>0</x:v>
      </x:c>
      <x:c r="V642" s="208" t="n">
        <x:f>MAX(0,M642-U642)</x:f>
        <x:v>20</x:v>
      </x:c>
      <x:c r="W642" s="209" t="n">
        <x:f>IFERROR(U642/M642,0)</x:f>
        <x:v>0</x:v>
      </x:c>
      <x:c r="X642" s="201" t="str">
        <x:f>IF(U642=0,"Não iniciado",IF(U642&gt;=M642,"Concluído","Parcial"))</x:f>
        <x:v>Não iniciado</x:v>
      </x:c>
      <x:c r="Y642" s="199" t="str"/>
      <x:c r="Z642" s="188" t="str">
        <x:v>Normal</x:v>
      </x:c>
    </x:row>
    <x:row r="643" ht="22" customHeight="1">
      <x:c r="A643" s="217" t="n">
        <x:v>639</x:v>
      </x:c>
      <x:c r="B643" s="218" t="str">
        <x:v>26820</x:v>
      </x:c>
      <x:c r="C643" s="218" t="str">
        <x:v>2</x:v>
      </x:c>
      <x:c r="D643" s="218" t="str">
        <x:v>610058</x:v>
      </x:c>
      <x:c r="E643" s="218" t="str">
        <x:v>2020700643</x:v>
      </x:c>
      <x:c r="F643" s="218" t="str">
        <x:v>OUTROS</x:v>
      </x:c>
      <x:c r="G643" s="184" t="str">
        <x:v>A ULTRA PET BCO CAR 1200X30X9 RG(ME) RTO</x:v>
      </x:c>
      <x:c r="H643" s="184" t="str">
        <x:v>REG 2L(MAIOR 80MM)</x:v>
      </x:c>
      <x:c r="I643" s="184" t="str"/>
      <x:c r="J643" s="184" t="str"/>
      <x:c r="K643" s="184" t="str">
        <x:v>RECOBERTO PET</x:v>
      </x:c>
      <x:c r="L643" s="184" t="str">
        <x:v>BRANCO CARRARA</x:v>
      </x:c>
      <x:c r="M643" s="205" t="n">
        <x:v>10</x:v>
      </x:c>
      <x:c r="N643" s="205" t="n">
        <x:v>1200</x:v>
      </x:c>
      <x:c r="O643" s="205" t="n">
        <x:v>30</x:v>
      </x:c>
      <x:c r="P643" s="205" t="n">
        <x:v>9</x:v>
      </x:c>
      <x:c r="Q643" s="206" t="n">
        <x:v>0</x:v>
      </x:c>
      <x:c r="R643" s="207" t="str"/>
      <x:c r="S643" s="207" t="str"/>
      <x:c r="T643" s="207" t="str"/>
      <x:c r="U643" s="207" t="n">
        <x:v>0</x:v>
      </x:c>
      <x:c r="V643" s="208" t="n">
        <x:f>MAX(0,M643-U643)</x:f>
        <x:v>10</x:v>
      </x:c>
      <x:c r="W643" s="209" t="n">
        <x:f>IFERROR(U643/M643,0)</x:f>
        <x:v>0</x:v>
      </x:c>
      <x:c r="X643" s="201" t="str">
        <x:f>IF(U643=0,"Não iniciado",IF(U643&gt;=M643,"Concluído","Parcial"))</x:f>
        <x:v>Não iniciado</x:v>
      </x:c>
      <x:c r="Y643" s="199" t="str"/>
      <x:c r="Z643" s="188" t="str">
        <x:v>Normal</x:v>
      </x:c>
    </x:row>
    <x:row r="644" ht="22" customHeight="1">
      <x:c r="A644" s="219" t="n">
        <x:v>640</x:v>
      </x:c>
      <x:c r="B644" s="220" t="str">
        <x:v>26820</x:v>
      </x:c>
      <x:c r="C644" s="220" t="str">
        <x:v>2</x:v>
      </x:c>
      <x:c r="D644" s="220" t="str">
        <x:v>610059</x:v>
      </x:c>
      <x:c r="E644" s="220" t="str">
        <x:v>2020700644</x:v>
      </x:c>
      <x:c r="F644" s="220" t="str">
        <x:v>OUTROS</x:v>
      </x:c>
      <x:c r="G644" s="190" t="str">
        <x:v>A ULTRA PET BCO CAR 1200X30X9 RG(80) RTO</x:v>
      </x:c>
      <x:c r="H644" s="190" t="str">
        <x:v>REG 2L(MAIOR 80MM)</x:v>
      </x:c>
      <x:c r="I644" s="190" t="str"/>
      <x:c r="J644" s="190" t="str"/>
      <x:c r="K644" s="190" t="str">
        <x:v>RECOBERTO PET</x:v>
      </x:c>
      <x:c r="L644" s="190" t="str">
        <x:v>BRANCO CARRARA</x:v>
      </x:c>
      <x:c r="M644" s="210" t="n">
        <x:v>10</x:v>
      </x:c>
      <x:c r="N644" s="210" t="n">
        <x:v>1200</x:v>
      </x:c>
      <x:c r="O644" s="210" t="n">
        <x:v>30</x:v>
      </x:c>
      <x:c r="P644" s="210" t="n">
        <x:v>9</x:v>
      </x:c>
      <x:c r="Q644" s="211" t="n">
        <x:v>0</x:v>
      </x:c>
      <x:c r="R644" s="207" t="str"/>
      <x:c r="S644" s="207" t="str"/>
      <x:c r="T644" s="207" t="str"/>
      <x:c r="U644" s="207" t="n">
        <x:v>0</x:v>
      </x:c>
      <x:c r="V644" s="208" t="n">
        <x:f>MAX(0,M644-U644)</x:f>
        <x:v>10</x:v>
      </x:c>
      <x:c r="W644" s="209" t="n">
        <x:f>IFERROR(U644/M644,0)</x:f>
        <x:v>0</x:v>
      </x:c>
      <x:c r="X644" s="201" t="str">
        <x:f>IF(U644=0,"Não iniciado",IF(U644&gt;=M644,"Concluído","Parcial"))</x:f>
        <x:v>Não iniciado</x:v>
      </x:c>
      <x:c r="Y644" s="199" t="str"/>
      <x:c r="Z644" s="188" t="str">
        <x:v>Normal</x:v>
      </x:c>
    </x:row>
    <x:row r="645" ht="22" customHeight="1">
      <x:c r="A645" s="217" t="n">
        <x:v>641</x:v>
      </x:c>
      <x:c r="B645" s="218" t="str">
        <x:v>26826</x:v>
      </x:c>
      <x:c r="C645" s="218" t="str">
        <x:v>5</x:v>
      </x:c>
      <x:c r="D645" s="218" t="str">
        <x:v>609066</x:v>
      </x:c>
      <x:c r="E645" s="218" t="str">
        <x:v>985572</x:v>
      </x:c>
      <x:c r="F645" s="218" t="str">
        <x:v>KIT DE CORRER</x:v>
      </x:c>
      <x:c r="G645" s="184" t="str">
        <x:v>PERNA KIT STD  KIT DE CORRER EM MDF</x:v>
      </x:c>
      <x:c r="H645" s="184" t="str"/>
      <x:c r="I645" s="184" t="str"/>
      <x:c r="J645" s="184" t="str"/>
      <x:c r="K645" s="184" t="str">
        <x:v>RECOBERTO PET TXT</x:v>
      </x:c>
      <x:c r="L645" s="184" t="str">
        <x:v>BRANCO</x:v>
      </x:c>
      <x:c r="M645" s="205" t="n">
        <x:v>230</x:v>
      </x:c>
      <x:c r="N645" s="205" t="str"/>
      <x:c r="O645" s="205" t="str"/>
      <x:c r="P645" s="205" t="str"/>
      <x:c r="Q645" s="206" t="n">
        <x:v>1.252</x:v>
      </x:c>
      <x:c r="R645" s="207" t="str"/>
      <x:c r="S645" s="207" t="str"/>
      <x:c r="T645" s="207" t="str"/>
      <x:c r="U645" s="207" t="n">
        <x:v>0</x:v>
      </x:c>
      <x:c r="V645" s="208" t="n">
        <x:f>MAX(0,M645-U645)</x:f>
        <x:v>230</x:v>
      </x:c>
      <x:c r="W645" s="209" t="n">
        <x:f>IFERROR(U645/M645,0)</x:f>
        <x:v>0</x:v>
      </x:c>
      <x:c r="X645" s="201" t="str">
        <x:f>IF(U645=0,"Não iniciado",IF(U645&gt;=M645,"Concluído","Parcial"))</x:f>
        <x:v>Não iniciado</x:v>
      </x:c>
      <x:c r="Y645" s="199" t="str"/>
      <x:c r="Z645" s="188" t="str">
        <x:v>Normal</x:v>
      </x:c>
    </x:row>
    <x:row r="646" ht="22" customHeight="1">
      <x:c r="A646" s="219" t="n">
        <x:v>642</x:v>
      </x:c>
      <x:c r="B646" s="220" t="str">
        <x:v>26826</x:v>
      </x:c>
      <x:c r="C646" s="220" t="str">
        <x:v>5</x:v>
      </x:c>
      <x:c r="D646" s="220" t="str">
        <x:v>609067</x:v>
      </x:c>
      <x:c r="E646" s="220" t="str">
        <x:v>985573</x:v>
      </x:c>
      <x:c r="F646" s="220" t="str">
        <x:v>KIT DE CORRER</x:v>
      </x:c>
      <x:c r="G646" s="190" t="str">
        <x:v> KIT DE CORRER EM MDF</x:v>
      </x:c>
      <x:c r="H646" s="190" t="str"/>
      <x:c r="I646" s="190" t="str"/>
      <x:c r="J646" s="190" t="str"/>
      <x:c r="K646" s="190" t="str">
        <x:v>RECOBERTO PET TXT</x:v>
      </x:c>
      <x:c r="L646" s="190" t="str">
        <x:v>BRANCO</x:v>
      </x:c>
      <x:c r="M646" s="210" t="n">
        <x:v>115</x:v>
      </x:c>
      <x:c r="N646" s="210" t="str"/>
      <x:c r="O646" s="210" t="str"/>
      <x:c r="P646" s="210" t="str"/>
      <x:c r="Q646" s="211" t="n">
        <x:v>0</x:v>
      </x:c>
      <x:c r="R646" s="207" t="str"/>
      <x:c r="S646" s="207" t="str"/>
      <x:c r="T646" s="207" t="str"/>
      <x:c r="U646" s="207" t="n">
        <x:v>0</x:v>
      </x:c>
      <x:c r="V646" s="208" t="n">
        <x:f>MAX(0,M646-U646)</x:f>
        <x:v>115</x:v>
      </x:c>
      <x:c r="W646" s="209" t="n">
        <x:f>IFERROR(U646/M646,0)</x:f>
        <x:v>0</x:v>
      </x:c>
      <x:c r="X646" s="201" t="str">
        <x:f>IF(U646=0,"Não iniciado",IF(U646&gt;=M646,"Concluído","Parcial"))</x:f>
        <x:v>Não iniciado</x:v>
      </x:c>
      <x:c r="Y646" s="199" t="str"/>
      <x:c r="Z646" s="188" t="str">
        <x:v>Normal</x:v>
      </x:c>
    </x:row>
    <x:row r="647" ht="22" customHeight="1">
      <x:c r="A647" s="217" t="n">
        <x:v>643</x:v>
      </x:c>
      <x:c r="B647" s="218" t="str">
        <x:v>26826</x:v>
      </x:c>
      <x:c r="C647" s="218" t="str">
        <x:v>5</x:v>
      </x:c>
      <x:c r="D647" s="218" t="str">
        <x:v>609068</x:v>
      </x:c>
      <x:c r="E647" s="218" t="str">
        <x:v>985574</x:v>
      </x:c>
      <x:c r="F647" s="218" t="str">
        <x:v>KIT DE CORRER</x:v>
      </x:c>
      <x:c r="G647" s="184" t="str">
        <x:v>AL KIT L MEN STD  KIT DE CORRER EM MDF</x:v>
      </x:c>
      <x:c r="H647" s="184" t="str"/>
      <x:c r="I647" s="184" t="str"/>
      <x:c r="J647" s="184" t="str"/>
      <x:c r="K647" s="184" t="str">
        <x:v>RECOBERTO PET TXT</x:v>
      </x:c>
      <x:c r="L647" s="184" t="str">
        <x:v>BRANCO</x:v>
      </x:c>
      <x:c r="M647" s="205" t="n">
        <x:v>345</x:v>
      </x:c>
      <x:c r="N647" s="205" t="str"/>
      <x:c r="O647" s="205" t="str"/>
      <x:c r="P647" s="205" t="str"/>
      <x:c r="Q647" s="206" t="n">
        <x:v>0.342</x:v>
      </x:c>
      <x:c r="R647" s="207" t="str"/>
      <x:c r="S647" s="207" t="str"/>
      <x:c r="T647" s="207" t="str"/>
      <x:c r="U647" s="207" t="n">
        <x:v>0</x:v>
      </x:c>
      <x:c r="V647" s="208" t="n">
        <x:f>MAX(0,M647-U647)</x:f>
        <x:v>345</x:v>
      </x:c>
      <x:c r="W647" s="209" t="n">
        <x:f>IFERROR(U647/M647,0)</x:f>
        <x:v>0</x:v>
      </x:c>
      <x:c r="X647" s="201" t="str">
        <x:f>IF(U647=0,"Não iniciado",IF(U647&gt;=M647,"Concluído","Parcial"))</x:f>
        <x:v>Não iniciado</x:v>
      </x:c>
      <x:c r="Y647" s="199" t="str"/>
      <x:c r="Z647" s="188" t="str">
        <x:v>Normal</x:v>
      </x:c>
    </x:row>
    <x:row r="648" ht="22" customHeight="1">
      <x:c r="A648" s="219" t="n">
        <x:v>644</x:v>
      </x:c>
      <x:c r="B648" s="220" t="str">
        <x:v>26826</x:v>
      </x:c>
      <x:c r="C648" s="220" t="str">
        <x:v>5</x:v>
      </x:c>
      <x:c r="D648" s="220" t="str">
        <x:v>609069</x:v>
      </x:c>
      <x:c r="E648" s="220" t="str">
        <x:v>988095</x:v>
      </x:c>
      <x:c r="F648" s="220" t="str">
        <x:v>KIT DE CORRER</x:v>
      </x:c>
      <x:c r="G648" s="190" t="str">
        <x:v>SUP KIT STD  KIT DE CORRER EM MDF</x:v>
      </x:c>
      <x:c r="H648" s="190" t="str"/>
      <x:c r="I648" s="190" t="str"/>
      <x:c r="J648" s="190" t="str"/>
      <x:c r="K648" s="190" t="str">
        <x:v>RECOBERTO PET TXT</x:v>
      </x:c>
      <x:c r="L648" s="190" t="str">
        <x:v>BRANCO</x:v>
      </x:c>
      <x:c r="M648" s="210" t="n">
        <x:v>115</x:v>
      </x:c>
      <x:c r="N648" s="210" t="str"/>
      <x:c r="O648" s="210" t="str"/>
      <x:c r="P648" s="210" t="str"/>
      <x:c r="Q648" s="211" t="n">
        <x:v>0.626</x:v>
      </x:c>
      <x:c r="R648" s="207" t="str"/>
      <x:c r="S648" s="207" t="str"/>
      <x:c r="T648" s="207" t="str"/>
      <x:c r="U648" s="207" t="n">
        <x:v>0</x:v>
      </x:c>
      <x:c r="V648" s="208" t="n">
        <x:f>MAX(0,M648-U648)</x:f>
        <x:v>115</x:v>
      </x:c>
      <x:c r="W648" s="209" t="n">
        <x:f>IFERROR(U648/M648,0)</x:f>
        <x:v>0</x:v>
      </x:c>
      <x:c r="X648" s="201" t="str">
        <x:f>IF(U648=0,"Não iniciado",IF(U648&gt;=M648,"Concluído","Parcial"))</x:f>
        <x:v>Não iniciado</x:v>
      </x:c>
      <x:c r="Y648" s="199" t="str"/>
      <x:c r="Z648" s="188" t="str">
        <x:v>Normal</x:v>
      </x:c>
    </x:row>
    <x:row r="649" ht="22" customHeight="1">
      <x:c r="A649" s="217" t="n">
        <x:v>645</x:v>
      </x:c>
      <x:c r="B649" s="218" t="str">
        <x:v>26739</x:v>
      </x:c>
      <x:c r="C649" s="218" t="str">
        <x:v>16</x:v>
      </x:c>
      <x:c r="D649" s="218" t="str">
        <x:v>609689</x:v>
      </x:c>
      <x:c r="E649" s="218" t="str">
        <x:v>2010700829</x:v>
      </x:c>
      <x:c r="F649" s="218" t="str">
        <x:v>KIT DE CORRER</x:v>
      </x:c>
      <x:c r="G649" s="184" t="str">
        <x:v>P K COR ULTRA PET BCO CAR  KIT DE CORRER EM MDF ULTRA</x:v>
      </x:c>
      <x:c r="H649" s="184" t="str"/>
      <x:c r="I649" s="184" t="str"/>
      <x:c r="J649" s="184" t="str"/>
      <x:c r="K649" s="184" t="str">
        <x:v>RECOBERTO PET</x:v>
      </x:c>
      <x:c r="L649" s="184" t="str">
        <x:v>BRANCO CARRARA</x:v>
      </x:c>
      <x:c r="M649" s="205" t="n">
        <x:v>14</x:v>
      </x:c>
      <x:c r="N649" s="205" t="str"/>
      <x:c r="O649" s="205" t="str"/>
      <x:c r="P649" s="205" t="str"/>
      <x:c r="Q649" s="206" t="n">
        <x:v>0.076</x:v>
      </x:c>
      <x:c r="R649" s="207" t="str"/>
      <x:c r="S649" s="207" t="str"/>
      <x:c r="T649" s="207" t="str"/>
      <x:c r="U649" s="207" t="n">
        <x:v>0</x:v>
      </x:c>
      <x:c r="V649" s="208" t="n">
        <x:f>MAX(0,M649-U649)</x:f>
        <x:v>14</x:v>
      </x:c>
      <x:c r="W649" s="209" t="n">
        <x:f>IFERROR(U649/M649,0)</x:f>
        <x:v>0</x:v>
      </x:c>
      <x:c r="X649" s="201" t="str">
        <x:f>IF(U649=0,"Não iniciado",IF(U649&gt;=M649,"Concluído","Parcial"))</x:f>
        <x:v>Não iniciado</x:v>
      </x:c>
      <x:c r="Y649" s="199" t="str"/>
      <x:c r="Z649" s="188" t="str">
        <x:v>Normal</x:v>
      </x:c>
    </x:row>
    <x:row r="650" ht="22" customHeight="1">
      <x:c r="A650" s="219" t="n">
        <x:v>646</x:v>
      </x:c>
      <x:c r="B650" s="220" t="str">
        <x:v>26739</x:v>
      </x:c>
      <x:c r="C650" s="220" t="str">
        <x:v>16</x:v>
      </x:c>
      <x:c r="D650" s="220" t="str">
        <x:v>609690</x:v>
      </x:c>
      <x:c r="E650" s="220" t="str">
        <x:v>2010700830</x:v>
      </x:c>
      <x:c r="F650" s="220" t="str">
        <x:v>KIT DE CORRER</x:v>
      </x:c>
      <x:c r="G650" s="190" t="str">
        <x:v>S K COR ULTRA PET BCO CAR  KIT DE CORRER EM MDF ULTRA</x:v>
      </x:c>
      <x:c r="H650" s="190" t="str"/>
      <x:c r="I650" s="190" t="str"/>
      <x:c r="J650" s="190" t="str"/>
      <x:c r="K650" s="190" t="str">
        <x:v>RECOBERTO PET</x:v>
      </x:c>
      <x:c r="L650" s="190" t="str">
        <x:v>BRANCO CARRARA</x:v>
      </x:c>
      <x:c r="M650" s="210" t="n">
        <x:v>7</x:v>
      </x:c>
      <x:c r="N650" s="210" t="str"/>
      <x:c r="O650" s="210" t="str"/>
      <x:c r="P650" s="210" t="str"/>
      <x:c r="Q650" s="211" t="n">
        <x:v>0.038</x:v>
      </x:c>
      <x:c r="R650" s="207" t="str"/>
      <x:c r="S650" s="207" t="str"/>
      <x:c r="T650" s="207" t="str"/>
      <x:c r="U650" s="207" t="n">
        <x:v>0</x:v>
      </x:c>
      <x:c r="V650" s="208" t="n">
        <x:f>MAX(0,M650-U650)</x:f>
        <x:v>7</x:v>
      </x:c>
      <x:c r="W650" s="209" t="n">
        <x:f>IFERROR(U650/M650,0)</x:f>
        <x:v>0</x:v>
      </x:c>
      <x:c r="X650" s="201" t="str">
        <x:f>IF(U650=0,"Não iniciado",IF(U650&gt;=M650,"Concluído","Parcial"))</x:f>
        <x:v>Não iniciado</x:v>
      </x:c>
      <x:c r="Y650" s="199" t="str"/>
      <x:c r="Z650" s="188" t="str">
        <x:v>Normal</x:v>
      </x:c>
    </x:row>
    <x:row r="651" ht="22" customHeight="1">
      <x:c r="A651" s="217" t="n">
        <x:v>647</x:v>
      </x:c>
      <x:c r="B651" s="218" t="str">
        <x:v>26739</x:v>
      </x:c>
      <x:c r="C651" s="218" t="str">
        <x:v>16</x:v>
      </x:c>
      <x:c r="D651" s="218" t="str">
        <x:v>609691</x:v>
      </x:c>
      <x:c r="E651" s="218" t="str">
        <x:v>2020700312</x:v>
      </x:c>
      <x:c r="F651" s="218" t="str">
        <x:v>KIT DE CORRER</x:v>
      </x:c>
      <x:c r="G651" s="184" t="str">
        <x:v>CAB K COR ULTRA PET BCO CAR 2200X100X KIT DE CORRER EM MDF ULTRA</x:v>
      </x:c>
      <x:c r="H651" s="184" t="str"/>
      <x:c r="I651" s="184" t="str"/>
      <x:c r="J651" s="184" t="str"/>
      <x:c r="K651" s="184" t="str">
        <x:v>RECOBERTO PET</x:v>
      </x:c>
      <x:c r="L651" s="184" t="str">
        <x:v>BRANCO CARRARA</x:v>
      </x:c>
      <x:c r="M651" s="205" t="n">
        <x:v>7</x:v>
      </x:c>
      <x:c r="N651" s="205" t="str"/>
      <x:c r="O651" s="205" t="str"/>
      <x:c r="P651" s="205" t="str"/>
      <x:c r="Q651" s="206" t="n">
        <x:v>0.018</x:v>
      </x:c>
      <x:c r="R651" s="207" t="str"/>
      <x:c r="S651" s="207" t="str"/>
      <x:c r="T651" s="207" t="str"/>
      <x:c r="U651" s="207" t="n">
        <x:v>0</x:v>
      </x:c>
      <x:c r="V651" s="208" t="n">
        <x:f>MAX(0,M651-U651)</x:f>
        <x:v>7</x:v>
      </x:c>
      <x:c r="W651" s="209" t="n">
        <x:f>IFERROR(U651/M651,0)</x:f>
        <x:v>0</x:v>
      </x:c>
      <x:c r="X651" s="201" t="str">
        <x:f>IF(U651=0,"Não iniciado",IF(U651&gt;=M651,"Concluído","Parcial"))</x:f>
        <x:v>Não iniciado</x:v>
      </x:c>
      <x:c r="Y651" s="199" t="str"/>
      <x:c r="Z651" s="188" t="str">
        <x:v>Normal</x:v>
      </x:c>
    </x:row>
    <x:row r="652" ht="22" customHeight="1">
      <x:c r="A652" s="219" t="n">
        <x:v>648</x:v>
      </x:c>
      <x:c r="B652" s="220" t="str">
        <x:v>26739</x:v>
      </x:c>
      <x:c r="C652" s="220" t="str">
        <x:v>16</x:v>
      </x:c>
      <x:c r="D652" s="220" t="str">
        <x:v>609692</x:v>
      </x:c>
      <x:c r="E652" s="220" t="str">
        <x:v>2020700313</x:v>
      </x:c>
      <x:c r="F652" s="220" t="str">
        <x:v>KIT DE CORRER</x:v>
      </x:c>
      <x:c r="G652" s="190" t="str">
        <x:v>A K LME COR ULTRA PET BCO CAR  KIT DE CORRER EM MDF ULTRA</x:v>
      </x:c>
      <x:c r="H652" s="190" t="str"/>
      <x:c r="I652" s="190" t="str"/>
      <x:c r="J652" s="190" t="str"/>
      <x:c r="K652" s="190" t="str">
        <x:v>RECOBERTO PET</x:v>
      </x:c>
      <x:c r="L652" s="190" t="str">
        <x:v>BRANCO CARRARA</x:v>
      </x:c>
      <x:c r="M652" s="210" t="n">
        <x:v>21</x:v>
      </x:c>
      <x:c r="N652" s="210" t="str"/>
      <x:c r="O652" s="210" t="str"/>
      <x:c r="P652" s="210" t="str"/>
      <x:c r="Q652" s="211" t="n">
        <x:v>0.028</x:v>
      </x:c>
      <x:c r="R652" s="207" t="str"/>
      <x:c r="S652" s="207" t="str"/>
      <x:c r="T652" s="207" t="str"/>
      <x:c r="U652" s="207" t="n">
        <x:v>0</x:v>
      </x:c>
      <x:c r="V652" s="208" t="n">
        <x:f>MAX(0,M652-U652)</x:f>
        <x:v>21</x:v>
      </x:c>
      <x:c r="W652" s="209" t="n">
        <x:f>IFERROR(U652/M652,0)</x:f>
        <x:v>0</x:v>
      </x:c>
      <x:c r="X652" s="201" t="str">
        <x:f>IF(U652=0,"Não iniciado",IF(U652&gt;=M652,"Concluído","Parcial"))</x:f>
        <x:v>Não iniciado</x:v>
      </x:c>
      <x:c r="Y652" s="199" t="str"/>
      <x:c r="Z652" s="188" t="str">
        <x:v>Normal</x:v>
      </x:c>
    </x:row>
    <x:row r="653" ht="22" customHeight="1">
      <x:c r="A653" s="217" t="n">
        <x:v>649</x:v>
      </x:c>
      <x:c r="B653" s="218" t="str">
        <x:v>26744</x:v>
      </x:c>
      <x:c r="C653" s="218" t="str">
        <x:v>6</x:v>
      </x:c>
      <x:c r="D653" s="218" t="str">
        <x:v>610018</x:v>
      </x:c>
      <x:c r="E653" s="218" t="str">
        <x:v>675004</x:v>
      </x:c>
      <x:c r="F653" s="218" t="str">
        <x:v>KIT DE CORRER</x:v>
      </x:c>
      <x:c r="G653" s="184" t="str">
        <x:v> KIT DE CORRER EM MADEIRA DE PINUS</x:v>
      </x:c>
      <x:c r="H653" s="184" t="str"/>
      <x:c r="I653" s="184" t="str"/>
      <x:c r="J653" s="184" t="str"/>
      <x:c r="K653" s="184" t="str">
        <x:v>RECOBERTO PET</x:v>
      </x:c>
      <x:c r="L653" s="184" t="str">
        <x:v>BRANCO CARRARA</x:v>
      </x:c>
      <x:c r="M653" s="205" t="n">
        <x:v>4</x:v>
      </x:c>
      <x:c r="N653" s="205" t="str"/>
      <x:c r="O653" s="205" t="str"/>
      <x:c r="P653" s="205" t="str"/>
      <x:c r="Q653" s="206" t="n">
        <x:v>0</x:v>
      </x:c>
      <x:c r="R653" s="207" t="str"/>
      <x:c r="S653" s="207" t="str"/>
      <x:c r="T653" s="207" t="str"/>
      <x:c r="U653" s="207" t="n">
        <x:v>0</x:v>
      </x:c>
      <x:c r="V653" s="208" t="n">
        <x:f>MAX(0,M653-U653)</x:f>
        <x:v>4</x:v>
      </x:c>
      <x:c r="W653" s="209" t="n">
        <x:f>IFERROR(U653/M653,0)</x:f>
        <x:v>0</x:v>
      </x:c>
      <x:c r="X653" s="201" t="str">
        <x:f>IF(U653=0,"Não iniciado",IF(U653&gt;=M653,"Concluído","Parcial"))</x:f>
        <x:v>Não iniciado</x:v>
      </x:c>
      <x:c r="Y653" s="199" t="str"/>
      <x:c r="Z653" s="188" t="str">
        <x:v>Normal</x:v>
      </x:c>
    </x:row>
    <x:row r="654" ht="22" customHeight="1">
      <x:c r="A654" s="219" t="n">
        <x:v>650</x:v>
      </x:c>
      <x:c r="B654" s="220" t="str">
        <x:v>26744</x:v>
      </x:c>
      <x:c r="C654" s="220" t="str">
        <x:v>6</x:v>
      </x:c>
      <x:c r="D654" s="220" t="str">
        <x:v>610019</x:v>
      </x:c>
      <x:c r="E654" s="220" t="str">
        <x:v>962738</x:v>
      </x:c>
      <x:c r="F654" s="220" t="str">
        <x:v>KIT DE CORRER</x:v>
      </x:c>
      <x:c r="G654" s="190" t="str">
        <x:v> KIT DE CORRER EM MADEIRA DE PINUS</x:v>
      </x:c>
      <x:c r="H654" s="190" t="str"/>
      <x:c r="I654" s="190" t="str"/>
      <x:c r="J654" s="190" t="str"/>
      <x:c r="K654" s="190" t="str">
        <x:v>RECOBERTO PET</x:v>
      </x:c>
      <x:c r="L654" s="190" t="str">
        <x:v>BRANCO CARRARA</x:v>
      </x:c>
      <x:c r="M654" s="210" t="n">
        <x:v>2</x:v>
      </x:c>
      <x:c r="N654" s="210" t="str"/>
      <x:c r="O654" s="210" t="str"/>
      <x:c r="P654" s="210" t="str"/>
      <x:c r="Q654" s="211" t="n">
        <x:v>0</x:v>
      </x:c>
      <x:c r="R654" s="207" t="str"/>
      <x:c r="S654" s="207" t="str"/>
      <x:c r="T654" s="207" t="str"/>
      <x:c r="U654" s="207" t="n">
        <x:v>0</x:v>
      </x:c>
      <x:c r="V654" s="208" t="n">
        <x:f>MAX(0,M654-U654)</x:f>
        <x:v>2</x:v>
      </x:c>
      <x:c r="W654" s="209" t="n">
        <x:f>IFERROR(U654/M654,0)</x:f>
        <x:v>0</x:v>
      </x:c>
      <x:c r="X654" s="201" t="str">
        <x:f>IF(U654=0,"Não iniciado",IF(U654&gt;=M654,"Concluído","Parcial"))</x:f>
        <x:v>Não iniciado</x:v>
      </x:c>
      <x:c r="Y654" s="199" t="str"/>
      <x:c r="Z654" s="188" t="str">
        <x:v>Normal</x:v>
      </x:c>
    </x:row>
    <x:row r="655" ht="22" customHeight="1">
      <x:c r="A655" s="217" t="n">
        <x:v>651</x:v>
      </x:c>
      <x:c r="B655" s="218" t="str">
        <x:v>26744</x:v>
      </x:c>
      <x:c r="C655" s="218" t="str">
        <x:v>6</x:v>
      </x:c>
      <x:c r="D655" s="218" t="str">
        <x:v>610020</x:v>
      </x:c>
      <x:c r="E655" s="218" t="str">
        <x:v>962739</x:v>
      </x:c>
      <x:c r="F655" s="218" t="str">
        <x:v>KIT DE CORRER</x:v>
      </x:c>
      <x:c r="G655" s="184" t="str">
        <x:v>AL KIT L MEN ULT  KIT DE CORRER EM MADEIRA DE PINUS</x:v>
      </x:c>
      <x:c r="H655" s="184" t="str"/>
      <x:c r="I655" s="184" t="str"/>
      <x:c r="J655" s="184" t="str"/>
      <x:c r="K655" s="184" t="str">
        <x:v>RECOBERTO PET</x:v>
      </x:c>
      <x:c r="L655" s="184" t="str">
        <x:v>BRANCO CARRARA</x:v>
      </x:c>
      <x:c r="M655" s="205" t="n">
        <x:v>6</x:v>
      </x:c>
      <x:c r="N655" s="205" t="str"/>
      <x:c r="O655" s="205" t="str"/>
      <x:c r="P655" s="205" t="str"/>
      <x:c r="Q655" s="206" t="n">
        <x:v>0.006</x:v>
      </x:c>
      <x:c r="R655" s="207" t="str"/>
      <x:c r="S655" s="207" t="str"/>
      <x:c r="T655" s="207" t="str"/>
      <x:c r="U655" s="207" t="n">
        <x:v>0</x:v>
      </x:c>
      <x:c r="V655" s="208" t="n">
        <x:f>MAX(0,M655-U655)</x:f>
        <x:v>6</x:v>
      </x:c>
      <x:c r="W655" s="209" t="n">
        <x:f>IFERROR(U655/M655,0)</x:f>
        <x:v>0</x:v>
      </x:c>
      <x:c r="X655" s="201" t="str">
        <x:f>IF(U655=0,"Não iniciado",IF(U655&gt;=M655,"Concluído","Parcial"))</x:f>
        <x:v>Não iniciado</x:v>
      </x:c>
      <x:c r="Y655" s="199" t="str"/>
      <x:c r="Z655" s="188" t="str">
        <x:v>Normal</x:v>
      </x:c>
    </x:row>
    <x:row r="656" ht="22" customHeight="1">
      <x:c r="A656" s="219" t="n">
        <x:v>652</x:v>
      </x:c>
      <x:c r="B656" s="220" t="str">
        <x:v>26744</x:v>
      </x:c>
      <x:c r="C656" s="220" t="str">
        <x:v>6</x:v>
      </x:c>
      <x:c r="D656" s="220" t="str">
        <x:v>610021</x:v>
      </x:c>
      <x:c r="E656" s="220" t="str">
        <x:v>987124</x:v>
      </x:c>
      <x:c r="F656" s="220" t="str">
        <x:v>KIT DE CORRER</x:v>
      </x:c>
      <x:c r="G656" s="190" t="str">
        <x:v> KIT DE CORRER EM MADEIRA DE PINUS</x:v>
      </x:c>
      <x:c r="H656" s="190" t="str"/>
      <x:c r="I656" s="190" t="str"/>
      <x:c r="J656" s="190" t="str"/>
      <x:c r="K656" s="190" t="str">
        <x:v>RECOBERTO PET</x:v>
      </x:c>
      <x:c r="L656" s="190" t="str">
        <x:v>BRANCO CARRARA</x:v>
      </x:c>
      <x:c r="M656" s="210" t="n">
        <x:v>2</x:v>
      </x:c>
      <x:c r="N656" s="210" t="str"/>
      <x:c r="O656" s="210" t="str"/>
      <x:c r="P656" s="210" t="str"/>
      <x:c r="Q656" s="211" t="n">
        <x:v>0</x:v>
      </x:c>
      <x:c r="R656" s="207" t="str"/>
      <x:c r="S656" s="207" t="str"/>
      <x:c r="T656" s="207" t="str"/>
      <x:c r="U656" s="207" t="n">
        <x:v>0</x:v>
      </x:c>
      <x:c r="V656" s="208" t="n">
        <x:f>MAX(0,M656-U656)</x:f>
        <x:v>2</x:v>
      </x:c>
      <x:c r="W656" s="209" t="n">
        <x:f>IFERROR(U656/M656,0)</x:f>
        <x:v>0</x:v>
      </x:c>
      <x:c r="X656" s="201" t="str">
        <x:f>IF(U656=0,"Não iniciado",IF(U656&gt;=M656,"Concluído","Parcial"))</x:f>
        <x:v>Não iniciado</x:v>
      </x:c>
      <x:c r="Y656" s="199" t="str"/>
      <x:c r="Z656" s="188" t="str">
        <x:v>Normal</x:v>
      </x:c>
    </x:row>
    <x:row r="657" ht="22" customHeight="1">
      <x:c r="A657" s="217" t="n">
        <x:v>653</x:v>
      </x:c>
      <x:c r="B657" s="218" t="str">
        <x:v>26747</x:v>
      </x:c>
      <x:c r="C657" s="218" t="str">
        <x:v>12</x:v>
      </x:c>
      <x:c r="D657" s="218" t="str">
        <x:v>609023</x:v>
      </x:c>
      <x:c r="E657" s="218" t="str">
        <x:v>675619</x:v>
      </x:c>
      <x:c r="F657" s="218" t="str">
        <x:v>KIT DE CORRER</x:v>
      </x:c>
      <x:c r="G657" s="184" t="str">
        <x:v>PERNA KIT ULTRA  KIT DE CORRER EM MDF ULTRA</x:v>
      </x:c>
      <x:c r="H657" s="184" t="str"/>
      <x:c r="I657" s="184" t="str"/>
      <x:c r="J657" s="184" t="str"/>
      <x:c r="K657" s="184" t="str">
        <x:v>RECOBERTO PET</x:v>
      </x:c>
      <x:c r="L657" s="184" t="str">
        <x:v>BRANCO CARRARA</x:v>
      </x:c>
      <x:c r="M657" s="205" t="n">
        <x:v>4</x:v>
      </x:c>
      <x:c r="N657" s="205" t="str"/>
      <x:c r="O657" s="205" t="str"/>
      <x:c r="P657" s="205" t="str"/>
      <x:c r="Q657" s="206" t="n">
        <x:v>0.022</x:v>
      </x:c>
      <x:c r="R657" s="207" t="str"/>
      <x:c r="S657" s="207" t="str"/>
      <x:c r="T657" s="207" t="str"/>
      <x:c r="U657" s="207" t="n">
        <x:v>0</x:v>
      </x:c>
      <x:c r="V657" s="208" t="n">
        <x:f>MAX(0,M657-U657)</x:f>
        <x:v>4</x:v>
      </x:c>
      <x:c r="W657" s="209" t="n">
        <x:f>IFERROR(U657/M657,0)</x:f>
        <x:v>0</x:v>
      </x:c>
      <x:c r="X657" s="201" t="str">
        <x:f>IF(U657=0,"Não iniciado",IF(U657&gt;=M657,"Concluído","Parcial"))</x:f>
        <x:v>Não iniciado</x:v>
      </x:c>
      <x:c r="Y657" s="199" t="str"/>
      <x:c r="Z657" s="188" t="str">
        <x:v>Normal</x:v>
      </x:c>
    </x:row>
    <x:row r="658" ht="22" customHeight="1">
      <x:c r="A658" s="219" t="n">
        <x:v>654</x:v>
      </x:c>
      <x:c r="B658" s="220" t="str">
        <x:v>26747</x:v>
      </x:c>
      <x:c r="C658" s="220" t="str">
        <x:v>12</x:v>
      </x:c>
      <x:c r="D658" s="220" t="str">
        <x:v>609024</x:v>
      </x:c>
      <x:c r="E658" s="220" t="str">
        <x:v>962738</x:v>
      </x:c>
      <x:c r="F658" s="220" t="str">
        <x:v>KIT DE CORRER</x:v>
      </x:c>
      <x:c r="G658" s="190" t="str">
        <x:v> KIT DE CORRER EM MDF ULTRA</x:v>
      </x:c>
      <x:c r="H658" s="190" t="str"/>
      <x:c r="I658" s="190" t="str"/>
      <x:c r="J658" s="190" t="str"/>
      <x:c r="K658" s="190" t="str">
        <x:v>RECOBERTO PET</x:v>
      </x:c>
      <x:c r="L658" s="190" t="str">
        <x:v>BRANCO CARRARA</x:v>
      </x:c>
      <x:c r="M658" s="210" t="n">
        <x:v>2</x:v>
      </x:c>
      <x:c r="N658" s="210" t="str"/>
      <x:c r="O658" s="210" t="str"/>
      <x:c r="P658" s="210" t="str"/>
      <x:c r="Q658" s="211" t="n">
        <x:v>0</x:v>
      </x:c>
      <x:c r="R658" s="207" t="str"/>
      <x:c r="S658" s="207" t="str"/>
      <x:c r="T658" s="207" t="str"/>
      <x:c r="U658" s="207" t="n">
        <x:v>0</x:v>
      </x:c>
      <x:c r="V658" s="208" t="n">
        <x:f>MAX(0,M658-U658)</x:f>
        <x:v>2</x:v>
      </x:c>
      <x:c r="W658" s="209" t="n">
        <x:f>IFERROR(U658/M658,0)</x:f>
        <x:v>0</x:v>
      </x:c>
      <x:c r="X658" s="201" t="str">
        <x:f>IF(U658=0,"Não iniciado",IF(U658&gt;=M658,"Concluído","Parcial"))</x:f>
        <x:v>Não iniciado</x:v>
      </x:c>
      <x:c r="Y658" s="199" t="str"/>
      <x:c r="Z658" s="188" t="str">
        <x:v>Normal</x:v>
      </x:c>
    </x:row>
    <x:row r="659" ht="22" customHeight="1">
      <x:c r="A659" s="217" t="n">
        <x:v>655</x:v>
      </x:c>
      <x:c r="B659" s="218" t="str">
        <x:v>26747</x:v>
      </x:c>
      <x:c r="C659" s="218" t="str">
        <x:v>12</x:v>
      </x:c>
      <x:c r="D659" s="218" t="str">
        <x:v>609025</x:v>
      </x:c>
      <x:c r="E659" s="218" t="str">
        <x:v>962739</x:v>
      </x:c>
      <x:c r="F659" s="218" t="str">
        <x:v>KIT DE CORRER</x:v>
      </x:c>
      <x:c r="G659" s="184" t="str">
        <x:v>AL KIT L MEN ULT  KIT DE CORRER EM MDF ULTRA</x:v>
      </x:c>
      <x:c r="H659" s="184" t="str"/>
      <x:c r="I659" s="184" t="str"/>
      <x:c r="J659" s="184" t="str"/>
      <x:c r="K659" s="184" t="str">
        <x:v>RECOBERTO PET</x:v>
      </x:c>
      <x:c r="L659" s="184" t="str">
        <x:v>BRANCO CARRARA</x:v>
      </x:c>
      <x:c r="M659" s="205" t="n">
        <x:v>6</x:v>
      </x:c>
      <x:c r="N659" s="205" t="str"/>
      <x:c r="O659" s="205" t="str"/>
      <x:c r="P659" s="205" t="str"/>
      <x:c r="Q659" s="206" t="n">
        <x:v>0.006</x:v>
      </x:c>
      <x:c r="R659" s="207" t="str"/>
      <x:c r="S659" s="207" t="str"/>
      <x:c r="T659" s="207" t="str"/>
      <x:c r="U659" s="207" t="n">
        <x:v>0</x:v>
      </x:c>
      <x:c r="V659" s="208" t="n">
        <x:f>MAX(0,M659-U659)</x:f>
        <x:v>6</x:v>
      </x:c>
      <x:c r="W659" s="209" t="n">
        <x:f>IFERROR(U659/M659,0)</x:f>
        <x:v>0</x:v>
      </x:c>
      <x:c r="X659" s="201" t="str">
        <x:f>IF(U659=0,"Não iniciado",IF(U659&gt;=M659,"Concluído","Parcial"))</x:f>
        <x:v>Não iniciado</x:v>
      </x:c>
      <x:c r="Y659" s="199" t="str"/>
      <x:c r="Z659" s="188" t="str">
        <x:v>Normal</x:v>
      </x:c>
    </x:row>
    <x:row r="660" ht="22" customHeight="1">
      <x:c r="A660" s="219" t="n">
        <x:v>656</x:v>
      </x:c>
      <x:c r="B660" s="220" t="str">
        <x:v>26747</x:v>
      </x:c>
      <x:c r="C660" s="220" t="str">
        <x:v>12</x:v>
      </x:c>
      <x:c r="D660" s="220" t="str">
        <x:v>609026</x:v>
      </x:c>
      <x:c r="E660" s="220" t="str">
        <x:v>987029</x:v>
      </x:c>
      <x:c r="F660" s="220" t="str">
        <x:v>KIT DE CORRER</x:v>
      </x:c>
      <x:c r="G660" s="190" t="str">
        <x:v>SUP TRILHO ULTRA  KIT DE CORRER EM MDF ULTRA</x:v>
      </x:c>
      <x:c r="H660" s="190" t="str"/>
      <x:c r="I660" s="190" t="str"/>
      <x:c r="J660" s="190" t="str"/>
      <x:c r="K660" s="190" t="str">
        <x:v>RECOBERTO PET</x:v>
      </x:c>
      <x:c r="L660" s="190" t="str">
        <x:v>BRANCO CARRARA</x:v>
      </x:c>
      <x:c r="M660" s="210" t="n">
        <x:v>2</x:v>
      </x:c>
      <x:c r="N660" s="210" t="str"/>
      <x:c r="O660" s="210" t="str"/>
      <x:c r="P660" s="210" t="str"/>
      <x:c r="Q660" s="211" t="n">
        <x:v>0.011</x:v>
      </x:c>
      <x:c r="R660" s="207" t="str"/>
      <x:c r="S660" s="207" t="str"/>
      <x:c r="T660" s="207" t="str"/>
      <x:c r="U660" s="207" t="n">
        <x:v>0</x:v>
      </x:c>
      <x:c r="V660" s="208" t="n">
        <x:f>MAX(0,M660-U660)</x:f>
        <x:v>2</x:v>
      </x:c>
      <x:c r="W660" s="209" t="n">
        <x:f>IFERROR(U660/M660,0)</x:f>
        <x:v>0</x:v>
      </x:c>
      <x:c r="X660" s="201" t="str">
        <x:f>IF(U660=0,"Não iniciado",IF(U660&gt;=M660,"Concluído","Parcial"))</x:f>
        <x:v>Não iniciado</x:v>
      </x:c>
      <x:c r="Y660" s="199" t="str"/>
      <x:c r="Z660" s="188" t="str">
        <x:v>Normal</x:v>
      </x:c>
    </x:row>
    <x:row r="661" ht="22" customHeight="1">
      <x:c r="A661" s="217" t="n">
        <x:v>657</x:v>
      </x:c>
      <x:c r="B661" s="218" t="str">
        <x:v>26750</x:v>
      </x:c>
      <x:c r="C661" s="218" t="str">
        <x:v>19</x:v>
      </x:c>
      <x:c r="D661" s="218" t="str">
        <x:v>609862</x:v>
      </x:c>
      <x:c r="E661" s="218" t="str">
        <x:v>2010700829</x:v>
      </x:c>
      <x:c r="F661" s="218" t="str">
        <x:v>KIT DE CORRER</x:v>
      </x:c>
      <x:c r="G661" s="184" t="str">
        <x:v>P K COR ULTRA PET BCO CAR  KIT DE CORRER EM MDF ULTRA</x:v>
      </x:c>
      <x:c r="H661" s="184" t="str"/>
      <x:c r="I661" s="184" t="str"/>
      <x:c r="J661" s="184" t="str"/>
      <x:c r="K661" s="184" t="str">
        <x:v>RECOBERTO PET</x:v>
      </x:c>
      <x:c r="L661" s="184" t="str">
        <x:v>BRANCO CARRARA</x:v>
      </x:c>
      <x:c r="M661" s="205" t="n">
        <x:v>14</x:v>
      </x:c>
      <x:c r="N661" s="205" t="str"/>
      <x:c r="O661" s="205" t="str"/>
      <x:c r="P661" s="205" t="str"/>
      <x:c r="Q661" s="206" t="n">
        <x:v>0.076</x:v>
      </x:c>
      <x:c r="R661" s="207" t="str"/>
      <x:c r="S661" s="207" t="str"/>
      <x:c r="T661" s="207" t="str"/>
      <x:c r="U661" s="207" t="n">
        <x:v>0</x:v>
      </x:c>
      <x:c r="V661" s="208" t="n">
        <x:f>MAX(0,M661-U661)</x:f>
        <x:v>14</x:v>
      </x:c>
      <x:c r="W661" s="209" t="n">
        <x:f>IFERROR(U661/M661,0)</x:f>
        <x:v>0</x:v>
      </x:c>
      <x:c r="X661" s="201" t="str">
        <x:f>IF(U661=0,"Não iniciado",IF(U661&gt;=M661,"Concluído","Parcial"))</x:f>
        <x:v>Não iniciado</x:v>
      </x:c>
      <x:c r="Y661" s="199" t="str"/>
      <x:c r="Z661" s="188" t="str">
        <x:v>Normal</x:v>
      </x:c>
    </x:row>
    <x:row r="662" ht="22" customHeight="1">
      <x:c r="A662" s="219" t="n">
        <x:v>658</x:v>
      </x:c>
      <x:c r="B662" s="220" t="str">
        <x:v>26750</x:v>
      </x:c>
      <x:c r="C662" s="220" t="str">
        <x:v>19</x:v>
      </x:c>
      <x:c r="D662" s="220" t="str">
        <x:v>609863</x:v>
      </x:c>
      <x:c r="E662" s="220" t="str">
        <x:v>2010700830</x:v>
      </x:c>
      <x:c r="F662" s="220" t="str">
        <x:v>KIT DE CORRER</x:v>
      </x:c>
      <x:c r="G662" s="190" t="str">
        <x:v>S K COR ULTRA PET BCO CAR  KIT DE CORRER EM MDF ULTRA</x:v>
      </x:c>
      <x:c r="H662" s="190" t="str"/>
      <x:c r="I662" s="190" t="str"/>
      <x:c r="J662" s="190" t="str"/>
      <x:c r="K662" s="190" t="str">
        <x:v>RECOBERTO PET</x:v>
      </x:c>
      <x:c r="L662" s="190" t="str">
        <x:v>BRANCO CARRARA</x:v>
      </x:c>
      <x:c r="M662" s="210" t="n">
        <x:v>7</x:v>
      </x:c>
      <x:c r="N662" s="210" t="str"/>
      <x:c r="O662" s="210" t="str"/>
      <x:c r="P662" s="210" t="str"/>
      <x:c r="Q662" s="211" t="n">
        <x:v>0.038</x:v>
      </x:c>
      <x:c r="R662" s="207" t="str"/>
      <x:c r="S662" s="207" t="str"/>
      <x:c r="T662" s="207" t="str"/>
      <x:c r="U662" s="207" t="n">
        <x:v>0</x:v>
      </x:c>
      <x:c r="V662" s="208" t="n">
        <x:f>MAX(0,M662-U662)</x:f>
        <x:v>7</x:v>
      </x:c>
      <x:c r="W662" s="209" t="n">
        <x:f>IFERROR(U662/M662,0)</x:f>
        <x:v>0</x:v>
      </x:c>
      <x:c r="X662" s="201" t="str">
        <x:f>IF(U662=0,"Não iniciado",IF(U662&gt;=M662,"Concluído","Parcial"))</x:f>
        <x:v>Não iniciado</x:v>
      </x:c>
      <x:c r="Y662" s="199" t="str"/>
      <x:c r="Z662" s="188" t="str">
        <x:v>Normal</x:v>
      </x:c>
    </x:row>
    <x:row r="663" ht="22" customHeight="1">
      <x:c r="A663" s="217" t="n">
        <x:v>659</x:v>
      </x:c>
      <x:c r="B663" s="218" t="str">
        <x:v>26750</x:v>
      </x:c>
      <x:c r="C663" s="218" t="str">
        <x:v>19</x:v>
      </x:c>
      <x:c r="D663" s="218" t="str">
        <x:v>609864</x:v>
      </x:c>
      <x:c r="E663" s="218" t="str">
        <x:v>2020700312</x:v>
      </x:c>
      <x:c r="F663" s="218" t="str">
        <x:v>KIT DE CORRER</x:v>
      </x:c>
      <x:c r="G663" s="184" t="str">
        <x:v>CAB K COR ULTRA PET BCO CAR 2200X100X KIT DE CORRER EM MDF ULTRA</x:v>
      </x:c>
      <x:c r="H663" s="184" t="str"/>
      <x:c r="I663" s="184" t="str"/>
      <x:c r="J663" s="184" t="str"/>
      <x:c r="K663" s="184" t="str">
        <x:v>RECOBERTO PET</x:v>
      </x:c>
      <x:c r="L663" s="184" t="str">
        <x:v>BRANCO CARRARA</x:v>
      </x:c>
      <x:c r="M663" s="205" t="n">
        <x:v>7</x:v>
      </x:c>
      <x:c r="N663" s="205" t="str"/>
      <x:c r="O663" s="205" t="str"/>
      <x:c r="P663" s="205" t="str"/>
      <x:c r="Q663" s="206" t="n">
        <x:v>0.018</x:v>
      </x:c>
      <x:c r="R663" s="207" t="str"/>
      <x:c r="S663" s="207" t="str"/>
      <x:c r="T663" s="207" t="str"/>
      <x:c r="U663" s="207" t="n">
        <x:v>0</x:v>
      </x:c>
      <x:c r="V663" s="208" t="n">
        <x:f>MAX(0,M663-U663)</x:f>
        <x:v>7</x:v>
      </x:c>
      <x:c r="W663" s="209" t="n">
        <x:f>IFERROR(U663/M663,0)</x:f>
        <x:v>0</x:v>
      </x:c>
      <x:c r="X663" s="201" t="str">
        <x:f>IF(U663=0,"Não iniciado",IF(U663&gt;=M663,"Concluído","Parcial"))</x:f>
        <x:v>Não iniciado</x:v>
      </x:c>
      <x:c r="Y663" s="199" t="str"/>
      <x:c r="Z663" s="188" t="str">
        <x:v>Normal</x:v>
      </x:c>
    </x:row>
    <x:row r="664" ht="22" customHeight="1">
      <x:c r="A664" s="219" t="n">
        <x:v>660</x:v>
      </x:c>
      <x:c r="B664" s="220" t="str">
        <x:v>26750</x:v>
      </x:c>
      <x:c r="C664" s="220" t="str">
        <x:v>19</x:v>
      </x:c>
      <x:c r="D664" s="220" t="str">
        <x:v>609865</x:v>
      </x:c>
      <x:c r="E664" s="220" t="str">
        <x:v>2020700313</x:v>
      </x:c>
      <x:c r="F664" s="220" t="str">
        <x:v>KIT DE CORRER</x:v>
      </x:c>
      <x:c r="G664" s="190" t="str">
        <x:v>A K LME COR ULTRA PET BCO CAR  KIT DE CORRER EM MDF ULTRA</x:v>
      </x:c>
      <x:c r="H664" s="190" t="str"/>
      <x:c r="I664" s="190" t="str"/>
      <x:c r="J664" s="190" t="str"/>
      <x:c r="K664" s="190" t="str">
        <x:v>RECOBERTO PET</x:v>
      </x:c>
      <x:c r="L664" s="190" t="str">
        <x:v>BRANCO CARRARA</x:v>
      </x:c>
      <x:c r="M664" s="210" t="n">
        <x:v>21</x:v>
      </x:c>
      <x:c r="N664" s="210" t="str"/>
      <x:c r="O664" s="210" t="str"/>
      <x:c r="P664" s="210" t="str"/>
      <x:c r="Q664" s="211" t="n">
        <x:v>0.028</x:v>
      </x:c>
      <x:c r="R664" s="207" t="str"/>
      <x:c r="S664" s="207" t="str"/>
      <x:c r="T664" s="207" t="str"/>
      <x:c r="U664" s="207" t="n">
        <x:v>0</x:v>
      </x:c>
      <x:c r="V664" s="208" t="n">
        <x:f>MAX(0,M664-U664)</x:f>
        <x:v>21</x:v>
      </x:c>
      <x:c r="W664" s="209" t="n">
        <x:f>IFERROR(U664/M664,0)</x:f>
        <x:v>0</x:v>
      </x:c>
      <x:c r="X664" s="201" t="str">
        <x:f>IF(U664=0,"Não iniciado",IF(U664&gt;=M664,"Concluído","Parcial"))</x:f>
        <x:v>Não iniciado</x:v>
      </x:c>
      <x:c r="Y664" s="199" t="str"/>
      <x:c r="Z664" s="188" t="str">
        <x:v>Normal</x:v>
      </x:c>
    </x:row>
    <x:row r="665" ht="22" customHeight="1">
      <x:c r="A665" s="217" t="n">
        <x:v>661</x:v>
      </x:c>
      <x:c r="B665" s="218" t="str">
        <x:v>26808</x:v>
      </x:c>
      <x:c r="C665" s="218" t="str">
        <x:v>13</x:v>
      </x:c>
      <x:c r="D665" s="218" t="str">
        <x:v>610182</x:v>
      </x:c>
      <x:c r="E665" s="218" t="str">
        <x:v>961608</x:v>
      </x:c>
      <x:c r="F665" s="218" t="str">
        <x:v>KIT DE CORRER</x:v>
      </x:c>
      <x:c r="G665" s="184" t="str">
        <x:v> KIT DE CORRER EM MADEIRA DE PINUS</x:v>
      </x:c>
      <x:c r="H665" s="184" t="str"/>
      <x:c r="I665" s="184" t="str"/>
      <x:c r="J665" s="184" t="str"/>
      <x:c r="K665" s="184" t="str">
        <x:v>RECOBERTO PET</x:v>
      </x:c>
      <x:c r="L665" s="184" t="str">
        <x:v>BRANCO CARRARA</x:v>
      </x:c>
      <x:c r="M665" s="205" t="n">
        <x:v>2</x:v>
      </x:c>
      <x:c r="N665" s="205" t="str"/>
      <x:c r="O665" s="205" t="str"/>
      <x:c r="P665" s="205" t="str"/>
      <x:c r="Q665" s="206" t="n">
        <x:v>0</x:v>
      </x:c>
      <x:c r="R665" s="207" t="str"/>
      <x:c r="S665" s="207" t="str"/>
      <x:c r="T665" s="207" t="str"/>
      <x:c r="U665" s="207" t="n">
        <x:v>0</x:v>
      </x:c>
      <x:c r="V665" s="208" t="n">
        <x:f>MAX(0,M665-U665)</x:f>
        <x:v>2</x:v>
      </x:c>
      <x:c r="W665" s="209" t="n">
        <x:f>IFERROR(U665/M665,0)</x:f>
        <x:v>0</x:v>
      </x:c>
      <x:c r="X665" s="201" t="str">
        <x:f>IF(U665=0,"Não iniciado",IF(U665&gt;=M665,"Concluído","Parcial"))</x:f>
        <x:v>Não iniciado</x:v>
      </x:c>
      <x:c r="Y665" s="199" t="str"/>
      <x:c r="Z665" s="188" t="str">
        <x:v>Normal</x:v>
      </x:c>
    </x:row>
    <x:row r="666" ht="22" customHeight="1">
      <x:c r="A666" s="219" t="n">
        <x:v>662</x:v>
      </x:c>
      <x:c r="B666" s="220" t="str">
        <x:v>26808</x:v>
      </x:c>
      <x:c r="C666" s="220" t="str">
        <x:v>13</x:v>
      </x:c>
      <x:c r="D666" s="220" t="str">
        <x:v>610183</x:v>
      </x:c>
      <x:c r="E666" s="220" t="str">
        <x:v>961775</x:v>
      </x:c>
      <x:c r="F666" s="220" t="str">
        <x:v>KIT DE CORRER</x:v>
      </x:c>
      <x:c r="G666" s="190" t="str">
        <x:v> KIT DE CORRER EM MADEIRA DE PINUS</x:v>
      </x:c>
      <x:c r="H666" s="190" t="str"/>
      <x:c r="I666" s="190" t="str"/>
      <x:c r="J666" s="190" t="str"/>
      <x:c r="K666" s="190" t="str">
        <x:v>RECOBERTO PET</x:v>
      </x:c>
      <x:c r="L666" s="190" t="str">
        <x:v>BRANCO CARRARA</x:v>
      </x:c>
      <x:c r="M666" s="210" t="n">
        <x:v>2</x:v>
      </x:c>
      <x:c r="N666" s="210" t="str"/>
      <x:c r="O666" s="210" t="str"/>
      <x:c r="P666" s="210" t="str"/>
      <x:c r="Q666" s="211" t="n">
        <x:v>0.014</x:v>
      </x:c>
      <x:c r="R666" s="207" t="str"/>
      <x:c r="S666" s="207" t="str"/>
      <x:c r="T666" s="207" t="str"/>
      <x:c r="U666" s="207" t="n">
        <x:v>0</x:v>
      </x:c>
      <x:c r="V666" s="208" t="n">
        <x:f>MAX(0,M666-U666)</x:f>
        <x:v>2</x:v>
      </x:c>
      <x:c r="W666" s="209" t="n">
        <x:f>IFERROR(U666/M666,0)</x:f>
        <x:v>0</x:v>
      </x:c>
      <x:c r="X666" s="201" t="str">
        <x:f>IF(U666=0,"Não iniciado",IF(U666&gt;=M666,"Concluído","Parcial"))</x:f>
        <x:v>Não iniciado</x:v>
      </x:c>
      <x:c r="Y666" s="199" t="str"/>
      <x:c r="Z666" s="188" t="str">
        <x:v>Normal</x:v>
      </x:c>
    </x:row>
    <x:row r="667" ht="22" customHeight="1">
      <x:c r="A667" s="217" t="n">
        <x:v>663</x:v>
      </x:c>
      <x:c r="B667" s="218" t="str">
        <x:v>26808</x:v>
      </x:c>
      <x:c r="C667" s="218" t="str">
        <x:v>13</x:v>
      </x:c>
      <x:c r="D667" s="218" t="str">
        <x:v>610184</x:v>
      </x:c>
      <x:c r="E667" s="218" t="str">
        <x:v>975730</x:v>
      </x:c>
      <x:c r="F667" s="218" t="str">
        <x:v>KIT DE CORRER</x:v>
      </x:c>
      <x:c r="G667" s="184" t="str">
        <x:v> KIT DE CORRER EM MADEIRA DE PINUS</x:v>
      </x:c>
      <x:c r="H667" s="184" t="str"/>
      <x:c r="I667" s="184" t="str"/>
      <x:c r="J667" s="184" t="str"/>
      <x:c r="K667" s="184" t="str">
        <x:v>RECOBERTO PET</x:v>
      </x:c>
      <x:c r="L667" s="184" t="str">
        <x:v>BRANCO CARRARA</x:v>
      </x:c>
      <x:c r="M667" s="205" t="n">
        <x:v>2</x:v>
      </x:c>
      <x:c r="N667" s="205" t="str"/>
      <x:c r="O667" s="205" t="str"/>
      <x:c r="P667" s="205" t="str"/>
      <x:c r="Q667" s="206" t="n">
        <x:v>0.004</x:v>
      </x:c>
      <x:c r="R667" s="207" t="str"/>
      <x:c r="S667" s="207" t="str"/>
      <x:c r="T667" s="207" t="str"/>
      <x:c r="U667" s="207" t="n">
        <x:v>0</x:v>
      </x:c>
      <x:c r="V667" s="208" t="n">
        <x:f>MAX(0,M667-U667)</x:f>
        <x:v>2</x:v>
      </x:c>
      <x:c r="W667" s="209" t="n">
        <x:f>IFERROR(U667/M667,0)</x:f>
        <x:v>0</x:v>
      </x:c>
      <x:c r="X667" s="201" t="str">
        <x:f>IF(U667=0,"Não iniciado",IF(U667&gt;=M667,"Concluído","Parcial"))</x:f>
        <x:v>Não iniciado</x:v>
      </x:c>
      <x:c r="Y667" s="199" t="str"/>
      <x:c r="Z667" s="188" t="str">
        <x:v>Normal</x:v>
      </x:c>
    </x:row>
    <x:row r="668" ht="22" customHeight="1">
      <x:c r="A668" s="219" t="n">
        <x:v>664</x:v>
      </x:c>
      <x:c r="B668" s="220" t="str">
        <x:v>26808</x:v>
      </x:c>
      <x:c r="C668" s="220" t="str">
        <x:v>13</x:v>
      </x:c>
      <x:c r="D668" s="220" t="str">
        <x:v>610185</x:v>
      </x:c>
      <x:c r="E668" s="220" t="str">
        <x:v>984045</x:v>
      </x:c>
      <x:c r="F668" s="220" t="str">
        <x:v>KIT DE CORRER</x:v>
      </x:c>
      <x:c r="G668" s="190" t="str">
        <x:v> KIT DE CORRER EM MADEIRA DE PINUS</x:v>
      </x:c>
      <x:c r="H668" s="190" t="str"/>
      <x:c r="I668" s="190" t="str"/>
      <x:c r="J668" s="190" t="str"/>
      <x:c r="K668" s="190" t="str">
        <x:v>RECOBERTO PET</x:v>
      </x:c>
      <x:c r="L668" s="190" t="str">
        <x:v>BRANCO CARRARA</x:v>
      </x:c>
      <x:c r="M668" s="210" t="n">
        <x:v>2</x:v>
      </x:c>
      <x:c r="N668" s="210" t="str"/>
      <x:c r="O668" s="210" t="str"/>
      <x:c r="P668" s="210" t="str"/>
      <x:c r="Q668" s="211" t="n">
        <x:v>0.005</x:v>
      </x:c>
      <x:c r="R668" s="207" t="str"/>
      <x:c r="S668" s="207" t="str"/>
      <x:c r="T668" s="207" t="str"/>
      <x:c r="U668" s="207" t="n">
        <x:v>0</x:v>
      </x:c>
      <x:c r="V668" s="208" t="n">
        <x:f>MAX(0,M668-U668)</x:f>
        <x:v>2</x:v>
      </x:c>
      <x:c r="W668" s="209" t="n">
        <x:f>IFERROR(U668/M668,0)</x:f>
        <x:v>0</x:v>
      </x:c>
      <x:c r="X668" s="201" t="str">
        <x:f>IF(U668=0,"Não iniciado",IF(U668&gt;=M668,"Concluído","Parcial"))</x:f>
        <x:v>Não iniciado</x:v>
      </x:c>
      <x:c r="Y668" s="199" t="str"/>
      <x:c r="Z668" s="188" t="str">
        <x:v>Normal</x:v>
      </x:c>
    </x:row>
    <x:row r="669" ht="22" customHeight="1">
      <x:c r="A669" s="217" t="n">
        <x:v>665</x:v>
      </x:c>
      <x:c r="B669" s="218" t="str">
        <x:v>26808</x:v>
      </x:c>
      <x:c r="C669" s="218" t="str">
        <x:v>13</x:v>
      </x:c>
      <x:c r="D669" s="218" t="str">
        <x:v>610186</x:v>
      </x:c>
      <x:c r="E669" s="218" t="str">
        <x:v>984047</x:v>
      </x:c>
      <x:c r="F669" s="218" t="str">
        <x:v>KIT DE CORRER</x:v>
      </x:c>
      <x:c r="G669" s="184" t="str">
        <x:v> KIT DE CORRER EM MADEIRA DE PINUS</x:v>
      </x:c>
      <x:c r="H669" s="184" t="str"/>
      <x:c r="I669" s="184" t="str"/>
      <x:c r="J669" s="184" t="str"/>
      <x:c r="K669" s="184" t="str">
        <x:v>RECOBERTO PET</x:v>
      </x:c>
      <x:c r="L669" s="184" t="str">
        <x:v>BRANCO CARRARA</x:v>
      </x:c>
      <x:c r="M669" s="205" t="n">
        <x:v>2</x:v>
      </x:c>
      <x:c r="N669" s="205" t="str"/>
      <x:c r="O669" s="205" t="str"/>
      <x:c r="P669" s="205" t="str"/>
      <x:c r="Q669" s="206" t="n">
        <x:v>0.006</x:v>
      </x:c>
      <x:c r="R669" s="207" t="str"/>
      <x:c r="S669" s="207" t="str"/>
      <x:c r="T669" s="207" t="str"/>
      <x:c r="U669" s="207" t="n">
        <x:v>0</x:v>
      </x:c>
      <x:c r="V669" s="208" t="n">
        <x:f>MAX(0,M669-U669)</x:f>
        <x:v>2</x:v>
      </x:c>
      <x:c r="W669" s="209" t="n">
        <x:f>IFERROR(U669/M669,0)</x:f>
        <x:v>0</x:v>
      </x:c>
      <x:c r="X669" s="201" t="str">
        <x:f>IF(U669=0,"Não iniciado",IF(U669&gt;=M669,"Concluído","Parcial"))</x:f>
        <x:v>Não iniciado</x:v>
      </x:c>
      <x:c r="Y669" s="199" t="str"/>
      <x:c r="Z669" s="188" t="str">
        <x:v>Normal</x:v>
      </x:c>
    </x:row>
    <x:row r="670" ht="22" customHeight="1">
      <x:c r="A670" s="219" t="n">
        <x:v>666</x:v>
      </x:c>
      <x:c r="B670" s="220" t="str">
        <x:v>26808</x:v>
      </x:c>
      <x:c r="C670" s="220" t="str">
        <x:v>14</x:v>
      </x:c>
      <x:c r="D670" s="220" t="str">
        <x:v>608991</x:v>
      </x:c>
      <x:c r="E670" s="220" t="str">
        <x:v>958879</x:v>
      </x:c>
      <x:c r="F670" s="220" t="str">
        <x:v>KIT DE CORRER</x:v>
      </x:c>
      <x:c r="G670" s="190" t="str">
        <x:v>P A  KIT DE CORRER EM MDF ULTRA</x:v>
      </x:c>
      <x:c r="H670" s="190" t="str"/>
      <x:c r="I670" s="190" t="str"/>
      <x:c r="J670" s="190" t="str"/>
      <x:c r="K670" s="190" t="str">
        <x:v>RECOBERTO PET</x:v>
      </x:c>
      <x:c r="L670" s="190" t="str">
        <x:v>BRANCO CARRARA</x:v>
      </x:c>
      <x:c r="M670" s="210" t="n">
        <x:v>4</x:v>
      </x:c>
      <x:c r="N670" s="210" t="str"/>
      <x:c r="O670" s="210" t="str"/>
      <x:c r="P670" s="210" t="str"/>
      <x:c r="Q670" s="211" t="n">
        <x:v>0.004</x:v>
      </x:c>
      <x:c r="R670" s="207" t="str"/>
      <x:c r="S670" s="207" t="str"/>
      <x:c r="T670" s="207" t="str"/>
      <x:c r="U670" s="207" t="n">
        <x:v>0</x:v>
      </x:c>
      <x:c r="V670" s="208" t="n">
        <x:f>MAX(0,M670-U670)</x:f>
        <x:v>4</x:v>
      </x:c>
      <x:c r="W670" s="209" t="n">
        <x:f>IFERROR(U670/M670,0)</x:f>
        <x:v>0</x:v>
      </x:c>
      <x:c r="X670" s="201" t="str">
        <x:f>IF(U670=0,"Não iniciado",IF(U670&gt;=M670,"Concluído","Parcial"))</x:f>
        <x:v>Não iniciado</x:v>
      </x:c>
      <x:c r="Y670" s="199" t="str"/>
      <x:c r="Z670" s="188" t="str">
        <x:v>Normal</x:v>
      </x:c>
    </x:row>
    <x:row r="671" ht="22" customHeight="1">
      <x:c r="A671" s="217" t="n">
        <x:v>667</x:v>
      </x:c>
      <x:c r="B671" s="218" t="str">
        <x:v>26808</x:v>
      </x:c>
      <x:c r="C671" s="218" t="str">
        <x:v>14</x:v>
      </x:c>
      <x:c r="D671" s="218" t="str">
        <x:v>608992</x:v>
      </x:c>
      <x:c r="E671" s="218" t="str">
        <x:v>963311</x:v>
      </x:c>
      <x:c r="F671" s="218" t="str">
        <x:v>KIT DE CORRER</x:v>
      </x:c>
      <x:c r="G671" s="184" t="str">
        <x:v> KIT DE CORRER EM MDF ULTRA</x:v>
      </x:c>
      <x:c r="H671" s="184" t="str"/>
      <x:c r="I671" s="184" t="str"/>
      <x:c r="J671" s="184" t="str"/>
      <x:c r="K671" s="184" t="str">
        <x:v>RECOBERTO PET</x:v>
      </x:c>
      <x:c r="L671" s="184" t="str">
        <x:v>BRANCO CARRARA</x:v>
      </x:c>
      <x:c r="M671" s="205" t="n">
        <x:v>6</x:v>
      </x:c>
      <x:c r="N671" s="205" t="str"/>
      <x:c r="O671" s="205" t="str"/>
      <x:c r="P671" s="205" t="str"/>
      <x:c r="Q671" s="206" t="n">
        <x:v>0</x:v>
      </x:c>
      <x:c r="R671" s="207" t="str"/>
      <x:c r="S671" s="207" t="str"/>
      <x:c r="T671" s="207" t="str"/>
      <x:c r="U671" s="207" t="n">
        <x:v>0</x:v>
      </x:c>
      <x:c r="V671" s="208" t="n">
        <x:f>MAX(0,M671-U671)</x:f>
        <x:v>6</x:v>
      </x:c>
      <x:c r="W671" s="209" t="n">
        <x:f>IFERROR(U671/M671,0)</x:f>
        <x:v>0</x:v>
      </x:c>
      <x:c r="X671" s="201" t="str">
        <x:f>IF(U671=0,"Não iniciado",IF(U671&gt;=M671,"Concluído","Parcial"))</x:f>
        <x:v>Não iniciado</x:v>
      </x:c>
      <x:c r="Y671" s="199" t="str"/>
      <x:c r="Z671" s="188" t="str">
        <x:v>Normal</x:v>
      </x:c>
    </x:row>
    <x:row r="672" ht="22" customHeight="1">
      <x:c r="A672" s="219" t="n">
        <x:v>668</x:v>
      </x:c>
      <x:c r="B672" s="220" t="str">
        <x:v>26808</x:v>
      </x:c>
      <x:c r="C672" s="220" t="str">
        <x:v>14</x:v>
      </x:c>
      <x:c r="D672" s="220" t="str">
        <x:v>608993</x:v>
      </x:c>
      <x:c r="E672" s="220" t="str">
        <x:v>963313</x:v>
      </x:c>
      <x:c r="F672" s="220" t="str">
        <x:v>KIT DE CORRER</x:v>
      </x:c>
      <x:c r="G672" s="190" t="str">
        <x:v>P A  KIT DE CORRER EM MDF ULTRA</x:v>
      </x:c>
      <x:c r="H672" s="190" t="str"/>
      <x:c r="I672" s="190" t="str"/>
      <x:c r="J672" s="190" t="str"/>
      <x:c r="K672" s="190" t="str">
        <x:v>RECOBERTO PET</x:v>
      </x:c>
      <x:c r="L672" s="190" t="str">
        <x:v>BRANCO CARRARA</x:v>
      </x:c>
      <x:c r="M672" s="210" t="n">
        <x:v>2</x:v>
      </x:c>
      <x:c r="N672" s="210" t="str"/>
      <x:c r="O672" s="210" t="str"/>
      <x:c r="P672" s="210" t="str"/>
      <x:c r="Q672" s="211" t="n">
        <x:v>0.002</x:v>
      </x:c>
      <x:c r="R672" s="207" t="str"/>
      <x:c r="S672" s="207" t="str"/>
      <x:c r="T672" s="207" t="str"/>
      <x:c r="U672" s="207" t="n">
        <x:v>0</x:v>
      </x:c>
      <x:c r="V672" s="208" t="n">
        <x:f>MAX(0,M672-U672)</x:f>
        <x:v>2</x:v>
      </x:c>
      <x:c r="W672" s="209" t="n">
        <x:f>IFERROR(U672/M672,0)</x:f>
        <x:v>0</x:v>
      </x:c>
      <x:c r="X672" s="201" t="str">
        <x:f>IF(U672=0,"Não iniciado",IF(U672&gt;=M672,"Concluído","Parcial"))</x:f>
        <x:v>Não iniciado</x:v>
      </x:c>
      <x:c r="Y672" s="199" t="str"/>
      <x:c r="Z672" s="188" t="str">
        <x:v>Normal</x:v>
      </x:c>
    </x:row>
    <x:row r="673" ht="22" customHeight="1">
      <x:c r="A673" s="217" t="n">
        <x:v>669</x:v>
      </x:c>
      <x:c r="B673" s="218" t="str">
        <x:v>26808</x:v>
      </x:c>
      <x:c r="C673" s="218" t="str">
        <x:v>14</x:v>
      </x:c>
      <x:c r="D673" s="218" t="str">
        <x:v>608994</x:v>
      </x:c>
      <x:c r="E673" s="218" t="str">
        <x:v>963315</x:v>
      </x:c>
      <x:c r="F673" s="218" t="str">
        <x:v>KIT DE CORRER</x:v>
      </x:c>
      <x:c r="G673" s="184" t="str">
        <x:v> KIT DE CORRER EM MDF ULTRA</x:v>
      </x:c>
      <x:c r="H673" s="184" t="str"/>
      <x:c r="I673" s="184" t="str"/>
      <x:c r="J673" s="184" t="str"/>
      <x:c r="K673" s="184" t="str">
        <x:v>RECOBERTO PET</x:v>
      </x:c>
      <x:c r="L673" s="184" t="str">
        <x:v>BRANCO CARRARA</x:v>
      </x:c>
      <x:c r="M673" s="205" t="n">
        <x:v>2</x:v>
      </x:c>
      <x:c r="N673" s="205" t="str"/>
      <x:c r="O673" s="205" t="str"/>
      <x:c r="P673" s="205" t="str"/>
      <x:c r="Q673" s="206" t="n">
        <x:v>0</x:v>
      </x:c>
      <x:c r="R673" s="207" t="str"/>
      <x:c r="S673" s="207" t="str"/>
      <x:c r="T673" s="207" t="str"/>
      <x:c r="U673" s="207" t="n">
        <x:v>0</x:v>
      </x:c>
      <x:c r="V673" s="208" t="n">
        <x:f>MAX(0,M673-U673)</x:f>
        <x:v>2</x:v>
      </x:c>
      <x:c r="W673" s="209" t="n">
        <x:f>IFERROR(U673/M673,0)</x:f>
        <x:v>0</x:v>
      </x:c>
      <x:c r="X673" s="201" t="str">
        <x:f>IF(U673=0,"Não iniciado",IF(U673&gt;=M673,"Concluído","Parcial"))</x:f>
        <x:v>Não iniciado</x:v>
      </x:c>
      <x:c r="Y673" s="199" t="str"/>
      <x:c r="Z673" s="188" t="str">
        <x:v>Normal</x:v>
      </x:c>
    </x:row>
    <x:row r="674" ht="22" customHeight="1">
      <x:c r="A674" s="219" t="n">
        <x:v>670</x:v>
      </x:c>
      <x:c r="B674" s="220" t="str">
        <x:v>26808</x:v>
      </x:c>
      <x:c r="C674" s="220" t="str">
        <x:v>14</x:v>
      </x:c>
      <x:c r="D674" s="220" t="str">
        <x:v>608995</x:v>
      </x:c>
      <x:c r="E674" s="220" t="str">
        <x:v>963490</x:v>
      </x:c>
      <x:c r="F674" s="220" t="str">
        <x:v>KIT DE CORRER</x:v>
      </x:c>
      <x:c r="G674" s="190" t="str">
        <x:v> KIT DE CORRER EM MDF ULTRA</x:v>
      </x:c>
      <x:c r="H674" s="190" t="str"/>
      <x:c r="I674" s="190" t="str"/>
      <x:c r="J674" s="190" t="str"/>
      <x:c r="K674" s="190" t="str">
        <x:v>RECOBERTO PET</x:v>
      </x:c>
      <x:c r="L674" s="190" t="str">
        <x:v>BRANCO CARRARA</x:v>
      </x:c>
      <x:c r="M674" s="210" t="n">
        <x:v>2</x:v>
      </x:c>
      <x:c r="N674" s="210" t="str"/>
      <x:c r="O674" s="210" t="str"/>
      <x:c r="P674" s="210" t="str"/>
      <x:c r="Q674" s="211" t="n">
        <x:v>0</x:v>
      </x:c>
      <x:c r="R674" s="207" t="str"/>
      <x:c r="S674" s="207" t="str"/>
      <x:c r="T674" s="207" t="str"/>
      <x:c r="U674" s="207" t="n">
        <x:v>0</x:v>
      </x:c>
      <x:c r="V674" s="208" t="n">
        <x:f>MAX(0,M674-U674)</x:f>
        <x:v>2</x:v>
      </x:c>
      <x:c r="W674" s="209" t="n">
        <x:f>IFERROR(U674/M674,0)</x:f>
        <x:v>0</x:v>
      </x:c>
      <x:c r="X674" s="201" t="str">
        <x:f>IF(U674=0,"Não iniciado",IF(U674&gt;=M674,"Concluído","Parcial"))</x:f>
        <x:v>Não iniciado</x:v>
      </x:c>
      <x:c r="Y674" s="199" t="str"/>
      <x:c r="Z674" s="188" t="str">
        <x:v>Normal</x:v>
      </x:c>
    </x:row>
    <x:row r="675" ht="22" customHeight="1">
      <x:c r="A675" s="217" t="n">
        <x:v>671</x:v>
      </x:c>
      <x:c r="B675" s="218" t="str">
        <x:v>26825</x:v>
      </x:c>
      <x:c r="C675" s="218" t="str">
        <x:v>3</x:v>
      </x:c>
      <x:c r="D675" s="218" t="str">
        <x:v>609047</x:v>
      </x:c>
      <x:c r="E675" s="218" t="str">
        <x:v>675619</x:v>
      </x:c>
      <x:c r="F675" s="218" t="str">
        <x:v>KIT DE CORRER</x:v>
      </x:c>
      <x:c r="G675" s="184" t="str">
        <x:v>PERNA KIT ULTRA  KIT DE CORRER EM MDF ULTRA</x:v>
      </x:c>
      <x:c r="H675" s="184" t="str"/>
      <x:c r="I675" s="184" t="str"/>
      <x:c r="J675" s="184" t="str"/>
      <x:c r="K675" s="184" t="str">
        <x:v>RECOBERTO PET</x:v>
      </x:c>
      <x:c r="L675" s="184" t="str">
        <x:v>BRANCO CARRARA</x:v>
      </x:c>
      <x:c r="M675" s="205" t="n">
        <x:v>64</x:v>
      </x:c>
      <x:c r="N675" s="205" t="str"/>
      <x:c r="O675" s="205" t="str"/>
      <x:c r="P675" s="205" t="str"/>
      <x:c r="Q675" s="206" t="n">
        <x:v>0.348</x:v>
      </x:c>
      <x:c r="R675" s="207" t="str"/>
      <x:c r="S675" s="207" t="str"/>
      <x:c r="T675" s="207" t="str"/>
      <x:c r="U675" s="207" t="n">
        <x:v>0</x:v>
      </x:c>
      <x:c r="V675" s="208" t="n">
        <x:f>MAX(0,M675-U675)</x:f>
        <x:v>64</x:v>
      </x:c>
      <x:c r="W675" s="209" t="n">
        <x:f>IFERROR(U675/M675,0)</x:f>
        <x:v>0</x:v>
      </x:c>
      <x:c r="X675" s="201" t="str">
        <x:f>IF(U675=0,"Não iniciado",IF(U675&gt;=M675,"Concluído","Parcial"))</x:f>
        <x:v>Não iniciado</x:v>
      </x:c>
      <x:c r="Y675" s="199" t="str"/>
      <x:c r="Z675" s="188" t="str">
        <x:v>Normal</x:v>
      </x:c>
    </x:row>
    <x:row r="676" ht="22" customHeight="1">
      <x:c r="A676" s="219" t="n">
        <x:v>672</x:v>
      </x:c>
      <x:c r="B676" s="220" t="str">
        <x:v>26825</x:v>
      </x:c>
      <x:c r="C676" s="220" t="str">
        <x:v>3</x:v>
      </x:c>
      <x:c r="D676" s="220" t="str">
        <x:v>609048</x:v>
      </x:c>
      <x:c r="E676" s="220" t="str">
        <x:v>962738</x:v>
      </x:c>
      <x:c r="F676" s="220" t="str">
        <x:v>KIT DE CORRER</x:v>
      </x:c>
      <x:c r="G676" s="190" t="str">
        <x:v> KIT DE CORRER EM MDF ULTRA</x:v>
      </x:c>
      <x:c r="H676" s="190" t="str"/>
      <x:c r="I676" s="190" t="str"/>
      <x:c r="J676" s="190" t="str"/>
      <x:c r="K676" s="190" t="str">
        <x:v>RECOBERTO PET</x:v>
      </x:c>
      <x:c r="L676" s="190" t="str">
        <x:v>BRANCO CARRARA</x:v>
      </x:c>
      <x:c r="M676" s="210" t="n">
        <x:v>32</x:v>
      </x:c>
      <x:c r="N676" s="210" t="str"/>
      <x:c r="O676" s="210" t="str"/>
      <x:c r="P676" s="210" t="str"/>
      <x:c r="Q676" s="211" t="n">
        <x:v>0</x:v>
      </x:c>
      <x:c r="R676" s="207" t="str"/>
      <x:c r="S676" s="207" t="str"/>
      <x:c r="T676" s="207" t="str"/>
      <x:c r="U676" s="207" t="n">
        <x:v>0</x:v>
      </x:c>
      <x:c r="V676" s="208" t="n">
        <x:f>MAX(0,M676-U676)</x:f>
        <x:v>32</x:v>
      </x:c>
      <x:c r="W676" s="209" t="n">
        <x:f>IFERROR(U676/M676,0)</x:f>
        <x:v>0</x:v>
      </x:c>
      <x:c r="X676" s="201" t="str">
        <x:f>IF(U676=0,"Não iniciado",IF(U676&gt;=M676,"Concluído","Parcial"))</x:f>
        <x:v>Não iniciado</x:v>
      </x:c>
      <x:c r="Y676" s="199" t="str"/>
      <x:c r="Z676" s="188" t="str">
        <x:v>Normal</x:v>
      </x:c>
    </x:row>
    <x:row r="677" ht="22" customHeight="1">
      <x:c r="A677" s="217" t="n">
        <x:v>673</x:v>
      </x:c>
      <x:c r="B677" s="218" t="str">
        <x:v>26825</x:v>
      </x:c>
      <x:c r="C677" s="218" t="str">
        <x:v>3</x:v>
      </x:c>
      <x:c r="D677" s="218" t="str">
        <x:v>609049</x:v>
      </x:c>
      <x:c r="E677" s="218" t="str">
        <x:v>962739</x:v>
      </x:c>
      <x:c r="F677" s="218" t="str">
        <x:v>KIT DE CORRER</x:v>
      </x:c>
      <x:c r="G677" s="184" t="str">
        <x:v>AL KIT L MEN ULT  KIT DE CORRER EM MDF ULTRA</x:v>
      </x:c>
      <x:c r="H677" s="184" t="str"/>
      <x:c r="I677" s="184" t="str"/>
      <x:c r="J677" s="184" t="str"/>
      <x:c r="K677" s="184" t="str">
        <x:v>RECOBERTO PET</x:v>
      </x:c>
      <x:c r="L677" s="184" t="str">
        <x:v>BRANCO CARRARA</x:v>
      </x:c>
      <x:c r="M677" s="205" t="n">
        <x:v>96</x:v>
      </x:c>
      <x:c r="N677" s="205" t="str"/>
      <x:c r="O677" s="205" t="str"/>
      <x:c r="P677" s="205" t="str"/>
      <x:c r="Q677" s="206" t="n">
        <x:v>0.095</x:v>
      </x:c>
      <x:c r="R677" s="207" t="str"/>
      <x:c r="S677" s="207" t="str"/>
      <x:c r="T677" s="207" t="str"/>
      <x:c r="U677" s="207" t="n">
        <x:v>0</x:v>
      </x:c>
      <x:c r="V677" s="208" t="n">
        <x:f>MAX(0,M677-U677)</x:f>
        <x:v>96</x:v>
      </x:c>
      <x:c r="W677" s="209" t="n">
        <x:f>IFERROR(U677/M677,0)</x:f>
        <x:v>0</x:v>
      </x:c>
      <x:c r="X677" s="201" t="str">
        <x:f>IF(U677=0,"Não iniciado",IF(U677&gt;=M677,"Concluído","Parcial"))</x:f>
        <x:v>Não iniciado</x:v>
      </x:c>
      <x:c r="Y677" s="199" t="str"/>
      <x:c r="Z677" s="188" t="str">
        <x:v>Normal</x:v>
      </x:c>
    </x:row>
    <x:row r="678" ht="22" customHeight="1">
      <x:c r="A678" s="219" t="n">
        <x:v>674</x:v>
      </x:c>
      <x:c r="B678" s="220" t="str">
        <x:v>26825</x:v>
      </x:c>
      <x:c r="C678" s="220" t="str">
        <x:v>3</x:v>
      </x:c>
      <x:c r="D678" s="220" t="str">
        <x:v>609050</x:v>
      </x:c>
      <x:c r="E678" s="220" t="str">
        <x:v>987029</x:v>
      </x:c>
      <x:c r="F678" s="220" t="str">
        <x:v>KIT DE CORRER</x:v>
      </x:c>
      <x:c r="G678" s="190" t="str">
        <x:v>SUP TRILHO ULTRA  KIT DE CORRER EM MDF ULTRA</x:v>
      </x:c>
      <x:c r="H678" s="190" t="str"/>
      <x:c r="I678" s="190" t="str"/>
      <x:c r="J678" s="190" t="str"/>
      <x:c r="K678" s="190" t="str">
        <x:v>RECOBERTO PET</x:v>
      </x:c>
      <x:c r="L678" s="190" t="str">
        <x:v>BRANCO CARRARA</x:v>
      </x:c>
      <x:c r="M678" s="210" t="n">
        <x:v>32</x:v>
      </x:c>
      <x:c r="N678" s="210" t="str"/>
      <x:c r="O678" s="210" t="str"/>
      <x:c r="P678" s="210" t="str"/>
      <x:c r="Q678" s="211" t="n">
        <x:v>0.174</x:v>
      </x:c>
      <x:c r="R678" s="207" t="str"/>
      <x:c r="S678" s="207" t="str"/>
      <x:c r="T678" s="207" t="str"/>
      <x:c r="U678" s="207" t="n">
        <x:v>0</x:v>
      </x:c>
      <x:c r="V678" s="208" t="n">
        <x:f>MAX(0,M678-U678)</x:f>
        <x:v>32</x:v>
      </x:c>
      <x:c r="W678" s="209" t="n">
        <x:f>IFERROR(U678/M678,0)</x:f>
        <x:v>0</x:v>
      </x:c>
      <x:c r="X678" s="201" t="str">
        <x:f>IF(U678=0,"Não iniciado",IF(U678&gt;=M678,"Concluído","Parcial"))</x:f>
        <x:v>Não iniciado</x:v>
      </x:c>
      <x:c r="Y678" s="199" t="str"/>
      <x:c r="Z678" s="188" t="str">
        <x:v>Normal</x:v>
      </x:c>
    </x:row>
    <x:row r="679" ht="22" customHeight="1">
      <x:c r="A679" s="217" t="n">
        <x:v>675</x:v>
      </x:c>
      <x:c r="B679" s="218" t="str">
        <x:v>26809</x:v>
      </x:c>
      <x:c r="C679" s="218" t="str">
        <x:v>10</x:v>
      </x:c>
      <x:c r="D679" s="218" t="str">
        <x:v>609951</x:v>
      </x:c>
      <x:c r="E679" s="218" t="str">
        <x:v>961633</x:v>
      </x:c>
      <x:c r="F679" s="218" t="str">
        <x:v>KIT DE CORRER</x:v>
      </x:c>
      <x:c r="G679" s="184" t="str">
        <x:v>SUP KIT CORR  KIT DE CORRER EM MDF ULTRA</x:v>
      </x:c>
      <x:c r="H679" s="184" t="str"/>
      <x:c r="I679" s="184" t="str"/>
      <x:c r="J679" s="184" t="str"/>
      <x:c r="K679" s="184" t="str">
        <x:v>RECOBERTO PET</x:v>
      </x:c>
      <x:c r="L679" s="184" t="str">
        <x:v>CAPUCCINO MARCHE</x:v>
      </x:c>
      <x:c r="M679" s="205" t="n">
        <x:v>1</x:v>
      </x:c>
      <x:c r="N679" s="205" t="str"/>
      <x:c r="O679" s="205" t="str"/>
      <x:c r="P679" s="205" t="str"/>
      <x:c r="Q679" s="206" t="n">
        <x:v>0.006</x:v>
      </x:c>
      <x:c r="R679" s="207" t="str"/>
      <x:c r="S679" s="207" t="str"/>
      <x:c r="T679" s="207" t="str"/>
      <x:c r="U679" s="207" t="n">
        <x:v>0</x:v>
      </x:c>
      <x:c r="V679" s="208" t="n">
        <x:f>MAX(0,M679-U679)</x:f>
        <x:v>1</x:v>
      </x:c>
      <x:c r="W679" s="209" t="n">
        <x:f>IFERROR(U679/M679,0)</x:f>
        <x:v>0</x:v>
      </x:c>
      <x:c r="X679" s="201" t="str">
        <x:f>IF(U679=0,"Não iniciado",IF(U679&gt;=M679,"Concluído","Parcial"))</x:f>
        <x:v>Não iniciado</x:v>
      </x:c>
      <x:c r="Y679" s="199" t="str"/>
      <x:c r="Z679" s="188" t="str">
        <x:v>Normal</x:v>
      </x:c>
    </x:row>
    <x:row r="680" ht="22" customHeight="1">
      <x:c r="A680" s="219" t="n">
        <x:v>676</x:v>
      </x:c>
      <x:c r="B680" s="220" t="str">
        <x:v>26809</x:v>
      </x:c>
      <x:c r="C680" s="220" t="str">
        <x:v>10</x:v>
      </x:c>
      <x:c r="D680" s="220" t="str">
        <x:v>609952</x:v>
      </x:c>
      <x:c r="E680" s="220" t="str">
        <x:v>961635</x:v>
      </x:c>
      <x:c r="F680" s="220" t="str">
        <x:v>KIT DE CORRER</x:v>
      </x:c>
      <x:c r="G680" s="190" t="str">
        <x:v>CA KIT L MAI UL  KIT DE CORRER EM MDF ULTRA</x:v>
      </x:c>
      <x:c r="H680" s="190" t="str"/>
      <x:c r="I680" s="190" t="str"/>
      <x:c r="J680" s="190" t="str"/>
      <x:c r="K680" s="190" t="str">
        <x:v>RECOBERTO PET</x:v>
      </x:c>
      <x:c r="L680" s="190" t="str">
        <x:v>CAPUCCINO MARCHE</x:v>
      </x:c>
      <x:c r="M680" s="210" t="n">
        <x:v>1</x:v>
      </x:c>
      <x:c r="N680" s="210" t="str"/>
      <x:c r="O680" s="210" t="str"/>
      <x:c r="P680" s="210" t="str"/>
      <x:c r="Q680" s="211" t="n">
        <x:v>0.002</x:v>
      </x:c>
      <x:c r="R680" s="207" t="str"/>
      <x:c r="S680" s="207" t="str"/>
      <x:c r="T680" s="207" t="str"/>
      <x:c r="U680" s="207" t="n">
        <x:v>0</x:v>
      </x:c>
      <x:c r="V680" s="208" t="n">
        <x:f>MAX(0,M680-U680)</x:f>
        <x:v>1</x:v>
      </x:c>
      <x:c r="W680" s="209" t="n">
        <x:f>IFERROR(U680/M680,0)</x:f>
        <x:v>0</x:v>
      </x:c>
      <x:c r="X680" s="201" t="str">
        <x:f>IF(U680=0,"Não iniciado",IF(U680&gt;=M680,"Concluído","Parcial"))</x:f>
        <x:v>Não iniciado</x:v>
      </x:c>
      <x:c r="Y680" s="199" t="str"/>
      <x:c r="Z680" s="188" t="str">
        <x:v>Normal</x:v>
      </x:c>
    </x:row>
    <x:row r="681" ht="22" customHeight="1">
      <x:c r="A681" s="217" t="n">
        <x:v>677</x:v>
      </x:c>
      <x:c r="B681" s="218" t="str">
        <x:v>26809</x:v>
      </x:c>
      <x:c r="C681" s="218" t="str">
        <x:v>10</x:v>
      </x:c>
      <x:c r="D681" s="218" t="str">
        <x:v>609953</x:v>
      </x:c>
      <x:c r="E681" s="218" t="str">
        <x:v>978579</x:v>
      </x:c>
      <x:c r="F681" s="218" t="str">
        <x:v>KIT DE CORRER</x:v>
      </x:c>
      <x:c r="G681" s="184" t="str">
        <x:v>PE KIT CORR  KIT DE CORRER EM MDF ULTRA</x:v>
      </x:c>
      <x:c r="H681" s="184" t="str"/>
      <x:c r="I681" s="184" t="str"/>
      <x:c r="J681" s="184" t="str"/>
      <x:c r="K681" s="184" t="str">
        <x:v>RECOBERTO PET</x:v>
      </x:c>
      <x:c r="L681" s="184" t="str">
        <x:v>CAPUCCINO MARCHE</x:v>
      </x:c>
      <x:c r="M681" s="205" t="n">
        <x:v>2</x:v>
      </x:c>
      <x:c r="N681" s="205" t="str"/>
      <x:c r="O681" s="205" t="str"/>
      <x:c r="P681" s="205" t="str"/>
      <x:c r="Q681" s="206" t="n">
        <x:v>0.011</x:v>
      </x:c>
      <x:c r="R681" s="207" t="str"/>
      <x:c r="S681" s="207" t="str"/>
      <x:c r="T681" s="207" t="str"/>
      <x:c r="U681" s="207" t="n">
        <x:v>0</x:v>
      </x:c>
      <x:c r="V681" s="208" t="n">
        <x:f>MAX(0,M681-U681)</x:f>
        <x:v>2</x:v>
      </x:c>
      <x:c r="W681" s="209" t="n">
        <x:f>IFERROR(U681/M681,0)</x:f>
        <x:v>0</x:v>
      </x:c>
      <x:c r="X681" s="201" t="str">
        <x:f>IF(U681=0,"Não iniciado",IF(U681&gt;=M681,"Concluído","Parcial"))</x:f>
        <x:v>Não iniciado</x:v>
      </x:c>
      <x:c r="Y681" s="199" t="str"/>
      <x:c r="Z681" s="188" t="str">
        <x:v>Normal</x:v>
      </x:c>
    </x:row>
    <x:row r="682" ht="22" customHeight="1">
      <x:c r="A682" s="219" t="n">
        <x:v>678</x:v>
      </x:c>
      <x:c r="B682" s="220" t="str">
        <x:v>26809</x:v>
      </x:c>
      <x:c r="C682" s="220" t="str">
        <x:v>10</x:v>
      </x:c>
      <x:c r="D682" s="220" t="str">
        <x:v>609954</x:v>
      </x:c>
      <x:c r="E682" s="220" t="str">
        <x:v>978581</x:v>
      </x:c>
      <x:c r="F682" s="220" t="str">
        <x:v>KIT DE CORRER</x:v>
      </x:c>
      <x:c r="G682" s="190" t="str">
        <x:v>A KIT L ME UL  KIT DE CORRER EM MDF ULTRA</x:v>
      </x:c>
      <x:c r="H682" s="190" t="str"/>
      <x:c r="I682" s="190" t="str"/>
      <x:c r="J682" s="190" t="str"/>
      <x:c r="K682" s="190" t="str">
        <x:v>RECOBERTO PET</x:v>
      </x:c>
      <x:c r="L682" s="190" t="str">
        <x:v>CAPUCCINO MARCHE</x:v>
      </x:c>
      <x:c r="M682" s="210" t="n">
        <x:v>3</x:v>
      </x:c>
      <x:c r="N682" s="210" t="str"/>
      <x:c r="O682" s="210" t="str"/>
      <x:c r="P682" s="210" t="str"/>
      <x:c r="Q682" s="211" t="n">
        <x:v>0.003</x:v>
      </x:c>
      <x:c r="R682" s="207" t="str"/>
      <x:c r="S682" s="207" t="str"/>
      <x:c r="T682" s="207" t="str"/>
      <x:c r="U682" s="207" t="n">
        <x:v>0</x:v>
      </x:c>
      <x:c r="V682" s="208" t="n">
        <x:f>MAX(0,M682-U682)</x:f>
        <x:v>3</x:v>
      </x:c>
      <x:c r="W682" s="209" t="n">
        <x:f>IFERROR(U682/M682,0)</x:f>
        <x:v>0</x:v>
      </x:c>
      <x:c r="X682" s="201" t="str">
        <x:f>IF(U682=0,"Não iniciado",IF(U682&gt;=M682,"Concluído","Parcial"))</x:f>
        <x:v>Não iniciado</x:v>
      </x:c>
      <x:c r="Y682" s="199" t="str"/>
      <x:c r="Z682" s="188" t="str">
        <x:v>Normal</x:v>
      </x:c>
    </x:row>
    <x:row r="683" ht="22" customHeight="1">
      <x:c r="A683" s="217" t="n">
        <x:v>679</x:v>
      </x:c>
      <x:c r="B683" s="218" t="str">
        <x:v>26520</x:v>
      </x:c>
      <x:c r="C683" s="218" t="str">
        <x:v>10</x:v>
      </x:c>
      <x:c r="D683" s="218" t="str">
        <x:v>610162</x:v>
      </x:c>
      <x:c r="E683" s="218" t="str">
        <x:v>986110</x:v>
      </x:c>
      <x:c r="F683" s="218" t="str">
        <x:v>KIT DE CORRER</x:v>
      </x:c>
      <x:c r="G683" s="184" t="str">
        <x:v>CA KIT L MA UL  KIT DE CORRER EM MDF ULTRA</x:v>
      </x:c>
      <x:c r="H683" s="184" t="str"/>
      <x:c r="I683" s="184" t="str"/>
      <x:c r="J683" s="184" t="str"/>
      <x:c r="K683" s="184" t="str">
        <x:v>RECOBERTO PET</x:v>
      </x:c>
      <x:c r="L683" s="184" t="str">
        <x:v>CURUPIXA RAVENNA</x:v>
      </x:c>
      <x:c r="M683" s="205" t="n">
        <x:v>1</x:v>
      </x:c>
      <x:c r="N683" s="205" t="str"/>
      <x:c r="O683" s="205" t="str"/>
      <x:c r="P683" s="205" t="str"/>
      <x:c r="Q683" s="206" t="n">
        <x:v>0.002</x:v>
      </x:c>
      <x:c r="R683" s="207" t="str"/>
      <x:c r="S683" s="207" t="str"/>
      <x:c r="T683" s="207" t="str"/>
      <x:c r="U683" s="207" t="n">
        <x:v>0</x:v>
      </x:c>
      <x:c r="V683" s="208" t="n">
        <x:f>MAX(0,M683-U683)</x:f>
        <x:v>1</x:v>
      </x:c>
      <x:c r="W683" s="209" t="n">
        <x:f>IFERROR(U683/M683,0)</x:f>
        <x:v>0</x:v>
      </x:c>
      <x:c r="X683" s="201" t="str">
        <x:f>IF(U683=0,"Não iniciado",IF(U683&gt;=M683,"Concluído","Parcial"))</x:f>
        <x:v>Não iniciado</x:v>
      </x:c>
      <x:c r="Y683" s="199" t="str"/>
      <x:c r="Z683" s="188" t="str">
        <x:v>Normal</x:v>
      </x:c>
    </x:row>
    <x:row r="684" ht="22" customHeight="1">
      <x:c r="A684" s="219" t="n">
        <x:v>680</x:v>
      </x:c>
      <x:c r="B684" s="220" t="str">
        <x:v>26520</x:v>
      </x:c>
      <x:c r="C684" s="220" t="str">
        <x:v>10</x:v>
      </x:c>
      <x:c r="D684" s="220" t="str">
        <x:v>610163</x:v>
      </x:c>
      <x:c r="E684" s="220" t="str">
        <x:v>986111</x:v>
      </x:c>
      <x:c r="F684" s="220" t="str">
        <x:v>KIT DE CORRER</x:v>
      </x:c>
      <x:c r="G684" s="190" t="str">
        <x:v>AL KIT LME UL  KIT DE CORRER EM MDF ULTRA</x:v>
      </x:c>
      <x:c r="H684" s="190" t="str"/>
      <x:c r="I684" s="190" t="str"/>
      <x:c r="J684" s="190" t="str"/>
      <x:c r="K684" s="190" t="str">
        <x:v>RECOBERTO PET</x:v>
      </x:c>
      <x:c r="L684" s="190" t="str">
        <x:v>CURUPIXA RAVENNA</x:v>
      </x:c>
      <x:c r="M684" s="210" t="n">
        <x:v>3</x:v>
      </x:c>
      <x:c r="N684" s="210" t="str"/>
      <x:c r="O684" s="210" t="str"/>
      <x:c r="P684" s="210" t="str"/>
      <x:c r="Q684" s="211" t="n">
        <x:v>0.003</x:v>
      </x:c>
      <x:c r="R684" s="207" t="str"/>
      <x:c r="S684" s="207" t="str"/>
      <x:c r="T684" s="207" t="str"/>
      <x:c r="U684" s="207" t="n">
        <x:v>0</x:v>
      </x:c>
      <x:c r="V684" s="208" t="n">
        <x:f>MAX(0,M684-U684)</x:f>
        <x:v>3</x:v>
      </x:c>
      <x:c r="W684" s="209" t="n">
        <x:f>IFERROR(U684/M684,0)</x:f>
        <x:v>0</x:v>
      </x:c>
      <x:c r="X684" s="201" t="str">
        <x:f>IF(U684=0,"Não iniciado",IF(U684&gt;=M684,"Concluído","Parcial"))</x:f>
        <x:v>Não iniciado</x:v>
      </x:c>
      <x:c r="Y684" s="199" t="str"/>
      <x:c r="Z684" s="188" t="str">
        <x:v>Normal</x:v>
      </x:c>
    </x:row>
    <x:row r="685" ht="22" customHeight="1">
      <x:c r="A685" s="217" t="n">
        <x:v>681</x:v>
      </x:c>
      <x:c r="B685" s="218" t="str">
        <x:v>26520</x:v>
      </x:c>
      <x:c r="C685" s="218" t="str">
        <x:v>10</x:v>
      </x:c>
      <x:c r="D685" s="218" t="str">
        <x:v>610165</x:v>
      </x:c>
      <x:c r="E685" s="218" t="str">
        <x:v>2010701224</x:v>
      </x:c>
      <x:c r="F685" s="218" t="str">
        <x:v>KIT DE CORRER</x:v>
      </x:c>
      <x:c r="G685" s="184" t="str">
        <x:v>P K COR ULTRA PET C RA  KIT DE CORRER EM MDF ULTRA</x:v>
      </x:c>
      <x:c r="H685" s="184" t="str"/>
      <x:c r="I685" s="184" t="str"/>
      <x:c r="J685" s="184" t="str"/>
      <x:c r="K685" s="184" t="str">
        <x:v>RECOBERTO PET</x:v>
      </x:c>
      <x:c r="L685" s="184" t="str">
        <x:v>CURUPIXA RAVENNA</x:v>
      </x:c>
      <x:c r="M685" s="205" t="n">
        <x:v>2</x:v>
      </x:c>
      <x:c r="N685" s="205" t="str"/>
      <x:c r="O685" s="205" t="str"/>
      <x:c r="P685" s="205" t="str"/>
      <x:c r="Q685" s="206" t="n">
        <x:v>0.011</x:v>
      </x:c>
      <x:c r="R685" s="207" t="str"/>
      <x:c r="S685" s="207" t="str"/>
      <x:c r="T685" s="207" t="str"/>
      <x:c r="U685" s="207" t="n">
        <x:v>0</x:v>
      </x:c>
      <x:c r="V685" s="208" t="n">
        <x:f>MAX(0,M685-U685)</x:f>
        <x:v>2</x:v>
      </x:c>
      <x:c r="W685" s="209" t="n">
        <x:f>IFERROR(U685/M685,0)</x:f>
        <x:v>0</x:v>
      </x:c>
      <x:c r="X685" s="201" t="str">
        <x:f>IF(U685=0,"Não iniciado",IF(U685&gt;=M685,"Concluído","Parcial"))</x:f>
        <x:v>Não iniciado</x:v>
      </x:c>
      <x:c r="Y685" s="199" t="str"/>
      <x:c r="Z685" s="188" t="str">
        <x:v>Normal</x:v>
      </x:c>
    </x:row>
    <x:row r="686" ht="22" customHeight="1">
      <x:c r="A686" s="235" t="n">
        <x:v>682</x:v>
      </x:c>
      <x:c r="B686" s="236" t="str">
        <x:v>26520</x:v>
      </x:c>
      <x:c r="C686" s="236" t="str">
        <x:v>10</x:v>
      </x:c>
      <x:c r="D686" s="236" t="str">
        <x:v>610166</x:v>
      </x:c>
      <x:c r="E686" s="236" t="str">
        <x:v>2010701225</x:v>
      </x:c>
      <x:c r="F686" s="236" t="str">
        <x:v>KIT DE CORRER</x:v>
      </x:c>
      <x:c r="G686" s="230" t="str">
        <x:v>S K COR ULTRA PET C RA  KIT DE CORRER EM MDF ULTRA</x:v>
      </x:c>
      <x:c r="H686" s="230" t="str"/>
      <x:c r="I686" s="230" t="str"/>
      <x:c r="J686" s="230" t="str"/>
      <x:c r="K686" s="230" t="str">
        <x:v>RECOBERTO PET</x:v>
      </x:c>
      <x:c r="L686" s="230" t="str">
        <x:v>CURUPIXA RAVENNA</x:v>
      </x:c>
      <x:c r="M686" s="233" t="n">
        <x:v>1</x:v>
      </x:c>
      <x:c r="N686" s="233" t="str"/>
      <x:c r="O686" s="233" t="str"/>
      <x:c r="P686" s="233" t="str"/>
      <x:c r="Q686" s="234" t="n">
        <x:v>0.005</x:v>
      </x:c>
      <x:c r="R686" s="214" t="str"/>
      <x:c r="S686" s="214" t="str"/>
      <x:c r="T686" s="214" t="str"/>
      <x:c r="U686" s="214" t="n">
        <x:v>0</x:v>
      </x:c>
      <x:c r="V686" s="215" t="n">
        <x:f>MAX(0,M686-U686)</x:f>
        <x:v>1</x:v>
      </x:c>
      <x:c r="W686" s="216" t="n">
        <x:f>IFERROR(U686/M686,0)</x:f>
        <x:v>0</x:v>
      </x:c>
      <x:c r="X686" s="203" t="str">
        <x:f>IF(U686=0,"Não iniciado",IF(U686&gt;=M686,"Concluído","Parcial"))</x:f>
        <x:v>Não iniciado</x:v>
      </x:c>
      <x:c r="Y686" s="200" t="str"/>
      <x:c r="Z686" s="198" t="str">
        <x:v>Normal</x:v>
      </x:c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USINAGEM 2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USINAGEM 2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26809</x:v>
      </x:c>
      <x:c r="C5" s="218" t="str">
        <x:v>9</x:v>
      </x:c>
      <x:c r="D5" s="218" t="str">
        <x:v>609949</x:v>
      </x:c>
      <x:c r="E5" s="218" t="str">
        <x:v>2010701241</x:v>
      </x:c>
      <x:c r="F5" s="218" t="str">
        <x:v>BATENTE</x:v>
      </x:c>
      <x:c r="G5" s="184" t="str">
        <x:v>M ULTRA PET CAP M 1300X290X30 S/REB RG 1</x:v>
      </x:c>
      <x:c r="H5" s="184" t="str">
        <x:v>MDF ULTRA</x:v>
      </x:c>
      <x:c r="I5" s="184" t="str">
        <x:v>S/CANAL</x:v>
      </x:c>
      <x:c r="J5" s="184" t="str">
        <x:v>S/REB</x:v>
      </x:c>
      <x:c r="K5" s="184" t="str">
        <x:v>RECOBERTO PET</x:v>
      </x:c>
      <x:c r="L5" s="184" t="str">
        <x:v>CAPUCCINO MARCHE</x:v>
      </x:c>
      <x:c r="M5" s="205" t="n">
        <x:v>1</x:v>
      </x:c>
      <x:c r="N5" s="205" t="n">
        <x:v>1300</x:v>
      </x:c>
      <x:c r="O5" s="205" t="n">
        <x:v>290</x:v>
      </x:c>
      <x:c r="P5" s="205" t="n">
        <x:v>30</x:v>
      </x:c>
      <x:c r="Q5" s="206" t="n">
        <x:v>0.011</x:v>
      </x:c>
      <x:c r="R5" s="207" t="str"/>
      <x:c r="S5" s="207" t="str"/>
      <x:c r="T5" s="207" t="str"/>
      <x:c r="U5" s="207" t="n">
        <x:v>0</x:v>
      </x:c>
      <x:c r="V5" s="208" t="n">
        <x:f>MAX(0,M5-U5)</x:f>
        <x:v>1</x:v>
      </x:c>
      <x:c r="W5" s="209" t="n">
        <x:f>IFERROR(U5/M5,0)</x:f>
        <x:v>0</x:v>
      </x:c>
      <x:c r="X5" s="201" t="str">
        <x:f>IF(U5=0,"Não iniciado",IF(U5&gt;=M5,"Concluído","Parcial"))</x:f>
        <x:v>Não iniciado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26809</x:v>
      </x:c>
      <x:c r="C6" s="220" t="str">
        <x:v>2</x:v>
      </x:c>
      <x:c r="D6" s="220" t="str">
        <x:v>609931</x:v>
      </x:c>
      <x:c r="E6" s="220" t="str">
        <x:v>2010701238</x:v>
      </x:c>
      <x:c r="F6" s="220" t="str">
        <x:v>BATENTE</x:v>
      </x:c>
      <x:c r="G6" s="190" t="str">
        <x:v>M ULTRA PET CAP M 2110X270X30 42X10 R2L</x:v>
      </x:c>
      <x:c r="H6" s="190" t="str">
        <x:v>MDF ULTRA</x:v>
      </x:c>
      <x:c r="I6" s="190" t="str">
        <x:v>C/BORRACHA I APLICADA</x:v>
      </x:c>
      <x:c r="J6" s="190" t="str">
        <x:v>C/REB 42X10</x:v>
      </x:c>
      <x:c r="K6" s="190" t="str">
        <x:v>RECOBERTO PET</x:v>
      </x:c>
      <x:c r="L6" s="190" t="str">
        <x:v>CAPUCCINO MARCHE</x:v>
      </x:c>
      <x:c r="M6" s="210" t="n">
        <x:v>2</x:v>
      </x:c>
      <x:c r="N6" s="210" t="n">
        <x:v>2110</x:v>
      </x:c>
      <x:c r="O6" s="210" t="n">
        <x:v>270</x:v>
      </x:c>
      <x:c r="P6" s="210" t="n">
        <x:v>30</x:v>
      </x:c>
      <x:c r="Q6" s="211" t="n">
        <x:v>0.034</x:v>
      </x:c>
      <x:c r="R6" s="207" t="str"/>
      <x:c r="S6" s="207" t="str"/>
      <x:c r="T6" s="207" t="str"/>
      <x:c r="U6" s="207" t="n">
        <x:v>0</x:v>
      </x:c>
      <x:c r="V6" s="208" t="n">
        <x:f>MAX(0,M6-U6)</x:f>
        <x:v>2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26809</x:v>
      </x:c>
      <x:c r="C7" s="218" t="str">
        <x:v>7</x:v>
      </x:c>
      <x:c r="D7" s="218" t="str">
        <x:v>609944</x:v>
      </x:c>
      <x:c r="E7" s="218" t="str">
        <x:v>2010701238</x:v>
      </x:c>
      <x:c r="F7" s="218" t="str">
        <x:v>BATENTE</x:v>
      </x:c>
      <x:c r="G7" s="184" t="str">
        <x:v>M ULTRA PET CAP M 2110X270X30 42X10 R2L</x:v>
      </x:c>
      <x:c r="H7" s="184" t="str">
        <x:v>MDF ULTRA</x:v>
      </x:c>
      <x:c r="I7" s="184" t="str">
        <x:v>C/BORRACHA I APLICADA</x:v>
      </x:c>
      <x:c r="J7" s="184" t="str">
        <x:v>C/REB 42X10</x:v>
      </x:c>
      <x:c r="K7" s="184" t="str">
        <x:v>RECOBERTO PET</x:v>
      </x:c>
      <x:c r="L7" s="184" t="str">
        <x:v>CAPUCCINO MARCHE</x:v>
      </x:c>
      <x:c r="M7" s="205" t="n">
        <x:v>2</x:v>
      </x:c>
      <x:c r="N7" s="205" t="n">
        <x:v>2110</x:v>
      </x:c>
      <x:c r="O7" s="205" t="n">
        <x:v>270</x:v>
      </x:c>
      <x:c r="P7" s="205" t="n">
        <x:v>30</x:v>
      </x:c>
      <x:c r="Q7" s="206" t="n">
        <x:v>0.034</x:v>
      </x:c>
      <x:c r="R7" s="207" t="str"/>
      <x:c r="S7" s="207" t="str"/>
      <x:c r="T7" s="207" t="str"/>
      <x:c r="U7" s="207" t="n">
        <x:v>0</x:v>
      </x:c>
      <x:c r="V7" s="208" t="n">
        <x:f>MAX(0,M7-U7)</x:f>
        <x:v>2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26809</x:v>
      </x:c>
      <x:c r="C8" s="220" t="str">
        <x:v>7</x:v>
      </x:c>
      <x:c r="D8" s="220" t="str">
        <x:v>609945</x:v>
      </x:c>
      <x:c r="E8" s="220" t="str">
        <x:v>2010701239</x:v>
      </x:c>
      <x:c r="F8" s="220" t="str">
        <x:v>BATENTE</x:v>
      </x:c>
      <x:c r="G8" s="190" t="str">
        <x:v>M ULTRA PET CAP M 947X270X30 42X10 R2L M</x:v>
      </x:c>
      <x:c r="H8" s="190" t="str">
        <x:v>MDF ULTRA</x:v>
      </x:c>
      <x:c r="I8" s="190" t="str">
        <x:v>C/BORRACHA I APLICADA</x:v>
      </x:c>
      <x:c r="J8" s="190" t="str">
        <x:v>C/REB 42X10</x:v>
      </x:c>
      <x:c r="K8" s="190" t="str">
        <x:v>RECOBERTO PET</x:v>
      </x:c>
      <x:c r="L8" s="190" t="str">
        <x:v>CAPUCCINO MARCHE</x:v>
      </x:c>
      <x:c r="M8" s="210" t="n">
        <x:v>1</x:v>
      </x:c>
      <x:c r="N8" s="210" t="n">
        <x:v>947</x:v>
      </x:c>
      <x:c r="O8" s="210" t="n">
        <x:v>270</x:v>
      </x:c>
      <x:c r="P8" s="210" t="n">
        <x:v>30</x:v>
      </x:c>
      <x:c r="Q8" s="211" t="n">
        <x:v>0.008</x:v>
      </x:c>
      <x:c r="R8" s="207" t="str"/>
      <x:c r="S8" s="207" t="str"/>
      <x:c r="T8" s="207" t="str"/>
      <x:c r="U8" s="207" t="n">
        <x:v>0</x:v>
      </x:c>
      <x:c r="V8" s="208" t="n">
        <x:f>MAX(0,M8-U8)</x:f>
        <x:v>1</x:v>
      </x:c>
      <x:c r="W8" s="209" t="n">
        <x:f>IFERROR(U8/M8,0)</x:f>
        <x:v>0</x:v>
      </x:c>
      <x:c r="X8" s="201" t="str">
        <x:f>IF(U8=0,"Não iniciado",IF(U8&gt;=M8,"Concluído","Parcial"))</x:f>
        <x:v>Não iniciado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26809</x:v>
      </x:c>
      <x:c r="C9" s="218" t="str">
        <x:v>2</x:v>
      </x:c>
      <x:c r="D9" s="218" t="str">
        <x:v>609932</x:v>
      </x:c>
      <x:c r="E9" s="218" t="str">
        <x:v>2010701242</x:v>
      </x:c>
      <x:c r="F9" s="218" t="str">
        <x:v>BATENTE</x:v>
      </x:c>
      <x:c r="G9" s="184" t="str">
        <x:v>M ULTRA PET CAP M 747X270X30 42X10 R2L M</x:v>
      </x:c>
      <x:c r="H9" s="184" t="str">
        <x:v>MDF ULTRA</x:v>
      </x:c>
      <x:c r="I9" s="184" t="str">
        <x:v>C/BORRACHA I APLICADA</x:v>
      </x:c>
      <x:c r="J9" s="184" t="str">
        <x:v>C/REB 42X10</x:v>
      </x:c>
      <x:c r="K9" s="184" t="str">
        <x:v>RECOBERTO PET</x:v>
      </x:c>
      <x:c r="L9" s="184" t="str">
        <x:v>CAPUCCINO MARCHE</x:v>
      </x:c>
      <x:c r="M9" s="205" t="n">
        <x:v>1</x:v>
      </x:c>
      <x:c r="N9" s="205" t="n">
        <x:v>747</x:v>
      </x:c>
      <x:c r="O9" s="205" t="n">
        <x:v>270</x:v>
      </x:c>
      <x:c r="P9" s="205" t="n">
        <x:v>30</x:v>
      </x:c>
      <x:c r="Q9" s="206" t="n">
        <x:v>0.006</x:v>
      </x:c>
      <x:c r="R9" s="207" t="str"/>
      <x:c r="S9" s="207" t="str"/>
      <x:c r="T9" s="207" t="str"/>
      <x:c r="U9" s="207" t="n">
        <x:v>0</x:v>
      </x:c>
      <x:c r="V9" s="208" t="n">
        <x:f>MAX(0,M9-U9)</x:f>
        <x:v>1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26809</x:v>
      </x:c>
      <x:c r="C10" s="220" t="str">
        <x:v>6</x:v>
      </x:c>
      <x:c r="D10" s="220" t="str">
        <x:v>609941</x:v>
      </x:c>
      <x:c r="E10" s="220" t="str">
        <x:v>2010701236</x:v>
      </x:c>
      <x:c r="F10" s="220" t="str">
        <x:v>BATENTE</x:v>
      </x:c>
      <x:c r="G10" s="190" t="str">
        <x:v>M ULTRA PET CAP M 2110X250X30 42X10 R2L</x:v>
      </x:c>
      <x:c r="H10" s="190" t="str">
        <x:v>MDF ULTRA</x:v>
      </x:c>
      <x:c r="I10" s="190" t="str">
        <x:v>C/BORRACHA I APLICADA</x:v>
      </x:c>
      <x:c r="J10" s="190" t="str">
        <x:v>C/REB 42X10</x:v>
      </x:c>
      <x:c r="K10" s="190" t="str">
        <x:v>RECOBERTO PET</x:v>
      </x:c>
      <x:c r="L10" s="190" t="str">
        <x:v>CAPUCCINO MARCHE</x:v>
      </x:c>
      <x:c r="M10" s="210" t="n">
        <x:v>6</x:v>
      </x:c>
      <x:c r="N10" s="210" t="n">
        <x:v>2110</x:v>
      </x:c>
      <x:c r="O10" s="210" t="n">
        <x:v>250</x:v>
      </x:c>
      <x:c r="P10" s="210" t="n">
        <x:v>30</x:v>
      </x:c>
      <x:c r="Q10" s="211" t="n">
        <x:v>0.095</x:v>
      </x:c>
      <x:c r="R10" s="207" t="str"/>
      <x:c r="S10" s="207" t="str"/>
      <x:c r="T10" s="207" t="str"/>
      <x:c r="U10" s="207" t="n">
        <x:v>0</x:v>
      </x:c>
      <x:c r="V10" s="208" t="n">
        <x:f>MAX(0,M10-U10)</x:f>
        <x:v>6</x:v>
      </x:c>
      <x:c r="W10" s="209" t="n">
        <x:f>IFERROR(U10/M10,0)</x:f>
        <x:v>0</x:v>
      </x:c>
      <x:c r="X10" s="201" t="str">
        <x:f>IF(U10=0,"Não iniciado",IF(U10&gt;=M10,"Concluído","Parcial"))</x:f>
        <x:v>Não iniciado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26809</x:v>
      </x:c>
      <x:c r="C11" s="218" t="str">
        <x:v>6</x:v>
      </x:c>
      <x:c r="D11" s="218" t="str">
        <x:v>609942</x:v>
      </x:c>
      <x:c r="E11" s="218" t="str">
        <x:v>2010701237</x:v>
      </x:c>
      <x:c r="F11" s="218" t="str">
        <x:v>BATENTE</x:v>
      </x:c>
      <x:c r="G11" s="184" t="str">
        <x:v>M ULTRA PET CAP M 947X250X30 42X10 R2L M</x:v>
      </x:c>
      <x:c r="H11" s="184" t="str">
        <x:v>MDF ULTRA</x:v>
      </x:c>
      <x:c r="I11" s="184" t="str">
        <x:v>C/BORRACHA I APLICADA</x:v>
      </x:c>
      <x:c r="J11" s="184" t="str">
        <x:v>C/REB 42X10</x:v>
      </x:c>
      <x:c r="K11" s="184" t="str">
        <x:v>RECOBERTO PET</x:v>
      </x:c>
      <x:c r="L11" s="184" t="str">
        <x:v>CAPUCCINO MARCHE</x:v>
      </x:c>
      <x:c r="M11" s="205" t="n">
        <x:v>3</x:v>
      </x:c>
      <x:c r="N11" s="205" t="n">
        <x:v>947</x:v>
      </x:c>
      <x:c r="O11" s="205" t="n">
        <x:v>250</x:v>
      </x:c>
      <x:c r="P11" s="205" t="n">
        <x:v>30</x:v>
      </x:c>
      <x:c r="Q11" s="206" t="n">
        <x:v>0.021</x:v>
      </x:c>
      <x:c r="R11" s="207" t="str"/>
      <x:c r="S11" s="207" t="str"/>
      <x:c r="T11" s="207" t="str"/>
      <x:c r="U11" s="207" t="n">
        <x:v>0</x:v>
      </x:c>
      <x:c r="V11" s="208" t="n">
        <x:f>MAX(0,M11-U11)</x:f>
        <x:v>3</x:v>
      </x:c>
      <x:c r="W11" s="209" t="n">
        <x:f>IFERROR(U11/M11,0)</x:f>
        <x:v>0</x:v>
      </x:c>
      <x:c r="X11" s="201" t="str">
        <x:f>IF(U11=0,"Não iniciado",IF(U11&gt;=M11,"Concluído","Parcial"))</x:f>
        <x:v>Não iniciado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26750</x:v>
      </x:c>
      <x:c r="C12" s="220" t="str">
        <x:v>3</x:v>
      </x:c>
      <x:c r="D12" s="220" t="str">
        <x:v>609792</x:v>
      </x:c>
      <x:c r="E12" s="220" t="str">
        <x:v>2010701232</x:v>
      </x:c>
      <x:c r="F12" s="220" t="str">
        <x:v>BATENTE</x:v>
      </x:c>
      <x:c r="G12" s="190" t="str">
        <x:v>M ULTRA PVC R BCO 1200X190X30 S/REB R2L</x:v>
      </x:c>
      <x:c r="H12" s="190" t="str">
        <x:v>MDF ULTRA</x:v>
      </x:c>
      <x:c r="I12" s="190" t="str">
        <x:v>S/CANAL</x:v>
      </x:c>
      <x:c r="J12" s="190" t="str">
        <x:v>S/REB</x:v>
      </x:c>
      <x:c r="K12" s="190" t="str">
        <x:v>RECOBERTO PVC RENOLIT</x:v>
      </x:c>
      <x:c r="L12" s="190" t="str">
        <x:v>BRANCO</x:v>
      </x:c>
      <x:c r="M12" s="210" t="n">
        <x:v>2</x:v>
      </x:c>
      <x:c r="N12" s="210" t="n">
        <x:v>1200</x:v>
      </x:c>
      <x:c r="O12" s="210" t="n">
        <x:v>190</x:v>
      </x:c>
      <x:c r="P12" s="210" t="n">
        <x:v>30</x:v>
      </x:c>
      <x:c r="Q12" s="211" t="n">
        <x:v>0.014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2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26739</x:v>
      </x:c>
      <x:c r="C13" s="218" t="str">
        <x:v>22</x:v>
      </x:c>
      <x:c r="D13" s="218" t="str">
        <x:v>609739</x:v>
      </x:c>
      <x:c r="E13" s="218" t="str">
        <x:v>2010700697</x:v>
      </x:c>
      <x:c r="F13" s="218" t="str">
        <x:v>BATENTE</x:v>
      </x:c>
      <x:c r="G13" s="184" t="str">
        <x:v>M ULTRA PET BCO CAR 2110X170X30 42X10 R2</x:v>
      </x:c>
      <x:c r="H13" s="184" t="str"/>
      <x:c r="I13" s="184" t="str"/>
      <x:c r="J13" s="184" t="str"/>
      <x:c r="K13" s="184" t="str">
        <x:v>ESMALTE</x:v>
      </x:c>
      <x:c r="L13" s="184" t="str">
        <x:v>BRANCO CARRARA</x:v>
      </x:c>
      <x:c r="M13" s="205" t="n">
        <x:v>2</x:v>
      </x:c>
      <x:c r="N13" s="205" t="n">
        <x:v>2110</x:v>
      </x:c>
      <x:c r="O13" s="205" t="n">
        <x:v>170</x:v>
      </x:c>
      <x:c r="P13" s="205" t="n">
        <x:v>30</x:v>
      </x:c>
      <x:c r="Q13" s="206" t="n">
        <x:v>0.022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2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26750</x:v>
      </x:c>
      <x:c r="C14" s="220" t="str">
        <x:v>25</x:v>
      </x:c>
      <x:c r="D14" s="220" t="str">
        <x:v>609912</x:v>
      </x:c>
      <x:c r="E14" s="220" t="str">
        <x:v>2010700697</x:v>
      </x:c>
      <x:c r="F14" s="220" t="str">
        <x:v>BATENTE</x:v>
      </x:c>
      <x:c r="G14" s="190" t="str">
        <x:v>M ULTRA PET BCO CAR 2110X170X30 42X10 R2</x:v>
      </x:c>
      <x:c r="H14" s="190" t="str"/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6</x:v>
      </x:c>
      <x:c r="N14" s="210" t="n">
        <x:v>2110</x:v>
      </x:c>
      <x:c r="O14" s="210" t="n">
        <x:v>170</x:v>
      </x:c>
      <x:c r="P14" s="210" t="n">
        <x:v>30</x:v>
      </x:c>
      <x:c r="Q14" s="211" t="n">
        <x:v>0.065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6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26800</x:v>
      </x:c>
      <x:c r="C15" s="218" t="str">
        <x:v>4</x:v>
      </x:c>
      <x:c r="D15" s="218" t="str">
        <x:v>612119</x:v>
      </x:c>
      <x:c r="E15" s="218" t="str">
        <x:v>2010700548</x:v>
      </x:c>
      <x:c r="F15" s="218" t="str">
        <x:v>BATENTE</x:v>
      </x:c>
      <x:c r="G15" s="184" t="str">
        <x:v>M P ULTRA PET CA MA 2110X170X30 42X10 R2</x:v>
      </x:c>
      <x:c r="H15" s="184" t="str">
        <x:v>MDF ULTRA</x:v>
      </x:c>
      <x:c r="I15" s="184" t="str">
        <x:v>C/BORRACHA I APLICADA</x:v>
      </x:c>
      <x:c r="J15" s="184" t="str">
        <x:v>C/REB 42X10</x:v>
      </x:c>
      <x:c r="K15" s="184" t="str">
        <x:v>RECOBERTO PET</x:v>
      </x:c>
      <x:c r="L15" s="184" t="str">
        <x:v>CARVALHO MALVA</x:v>
      </x:c>
      <x:c r="M15" s="205" t="n">
        <x:v>10</x:v>
      </x:c>
      <x:c r="N15" s="205" t="n">
        <x:v>2110</x:v>
      </x:c>
      <x:c r="O15" s="205" t="n">
        <x:v>170</x:v>
      </x:c>
      <x:c r="P15" s="205" t="n">
        <x:v>30</x:v>
      </x:c>
      <x:c r="Q15" s="206" t="n">
        <x:v>0.108</x:v>
      </x:c>
      <x:c r="R15" s="207" t="str"/>
      <x:c r="S15" s="207" t="str"/>
      <x:c r="T15" s="207" t="str"/>
      <x:c r="U15" s="207" t="n">
        <x:v>0</x:v>
      </x:c>
      <x:c r="V15" s="208" t="n">
        <x:f>MAX(0,M15-U15)</x:f>
        <x:v>10</x:v>
      </x:c>
      <x:c r="W15" s="209" t="n">
        <x:f>IFERROR(U15/M15,0)</x:f>
        <x:v>0</x:v>
      </x:c>
      <x:c r="X15" s="201" t="str">
        <x:f>IF(U15=0,"Não iniciado",IF(U15&gt;=M15,"Concluído","Parcial"))</x:f>
        <x:v>Não iniciado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26739</x:v>
      </x:c>
      <x:c r="C16" s="220" t="str">
        <x:v>2</x:v>
      </x:c>
      <x:c r="D16" s="220" t="str">
        <x:v>609629</x:v>
      </x:c>
      <x:c r="E16" s="220" t="str">
        <x:v>2010701227</x:v>
      </x:c>
      <x:c r="F16" s="220" t="str">
        <x:v>BATENTE</x:v>
      </x:c>
      <x:c r="G16" s="190" t="str">
        <x:v>M ULTRA PVC R BCO 1200X170X30 S/REB R2L</x:v>
      </x:c>
      <x:c r="H16" s="190" t="str">
        <x:v>MDF ULTRA</x:v>
      </x:c>
      <x:c r="I16" s="190" t="str">
        <x:v>S/CANAL</x:v>
      </x:c>
      <x:c r="J16" s="190" t="str">
        <x:v>S/REB</x:v>
      </x:c>
      <x:c r="K16" s="190" t="str">
        <x:v>RECOBERTO PVC RENOLIT</x:v>
      </x:c>
      <x:c r="L16" s="190" t="str">
        <x:v>BRANCO</x:v>
      </x:c>
      <x:c r="M16" s="210" t="n">
        <x:v>16</x:v>
      </x:c>
      <x:c r="N16" s="210" t="n">
        <x:v>1200</x:v>
      </x:c>
      <x:c r="O16" s="210" t="n">
        <x:v>170</x:v>
      </x:c>
      <x:c r="P16" s="210" t="n">
        <x:v>30</x:v>
      </x:c>
      <x:c r="Q16" s="211" t="n">
        <x:v>0.098</x:v>
      </x:c>
      <x:c r="R16" s="207" t="str"/>
      <x:c r="S16" s="207" t="str"/>
      <x:c r="T16" s="207" t="str"/>
      <x:c r="U16" s="207" t="n">
        <x:v>0</x:v>
      </x:c>
      <x:c r="V16" s="208" t="n">
        <x:f>MAX(0,M16-U16)</x:f>
        <x:v>16</x:v>
      </x:c>
      <x:c r="W16" s="209" t="n">
        <x:f>IFERROR(U16/M16,0)</x:f>
        <x:v>0</x:v>
      </x:c>
      <x:c r="X16" s="201" t="str">
        <x:f>IF(U16=0,"Não iniciado",IF(U16&gt;=M16,"Concluído","Parcial"))</x:f>
        <x:v>Não iniciado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26750</x:v>
      </x:c>
      <x:c r="C17" s="218" t="str">
        <x:v>2</x:v>
      </x:c>
      <x:c r="D17" s="218" t="str">
        <x:v>609789</x:v>
      </x:c>
      <x:c r="E17" s="218" t="str">
        <x:v>2010701227</x:v>
      </x:c>
      <x:c r="F17" s="218" t="str">
        <x:v>BATENTE</x:v>
      </x:c>
      <x:c r="G17" s="184" t="str">
        <x:v>M ULTRA PVC R BCO 1200X170X30 S/REB R2L</x:v>
      </x:c>
      <x:c r="H17" s="184" t="str">
        <x:v>MDF ULTRA</x:v>
      </x:c>
      <x:c r="I17" s="184" t="str">
        <x:v>S/CANAL</x:v>
      </x:c>
      <x:c r="J17" s="184" t="str">
        <x:v>S/REB</x:v>
      </x:c>
      <x:c r="K17" s="184" t="str">
        <x:v>RECOBERTO PVC RENOLIT</x:v>
      </x:c>
      <x:c r="L17" s="184" t="str">
        <x:v>BRANCO</x:v>
      </x:c>
      <x:c r="M17" s="205" t="n">
        <x:v>9</x:v>
      </x:c>
      <x:c r="N17" s="205" t="n">
        <x:v>1200</x:v>
      </x:c>
      <x:c r="O17" s="205" t="n">
        <x:v>170</x:v>
      </x:c>
      <x:c r="P17" s="205" t="n">
        <x:v>30</x:v>
      </x:c>
      <x:c r="Q17" s="206" t="n">
        <x:v>0.055</x:v>
      </x:c>
      <x:c r="R17" s="207" t="str"/>
      <x:c r="S17" s="207" t="str"/>
      <x:c r="T17" s="207" t="str"/>
      <x:c r="U17" s="207" t="n">
        <x:v>0</x:v>
      </x:c>
      <x:c r="V17" s="208" t="n">
        <x:f>MAX(0,M17-U17)</x:f>
        <x:v>9</x:v>
      </x:c>
      <x:c r="W17" s="209" t="n">
        <x:f>IFERROR(U17/M17,0)</x:f>
        <x:v>0</x:v>
      </x:c>
      <x:c r="X17" s="201" t="str">
        <x:f>IF(U17=0,"Não iniciado",IF(U17&gt;=M17,"Concluído","Parcial"))</x:f>
        <x:v>Não iniciado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26800</x:v>
      </x:c>
      <x:c r="C18" s="220" t="str">
        <x:v>4</x:v>
      </x:c>
      <x:c r="D18" s="220" t="str">
        <x:v>612118</x:v>
      </x:c>
      <x:c r="E18" s="220" t="str">
        <x:v>2010700203</x:v>
      </x:c>
      <x:c r="F18" s="220" t="str">
        <x:v>BATENTE</x:v>
      </x:c>
      <x:c r="G18" s="190" t="str">
        <x:v>M T ULTRA PET CA MA 747X170X30 42X10 R2L</x:v>
      </x:c>
      <x:c r="H18" s="190" t="str">
        <x:v>MDF ULTRA</x:v>
      </x:c>
      <x:c r="I18" s="190" t="str">
        <x:v>C/BORRACHA I APLICADA</x:v>
      </x:c>
      <x:c r="J18" s="190" t="str">
        <x:v>C/REB 42X10</x:v>
      </x:c>
      <x:c r="K18" s="190" t="str">
        <x:v>RECOBERTO PET</x:v>
      </x:c>
      <x:c r="L18" s="190" t="str">
        <x:v>CARVALHO MALVA</x:v>
      </x:c>
      <x:c r="M18" s="210" t="n">
        <x:v>5</x:v>
      </x:c>
      <x:c r="N18" s="210" t="n">
        <x:v>747</x:v>
      </x:c>
      <x:c r="O18" s="210" t="n">
        <x:v>170</x:v>
      </x:c>
      <x:c r="P18" s="210" t="n">
        <x:v>30</x:v>
      </x:c>
      <x:c r="Q18" s="211" t="n">
        <x:v>0.019</x:v>
      </x:c>
      <x:c r="R18" s="207" t="str"/>
      <x:c r="S18" s="207" t="str"/>
      <x:c r="T18" s="207" t="str"/>
      <x:c r="U18" s="207" t="n">
        <x:v>0</x:v>
      </x:c>
      <x:c r="V18" s="208" t="n">
        <x:f>MAX(0,M18-U18)</x:f>
        <x:v>5</x:v>
      </x:c>
      <x:c r="W18" s="209" t="n">
        <x:f>IFERROR(U18/M18,0)</x:f>
        <x:v>0</x:v>
      </x:c>
      <x:c r="X18" s="201" t="str">
        <x:f>IF(U18=0,"Não iniciado",IF(U18&gt;=M18,"Concluído","Parcial"))</x:f>
        <x:v>Não iniciado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26739</x:v>
      </x:c>
      <x:c r="C19" s="218" t="str">
        <x:v>22</x:v>
      </x:c>
      <x:c r="D19" s="218" t="str">
        <x:v>609740</x:v>
      </x:c>
      <x:c r="E19" s="218" t="str">
        <x:v>2010701230</x:v>
      </x:c>
      <x:c r="F19" s="218" t="str">
        <x:v>BATENTE</x:v>
      </x:c>
      <x:c r="G19" s="184" t="str">
        <x:v>M ULTRA PET BCO CAR 667X170X30 42X10 R2L</x:v>
      </x:c>
      <x:c r="H19" s="184" t="str"/>
      <x:c r="I19" s="184" t="str"/>
      <x:c r="J19" s="184" t="str"/>
      <x:c r="K19" s="184" t="str">
        <x:v>ESMALTE</x:v>
      </x:c>
      <x:c r="L19" s="184" t="str">
        <x:v>BRANCO CARRARA</x:v>
      </x:c>
      <x:c r="M19" s="205" t="n">
        <x:v>1</x:v>
      </x:c>
      <x:c r="N19" s="205" t="n">
        <x:v>667</x:v>
      </x:c>
      <x:c r="O19" s="205" t="n">
        <x:v>170</x:v>
      </x:c>
      <x:c r="P19" s="205" t="n">
        <x:v>30</x:v>
      </x:c>
      <x:c r="Q19" s="206" t="n">
        <x:v>0.003</x:v>
      </x:c>
      <x:c r="R19" s="207" t="str"/>
      <x:c r="S19" s="207" t="str"/>
      <x:c r="T19" s="207" t="str"/>
      <x:c r="U19" s="207" t="n">
        <x:v>0</x:v>
      </x:c>
      <x:c r="V19" s="208" t="n">
        <x:f>MAX(0,M19-U19)</x:f>
        <x:v>1</x:v>
      </x:c>
      <x:c r="W19" s="209" t="n">
        <x:f>IFERROR(U19/M19,0)</x:f>
        <x:v>0</x:v>
      </x:c>
      <x:c r="X19" s="201" t="str">
        <x:f>IF(U19=0,"Não iniciado",IF(U19&gt;=M19,"Concluído","Parcial"))</x:f>
        <x:v>Não iniciado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26750</x:v>
      </x:c>
      <x:c r="C20" s="220" t="str">
        <x:v>25</x:v>
      </x:c>
      <x:c r="D20" s="220" t="str">
        <x:v>609913</x:v>
      </x:c>
      <x:c r="E20" s="220" t="str">
        <x:v>2010701230</x:v>
      </x:c>
      <x:c r="F20" s="220" t="str">
        <x:v>BATENTE</x:v>
      </x:c>
      <x:c r="G20" s="190" t="str">
        <x:v>M ULTRA PET BCO CAR 667X170X30 42X10 R2L</x:v>
      </x:c>
      <x:c r="H20" s="190" t="str"/>
      <x:c r="I20" s="190" t="str"/>
      <x:c r="J20" s="190" t="str"/>
      <x:c r="K20" s="190" t="str">
        <x:v>ESMALTE</x:v>
      </x:c>
      <x:c r="L20" s="190" t="str">
        <x:v>BRANCO CARRARA</x:v>
      </x:c>
      <x:c r="M20" s="210" t="n">
        <x:v>3</x:v>
      </x:c>
      <x:c r="N20" s="210" t="n">
        <x:v>667</x:v>
      </x:c>
      <x:c r="O20" s="210" t="n">
        <x:v>170</x:v>
      </x:c>
      <x:c r="P20" s="210" t="n">
        <x:v>30</x:v>
      </x:c>
      <x:c r="Q20" s="211" t="n">
        <x:v>0.01</x:v>
      </x:c>
      <x:c r="R20" s="207" t="str"/>
      <x:c r="S20" s="207" t="str"/>
      <x:c r="T20" s="207" t="str"/>
      <x:c r="U20" s="207" t="n">
        <x:v>0</x:v>
      </x:c>
      <x:c r="V20" s="208" t="n">
        <x:f>MAX(0,M20-U20)</x:f>
        <x:v>3</x:v>
      </x:c>
      <x:c r="W20" s="209" t="n">
        <x:f>IFERROR(U20/M20,0)</x:f>
        <x:v>0</x:v>
      </x:c>
      <x:c r="X20" s="201" t="str">
        <x:f>IF(U20=0,"Não iniciado",IF(U20&gt;=M20,"Concluído","Parcial"))</x:f>
        <x:v>Não iniciado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26684</x:v>
      </x:c>
      <x:c r="C21" s="218" t="str">
        <x:v>7</x:v>
      </x:c>
      <x:c r="D21" s="218" t="str">
        <x:v>609159</x:v>
      </x:c>
      <x:c r="E21" s="218" t="str">
        <x:v>966820</x:v>
      </x:c>
      <x:c r="F21" s="218" t="str">
        <x:v>BATENTE</x:v>
      </x:c>
      <x:c r="G21" s="184" t="str">
        <x:v>2110x150x30 42x10R2L R1BIA PET STD PRM U</x:v>
      </x:c>
      <x:c r="H21" s="184" t="str"/>
      <x:c r="I21" s="184" t="str"/>
      <x:c r="J21" s="184" t="str"/>
      <x:c r="K21" s="184" t="str">
        <x:v>ESMALTE</x:v>
      </x:c>
      <x:c r="L21" s="184" t="str">
        <x:v>BRANCO CARRARA</x:v>
      </x:c>
      <x:c r="M21" s="205" t="n">
        <x:v>2</x:v>
      </x:c>
      <x:c r="N21" s="205" t="n">
        <x:v>2110</x:v>
      </x:c>
      <x:c r="O21" s="205" t="n">
        <x:v>150</x:v>
      </x:c>
      <x:c r="P21" s="205" t="n">
        <x:v>30</x:v>
      </x:c>
      <x:c r="Q21" s="206" t="n">
        <x:v>0</x:v>
      </x:c>
      <x:c r="R21" s="207" t="str"/>
      <x:c r="S21" s="207" t="str"/>
      <x:c r="T21" s="207" t="str"/>
      <x:c r="U21" s="207" t="n">
        <x:v>0</x:v>
      </x:c>
      <x:c r="V21" s="208" t="n">
        <x:f>MAX(0,M21-U21)</x:f>
        <x:v>2</x:v>
      </x:c>
      <x:c r="W21" s="209" t="n">
        <x:f>IFERROR(U21/M21,0)</x:f>
        <x:v>0</x:v>
      </x:c>
      <x:c r="X21" s="201" t="str">
        <x:f>IF(U21=0,"Não iniciado",IF(U21&gt;=M21,"Concluído","Parcial"))</x:f>
        <x:v>Não iniciado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26739</x:v>
      </x:c>
      <x:c r="C22" s="220" t="str">
        <x:v>12</x:v>
      </x:c>
      <x:c r="D22" s="220" t="str">
        <x:v>609671</x:v>
      </x:c>
      <x:c r="E22" s="220" t="str">
        <x:v>675612</x:v>
      </x:c>
      <x:c r="F22" s="220" t="str">
        <x:v>BATENTE</x:v>
      </x:c>
      <x:c r="G22" s="190" t="str">
        <x:v>2110x150x30 42x10 R2 RT BIA PET BC U(UL)</x:v>
      </x:c>
      <x:c r="H22" s="190" t="str"/>
      <x:c r="I22" s="190" t="str"/>
      <x:c r="J22" s="190" t="str"/>
      <x:c r="K22" s="190" t="str">
        <x:v>ESMALTE</x:v>
      </x:c>
      <x:c r="L22" s="190" t="str">
        <x:v>BRANCO CARRARA</x:v>
      </x:c>
      <x:c r="M22" s="210" t="n">
        <x:v>2</x:v>
      </x:c>
      <x:c r="N22" s="210" t="n">
        <x:v>2110</x:v>
      </x:c>
      <x:c r="O22" s="210" t="n">
        <x:v>150</x:v>
      </x:c>
      <x:c r="P22" s="210" t="n">
        <x:v>30</x:v>
      </x:c>
      <x:c r="Q22" s="211" t="n">
        <x:v>0</x:v>
      </x:c>
      <x:c r="R22" s="207" t="str"/>
      <x:c r="S22" s="207" t="str"/>
      <x:c r="T22" s="207" t="str"/>
      <x:c r="U22" s="207" t="n">
        <x:v>0</x:v>
      </x:c>
      <x:c r="V22" s="208" t="n">
        <x:f>MAX(0,M22-U22)</x:f>
        <x:v>2</x:v>
      </x:c>
      <x:c r="W22" s="209" t="n">
        <x:f>IFERROR(U22/M22,0)</x:f>
        <x:v>0</x:v>
      </x:c>
      <x:c r="X22" s="201" t="str">
        <x:f>IF(U22=0,"Não iniciado",IF(U22&gt;=M22,"Concluído","Parcial"))</x:f>
        <x:v>Não iniciado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26739</x:v>
      </x:c>
      <x:c r="C23" s="218" t="str">
        <x:v>21</x:v>
      </x:c>
      <x:c r="D23" s="218" t="str">
        <x:v>609726</x:v>
      </x:c>
      <x:c r="E23" s="218" t="str">
        <x:v>675612</x:v>
      </x:c>
      <x:c r="F23" s="218" t="str">
        <x:v>BATENTE</x:v>
      </x:c>
      <x:c r="G23" s="184" t="str">
        <x:v>2110x150x30 42x10 R2 RT BIA PET BC U(UL)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20</x:v>
      </x:c>
      <x:c r="N23" s="205" t="n">
        <x:v>2110</x:v>
      </x:c>
      <x:c r="O23" s="205" t="n">
        <x:v>150</x:v>
      </x:c>
      <x:c r="P23" s="205" t="n">
        <x:v>30</x:v>
      </x:c>
      <x:c r="Q23" s="206" t="n">
        <x:v>0</x:v>
      </x:c>
      <x:c r="R23" s="207" t="str"/>
      <x:c r="S23" s="207" t="str"/>
      <x:c r="T23" s="207" t="str"/>
      <x:c r="U23" s="207" t="n">
        <x:v>0</x:v>
      </x:c>
      <x:c r="V23" s="208" t="n">
        <x:f>MAX(0,M23-U23)</x:f>
        <x:v>20</x:v>
      </x:c>
      <x:c r="W23" s="209" t="n">
        <x:f>IFERROR(U23/M23,0)</x:f>
        <x:v>0</x:v>
      </x:c>
      <x:c r="X23" s="201" t="str">
        <x:f>IF(U23=0,"Não iniciado",IF(U23&gt;=M23,"Concluído","Parcial"))</x:f>
        <x:v>Não iniciado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26744</x:v>
      </x:c>
      <x:c r="C24" s="220" t="str">
        <x:v>3</x:v>
      </x:c>
      <x:c r="D24" s="220" t="str">
        <x:v>610005</x:v>
      </x:c>
      <x:c r="E24" s="220" t="str">
        <x:v>674641</x:v>
      </x:c>
      <x:c r="F24" s="220" t="str">
        <x:v>BATENTE</x:v>
      </x:c>
      <x:c r="G24" s="190" t="str">
        <x:v>2110x150x30 42x10 R2 BIA PET B U PREM</x:v>
      </x:c>
      <x:c r="H24" s="190" t="str"/>
      <x:c r="I24" s="190" t="str"/>
      <x:c r="J24" s="190" t="str"/>
      <x:c r="K24" s="190" t="str">
        <x:v>RECOBERTO PET</x:v>
      </x:c>
      <x:c r="L24" s="190" t="str">
        <x:v>BRANCO CARRARA</x:v>
      </x:c>
      <x:c r="M24" s="210" t="n">
        <x:v>2</x:v>
      </x:c>
      <x:c r="N24" s="210" t="n">
        <x:v>2110</x:v>
      </x:c>
      <x:c r="O24" s="210" t="n">
        <x:v>150</x:v>
      </x:c>
      <x:c r="P24" s="210" t="n">
        <x:v>30</x:v>
      </x:c>
      <x:c r="Q24" s="211" t="n">
        <x:v>0</x:v>
      </x:c>
      <x:c r="R24" s="207" t="str"/>
      <x:c r="S24" s="207" t="str"/>
      <x:c r="T24" s="207" t="str"/>
      <x:c r="U24" s="207" t="n">
        <x:v>0</x:v>
      </x:c>
      <x:c r="V24" s="208" t="n">
        <x:f>MAX(0,M24-U24)</x:f>
        <x:v>2</x:v>
      </x:c>
      <x:c r="W24" s="209" t="n">
        <x:f>IFERROR(U24/M24,0)</x:f>
        <x:v>0</x:v>
      </x:c>
      <x:c r="X24" s="201" t="str">
        <x:f>IF(U24=0,"Não iniciado",IF(U24&gt;=M24,"Concluído","Parcial"))</x:f>
        <x:v>Não iniciado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26750</x:v>
      </x:c>
      <x:c r="C25" s="218" t="str">
        <x:v>10</x:v>
      </x:c>
      <x:c r="D25" s="218" t="str">
        <x:v>609805</x:v>
      </x:c>
      <x:c r="E25" s="218" t="str">
        <x:v>957273</x:v>
      </x:c>
      <x:c r="F25" s="218" t="str">
        <x:v>BATENTE</x:v>
      </x:c>
      <x:c r="G25" s="184" t="str">
        <x:v>2110x150x30 42x10 R2 RTO BIA PET BC U UL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4</x:v>
      </x:c>
      <x:c r="N25" s="205" t="n">
        <x:v>2110</x:v>
      </x:c>
      <x:c r="O25" s="205" t="n">
        <x:v>150</x:v>
      </x:c>
      <x:c r="P25" s="205" t="n">
        <x:v>30</x:v>
      </x:c>
      <x:c r="Q25" s="206" t="n">
        <x:v>0</x:v>
      </x:c>
      <x:c r="R25" s="207" t="str"/>
      <x:c r="S25" s="207" t="str"/>
      <x:c r="T25" s="207" t="str"/>
      <x:c r="U25" s="207" t="n">
        <x:v>0</x:v>
      </x:c>
      <x:c r="V25" s="208" t="n">
        <x:f>MAX(0,M25-U25)</x:f>
        <x:v>4</x:v>
      </x:c>
      <x:c r="W25" s="209" t="n">
        <x:f>IFERROR(U25/M25,0)</x:f>
        <x:v>0</x:v>
      </x:c>
      <x:c r="X25" s="201" t="str">
        <x:f>IF(U25=0,"Não iniciado",IF(U25&gt;=M25,"Concluído","Parcial"))</x:f>
        <x:v>Não iniciado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26750</x:v>
      </x:c>
      <x:c r="C26" s="220" t="str">
        <x:v>15</x:v>
      </x:c>
      <x:c r="D26" s="220" t="str">
        <x:v>609844</x:v>
      </x:c>
      <x:c r="E26" s="220" t="str">
        <x:v>675612</x:v>
      </x:c>
      <x:c r="F26" s="220" t="str">
        <x:v>BATENTE</x:v>
      </x:c>
      <x:c r="G26" s="190" t="str">
        <x:v>2110x150x30 42x10 R2 RT BIA PET BC U(UL)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8</x:v>
      </x:c>
      <x:c r="N26" s="210" t="n">
        <x:v>2110</x:v>
      </x:c>
      <x:c r="O26" s="210" t="n">
        <x:v>150</x:v>
      </x:c>
      <x:c r="P26" s="210" t="n">
        <x:v>30</x:v>
      </x:c>
      <x:c r="Q26" s="211" t="n">
        <x:v>0</x:v>
      </x:c>
      <x:c r="R26" s="207" t="str"/>
      <x:c r="S26" s="207" t="str"/>
      <x:c r="T26" s="207" t="str"/>
      <x:c r="U26" s="207" t="n">
        <x:v>0</x:v>
      </x:c>
      <x:c r="V26" s="208" t="n">
        <x:f>MAX(0,M26-U26)</x:f>
        <x:v>8</x:v>
      </x:c>
      <x:c r="W26" s="209" t="n">
        <x:f>IFERROR(U26/M26,0)</x:f>
        <x:v>0</x:v>
      </x:c>
      <x:c r="X26" s="201" t="str">
        <x:f>IF(U26=0,"Não iniciado",IF(U26&gt;=M26,"Concluído","Parcial"))</x:f>
        <x:v>Não iniciado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26750</x:v>
      </x:c>
      <x:c r="C27" s="218" t="str">
        <x:v>24</x:v>
      </x:c>
      <x:c r="D27" s="218" t="str">
        <x:v>609899</x:v>
      </x:c>
      <x:c r="E27" s="218" t="str">
        <x:v>675612</x:v>
      </x:c>
      <x:c r="F27" s="218" t="str">
        <x:v>BATENTE</x:v>
      </x:c>
      <x:c r="G27" s="184" t="str">
        <x:v>2110x150x30 42x10 R2 RT BIA PET BC U(UL)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20</x:v>
      </x:c>
      <x:c r="N27" s="205" t="n">
        <x:v>2110</x:v>
      </x:c>
      <x:c r="O27" s="205" t="n">
        <x:v>150</x:v>
      </x:c>
      <x:c r="P27" s="205" t="n">
        <x:v>30</x:v>
      </x:c>
      <x:c r="Q27" s="206" t="n">
        <x:v>0</x:v>
      </x:c>
      <x:c r="R27" s="207" t="str"/>
      <x:c r="S27" s="207" t="str"/>
      <x:c r="T27" s="207" t="str"/>
      <x:c r="U27" s="207" t="n">
        <x:v>0</x:v>
      </x:c>
      <x:c r="V27" s="208" t="n">
        <x:f>MAX(0,M27-U27)</x:f>
        <x:v>20</x:v>
      </x:c>
      <x:c r="W27" s="209" t="n">
        <x:f>IFERROR(U27/M27,0)</x:f>
        <x:v>0</x:v>
      </x:c>
      <x:c r="X27" s="201" t="str">
        <x:f>IF(U27=0,"Não iniciado",IF(U27&gt;=M27,"Concluído","Parcial"))</x:f>
        <x:v>Não iniciado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26747</x:v>
      </x:c>
      <x:c r="C28" s="220" t="str">
        <x:v>2</x:v>
      </x:c>
      <x:c r="D28" s="220" t="str">
        <x:v>608999</x:v>
      </x:c>
      <x:c r="E28" s="220" t="str">
        <x:v>957273</x:v>
      </x:c>
      <x:c r="F28" s="220" t="str">
        <x:v>BATENTE</x:v>
      </x:c>
      <x:c r="G28" s="190" t="str">
        <x:v>2110x150x30 42x10 R2 RTO BIA PET BC U UL</x:v>
      </x:c>
      <x:c r="H28" s="190" t="str">
        <x:v>MDF ULTRA</x:v>
      </x:c>
      <x:c r="I28" s="190" t="str">
        <x:v>C/BORRACHA I APLICADA</x:v>
      </x:c>
      <x:c r="J28" s="190" t="str">
        <x:v>C/REB 42X10</x:v>
      </x:c>
      <x:c r="K28" s="190" t="str">
        <x:v>RECOBERTO PET</x:v>
      </x:c>
      <x:c r="L28" s="190" t="str">
        <x:v>BRANCO CARRARA</x:v>
      </x:c>
      <x:c r="M28" s="210" t="n">
        <x:v>2</x:v>
      </x:c>
      <x:c r="N28" s="210" t="n">
        <x:v>2110</x:v>
      </x:c>
      <x:c r="O28" s="210" t="n">
        <x:v>150</x:v>
      </x:c>
      <x:c r="P28" s="210" t="n">
        <x:v>30</x:v>
      </x:c>
      <x:c r="Q28" s="211" t="n">
        <x:v>0</x:v>
      </x:c>
      <x:c r="R28" s="207" t="str"/>
      <x:c r="S28" s="207" t="str"/>
      <x:c r="T28" s="207" t="str"/>
      <x:c r="U28" s="207" t="n">
        <x:v>0</x:v>
      </x:c>
      <x:c r="V28" s="208" t="n">
        <x:f>MAX(0,M28-U28)</x:f>
        <x:v>2</x:v>
      </x:c>
      <x:c r="W28" s="209" t="n">
        <x:f>IFERROR(U28/M28,0)</x:f>
        <x:v>0</x:v>
      </x:c>
      <x:c r="X28" s="201" t="str">
        <x:f>IF(U28=0,"Não iniciado",IF(U28&gt;=M28,"Concluído","Parcial"))</x:f>
        <x:v>Não iniciado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26747</x:v>
      </x:c>
      <x:c r="C29" s="218" t="str">
        <x:v>5</x:v>
      </x:c>
      <x:c r="D29" s="218" t="str">
        <x:v>609008</x:v>
      </x:c>
      <x:c r="E29" s="218" t="str">
        <x:v>957273</x:v>
      </x:c>
      <x:c r="F29" s="218" t="str">
        <x:v>BATENTE</x:v>
      </x:c>
      <x:c r="G29" s="184" t="str">
        <x:v>2110x150x30 42x10 R2 RTO BIA PET BC U UL</x:v>
      </x:c>
      <x:c r="H29" s="184" t="str">
        <x:v>MDF ULTRA</x:v>
      </x:c>
      <x:c r="I29" s="184" t="str">
        <x:v>C/BORRACHA I APLICADA</x:v>
      </x:c>
      <x:c r="J29" s="184" t="str">
        <x:v>C/REB 42X10</x:v>
      </x:c>
      <x:c r="K29" s="184" t="str">
        <x:v>RECOBERTO PET</x:v>
      </x:c>
      <x:c r="L29" s="184" t="str">
        <x:v>BRANCO CARRARA</x:v>
      </x:c>
      <x:c r="M29" s="205" t="n">
        <x:v>2</x:v>
      </x:c>
      <x:c r="N29" s="205" t="n">
        <x:v>2110</x:v>
      </x:c>
      <x:c r="O29" s="205" t="n">
        <x:v>150</x:v>
      </x:c>
      <x:c r="P29" s="205" t="n">
        <x:v>30</x:v>
      </x:c>
      <x:c r="Q29" s="206" t="n">
        <x:v>0</x:v>
      </x:c>
      <x:c r="R29" s="207" t="str"/>
      <x:c r="S29" s="207" t="str"/>
      <x:c r="T29" s="207" t="str"/>
      <x:c r="U29" s="207" t="n">
        <x:v>0</x:v>
      </x:c>
      <x:c r="V29" s="208" t="n">
        <x:f>MAX(0,M29-U29)</x:f>
        <x:v>2</x:v>
      </x:c>
      <x:c r="W29" s="209" t="n">
        <x:f>IFERROR(U29/M29,0)</x:f>
        <x:v>0</x:v>
      </x:c>
      <x:c r="X29" s="201" t="str">
        <x:f>IF(U29=0,"Não iniciado",IF(U29&gt;=M29,"Concluído","Parcial"))</x:f>
        <x:v>Não iniciado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26809</x:v>
      </x:c>
      <x:c r="C30" s="220" t="str">
        <x:v>5</x:v>
      </x:c>
      <x:c r="D30" s="220" t="str">
        <x:v>609938</x:v>
      </x:c>
      <x:c r="E30" s="220" t="str">
        <x:v>2010700624</x:v>
      </x:c>
      <x:c r="F30" s="220" t="str">
        <x:v>BATENTE</x:v>
      </x:c>
      <x:c r="G30" s="190" t="str">
        <x:v>M ULTRA PET CAP M 2110X150X30 42X10 R2L</x:v>
      </x:c>
      <x:c r="H30" s="190" t="str">
        <x:v>MDF ULTRA</x:v>
      </x:c>
      <x:c r="I30" s="190" t="str">
        <x:v>C/BORRACHA I APLICADA</x:v>
      </x:c>
      <x:c r="J30" s="190" t="str">
        <x:v>C/REB 42X10</x:v>
      </x:c>
      <x:c r="K30" s="190" t="str">
        <x:v>RECOBERTO PET</x:v>
      </x:c>
      <x:c r="L30" s="190" t="str">
        <x:v>CAPUCCINO MARCHE</x:v>
      </x:c>
      <x:c r="M30" s="210" t="n">
        <x:v>2</x:v>
      </x:c>
      <x:c r="N30" s="210" t="n">
        <x:v>2110</x:v>
      </x:c>
      <x:c r="O30" s="210" t="n">
        <x:v>150</x:v>
      </x:c>
      <x:c r="P30" s="210" t="n">
        <x:v>30</x:v>
      </x:c>
      <x:c r="Q30" s="211" t="n">
        <x:v>0.019</x:v>
      </x:c>
      <x:c r="R30" s="207" t="str"/>
      <x:c r="S30" s="207" t="str"/>
      <x:c r="T30" s="207" t="str"/>
      <x:c r="U30" s="207" t="n">
        <x:v>0</x:v>
      </x:c>
      <x:c r="V30" s="208" t="n">
        <x:f>MAX(0,M30-U30)</x:f>
        <x:v>2</x:v>
      </x:c>
      <x:c r="W30" s="209" t="n">
        <x:f>IFERROR(U30/M30,0)</x:f>
        <x:v>0</x:v>
      </x:c>
      <x:c r="X30" s="201" t="str">
        <x:f>IF(U30=0,"Não iniciado",IF(U30&gt;=M30,"Concluído","Parcial"))</x:f>
        <x:v>Não iniciado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26792</x:v>
      </x:c>
      <x:c r="C31" s="218" t="str">
        <x:v>5</x:v>
      </x:c>
      <x:c r="D31" s="218" t="str">
        <x:v>609455</x:v>
      </x:c>
      <x:c r="E31" s="218" t="str">
        <x:v>2010600115</x:v>
      </x:c>
      <x:c r="F31" s="218" t="str">
        <x:v>OUTROS</x:v>
      </x:c>
      <x:c r="G31" s="184" t="str">
        <x:v>M P MDF STD PET TXT BCO 2110X150X30 42X1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108</x:v>
      </x:c>
      <x:c r="N31" s="205" t="n">
        <x:v>2110</x:v>
      </x:c>
      <x:c r="O31" s="205" t="n">
        <x:v>150</x:v>
      </x:c>
      <x:c r="P31" s="205" t="n">
        <x:v>30</x:v>
      </x:c>
      <x:c r="Q31" s="206" t="n">
        <x:v>1.025</x:v>
      </x:c>
      <x:c r="R31" s="207" t="str"/>
      <x:c r="S31" s="207" t="str"/>
      <x:c r="T31" s="207" t="str"/>
      <x:c r="U31" s="207" t="n">
        <x:v>0</x:v>
      </x:c>
      <x:c r="V31" s="208" t="n">
        <x:f>MAX(0,M31-U31)</x:f>
        <x:v>108</x:v>
      </x:c>
      <x:c r="W31" s="209" t="n">
        <x:f>IFERROR(U31/M31,0)</x:f>
        <x:v>0</x:v>
      </x:c>
      <x:c r="X31" s="201" t="str">
        <x:f>IF(U31=0,"Não iniciado",IF(U31&gt;=M31,"Concluído","Parcial"))</x:f>
        <x:v>Não iniciado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26792</x:v>
      </x:c>
      <x:c r="C32" s="220" t="str">
        <x:v>6</x:v>
      </x:c>
      <x:c r="D32" s="220" t="str">
        <x:v>609472</x:v>
      </x:c>
      <x:c r="E32" s="220" t="str">
        <x:v>2010600115</x:v>
      </x:c>
      <x:c r="F32" s="220" t="str">
        <x:v>OUTROS</x:v>
      </x:c>
      <x:c r="G32" s="190" t="str">
        <x:v>M P MDF STD PET TXT BCO 2110X150X30 42X1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20</x:v>
      </x:c>
      <x:c r="N32" s="210" t="n">
        <x:v>2110</x:v>
      </x:c>
      <x:c r="O32" s="210" t="n">
        <x:v>150</x:v>
      </x:c>
      <x:c r="P32" s="210" t="n">
        <x:v>30</x:v>
      </x:c>
      <x:c r="Q32" s="211" t="n">
        <x:v>0.19</x:v>
      </x:c>
      <x:c r="R32" s="207" t="str"/>
      <x:c r="S32" s="207" t="str"/>
      <x:c r="T32" s="207" t="str"/>
      <x:c r="U32" s="207" t="n">
        <x:v>0</x:v>
      </x:c>
      <x:c r="V32" s="208" t="n">
        <x:f>MAX(0,M32-U32)</x:f>
        <x:v>20</x:v>
      </x:c>
      <x:c r="W32" s="209" t="n">
        <x:f>IFERROR(U32/M32,0)</x:f>
        <x:v>0</x:v>
      </x:c>
      <x:c r="X32" s="201" t="str">
        <x:f>IF(U32=0,"Não iniciado",IF(U32&gt;=M32,"Concluído","Parcial"))</x:f>
        <x:v>Não iniciado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26815</x:v>
      </x:c>
      <x:c r="C33" s="218" t="str">
        <x:v>6</x:v>
      </x:c>
      <x:c r="D33" s="218" t="str">
        <x:v>609550</x:v>
      </x:c>
      <x:c r="E33" s="218" t="str">
        <x:v>2010600115</x:v>
      </x:c>
      <x:c r="F33" s="218" t="str">
        <x:v>OUTROS</x:v>
      </x:c>
      <x:c r="G33" s="184" t="str">
        <x:v>M P MDF STD PET TXT BCO 2110X150X30 42X1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54</x:v>
      </x:c>
      <x:c r="N33" s="205" t="n">
        <x:v>2110</x:v>
      </x:c>
      <x:c r="O33" s="205" t="n">
        <x:v>150</x:v>
      </x:c>
      <x:c r="P33" s="205" t="n">
        <x:v>30</x:v>
      </x:c>
      <x:c r="Q33" s="206" t="n">
        <x:v>0.513</x:v>
      </x:c>
      <x:c r="R33" s="207" t="str"/>
      <x:c r="S33" s="207" t="str"/>
      <x:c r="T33" s="207" t="str"/>
      <x:c r="U33" s="207" t="n">
        <x:v>0</x:v>
      </x:c>
      <x:c r="V33" s="208" t="n">
        <x:f>MAX(0,M33-U33)</x:f>
        <x:v>54</x:v>
      </x:c>
      <x:c r="W33" s="209" t="n">
        <x:f>IFERROR(U33/M33,0)</x:f>
        <x:v>0</x:v>
      </x:c>
      <x:c r="X33" s="201" t="str">
        <x:f>IF(U33=0,"Não iniciado",IF(U33&gt;=M33,"Concluído","Parcial"))</x:f>
        <x:v>Não iniciado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26815</x:v>
      </x:c>
      <x:c r="C34" s="220" t="str">
        <x:v>7</x:v>
      </x:c>
      <x:c r="D34" s="220" t="str">
        <x:v>609567</x:v>
      </x:c>
      <x:c r="E34" s="220" t="str">
        <x:v>2010600115</x:v>
      </x:c>
      <x:c r="F34" s="220" t="str">
        <x:v>OUTROS</x:v>
      </x:c>
      <x:c r="G34" s="190" t="str">
        <x:v>M P MDF STD PET TXT BCO 2110X150X30 42X1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10</x:v>
      </x:c>
      <x:c r="N34" s="210" t="n">
        <x:v>2110</x:v>
      </x:c>
      <x:c r="O34" s="210" t="n">
        <x:v>150</x:v>
      </x:c>
      <x:c r="P34" s="210" t="n">
        <x:v>30</x:v>
      </x:c>
      <x:c r="Q34" s="211" t="n">
        <x:v>0.095</x:v>
      </x:c>
      <x:c r="R34" s="207" t="str"/>
      <x:c r="S34" s="207" t="str"/>
      <x:c r="T34" s="207" t="str"/>
      <x:c r="U34" s="207" t="n">
        <x:v>0</x:v>
      </x:c>
      <x:c r="V34" s="208" t="n">
        <x:f>MAX(0,M34-U34)</x:f>
        <x:v>10</x:v>
      </x:c>
      <x:c r="W34" s="209" t="n">
        <x:f>IFERROR(U34/M34,0)</x:f>
        <x:v>0</x:v>
      </x:c>
      <x:c r="X34" s="201" t="str">
        <x:f>IF(U34=0,"Não iniciado",IF(U34&gt;=M34,"Concluído","Parcial"))</x:f>
        <x:v>Não iniciado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26747</x:v>
      </x:c>
      <x:c r="C35" s="218" t="str">
        <x:v>13</x:v>
      </x:c>
      <x:c r="D35" s="218" t="str">
        <x:v>609030</x:v>
      </x:c>
      <x:c r="E35" s="218" t="str">
        <x:v>964082</x:v>
      </x:c>
      <x:c r="F35" s="218" t="str">
        <x:v>BATENTE</x:v>
      </x:c>
      <x:c r="G35" s="184" t="str">
        <x:v>1000x150x30 S/REB R1L RTo PET BC (UL)</x:v>
      </x:c>
      <x:c r="H35" s="184" t="str">
        <x:v>MDF ULTRA</x:v>
      </x:c>
      <x:c r="I35" s="184" t="str">
        <x:v>S/CANAL</x:v>
      </x:c>
      <x:c r="J35" s="184" t="str">
        <x:v>S/REB</x:v>
      </x:c>
      <x:c r="K35" s="184" t="str">
        <x:v>RECOBERTO PET</x:v>
      </x:c>
      <x:c r="L35" s="184" t="str">
        <x:v>BRANCO CARRARA</x:v>
      </x:c>
      <x:c r="M35" s="205" t="n">
        <x:v>1</x:v>
      </x:c>
      <x:c r="N35" s="205" t="n">
        <x:v>1000</x:v>
      </x:c>
      <x:c r="O35" s="205" t="n">
        <x:v>150</x:v>
      </x:c>
      <x:c r="P35" s="205" t="n">
        <x:v>30</x:v>
      </x:c>
      <x:c r="Q35" s="206" t="n">
        <x:v>0</x:v>
      </x:c>
      <x:c r="R35" s="207" t="str"/>
      <x:c r="S35" s="207" t="str"/>
      <x:c r="T35" s="207" t="str"/>
      <x:c r="U35" s="207" t="n">
        <x:v>0</x:v>
      </x:c>
      <x:c r="V35" s="208" t="n">
        <x:f>MAX(0,M35-U35)</x:f>
        <x:v>1</x:v>
      </x:c>
      <x:c r="W35" s="209" t="n">
        <x:f>IFERROR(U35/M35,0)</x:f>
        <x:v>0</x:v>
      </x:c>
      <x:c r="X35" s="201" t="str">
        <x:f>IF(U35=0,"Não iniciado",IF(U35&gt;=M35,"Concluído","Parcial"))</x:f>
        <x:v>Não iniciado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26792</x:v>
      </x:c>
      <x:c r="C36" s="220" t="str">
        <x:v>5</x:v>
      </x:c>
      <x:c r="D36" s="220" t="str">
        <x:v>609456</x:v>
      </x:c>
      <x:c r="E36" s="220" t="str">
        <x:v>2010600117</x:v>
      </x:c>
      <x:c r="F36" s="220" t="str">
        <x:v>BATENTE</x:v>
      </x:c>
      <x:c r="G36" s="190" t="str">
        <x:v>M T MDF STD PET TXT BCO 947X150X30 42X10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54</x:v>
      </x:c>
      <x:c r="N36" s="210" t="n">
        <x:v>947</x:v>
      </x:c>
      <x:c r="O36" s="210" t="n">
        <x:v>150</x:v>
      </x:c>
      <x:c r="P36" s="210" t="n">
        <x:v>30</x:v>
      </x:c>
      <x:c r="Q36" s="211" t="n">
        <x:v>0.23</x:v>
      </x:c>
      <x:c r="R36" s="207" t="str"/>
      <x:c r="S36" s="207" t="str"/>
      <x:c r="T36" s="207" t="str"/>
      <x:c r="U36" s="207" t="n">
        <x:v>0</x:v>
      </x:c>
      <x:c r="V36" s="208" t="n">
        <x:f>MAX(0,M36-U36)</x:f>
        <x:v>54</x:v>
      </x:c>
      <x:c r="W36" s="209" t="n">
        <x:f>IFERROR(U36/M36,0)</x:f>
        <x:v>0</x:v>
      </x:c>
      <x:c r="X36" s="201" t="str">
        <x:f>IF(U36=0,"Não iniciado",IF(U36&gt;=M36,"Concluído","Parcial"))</x:f>
        <x:v>Não iniciado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26792</x:v>
      </x:c>
      <x:c r="C37" s="218" t="str">
        <x:v>6</x:v>
      </x:c>
      <x:c r="D37" s="218" t="str">
        <x:v>609473</x:v>
      </x:c>
      <x:c r="E37" s="218" t="str">
        <x:v>2010600117</x:v>
      </x:c>
      <x:c r="F37" s="218" t="str">
        <x:v>BATENTE</x:v>
      </x:c>
      <x:c r="G37" s="184" t="str">
        <x:v>M T MDF STD PET TXT BCO 947X150X30 42X10</x:v>
      </x:c>
      <x:c r="H37" s="184" t="str"/>
      <x:c r="I37" s="184" t="str"/>
      <x:c r="J37" s="184" t="str"/>
      <x:c r="K37" s="184" t="str">
        <x:v>ESMALTE</x:v>
      </x:c>
      <x:c r="L37" s="184" t="str">
        <x:v>BRANCO CARRARA</x:v>
      </x:c>
      <x:c r="M37" s="205" t="n">
        <x:v>10</x:v>
      </x:c>
      <x:c r="N37" s="205" t="n">
        <x:v>947</x:v>
      </x:c>
      <x:c r="O37" s="205" t="n">
        <x:v>150</x:v>
      </x:c>
      <x:c r="P37" s="205" t="n">
        <x:v>30</x:v>
      </x:c>
      <x:c r="Q37" s="206" t="n">
        <x:v>0.043</x:v>
      </x:c>
      <x:c r="R37" s="207" t="str"/>
      <x:c r="S37" s="207" t="str"/>
      <x:c r="T37" s="207" t="str"/>
      <x:c r="U37" s="207" t="n">
        <x:v>0</x:v>
      </x:c>
      <x:c r="V37" s="208" t="n">
        <x:f>MAX(0,M37-U37)</x:f>
        <x:v>10</x:v>
      </x:c>
      <x:c r="W37" s="209" t="n">
        <x:f>IFERROR(U37/M37,0)</x:f>
        <x:v>0</x:v>
      </x:c>
      <x:c r="X37" s="201" t="str">
        <x:f>IF(U37=0,"Não iniciado",IF(U37&gt;=M37,"Concluído","Parcial"))</x:f>
        <x:v>Não iniciado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26815</x:v>
      </x:c>
      <x:c r="C38" s="220" t="str">
        <x:v>6</x:v>
      </x:c>
      <x:c r="D38" s="220" t="str">
        <x:v>609551</x:v>
      </x:c>
      <x:c r="E38" s="220" t="str">
        <x:v>2010600117</x:v>
      </x:c>
      <x:c r="F38" s="220" t="str">
        <x:v>BATENTE</x:v>
      </x:c>
      <x:c r="G38" s="190" t="str">
        <x:v>M T MDF STD PET TXT BCO 947X150X30 42X10</x:v>
      </x:c>
      <x:c r="H38" s="190" t="str"/>
      <x:c r="I38" s="190" t="str"/>
      <x:c r="J38" s="190" t="str"/>
      <x:c r="K38" s="190" t="str">
        <x:v>ESMALTE</x:v>
      </x:c>
      <x:c r="L38" s="190" t="str">
        <x:v>BRANCO CARRARA</x:v>
      </x:c>
      <x:c r="M38" s="210" t="n">
        <x:v>27</x:v>
      </x:c>
      <x:c r="N38" s="210" t="n">
        <x:v>947</x:v>
      </x:c>
      <x:c r="O38" s="210" t="n">
        <x:v>150</x:v>
      </x:c>
      <x:c r="P38" s="210" t="n">
        <x:v>30</x:v>
      </x:c>
      <x:c r="Q38" s="211" t="n">
        <x:v>0.115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27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26815</x:v>
      </x:c>
      <x:c r="C39" s="218" t="str">
        <x:v>7</x:v>
      </x:c>
      <x:c r="D39" s="218" t="str">
        <x:v>609568</x:v>
      </x:c>
      <x:c r="E39" s="218" t="str">
        <x:v>2010600117</x:v>
      </x:c>
      <x:c r="F39" s="218" t="str">
        <x:v>BATENTE</x:v>
      </x:c>
      <x:c r="G39" s="184" t="str">
        <x:v>M T MDF STD PET TXT BCO 947X150X30 42X10</x:v>
      </x:c>
      <x:c r="H39" s="184" t="str"/>
      <x:c r="I39" s="184" t="str"/>
      <x:c r="J39" s="184" t="str"/>
      <x:c r="K39" s="184" t="str">
        <x:v>ESMALTE</x:v>
      </x:c>
      <x:c r="L39" s="184" t="str">
        <x:v>BRANCO CARRARA</x:v>
      </x:c>
      <x:c r="M39" s="205" t="n">
        <x:v>5</x:v>
      </x:c>
      <x:c r="N39" s="205" t="n">
        <x:v>947</x:v>
      </x:c>
      <x:c r="O39" s="205" t="n">
        <x:v>150</x:v>
      </x:c>
      <x:c r="P39" s="205" t="n">
        <x:v>30</x:v>
      </x:c>
      <x:c r="Q39" s="206" t="n">
        <x:v>0.021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5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26809</x:v>
      </x:c>
      <x:c r="C40" s="220" t="str">
        <x:v>5</x:v>
      </x:c>
      <x:c r="D40" s="220" t="str">
        <x:v>609939</x:v>
      </x:c>
      <x:c r="E40" s="220" t="str">
        <x:v>2010701235</x:v>
      </x:c>
      <x:c r="F40" s="220" t="str">
        <x:v>BATENTE</x:v>
      </x:c>
      <x:c r="G40" s="190" t="str">
        <x:v>M ULTRA PET CAP M 947X150X30 42X10 R2L M</x:v>
      </x:c>
      <x:c r="H40" s="190" t="str">
        <x:v>MDF ULTRA</x:v>
      </x:c>
      <x:c r="I40" s="190" t="str">
        <x:v>C/BORRACHA I APLICADA</x:v>
      </x:c>
      <x:c r="J40" s="190" t="str">
        <x:v>C/REB 42X10</x:v>
      </x:c>
      <x:c r="K40" s="190" t="str">
        <x:v>RECOBERTO PET</x:v>
      </x:c>
      <x:c r="L40" s="190" t="str">
        <x:v>CAPUCCINO MARCHE</x:v>
      </x:c>
      <x:c r="M40" s="210" t="n">
        <x:v>1</x:v>
      </x:c>
      <x:c r="N40" s="210" t="n">
        <x:v>947</x:v>
      </x:c>
      <x:c r="O40" s="210" t="n">
        <x:v>150</x:v>
      </x:c>
      <x:c r="P40" s="210" t="n">
        <x:v>30</x:v>
      </x:c>
      <x:c r="Q40" s="211" t="n">
        <x:v>0.004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1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26684</x:v>
      </x:c>
      <x:c r="C41" s="218" t="str">
        <x:v>7</x:v>
      </x:c>
      <x:c r="D41" s="218" t="str">
        <x:v>609160</x:v>
      </x:c>
      <x:c r="E41" s="218" t="str">
        <x:v>966823</x:v>
      </x:c>
      <x:c r="F41" s="218" t="str">
        <x:v>BATENTE</x:v>
      </x:c>
      <x:c r="G41" s="184" t="str">
        <x:v>867x150x30 42x10 R2L RT BIA PET STD PREM</x:v>
      </x:c>
      <x:c r="H41" s="184" t="str"/>
      <x:c r="I41" s="184" t="str"/>
      <x:c r="J41" s="184" t="str"/>
      <x:c r="K41" s="184" t="str">
        <x:v>ESMALTE</x:v>
      </x:c>
      <x:c r="L41" s="184" t="str">
        <x:v>BRANCO CARRARA</x:v>
      </x:c>
      <x:c r="M41" s="205" t="n">
        <x:v>1</x:v>
      </x:c>
      <x:c r="N41" s="205" t="n">
        <x:v>867</x:v>
      </x:c>
      <x:c r="O41" s="205" t="n">
        <x:v>150</x:v>
      </x:c>
      <x:c r="P41" s="205" t="n">
        <x:v>30</x:v>
      </x:c>
      <x:c r="Q41" s="206" t="n">
        <x:v>0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1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26750</x:v>
      </x:c>
      <x:c r="C42" s="220" t="str">
        <x:v>10</x:v>
      </x:c>
      <x:c r="D42" s="220" t="str">
        <x:v>609809</x:v>
      </x:c>
      <x:c r="E42" s="220" t="str">
        <x:v>974320</x:v>
      </x:c>
      <x:c r="F42" s="220" t="str">
        <x:v>BATENTE</x:v>
      </x:c>
      <x:c r="G42" s="190" t="str">
        <x:v>867x150x30 42x10 R2L RTO BIA PET BCO ULT</x:v>
      </x:c>
      <x:c r="H42" s="190" t="str"/>
      <x:c r="I42" s="190" t="str"/>
      <x:c r="J42" s="190" t="str"/>
      <x:c r="K42" s="190" t="str">
        <x:v>ESMALTE</x:v>
      </x:c>
      <x:c r="L42" s="190" t="str">
        <x:v>BRANCO CARRARA</x:v>
      </x:c>
      <x:c r="M42" s="210" t="n">
        <x:v>2</x:v>
      </x:c>
      <x:c r="N42" s="210" t="n">
        <x:v>867</x:v>
      </x:c>
      <x:c r="O42" s="210" t="n">
        <x:v>150</x:v>
      </x:c>
      <x:c r="P42" s="210" t="n">
        <x:v>30</x:v>
      </x:c>
      <x:c r="Q42" s="211" t="n">
        <x:v>0.008</x:v>
      </x:c>
      <x:c r="R42" s="207" t="str"/>
      <x:c r="S42" s="207" t="str"/>
      <x:c r="T42" s="207" t="str"/>
      <x:c r="U42" s="207" t="n">
        <x:v>0</x:v>
      </x:c>
      <x:c r="V42" s="208" t="n">
        <x:f>MAX(0,M42-U42)</x:f>
        <x:v>2</x:v>
      </x:c>
      <x:c r="W42" s="209" t="n">
        <x:f>IFERROR(U42/M42,0)</x:f>
        <x:v>0</x:v>
      </x:c>
      <x:c r="X42" s="201" t="str">
        <x:f>IF(U42=0,"Não iniciado",IF(U42&gt;=M42,"Concluído","Parcial"))</x:f>
        <x:v>Não iniciado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26739</x:v>
      </x:c>
      <x:c r="C43" s="218" t="str">
        <x:v>12</x:v>
      </x:c>
      <x:c r="D43" s="218" t="str">
        <x:v>609675</x:v>
      </x:c>
      <x:c r="E43" s="218" t="str">
        <x:v>968128</x:v>
      </x:c>
      <x:c r="F43" s="218" t="str">
        <x:v>BATENTE</x:v>
      </x:c>
      <x:c r="G43" s="184" t="str">
        <x:v>767x150x30 42x10 R2L RTO BIA PET BCO ULT</x:v>
      </x:c>
      <x:c r="H43" s="184" t="str"/>
      <x:c r="I43" s="184" t="str"/>
      <x:c r="J43" s="184" t="str"/>
      <x:c r="K43" s="184" t="str">
        <x:v>ESMALTE</x:v>
      </x:c>
      <x:c r="L43" s="184" t="str">
        <x:v>BRANCO CARRARA</x:v>
      </x:c>
      <x:c r="M43" s="205" t="n">
        <x:v>1</x:v>
      </x:c>
      <x:c r="N43" s="205" t="n">
        <x:v>767</x:v>
      </x:c>
      <x:c r="O43" s="205" t="n">
        <x:v>150</x:v>
      </x:c>
      <x:c r="P43" s="205" t="n">
        <x:v>30</x:v>
      </x:c>
      <x:c r="Q43" s="206" t="n">
        <x:v>0.003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1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26750</x:v>
      </x:c>
      <x:c r="C44" s="220" t="str">
        <x:v>15</x:v>
      </x:c>
      <x:c r="D44" s="220" t="str">
        <x:v>609848</x:v>
      </x:c>
      <x:c r="E44" s="220" t="str">
        <x:v>968128</x:v>
      </x:c>
      <x:c r="F44" s="220" t="str">
        <x:v>BATENTE</x:v>
      </x:c>
      <x:c r="G44" s="190" t="str">
        <x:v>767x150x30 42x10 R2L RTO BIA PET BCO ULT</x:v>
      </x:c>
      <x:c r="H44" s="190" t="str"/>
      <x:c r="I44" s="190" t="str"/>
      <x:c r="J44" s="190" t="str"/>
      <x:c r="K44" s="190" t="str">
        <x:v>ESMALTE</x:v>
      </x:c>
      <x:c r="L44" s="190" t="str">
        <x:v>BRANCO CARRARA</x:v>
      </x:c>
      <x:c r="M44" s="210" t="n">
        <x:v>4</x:v>
      </x:c>
      <x:c r="N44" s="210" t="n">
        <x:v>767</x:v>
      </x:c>
      <x:c r="O44" s="210" t="n">
        <x:v>150</x:v>
      </x:c>
      <x:c r="P44" s="210" t="n">
        <x:v>30</x:v>
      </x:c>
      <x:c r="Q44" s="211" t="n">
        <x:v>0.014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4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26744</x:v>
      </x:c>
      <x:c r="C45" s="218" t="str">
        <x:v>3</x:v>
      </x:c>
      <x:c r="D45" s="218" t="str">
        <x:v>610006</x:v>
      </x:c>
      <x:c r="E45" s="218" t="str">
        <x:v>675666</x:v>
      </x:c>
      <x:c r="F45" s="218" t="str">
        <x:v>BATENTE</x:v>
      </x:c>
      <x:c r="G45" s="184" t="str">
        <x:v>747x150x30 42x10 R2 BIA R PET BCO PRM</x:v>
      </x:c>
      <x:c r="H45" s="184" t="str"/>
      <x:c r="I45" s="184" t="str"/>
      <x:c r="J45" s="184" t="str"/>
      <x:c r="K45" s="184" t="str">
        <x:v>RECOBERTO PET</x:v>
      </x:c>
      <x:c r="L45" s="184" t="str">
        <x:v>BRANCO CARRARA</x:v>
      </x:c>
      <x:c r="M45" s="205" t="n">
        <x:v>1</x:v>
      </x:c>
      <x:c r="N45" s="205" t="n">
        <x:v>747</x:v>
      </x:c>
      <x:c r="O45" s="205" t="n">
        <x:v>150</x:v>
      </x:c>
      <x:c r="P45" s="205" t="n">
        <x:v>30</x:v>
      </x:c>
      <x:c r="Q45" s="206" t="n">
        <x:v>0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1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26747</x:v>
      </x:c>
      <x:c r="C46" s="220" t="str">
        <x:v>5</x:v>
      </x:c>
      <x:c r="D46" s="220" t="str">
        <x:v>609009</x:v>
      </x:c>
      <x:c r="E46" s="220" t="str">
        <x:v>957281</x:v>
      </x:c>
      <x:c r="F46" s="220" t="str">
        <x:v>BATENTE</x:v>
      </x:c>
      <x:c r="G46" s="190" t="str">
        <x:v>747x150x30 42x10 R2L RTO BIA PET BCO ULT</x:v>
      </x:c>
      <x:c r="H46" s="190" t="str">
        <x:v>MDF ULTRA</x:v>
      </x:c>
      <x:c r="I46" s="190" t="str">
        <x:v>C/BORRACHA I APLICADA</x:v>
      </x:c>
      <x:c r="J46" s="190" t="str">
        <x:v>C/REB 42X10</x:v>
      </x:c>
      <x:c r="K46" s="190" t="str">
        <x:v>RECOBERTO PET</x:v>
      </x:c>
      <x:c r="L46" s="190" t="str">
        <x:v>BRANCO CARRARA</x:v>
      </x:c>
      <x:c r="M46" s="210" t="n">
        <x:v>1</x:v>
      </x:c>
      <x:c r="N46" s="210" t="n">
        <x:v>747</x:v>
      </x:c>
      <x:c r="O46" s="210" t="n">
        <x:v>150</x:v>
      </x:c>
      <x:c r="P46" s="210" t="n">
        <x:v>30</x:v>
      </x:c>
      <x:c r="Q46" s="211" t="n">
        <x:v>0</x:v>
      </x:c>
      <x:c r="R46" s="207" t="str"/>
      <x:c r="S46" s="207" t="str"/>
      <x:c r="T46" s="207" t="str"/>
      <x:c r="U46" s="207" t="n">
        <x:v>0</x:v>
      </x:c>
      <x:c r="V46" s="208" t="n">
        <x:f>MAX(0,M46-U46)</x:f>
        <x:v>1</x:v>
      </x:c>
      <x:c r="W46" s="209" t="n">
        <x:f>IFERROR(U46/M46,0)</x:f>
        <x:v>0</x:v>
      </x:c>
      <x:c r="X46" s="201" t="str">
        <x:f>IF(U46=0,"Não iniciado",IF(U46&gt;=M46,"Concluído","Parcial"))</x:f>
        <x:v>Não iniciado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26739</x:v>
      </x:c>
      <x:c r="C47" s="218" t="str">
        <x:v>21</x:v>
      </x:c>
      <x:c r="D47" s="218" t="str">
        <x:v>609728</x:v>
      </x:c>
      <x:c r="E47" s="218" t="str">
        <x:v>959621</x:v>
      </x:c>
      <x:c r="F47" s="218" t="str">
        <x:v>BATENTE</x:v>
      </x:c>
      <x:c r="G47" s="184" t="str">
        <x:v>667x150x30 42x10 R2L BIA PET BRC (UL)</x:v>
      </x:c>
      <x:c r="H47" s="184" t="str"/>
      <x:c r="I47" s="184" t="str"/>
      <x:c r="J47" s="184" t="str"/>
      <x:c r="K47" s="184" t="str">
        <x:v>ESMALTE</x:v>
      </x:c>
      <x:c r="L47" s="184" t="str">
        <x:v>BRANCO CARRARA</x:v>
      </x:c>
      <x:c r="M47" s="205" t="n">
        <x:v>10</x:v>
      </x:c>
      <x:c r="N47" s="205" t="n">
        <x:v>667</x:v>
      </x:c>
      <x:c r="O47" s="205" t="n">
        <x:v>150</x:v>
      </x:c>
      <x:c r="P47" s="205" t="n">
        <x:v>30</x:v>
      </x:c>
      <x:c r="Q47" s="206" t="n">
        <x:v>0</x:v>
      </x:c>
      <x:c r="R47" s="207" t="str"/>
      <x:c r="S47" s="207" t="str"/>
      <x:c r="T47" s="207" t="str"/>
      <x:c r="U47" s="207" t="n">
        <x:v>0</x:v>
      </x:c>
      <x:c r="V47" s="208" t="n">
        <x:f>MAX(0,M47-U47)</x:f>
        <x:v>10</x:v>
      </x:c>
      <x:c r="W47" s="209" t="n">
        <x:f>IFERROR(U47/M47,0)</x:f>
        <x:v>0</x:v>
      </x:c>
      <x:c r="X47" s="201" t="str">
        <x:f>IF(U47=0,"Não iniciado",IF(U47&gt;=M47,"Concluído","Parcial"))</x:f>
        <x:v>Não iniciado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26750</x:v>
      </x:c>
      <x:c r="C48" s="220" t="str">
        <x:v>24</x:v>
      </x:c>
      <x:c r="D48" s="220" t="str">
        <x:v>609901</x:v>
      </x:c>
      <x:c r="E48" s="220" t="str">
        <x:v>959621</x:v>
      </x:c>
      <x:c r="F48" s="220" t="str">
        <x:v>BATENTE</x:v>
      </x:c>
      <x:c r="G48" s="190" t="str">
        <x:v>667x150x30 42x10 R2L BIA PET BRC (UL)</x:v>
      </x:c>
      <x:c r="H48" s="190" t="str"/>
      <x:c r="I48" s="190" t="str"/>
      <x:c r="J48" s="190" t="str"/>
      <x:c r="K48" s="190" t="str">
        <x:v>ESMALTE</x:v>
      </x:c>
      <x:c r="L48" s="190" t="str">
        <x:v>BRANCO CARRARA</x:v>
      </x:c>
      <x:c r="M48" s="210" t="n">
        <x:v>10</x:v>
      </x:c>
      <x:c r="N48" s="210" t="n">
        <x:v>667</x:v>
      </x:c>
      <x:c r="O48" s="210" t="n">
        <x:v>150</x:v>
      </x:c>
      <x:c r="P48" s="210" t="n">
        <x:v>30</x:v>
      </x:c>
      <x:c r="Q48" s="211" t="n">
        <x:v>0</x:v>
      </x:c>
      <x:c r="R48" s="207" t="str"/>
      <x:c r="S48" s="207" t="str"/>
      <x:c r="T48" s="207" t="str"/>
      <x:c r="U48" s="207" t="n">
        <x:v>0</x:v>
      </x:c>
      <x:c r="V48" s="208" t="n">
        <x:f>MAX(0,M48-U48)</x:f>
        <x:v>10</x:v>
      </x:c>
      <x:c r="W48" s="209" t="n">
        <x:f>IFERROR(U48/M48,0)</x:f>
        <x:v>0</x:v>
      </x:c>
      <x:c r="X48" s="201" t="str">
        <x:f>IF(U48=0,"Não iniciado",IF(U48&gt;=M48,"Concluído","Parcial"))</x:f>
        <x:v>Não iniciado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26747</x:v>
      </x:c>
      <x:c r="C49" s="218" t="str">
        <x:v>2</x:v>
      </x:c>
      <x:c r="D49" s="218" t="str">
        <x:v>609000</x:v>
      </x:c>
      <x:c r="E49" s="218" t="str">
        <x:v>963858</x:v>
      </x:c>
      <x:c r="F49" s="218" t="str">
        <x:v>BATENTE</x:v>
      </x:c>
      <x:c r="G49" s="184" t="str">
        <x:v>647x150x30 42x10 R2L RTO BIA PET BCO ULT</x:v>
      </x:c>
      <x:c r="H49" s="184" t="str">
        <x:v>MDF ULTRA</x:v>
      </x:c>
      <x:c r="I49" s="184" t="str">
        <x:v>C/BORRACHA I APLICADA</x:v>
      </x:c>
      <x:c r="J49" s="184" t="str">
        <x:v>C/REB 42X10</x:v>
      </x:c>
      <x:c r="K49" s="184" t="str">
        <x:v>RECOBERTO PET</x:v>
      </x:c>
      <x:c r="L49" s="184" t="str">
        <x:v>BRANCO CARRARA</x:v>
      </x:c>
      <x:c r="M49" s="205" t="n">
        <x:v>1</x:v>
      </x:c>
      <x:c r="N49" s="205" t="n">
        <x:v>647</x:v>
      </x:c>
      <x:c r="O49" s="205" t="n">
        <x:v>150</x:v>
      </x:c>
      <x:c r="P49" s="205" t="n">
        <x:v>30</x:v>
      </x:c>
      <x:c r="Q49" s="206" t="n">
        <x:v>0</x:v>
      </x:c>
      <x:c r="R49" s="207" t="str"/>
      <x:c r="S49" s="207" t="str"/>
      <x:c r="T49" s="207" t="str"/>
      <x:c r="U49" s="207" t="n">
        <x:v>0</x:v>
      </x:c>
      <x:c r="V49" s="208" t="n">
        <x:f>MAX(0,M49-U49)</x:f>
        <x:v>1</x:v>
      </x:c>
      <x:c r="W49" s="209" t="n">
        <x:f>IFERROR(U49/M49,0)</x:f>
        <x:v>0</x:v>
      </x:c>
      <x:c r="X49" s="201" t="str">
        <x:f>IF(U49=0,"Não iniciado",IF(U49&gt;=M49,"Concluído","Parcial"))</x:f>
        <x:v>Não iniciado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26684</x:v>
      </x:c>
      <x:c r="C50" s="220" t="str">
        <x:v>6</x:v>
      </x:c>
      <x:c r="D50" s="220" t="str">
        <x:v>609151</x:v>
      </x:c>
      <x:c r="E50" s="220" t="str">
        <x:v>972552</x:v>
      </x:c>
      <x:c r="F50" s="220" t="str">
        <x:v>BATENTE</x:v>
      </x:c>
      <x:c r="G50" s="190" t="str">
        <x:v>2110x140x30 42x10R2L R1BIA PET STD PRM U</x:v>
      </x:c>
      <x:c r="H50" s="190" t="str"/>
      <x:c r="I50" s="190" t="str"/>
      <x:c r="J50" s="190" t="str"/>
      <x:c r="K50" s="190" t="str">
        <x:v>ESMALTE</x:v>
      </x:c>
      <x:c r="L50" s="190" t="str">
        <x:v>BRANCO CARRARA</x:v>
      </x:c>
      <x:c r="M50" s="210" t="n">
        <x:v>4</x:v>
      </x:c>
      <x:c r="N50" s="210" t="n">
        <x:v>2110</x:v>
      </x:c>
      <x:c r="O50" s="210" t="n">
        <x:v>140</x:v>
      </x:c>
      <x:c r="P50" s="210" t="n">
        <x:v>30</x:v>
      </x:c>
      <x:c r="Q50" s="211" t="n">
        <x:v>0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4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26684</x:v>
      </x:c>
      <x:c r="C51" s="218" t="str">
        <x:v>10</x:v>
      </x:c>
      <x:c r="D51" s="218" t="str">
        <x:v>609183</x:v>
      </x:c>
      <x:c r="E51" s="218" t="str">
        <x:v>972552</x:v>
      </x:c>
      <x:c r="F51" s="218" t="str">
        <x:v>BATENTE</x:v>
      </x:c>
      <x:c r="G51" s="184" t="str">
        <x:v>2110x140x30 42x10R2L R1BIA PET STD PRM U</x:v>
      </x:c>
      <x:c r="H51" s="184" t="str"/>
      <x:c r="I51" s="184" t="str"/>
      <x:c r="J51" s="184" t="str"/>
      <x:c r="K51" s="184" t="str">
        <x:v>ESMALTE</x:v>
      </x:c>
      <x:c r="L51" s="184" t="str">
        <x:v>BRANCO CARRARA</x:v>
      </x:c>
      <x:c r="M51" s="205" t="n">
        <x:v>4</x:v>
      </x:c>
      <x:c r="N51" s="205" t="n">
        <x:v>2110</x:v>
      </x:c>
      <x:c r="O51" s="205" t="n">
        <x:v>140</x:v>
      </x:c>
      <x:c r="P51" s="205" t="n">
        <x:v>30</x:v>
      </x:c>
      <x:c r="Q51" s="206" t="n">
        <x:v>0</x:v>
      </x:c>
      <x:c r="R51" s="207" t="str"/>
      <x:c r="S51" s="207" t="str"/>
      <x:c r="T51" s="207" t="str"/>
      <x:c r="U51" s="207" t="n">
        <x:v>0</x:v>
      </x:c>
      <x:c r="V51" s="208" t="n">
        <x:f>MAX(0,M51-U51)</x:f>
        <x:v>4</x:v>
      </x:c>
      <x:c r="W51" s="209" t="n">
        <x:f>IFERROR(U51/M51,0)</x:f>
        <x:v>0</x:v>
      </x:c>
      <x:c r="X51" s="201" t="str">
        <x:f>IF(U51=0,"Não iniciado",IF(U51&gt;=M51,"Concluído","Parcial"))</x:f>
        <x:v>Não iniciado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26689</x:v>
      </x:c>
      <x:c r="C52" s="220" t="str">
        <x:v>4</x:v>
      </x:c>
      <x:c r="D52" s="220" t="str">
        <x:v>609102</x:v>
      </x:c>
      <x:c r="E52" s="220" t="str">
        <x:v>972552</x:v>
      </x:c>
      <x:c r="F52" s="220" t="str">
        <x:v>BATENTE</x:v>
      </x:c>
      <x:c r="G52" s="190" t="str">
        <x:v>2110x140x30 42x10R2L R1BIA PET STD PRM U</x:v>
      </x:c>
      <x:c r="H52" s="190" t="str"/>
      <x:c r="I52" s="190" t="str"/>
      <x:c r="J52" s="190" t="str"/>
      <x:c r="K52" s="190" t="str">
        <x:v>ESMALTE</x:v>
      </x:c>
      <x:c r="L52" s="190" t="str">
        <x:v>BRANCO CARRARA</x:v>
      </x:c>
      <x:c r="M52" s="210" t="n">
        <x:v>6</x:v>
      </x:c>
      <x:c r="N52" s="210" t="n">
        <x:v>2110</x:v>
      </x:c>
      <x:c r="O52" s="210" t="n">
        <x:v>140</x:v>
      </x:c>
      <x:c r="P52" s="210" t="n">
        <x:v>30</x:v>
      </x:c>
      <x:c r="Q52" s="211" t="n">
        <x:v>0</x:v>
      </x:c>
      <x:c r="R52" s="207" t="str"/>
      <x:c r="S52" s="207" t="str"/>
      <x:c r="T52" s="207" t="str"/>
      <x:c r="U52" s="207" t="n">
        <x:v>0</x:v>
      </x:c>
      <x:c r="V52" s="208" t="n">
        <x:f>MAX(0,M52-U52)</x:f>
        <x:v>6</x:v>
      </x:c>
      <x:c r="W52" s="209" t="n">
        <x:f>IFERROR(U52/M52,0)</x:f>
        <x:v>0</x:v>
      </x:c>
      <x:c r="X52" s="201" t="str">
        <x:f>IF(U52=0,"Não iniciado",IF(U52&gt;=M52,"Concluído","Parcial"))</x:f>
        <x:v>Não iniciado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26684</x:v>
      </x:c>
      <x:c r="C53" s="218" t="str">
        <x:v>6</x:v>
      </x:c>
      <x:c r="D53" s="218" t="str">
        <x:v>609152</x:v>
      </x:c>
      <x:c r="E53" s="218" t="str">
        <x:v>972553</x:v>
      </x:c>
      <x:c r="F53" s="218" t="str">
        <x:v>BATENTE</x:v>
      </x:c>
      <x:c r="G53" s="184" t="str">
        <x:v>867x140x30 42x10 R2L RT BIA PET STD PREM</x:v>
      </x:c>
      <x:c r="H53" s="184" t="str"/>
      <x:c r="I53" s="184" t="str"/>
      <x:c r="J53" s="184" t="str"/>
      <x:c r="K53" s="184" t="str">
        <x:v>ESMALTE</x:v>
      </x:c>
      <x:c r="L53" s="184" t="str">
        <x:v>BRANCO CARRARA</x:v>
      </x:c>
      <x:c r="M53" s="205" t="n">
        <x:v>2</x:v>
      </x:c>
      <x:c r="N53" s="205" t="n">
        <x:v>867</x:v>
      </x:c>
      <x:c r="O53" s="205" t="n">
        <x:v>140</x:v>
      </x:c>
      <x:c r="P53" s="205" t="n">
        <x:v>30</x:v>
      </x:c>
      <x:c r="Q53" s="206" t="n">
        <x:v>0</x:v>
      </x:c>
      <x:c r="R53" s="207" t="str"/>
      <x:c r="S53" s="207" t="str"/>
      <x:c r="T53" s="207" t="str"/>
      <x:c r="U53" s="207" t="n">
        <x:v>0</x:v>
      </x:c>
      <x:c r="V53" s="208" t="n">
        <x:f>MAX(0,M53-U53)</x:f>
        <x:v>2</x:v>
      </x:c>
      <x:c r="W53" s="209" t="n">
        <x:f>IFERROR(U53/M53,0)</x:f>
        <x:v>0</x:v>
      </x:c>
      <x:c r="X53" s="201" t="str">
        <x:f>IF(U53=0,"Não iniciado",IF(U53&gt;=M53,"Concluído","Parcial"))</x:f>
        <x:v>Não iniciado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26684</x:v>
      </x:c>
      <x:c r="C54" s="220" t="str">
        <x:v>10</x:v>
      </x:c>
      <x:c r="D54" s="220" t="str">
        <x:v>609184</x:v>
      </x:c>
      <x:c r="E54" s="220" t="str">
        <x:v>972553</x:v>
      </x:c>
      <x:c r="F54" s="220" t="str">
        <x:v>BATENTE</x:v>
      </x:c>
      <x:c r="G54" s="190" t="str">
        <x:v>867x140x30 42x10 R2L RT BIA PET STD PREM</x:v>
      </x:c>
      <x:c r="H54" s="190" t="str"/>
      <x:c r="I54" s="190" t="str"/>
      <x:c r="J54" s="190" t="str"/>
      <x:c r="K54" s="190" t="str">
        <x:v>ESMALTE</x:v>
      </x:c>
      <x:c r="L54" s="190" t="str">
        <x:v>BRANCO CARRARA</x:v>
      </x:c>
      <x:c r="M54" s="210" t="n">
        <x:v>2</x:v>
      </x:c>
      <x:c r="N54" s="210" t="n">
        <x:v>867</x:v>
      </x:c>
      <x:c r="O54" s="210" t="n">
        <x:v>140</x:v>
      </x:c>
      <x:c r="P54" s="210" t="n">
        <x:v>30</x:v>
      </x:c>
      <x:c r="Q54" s="211" t="n">
        <x:v>0</x:v>
      </x:c>
      <x:c r="R54" s="207" t="str"/>
      <x:c r="S54" s="207" t="str"/>
      <x:c r="T54" s="207" t="str"/>
      <x:c r="U54" s="207" t="n">
        <x:v>0</x:v>
      </x:c>
      <x:c r="V54" s="208" t="n">
        <x:f>MAX(0,M54-U54)</x:f>
        <x:v>2</x:v>
      </x:c>
      <x:c r="W54" s="209" t="n">
        <x:f>IFERROR(U54/M54,0)</x:f>
        <x:v>0</x:v>
      </x:c>
      <x:c r="X54" s="201" t="str">
        <x:f>IF(U54=0,"Não iniciado",IF(U54&gt;=M54,"Concluído","Parcial"))</x:f>
        <x:v>Não iniciado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26689</x:v>
      </x:c>
      <x:c r="C55" s="218" t="str">
        <x:v>4</x:v>
      </x:c>
      <x:c r="D55" s="218" t="str">
        <x:v>609103</x:v>
      </x:c>
      <x:c r="E55" s="218" t="str">
        <x:v>972553</x:v>
      </x:c>
      <x:c r="F55" s="218" t="str">
        <x:v>BATENTE</x:v>
      </x:c>
      <x:c r="G55" s="184" t="str">
        <x:v>867x140x30 42x10 R2L RT BIA PET STD PREM</x:v>
      </x:c>
      <x:c r="H55" s="184" t="str"/>
      <x:c r="I55" s="184" t="str"/>
      <x:c r="J55" s="184" t="str"/>
      <x:c r="K55" s="184" t="str">
        <x:v>ESMALTE</x:v>
      </x:c>
      <x:c r="L55" s="184" t="str">
        <x:v>BRANCO CARRARA</x:v>
      </x:c>
      <x:c r="M55" s="205" t="n">
        <x:v>3</x:v>
      </x:c>
      <x:c r="N55" s="205" t="n">
        <x:v>867</x:v>
      </x:c>
      <x:c r="O55" s="205" t="n">
        <x:v>140</x:v>
      </x:c>
      <x:c r="P55" s="205" t="n">
        <x:v>30</x:v>
      </x:c>
      <x:c r="Q55" s="206" t="n">
        <x:v>0</x:v>
      </x:c>
      <x:c r="R55" s="207" t="str"/>
      <x:c r="S55" s="207" t="str"/>
      <x:c r="T55" s="207" t="str"/>
      <x:c r="U55" s="207" t="n">
        <x:v>0</x:v>
      </x:c>
      <x:c r="V55" s="208" t="n">
        <x:f>MAX(0,M55-U55)</x:f>
        <x:v>3</x:v>
      </x:c>
      <x:c r="W55" s="209" t="n">
        <x:f>IFERROR(U55/M55,0)</x:f>
        <x:v>0</x:v>
      </x:c>
      <x:c r="X55" s="201" t="str">
        <x:f>IF(U55=0,"Não iniciado",IF(U55&gt;=M55,"Concluído","Parcial"))</x:f>
        <x:v>Não iniciado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26684</x:v>
      </x:c>
      <x:c r="C56" s="220" t="str">
        <x:v>3</x:v>
      </x:c>
      <x:c r="D56" s="220" t="str">
        <x:v>609127</x:v>
      </x:c>
      <x:c r="E56" s="220" t="str">
        <x:v>966547</x:v>
      </x:c>
      <x:c r="F56" s="220" t="str">
        <x:v>BATENTE</x:v>
      </x:c>
      <x:c r="G56" s="190" t="str">
        <x:v>2110x130x30 42x10R2L R1BIA PET STD PRM U</x:v>
      </x:c>
      <x:c r="H56" s="190" t="str"/>
      <x:c r="I56" s="190" t="str"/>
      <x:c r="J56" s="190" t="str"/>
      <x:c r="K56" s="190" t="str">
        <x:v>ESMALTE</x:v>
      </x:c>
      <x:c r="L56" s="190" t="str">
        <x:v>BRANCO CARRARA</x:v>
      </x:c>
      <x:c r="M56" s="210" t="n">
        <x:v>6</x:v>
      </x:c>
      <x:c r="N56" s="210" t="n">
        <x:v>2110</x:v>
      </x:c>
      <x:c r="O56" s="210" t="n">
        <x:v>130</x:v>
      </x:c>
      <x:c r="P56" s="210" t="n">
        <x:v>30</x:v>
      </x:c>
      <x:c r="Q56" s="211" t="n">
        <x:v>0</x:v>
      </x:c>
      <x:c r="R56" s="207" t="str"/>
      <x:c r="S56" s="207" t="str"/>
      <x:c r="T56" s="207" t="str"/>
      <x:c r="U56" s="207" t="n">
        <x:v>0</x:v>
      </x:c>
      <x:c r="V56" s="208" t="n">
        <x:f>MAX(0,M56-U56)</x:f>
        <x:v>6</x:v>
      </x:c>
      <x:c r="W56" s="209" t="n">
        <x:f>IFERROR(U56/M56,0)</x:f>
        <x:v>0</x:v>
      </x:c>
      <x:c r="X56" s="201" t="str">
        <x:f>IF(U56=0,"Não iniciado",IF(U56&gt;=M56,"Concluído","Parcial"))</x:f>
        <x:v>Não iniciado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26684</x:v>
      </x:c>
      <x:c r="C57" s="218" t="str">
        <x:v>5</x:v>
      </x:c>
      <x:c r="D57" s="218" t="str">
        <x:v>609143</x:v>
      </x:c>
      <x:c r="E57" s="218" t="str">
        <x:v>966547</x:v>
      </x:c>
      <x:c r="F57" s="218" t="str">
        <x:v>BATENTE</x:v>
      </x:c>
      <x:c r="G57" s="184" t="str">
        <x:v>2110x130x30 42x10R2L R1BIA PET STD PRM U</x:v>
      </x:c>
      <x:c r="H57" s="184" t="str"/>
      <x:c r="I57" s="184" t="str"/>
      <x:c r="J57" s="184" t="str"/>
      <x:c r="K57" s="184" t="str">
        <x:v>ESMALTE</x:v>
      </x:c>
      <x:c r="L57" s="184" t="str">
        <x:v>BRANCO CARRARA</x:v>
      </x:c>
      <x:c r="M57" s="205" t="n">
        <x:v>12</x:v>
      </x:c>
      <x:c r="N57" s="205" t="n">
        <x:v>2110</x:v>
      </x:c>
      <x:c r="O57" s="205" t="n">
        <x:v>130</x:v>
      </x:c>
      <x:c r="P57" s="205" t="n">
        <x:v>30</x:v>
      </x:c>
      <x:c r="Q57" s="206" t="n">
        <x:v>0</x:v>
      </x:c>
      <x:c r="R57" s="207" t="str"/>
      <x:c r="S57" s="207" t="str"/>
      <x:c r="T57" s="207" t="str"/>
      <x:c r="U57" s="207" t="n">
        <x:v>0</x:v>
      </x:c>
      <x:c r="V57" s="208" t="n">
        <x:f>MAX(0,M57-U57)</x:f>
        <x:v>12</x:v>
      </x:c>
      <x:c r="W57" s="209" t="n">
        <x:f>IFERROR(U57/M57,0)</x:f>
        <x:v>0</x:v>
      </x:c>
      <x:c r="X57" s="201" t="str">
        <x:f>IF(U57=0,"Não iniciado",IF(U57&gt;=M57,"Concluído","Parcial"))</x:f>
        <x:v>Não iniciado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26684</x:v>
      </x:c>
      <x:c r="C58" s="220" t="str">
        <x:v>9</x:v>
      </x:c>
      <x:c r="D58" s="220" t="str">
        <x:v>609175</x:v>
      </x:c>
      <x:c r="E58" s="220" t="str">
        <x:v>966547</x:v>
      </x:c>
      <x:c r="F58" s="220" t="str">
        <x:v>BATENTE</x:v>
      </x:c>
      <x:c r="G58" s="190" t="str">
        <x:v>2110x130x30 42x10R2L R1BIA PET STD PRM U</x:v>
      </x:c>
      <x:c r="H58" s="190" t="str"/>
      <x:c r="I58" s="190" t="str"/>
      <x:c r="J58" s="190" t="str"/>
      <x:c r="K58" s="190" t="str">
        <x:v>ESMALTE</x:v>
      </x:c>
      <x:c r="L58" s="190" t="str">
        <x:v>BRANCO CARRARA</x:v>
      </x:c>
      <x:c r="M58" s="210" t="n">
        <x:v>114</x:v>
      </x:c>
      <x:c r="N58" s="210" t="n">
        <x:v>2110</x:v>
      </x:c>
      <x:c r="O58" s="210" t="n">
        <x:v>130</x:v>
      </x:c>
      <x:c r="P58" s="210" t="n">
        <x:v>30</x:v>
      </x:c>
      <x:c r="Q58" s="211" t="n">
        <x:v>0</x:v>
      </x:c>
      <x:c r="R58" s="207" t="str"/>
      <x:c r="S58" s="207" t="str"/>
      <x:c r="T58" s="207" t="str"/>
      <x:c r="U58" s="207" t="n">
        <x:v>0</x:v>
      </x:c>
      <x:c r="V58" s="208" t="n">
        <x:f>MAX(0,M58-U58)</x:f>
        <x:v>114</x:v>
      </x:c>
      <x:c r="W58" s="209" t="n">
        <x:f>IFERROR(U58/M58,0)</x:f>
        <x:v>0</x:v>
      </x:c>
      <x:c r="X58" s="201" t="str">
        <x:f>IF(U58=0,"Não iniciado",IF(U58&gt;=M58,"Concluído","Parcial"))</x:f>
        <x:v>Não iniciado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26689</x:v>
      </x:c>
      <x:c r="C59" s="218" t="str">
        <x:v>3</x:v>
      </x:c>
      <x:c r="D59" s="218" t="str">
        <x:v>609094</x:v>
      </x:c>
      <x:c r="E59" s="218" t="str">
        <x:v>966547</x:v>
      </x:c>
      <x:c r="F59" s="218" t="str">
        <x:v>BATENTE</x:v>
      </x:c>
      <x:c r="G59" s="184" t="str">
        <x:v>2110x130x30 42x10R2L R1BIA PET STD PRM U</x:v>
      </x:c>
      <x:c r="H59" s="184" t="str"/>
      <x:c r="I59" s="184" t="str"/>
      <x:c r="J59" s="184" t="str"/>
      <x:c r="K59" s="184" t="str">
        <x:v>ESMALTE</x:v>
      </x:c>
      <x:c r="L59" s="184" t="str">
        <x:v>BRANCO CARRARA</x:v>
      </x:c>
      <x:c r="M59" s="205" t="n">
        <x:v>122</x:v>
      </x:c>
      <x:c r="N59" s="205" t="n">
        <x:v>2110</x:v>
      </x:c>
      <x:c r="O59" s="205" t="n">
        <x:v>130</x:v>
      </x:c>
      <x:c r="P59" s="205" t="n">
        <x:v>30</x:v>
      </x:c>
      <x:c r="Q59" s="206" t="n">
        <x:v>0</x:v>
      </x:c>
      <x:c r="R59" s="207" t="str"/>
      <x:c r="S59" s="207" t="str"/>
      <x:c r="T59" s="207" t="str"/>
      <x:c r="U59" s="207" t="n">
        <x:v>0</x:v>
      </x:c>
      <x:c r="V59" s="208" t="n">
        <x:f>MAX(0,M59-U59)</x:f>
        <x:v>122</x:v>
      </x:c>
      <x:c r="W59" s="209" t="n">
        <x:f>IFERROR(U59/M59,0)</x:f>
        <x:v>0</x:v>
      </x:c>
      <x:c r="X59" s="201" t="str">
        <x:f>IF(U59=0,"Não iniciado",IF(U59&gt;=M59,"Concluído","Parcial"))</x:f>
        <x:v>Não iniciado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26739</x:v>
      </x:c>
      <x:c r="C60" s="220" t="str">
        <x:v>11</x:v>
      </x:c>
      <x:c r="D60" s="220" t="str">
        <x:v>609664</x:v>
      </x:c>
      <x:c r="E60" s="220" t="str">
        <x:v>959094</x:v>
      </x:c>
      <x:c r="F60" s="220" t="str">
        <x:v>BATENTE</x:v>
      </x:c>
      <x:c r="G60" s="190" t="str">
        <x:v>2110x130x30 42x10 R2 BIA RT PET BC U(UL)</x:v>
      </x:c>
      <x:c r="H60" s="190" t="str"/>
      <x:c r="I60" s="190" t="str"/>
      <x:c r="J60" s="190" t="str"/>
      <x:c r="K60" s="190" t="str">
        <x:v>ESMALTE</x:v>
      </x:c>
      <x:c r="L60" s="190" t="str">
        <x:v>BRANCO CARRARA</x:v>
      </x:c>
      <x:c r="M60" s="210" t="n">
        <x:v>32</x:v>
      </x:c>
      <x:c r="N60" s="210" t="n">
        <x:v>2110</x:v>
      </x:c>
      <x:c r="O60" s="210" t="n">
        <x:v>130</x:v>
      </x:c>
      <x:c r="P60" s="210" t="n">
        <x:v>30</x:v>
      </x:c>
      <x:c r="Q60" s="211" t="n">
        <x:v>0</x:v>
      </x:c>
      <x:c r="R60" s="207" t="str"/>
      <x:c r="S60" s="207" t="str"/>
      <x:c r="T60" s="207" t="str"/>
      <x:c r="U60" s="207" t="n">
        <x:v>0</x:v>
      </x:c>
      <x:c r="V60" s="208" t="n">
        <x:f>MAX(0,M60-U60)</x:f>
        <x:v>32</x:v>
      </x:c>
      <x:c r="W60" s="209" t="n">
        <x:f>IFERROR(U60/M60,0)</x:f>
        <x:v>0</x:v>
      </x:c>
      <x:c r="X60" s="201" t="str">
        <x:f>IF(U60=0,"Não iniciado",IF(U60&gt;=M60,"Concluído","Parcial"))</x:f>
        <x:v>Não iniciado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26739</x:v>
      </x:c>
      <x:c r="C61" s="218" t="str">
        <x:v>20</x:v>
      </x:c>
      <x:c r="D61" s="218" t="str">
        <x:v>609719</x:v>
      </x:c>
      <x:c r="E61" s="218" t="str">
        <x:v>959094</x:v>
      </x:c>
      <x:c r="F61" s="218" t="str">
        <x:v>BATENTE</x:v>
      </x:c>
      <x:c r="G61" s="184" t="str">
        <x:v>2110x130x30 42x10 R2 BIA RT PET BC U(UL)</x:v>
      </x:c>
      <x:c r="H61" s="184" t="str"/>
      <x:c r="I61" s="184" t="str"/>
      <x:c r="J61" s="184" t="str"/>
      <x:c r="K61" s="184" t="str">
        <x:v>ESMALTE</x:v>
      </x:c>
      <x:c r="L61" s="184" t="str">
        <x:v>BRANCO CARRARA</x:v>
      </x:c>
      <x:c r="M61" s="205" t="n">
        <x:v>6</x:v>
      </x:c>
      <x:c r="N61" s="205" t="n">
        <x:v>2110</x:v>
      </x:c>
      <x:c r="O61" s="205" t="n">
        <x:v>130</x:v>
      </x:c>
      <x:c r="P61" s="205" t="n">
        <x:v>30</x:v>
      </x:c>
      <x:c r="Q61" s="206" t="n">
        <x:v>0</x:v>
      </x:c>
      <x:c r="R61" s="207" t="str"/>
      <x:c r="S61" s="207" t="str"/>
      <x:c r="T61" s="207" t="str"/>
      <x:c r="U61" s="207" t="n">
        <x:v>0</x:v>
      </x:c>
      <x:c r="V61" s="208" t="n">
        <x:f>MAX(0,M61-U61)</x:f>
        <x:v>6</x:v>
      </x:c>
      <x:c r="W61" s="209" t="n">
        <x:f>IFERROR(U61/M61,0)</x:f>
        <x:v>0</x:v>
      </x:c>
      <x:c r="X61" s="201" t="str">
        <x:f>IF(U61=0,"Não iniciado",IF(U61&gt;=M61,"Concluído","Parcial"))</x:f>
        <x:v>Não iniciado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26739</x:v>
      </x:c>
      <x:c r="C62" s="220" t="str">
        <x:v>25</x:v>
      </x:c>
      <x:c r="D62" s="220" t="str">
        <x:v>609770</x:v>
      </x:c>
      <x:c r="E62" s="220" t="str">
        <x:v>959094</x:v>
      </x:c>
      <x:c r="F62" s="220" t="str">
        <x:v>BATENTE</x:v>
      </x:c>
      <x:c r="G62" s="190" t="str">
        <x:v>2110x130x30 42x10 R2 BIA RT PET BC U(UL)</x:v>
      </x:c>
      <x:c r="H62" s="190" t="str"/>
      <x:c r="I62" s="190" t="str"/>
      <x:c r="J62" s="190" t="str"/>
      <x:c r="K62" s="190" t="str">
        <x:v>ESMALTE</x:v>
      </x:c>
      <x:c r="L62" s="190" t="str">
        <x:v>BRANCO CARRARA</x:v>
      </x:c>
      <x:c r="M62" s="210" t="n">
        <x:v>2</x:v>
      </x:c>
      <x:c r="N62" s="210" t="n">
        <x:v>2110</x:v>
      </x:c>
      <x:c r="O62" s="210" t="n">
        <x:v>130</x:v>
      </x:c>
      <x:c r="P62" s="210" t="n">
        <x:v>30</x:v>
      </x:c>
      <x:c r="Q62" s="211" t="n">
        <x:v>0</x:v>
      </x:c>
      <x:c r="R62" s="207" t="str"/>
      <x:c r="S62" s="207" t="str"/>
      <x:c r="T62" s="207" t="str"/>
      <x:c r="U62" s="207" t="n">
        <x:v>0</x:v>
      </x:c>
      <x:c r="V62" s="208" t="n">
        <x:f>MAX(0,M62-U62)</x:f>
        <x:v>2</x:v>
      </x:c>
      <x:c r="W62" s="209" t="n">
        <x:f>IFERROR(U62/M62,0)</x:f>
        <x:v>0</x:v>
      </x:c>
      <x:c r="X62" s="201" t="str">
        <x:f>IF(U62=0,"Não iniciado",IF(U62&gt;=M62,"Concluído","Parcial"))</x:f>
        <x:v>Não iniciado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26744</x:v>
      </x:c>
      <x:c r="C63" s="218" t="str">
        <x:v>1</x:v>
      </x:c>
      <x:c r="D63" s="218" t="str">
        <x:v>609987</x:v>
      </x:c>
      <x:c r="E63" s="218" t="str">
        <x:v>674790</x:v>
      </x:c>
      <x:c r="F63" s="218" t="str">
        <x:v>BATENTE</x:v>
      </x:c>
      <x:c r="G63" s="184" t="str">
        <x:v>2110x130x30 42x10 R2L BIA R PET U(PREMIU</x:v>
      </x:c>
      <x:c r="H63" s="184" t="str"/>
      <x:c r="I63" s="184" t="str"/>
      <x:c r="J63" s="184" t="str"/>
      <x:c r="K63" s="184" t="str">
        <x:v>RECOBERTO PET</x:v>
      </x:c>
      <x:c r="L63" s="184" t="str">
        <x:v>BRANCO CARRARA</x:v>
      </x:c>
      <x:c r="M63" s="205" t="n">
        <x:v>8</x:v>
      </x:c>
      <x:c r="N63" s="205" t="n">
        <x:v>2110</x:v>
      </x:c>
      <x:c r="O63" s="205" t="n">
        <x:v>130</x:v>
      </x:c>
      <x:c r="P63" s="205" t="n">
        <x:v>30</x:v>
      </x:c>
      <x:c r="Q63" s="206" t="n">
        <x:v>0</x:v>
      </x:c>
      <x:c r="R63" s="207" t="str"/>
      <x:c r="S63" s="207" t="str"/>
      <x:c r="T63" s="207" t="str"/>
      <x:c r="U63" s="207" t="n">
        <x:v>0</x:v>
      </x:c>
      <x:c r="V63" s="208" t="n">
        <x:f>MAX(0,M63-U63)</x:f>
        <x:v>8</x:v>
      </x:c>
      <x:c r="W63" s="209" t="n">
        <x:f>IFERROR(U63/M63,0)</x:f>
        <x:v>0</x:v>
      </x:c>
      <x:c r="X63" s="201" t="str">
        <x:f>IF(U63=0,"Não iniciado",IF(U63&gt;=M63,"Concluído","Parcial"))</x:f>
        <x:v>Não iniciado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26744</x:v>
      </x:c>
      <x:c r="C64" s="220" t="str">
        <x:v>2</x:v>
      </x:c>
      <x:c r="D64" s="220" t="str">
        <x:v>609996</x:v>
      </x:c>
      <x:c r="E64" s="220" t="str">
        <x:v>674790</x:v>
      </x:c>
      <x:c r="F64" s="220" t="str">
        <x:v>BATENTE</x:v>
      </x:c>
      <x:c r="G64" s="190" t="str">
        <x:v>2110x130x30 42x10 R2L BIA R PET U(PREMIU</x:v>
      </x:c>
      <x:c r="H64" s="190" t="str"/>
      <x:c r="I64" s="190" t="str"/>
      <x:c r="J64" s="190" t="str"/>
      <x:c r="K64" s="190" t="str">
        <x:v>RECOBERTO PET</x:v>
      </x:c>
      <x:c r="L64" s="190" t="str">
        <x:v>BRANCO CARRARA</x:v>
      </x:c>
      <x:c r="M64" s="210" t="n">
        <x:v>10</x:v>
      </x:c>
      <x:c r="N64" s="210" t="n">
        <x:v>2110</x:v>
      </x:c>
      <x:c r="O64" s="210" t="n">
        <x:v>130</x:v>
      </x:c>
      <x:c r="P64" s="210" t="n">
        <x:v>30</x:v>
      </x:c>
      <x:c r="Q64" s="211" t="n">
        <x:v>0</x:v>
      </x:c>
      <x:c r="R64" s="207" t="str"/>
      <x:c r="S64" s="207" t="str"/>
      <x:c r="T64" s="207" t="str"/>
      <x:c r="U64" s="207" t="n">
        <x:v>0</x:v>
      </x:c>
      <x:c r="V64" s="208" t="n">
        <x:f>MAX(0,M64-U64)</x:f>
        <x:v>10</x:v>
      </x:c>
      <x:c r="W64" s="209" t="n">
        <x:f>IFERROR(U64/M64,0)</x:f>
        <x:v>0</x:v>
      </x:c>
      <x:c r="X64" s="201" t="str">
        <x:f>IF(U64=0,"Não iniciado",IF(U64&gt;=M64,"Concluído","Parcial"))</x:f>
        <x:v>Não iniciado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26747</x:v>
      </x:c>
      <x:c r="C65" s="218" t="str">
        <x:v>6</x:v>
      </x:c>
      <x:c r="D65" s="218" t="str">
        <x:v>609011</x:v>
      </x:c>
      <x:c r="E65" s="218" t="str">
        <x:v>959094</x:v>
      </x:c>
      <x:c r="F65" s="218" t="str">
        <x:v>BATENTE</x:v>
      </x:c>
      <x:c r="G65" s="184" t="str">
        <x:v>2110x130x30 42x10 R2 BIA RT PET BC U(UL)</x:v>
      </x:c>
      <x:c r="H65" s="184" t="str"/>
      <x:c r="I65" s="184" t="str"/>
      <x:c r="J65" s="184" t="str"/>
      <x:c r="K65" s="184" t="str">
        <x:v>RECOBERTO MELAMINICO</x:v>
      </x:c>
      <x:c r="L65" s="184" t="str">
        <x:v>BRANCO CARRARA</x:v>
      </x:c>
      <x:c r="M65" s="205" t="n">
        <x:v>2</x:v>
      </x:c>
      <x:c r="N65" s="205" t="n">
        <x:v>2110</x:v>
      </x:c>
      <x:c r="O65" s="205" t="n">
        <x:v>130</x:v>
      </x:c>
      <x:c r="P65" s="205" t="n">
        <x:v>30</x:v>
      </x:c>
      <x:c r="Q65" s="206" t="n">
        <x:v>0</x:v>
      </x:c>
      <x:c r="R65" s="207" t="str"/>
      <x:c r="S65" s="207" t="str"/>
      <x:c r="T65" s="207" t="str"/>
      <x:c r="U65" s="207" t="n">
        <x:v>0</x:v>
      </x:c>
      <x:c r="V65" s="208" t="n">
        <x:f>MAX(0,M65-U65)</x:f>
        <x:v>2</x:v>
      </x:c>
      <x:c r="W65" s="209" t="n">
        <x:f>IFERROR(U65/M65,0)</x:f>
        <x:v>0</x:v>
      </x:c>
      <x:c r="X65" s="201" t="str">
        <x:f>IF(U65=0,"Não iniciado",IF(U65&gt;=M65,"Concluído","Parcial"))</x:f>
        <x:v>Não iniciado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26750</x:v>
      </x:c>
      <x:c r="C66" s="220" t="str">
        <x:v>14</x:v>
      </x:c>
      <x:c r="D66" s="220" t="str">
        <x:v>609837</x:v>
      </x:c>
      <x:c r="E66" s="220" t="str">
        <x:v>959094</x:v>
      </x:c>
      <x:c r="F66" s="220" t="str">
        <x:v>BATENTE</x:v>
      </x:c>
      <x:c r="G66" s="190" t="str">
        <x:v>2110x130x30 42x10 R2 BIA RT PET BC U(UL)</x:v>
      </x:c>
      <x:c r="H66" s="190" t="str"/>
      <x:c r="I66" s="190" t="str"/>
      <x:c r="J66" s="190" t="str"/>
      <x:c r="K66" s="190" t="str">
        <x:v>ESMALTE</x:v>
      </x:c>
      <x:c r="L66" s="190" t="str">
        <x:v>BRANCO CARRARA</x:v>
      </x:c>
      <x:c r="M66" s="210" t="n">
        <x:v>38</x:v>
      </x:c>
      <x:c r="N66" s="210" t="n">
        <x:v>2110</x:v>
      </x:c>
      <x:c r="O66" s="210" t="n">
        <x:v>130</x:v>
      </x:c>
      <x:c r="P66" s="210" t="n">
        <x:v>30</x:v>
      </x:c>
      <x:c r="Q66" s="211" t="n">
        <x:v>0</x:v>
      </x:c>
      <x:c r="R66" s="207" t="str"/>
      <x:c r="S66" s="207" t="str"/>
      <x:c r="T66" s="207" t="str"/>
      <x:c r="U66" s="207" t="n">
        <x:v>0</x:v>
      </x:c>
      <x:c r="V66" s="208" t="n">
        <x:f>MAX(0,M66-U66)</x:f>
        <x:v>38</x:v>
      </x:c>
      <x:c r="W66" s="209" t="n">
        <x:f>IFERROR(U66/M66,0)</x:f>
        <x:v>0</x:v>
      </x:c>
      <x:c r="X66" s="201" t="str">
        <x:f>IF(U66=0,"Não iniciado",IF(U66&gt;=M66,"Concluído","Parcial"))</x:f>
        <x:v>Não iniciado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26750</x:v>
      </x:c>
      <x:c r="C67" s="218" t="str">
        <x:v>23</x:v>
      </x:c>
      <x:c r="D67" s="218" t="str">
        <x:v>609892</x:v>
      </x:c>
      <x:c r="E67" s="218" t="str">
        <x:v>959094</x:v>
      </x:c>
      <x:c r="F67" s="218" t="str">
        <x:v>BATENTE</x:v>
      </x:c>
      <x:c r="G67" s="184" t="str">
        <x:v>2110x130x30 42x10 R2 BIA RT PET BC U(UL)</x:v>
      </x:c>
      <x:c r="H67" s="184" t="str"/>
      <x:c r="I67" s="184" t="str"/>
      <x:c r="J67" s="184" t="str"/>
      <x:c r="K67" s="184" t="str">
        <x:v>ESMALTE</x:v>
      </x:c>
      <x:c r="L67" s="184" t="str">
        <x:v>BRANCO CARRARA</x:v>
      </x:c>
      <x:c r="M67" s="205" t="n">
        <x:v>8</x:v>
      </x:c>
      <x:c r="N67" s="205" t="n">
        <x:v>2110</x:v>
      </x:c>
      <x:c r="O67" s="205" t="n">
        <x:v>130</x:v>
      </x:c>
      <x:c r="P67" s="205" t="n">
        <x:v>30</x:v>
      </x:c>
      <x:c r="Q67" s="206" t="n">
        <x:v>0</x:v>
      </x:c>
      <x:c r="R67" s="207" t="str"/>
      <x:c r="S67" s="207" t="str"/>
      <x:c r="T67" s="207" t="str"/>
      <x:c r="U67" s="207" t="n">
        <x:v>0</x:v>
      </x:c>
      <x:c r="V67" s="208" t="n">
        <x:f>MAX(0,M67-U67)</x:f>
        <x:v>8</x:v>
      </x:c>
      <x:c r="W67" s="209" t="n">
        <x:f>IFERROR(U67/M67,0)</x:f>
        <x:v>0</x:v>
      </x:c>
      <x:c r="X67" s="201" t="str">
        <x:f>IF(U67=0,"Não iniciado",IF(U67&gt;=M67,"Concluído","Parcial"))</x:f>
        <x:v>Não iniciado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26808</x:v>
      </x:c>
      <x:c r="C68" s="220" t="str">
        <x:v>2</x:v>
      </x:c>
      <x:c r="D68" s="220" t="str">
        <x:v>608904</x:v>
      </x:c>
      <x:c r="E68" s="220" t="str">
        <x:v>674790</x:v>
      </x:c>
      <x:c r="F68" s="220" t="str">
        <x:v>BATENTE</x:v>
      </x:c>
      <x:c r="G68" s="190" t="str">
        <x:v>2110x130x30 42x10 R2L BIA R PET U(PREMIU</x:v>
      </x:c>
      <x:c r="H68" s="190" t="str"/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32</x:v>
      </x:c>
      <x:c r="N68" s="210" t="n">
        <x:v>2110</x:v>
      </x:c>
      <x:c r="O68" s="210" t="n">
        <x:v>130</x:v>
      </x:c>
      <x:c r="P68" s="210" t="n">
        <x:v>30</x:v>
      </x:c>
      <x:c r="Q68" s="211" t="n">
        <x:v>0</x:v>
      </x:c>
      <x:c r="R68" s="207" t="str"/>
      <x:c r="S68" s="207" t="str"/>
      <x:c r="T68" s="207" t="str"/>
      <x:c r="U68" s="207" t="n">
        <x:v>0</x:v>
      </x:c>
      <x:c r="V68" s="208" t="n">
        <x:f>MAX(0,M68-U68)</x:f>
        <x:v>32</x:v>
      </x:c>
      <x:c r="W68" s="209" t="n">
        <x:f>IFERROR(U68/M68,0)</x:f>
        <x:v>0</x:v>
      </x:c>
      <x:c r="X68" s="201" t="str">
        <x:f>IF(U68=0,"Não iniciado",IF(U68&gt;=M68,"Concluído","Parcial"))</x:f>
        <x:v>Não iniciado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26808</x:v>
      </x:c>
      <x:c r="C69" s="218" t="str">
        <x:v>7</x:v>
      </x:c>
      <x:c r="D69" s="218" t="str">
        <x:v>608944</x:v>
      </x:c>
      <x:c r="E69" s="218" t="str">
        <x:v>674790</x:v>
      </x:c>
      <x:c r="F69" s="218" t="str">
        <x:v>BATENTE</x:v>
      </x:c>
      <x:c r="G69" s="184" t="str">
        <x:v>2110x130x30 42x10 R2L BIA R PET U(PREMIU</x:v>
      </x:c>
      <x:c r="H69" s="184" t="str"/>
      <x:c r="I69" s="184" t="str"/>
      <x:c r="J69" s="184" t="str"/>
      <x:c r="K69" s="184" t="str">
        <x:v>ESMALTE</x:v>
      </x:c>
      <x:c r="L69" s="184" t="str">
        <x:v>BRANCO CARRARA</x:v>
      </x:c>
      <x:c r="M69" s="205" t="n">
        <x:v>8</x:v>
      </x:c>
      <x:c r="N69" s="205" t="n">
        <x:v>2110</x:v>
      </x:c>
      <x:c r="O69" s="205" t="n">
        <x:v>130</x:v>
      </x:c>
      <x:c r="P69" s="205" t="n">
        <x:v>30</x:v>
      </x:c>
      <x:c r="Q69" s="206" t="n">
        <x:v>0</x:v>
      </x:c>
      <x:c r="R69" s="207" t="str"/>
      <x:c r="S69" s="207" t="str"/>
      <x:c r="T69" s="207" t="str"/>
      <x:c r="U69" s="207" t="n">
        <x:v>0</x:v>
      </x:c>
      <x:c r="V69" s="208" t="n">
        <x:f>MAX(0,M69-U69)</x:f>
        <x:v>8</x:v>
      </x:c>
      <x:c r="W69" s="209" t="n">
        <x:f>IFERROR(U69/M69,0)</x:f>
        <x:v>0</x:v>
      </x:c>
      <x:c r="X69" s="201" t="str">
        <x:f>IF(U69=0,"Não iniciado",IF(U69&gt;=M69,"Concluído","Parcial"))</x:f>
        <x:v>Não iniciado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26808</x:v>
      </x:c>
      <x:c r="C70" s="220" t="str">
        <x:v>10</x:v>
      </x:c>
      <x:c r="D70" s="220" t="str">
        <x:v>608968</x:v>
      </x:c>
      <x:c r="E70" s="220" t="str">
        <x:v>674790</x:v>
      </x:c>
      <x:c r="F70" s="220" t="str">
        <x:v>BATENTE</x:v>
      </x:c>
      <x:c r="G70" s="190" t="str">
        <x:v>2110x130x30 42x10 R2L BIA R PET U(PREMIU</x:v>
      </x:c>
      <x:c r="H70" s="190" t="str"/>
      <x:c r="I70" s="190" t="str"/>
      <x:c r="J70" s="190" t="str"/>
      <x:c r="K70" s="190" t="str">
        <x:v>ESMALTE</x:v>
      </x:c>
      <x:c r="L70" s="190" t="str">
        <x:v>BRANCO CARRARA</x:v>
      </x:c>
      <x:c r="M70" s="210" t="n">
        <x:v>2</x:v>
      </x:c>
      <x:c r="N70" s="210" t="n">
        <x:v>2110</x:v>
      </x:c>
      <x:c r="O70" s="210" t="n">
        <x:v>130</x:v>
      </x:c>
      <x:c r="P70" s="210" t="n">
        <x:v>30</x:v>
      </x:c>
      <x:c r="Q70" s="211" t="n">
        <x:v>0</x:v>
      </x:c>
      <x:c r="R70" s="207" t="str"/>
      <x:c r="S70" s="207" t="str"/>
      <x:c r="T70" s="207" t="str"/>
      <x:c r="U70" s="207" t="n">
        <x:v>0</x:v>
      </x:c>
      <x:c r="V70" s="208" t="n">
        <x:f>MAX(0,M70-U70)</x:f>
        <x:v>2</x:v>
      </x:c>
      <x:c r="W70" s="209" t="n">
        <x:f>IFERROR(U70/M70,0)</x:f>
        <x:v>0</x:v>
      </x:c>
      <x:c r="X70" s="201" t="str">
        <x:f>IF(U70=0,"Não iniciado",IF(U70&gt;=M70,"Concluído","Parcial"))</x:f>
        <x:v>Não iniciado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26520</x:v>
      </x:c>
      <x:c r="C71" s="218" t="str">
        <x:v>1</x:v>
      </x:c>
      <x:c r="D71" s="218" t="str">
        <x:v>610065</x:v>
      </x:c>
      <x:c r="E71" s="218" t="str">
        <x:v>975461</x:v>
      </x:c>
      <x:c r="F71" s="218" t="str">
        <x:v>BATENTE</x:v>
      </x:c>
      <x:c r="G71" s="184" t="str">
        <x:v>2110x130x30 42x10 R2L RT BIA PET CNZ U(U</x:v>
      </x:c>
      <x:c r="H71" s="184" t="str"/>
      <x:c r="I71" s="184" t="str"/>
      <x:c r="J71" s="184" t="str"/>
      <x:c r="K71" s="184" t="str">
        <x:v>RECOBERTO PET</x:v>
      </x:c>
      <x:c r="L71" s="184" t="str">
        <x:v>CINZA VERONA</x:v>
      </x:c>
      <x:c r="M71" s="205" t="n">
        <x:v>4</x:v>
      </x:c>
      <x:c r="N71" s="205" t="n">
        <x:v>2110</x:v>
      </x:c>
      <x:c r="O71" s="205" t="n">
        <x:v>130</x:v>
      </x:c>
      <x:c r="P71" s="205" t="n">
        <x:v>30</x:v>
      </x:c>
      <x:c r="Q71" s="206" t="n">
        <x:v>0</x:v>
      </x:c>
      <x:c r="R71" s="207" t="str"/>
      <x:c r="S71" s="207" t="str"/>
      <x:c r="T71" s="207" t="str"/>
      <x:c r="U71" s="207" t="n">
        <x:v>0</x:v>
      </x:c>
      <x:c r="V71" s="208" t="n">
        <x:f>MAX(0,M71-U71)</x:f>
        <x:v>4</x:v>
      </x:c>
      <x:c r="W71" s="209" t="n">
        <x:f>IFERROR(U71/M71,0)</x:f>
        <x:v>0</x:v>
      </x:c>
      <x:c r="X71" s="201" t="str">
        <x:f>IF(U71=0,"Não iniciado",IF(U71&gt;=M71,"Concluído","Parcial"))</x:f>
        <x:v>Não iniciado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26520</x:v>
      </x:c>
      <x:c r="C72" s="220" t="str">
        <x:v>3</x:v>
      </x:c>
      <x:c r="D72" s="220" t="str">
        <x:v>610083</x:v>
      </x:c>
      <x:c r="E72" s="220" t="str">
        <x:v>975461</x:v>
      </x:c>
      <x:c r="F72" s="220" t="str">
        <x:v>BATENTE</x:v>
      </x:c>
      <x:c r="G72" s="190" t="str">
        <x:v>2110x130x30 42x10 R2L RT BIA PET CNZ U(U</x:v>
      </x:c>
      <x:c r="H72" s="190" t="str"/>
      <x:c r="I72" s="190" t="str"/>
      <x:c r="J72" s="190" t="str"/>
      <x:c r="K72" s="190" t="str">
        <x:v>RECOBERTO PET</x:v>
      </x:c>
      <x:c r="L72" s="190" t="str">
        <x:v>CINZA VERONA</x:v>
      </x:c>
      <x:c r="M72" s="210" t="n">
        <x:v>8</x:v>
      </x:c>
      <x:c r="N72" s="210" t="n">
        <x:v>2110</x:v>
      </x:c>
      <x:c r="O72" s="210" t="n">
        <x:v>130</x:v>
      </x:c>
      <x:c r="P72" s="210" t="n">
        <x:v>30</x:v>
      </x:c>
      <x:c r="Q72" s="211" t="n">
        <x:v>0</x:v>
      </x:c>
      <x:c r="R72" s="207" t="str"/>
      <x:c r="S72" s="207" t="str"/>
      <x:c r="T72" s="207" t="str"/>
      <x:c r="U72" s="207" t="n">
        <x:v>0</x:v>
      </x:c>
      <x:c r="V72" s="208" t="n">
        <x:f>MAX(0,M72-U72)</x:f>
        <x:v>8</x:v>
      </x:c>
      <x:c r="W72" s="209" t="n">
        <x:f>IFERROR(U72/M72,0)</x:f>
        <x:v>0</x:v>
      </x:c>
      <x:c r="X72" s="201" t="str">
        <x:f>IF(U72=0,"Não iniciado",IF(U72&gt;=M72,"Concluído","Parcial"))</x:f>
        <x:v>Não iniciado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26520</x:v>
      </x:c>
      <x:c r="C73" s="218" t="str">
        <x:v>5</x:v>
      </x:c>
      <x:c r="D73" s="218" t="str">
        <x:v>610099</x:v>
      </x:c>
      <x:c r="E73" s="218" t="str">
        <x:v>976389</x:v>
      </x:c>
      <x:c r="F73" s="218" t="str">
        <x:v>BATENTE</x:v>
      </x:c>
      <x:c r="G73" s="184" t="str">
        <x:v>2110x130x30 42x10R2 RT BIA PET CNZ T U(U</x:v>
      </x:c>
      <x:c r="H73" s="184" t="str"/>
      <x:c r="I73" s="184" t="str"/>
      <x:c r="J73" s="184" t="str"/>
      <x:c r="K73" s="184" t="str">
        <x:v>RECOBERTO PET</x:v>
      </x:c>
      <x:c r="L73" s="184" t="str">
        <x:v>CINZA VERONA</x:v>
      </x:c>
      <x:c r="M73" s="205" t="n">
        <x:v>2</x:v>
      </x:c>
      <x:c r="N73" s="205" t="n">
        <x:v>2110</x:v>
      </x:c>
      <x:c r="O73" s="205" t="n">
        <x:v>130</x:v>
      </x:c>
      <x:c r="P73" s="205" t="n">
        <x:v>30</x:v>
      </x:c>
      <x:c r="Q73" s="206" t="n">
        <x:v>0</x:v>
      </x:c>
      <x:c r="R73" s="207" t="str"/>
      <x:c r="S73" s="207" t="str"/>
      <x:c r="T73" s="207" t="str"/>
      <x:c r="U73" s="207" t="n">
        <x:v>0</x:v>
      </x:c>
      <x:c r="V73" s="208" t="n">
        <x:f>MAX(0,M73-U73)</x:f>
        <x:v>2</x:v>
      </x:c>
      <x:c r="W73" s="209" t="n">
        <x:f>IFERROR(U73/M73,0)</x:f>
        <x:v>0</x:v>
      </x:c>
      <x:c r="X73" s="201" t="str">
        <x:f>IF(U73=0,"Não iniciado",IF(U73&gt;=M73,"Concluído","Parcial"))</x:f>
        <x:v>Não iniciado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26747</x:v>
      </x:c>
      <x:c r="C74" s="220" t="str">
        <x:v>8</x:v>
      </x:c>
      <x:c r="D74" s="220" t="str">
        <x:v>609016</x:v>
      </x:c>
      <x:c r="E74" s="220" t="str">
        <x:v>959094</x:v>
      </x:c>
      <x:c r="F74" s="220" t="str">
        <x:v>BATENTE</x:v>
      </x:c>
      <x:c r="G74" s="190" t="str">
        <x:v>2110x130x30 42x10 R2 BIA RT PET BC U(UL)</x:v>
      </x:c>
      <x:c r="H74" s="190" t="str">
        <x:v>MDF ULTRA</x:v>
      </x:c>
      <x:c r="I74" s="190" t="str">
        <x:v>C/BORRACHA I APLICADA</x:v>
      </x:c>
      <x:c r="J74" s="190" t="str">
        <x:v>C/REB 42X10</x:v>
      </x:c>
      <x:c r="K74" s="190" t="str">
        <x:v>RECOBERTO PET</x:v>
      </x:c>
      <x:c r="L74" s="190" t="str">
        <x:v>BRANCO CARRARA</x:v>
      </x:c>
      <x:c r="M74" s="210" t="n">
        <x:v>8</x:v>
      </x:c>
      <x:c r="N74" s="210" t="n">
        <x:v>2110</x:v>
      </x:c>
      <x:c r="O74" s="210" t="n">
        <x:v>130</x:v>
      </x:c>
      <x:c r="P74" s="210" t="n">
        <x:v>30</x:v>
      </x:c>
      <x:c r="Q74" s="211" t="n">
        <x:v>0</x:v>
      </x:c>
      <x:c r="R74" s="207" t="str"/>
      <x:c r="S74" s="207" t="str"/>
      <x:c r="T74" s="207" t="str"/>
      <x:c r="U74" s="207" t="n">
        <x:v>0</x:v>
      </x:c>
      <x:c r="V74" s="208" t="n">
        <x:f>MAX(0,M74-U74)</x:f>
        <x:v>8</x:v>
      </x:c>
      <x:c r="W74" s="209" t="n">
        <x:f>IFERROR(U74/M74,0)</x:f>
        <x:v>0</x:v>
      </x:c>
      <x:c r="X74" s="201" t="str">
        <x:f>IF(U74=0,"Não iniciado",IF(U74&gt;=M74,"Concluído","Parcial"))</x:f>
        <x:v>Não iniciado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26809</x:v>
      </x:c>
      <x:c r="C75" s="218" t="str">
        <x:v>4</x:v>
      </x:c>
      <x:c r="D75" s="218" t="str">
        <x:v>609935</x:v>
      </x:c>
      <x:c r="E75" s="218" t="str">
        <x:v>2010700619</x:v>
      </x:c>
      <x:c r="F75" s="218" t="str">
        <x:v>BATENTE</x:v>
      </x:c>
      <x:c r="G75" s="184" t="str">
        <x:v>M ULTRA PET CAP M 2110X130X30 42X10 R2L</x:v>
      </x:c>
      <x:c r="H75" s="184" t="str">
        <x:v>MDF ULTRA</x:v>
      </x:c>
      <x:c r="I75" s="184" t="str">
        <x:v>C/BORRACHA I APLICADA</x:v>
      </x:c>
      <x:c r="J75" s="184" t="str">
        <x:v>C/REB 42X10</x:v>
      </x:c>
      <x:c r="K75" s="184" t="str">
        <x:v>RECOBERTO PET</x:v>
      </x:c>
      <x:c r="L75" s="184" t="str">
        <x:v>CAPUCCINO MARCHE</x:v>
      </x:c>
      <x:c r="M75" s="205" t="n">
        <x:v>12</x:v>
      </x:c>
      <x:c r="N75" s="205" t="n">
        <x:v>2110</x:v>
      </x:c>
      <x:c r="O75" s="205" t="n">
        <x:v>130</x:v>
      </x:c>
      <x:c r="P75" s="205" t="n">
        <x:v>30</x:v>
      </x:c>
      <x:c r="Q75" s="206" t="n">
        <x:v>0.099</x:v>
      </x:c>
      <x:c r="R75" s="207" t="str"/>
      <x:c r="S75" s="207" t="str"/>
      <x:c r="T75" s="207" t="str"/>
      <x:c r="U75" s="207" t="n">
        <x:v>0</x:v>
      </x:c>
      <x:c r="V75" s="208" t="n">
        <x:f>MAX(0,M75-U75)</x:f>
        <x:v>12</x:v>
      </x:c>
      <x:c r="W75" s="209" t="n">
        <x:f>IFERROR(U75/M75,0)</x:f>
        <x:v>0</x:v>
      </x:c>
      <x:c r="X75" s="201" t="str">
        <x:f>IF(U75=0,"Não iniciado",IF(U75&gt;=M75,"Concluído","Parcial"))</x:f>
        <x:v>Não iniciado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26815</x:v>
      </x:c>
      <x:c r="C76" s="220" t="str">
        <x:v>4</x:v>
      </x:c>
      <x:c r="D76" s="220" t="str">
        <x:v>609516</x:v>
      </x:c>
      <x:c r="E76" s="220" t="str">
        <x:v>2010600032</x:v>
      </x:c>
      <x:c r="F76" s="220" t="str">
        <x:v>OUTROS</x:v>
      </x:c>
      <x:c r="G76" s="190" t="str">
        <x:v>M P MDF STD PET TXT BCO 2110X130X30 42X1</x:v>
      </x:c>
      <x:c r="H76" s="190" t="str"/>
      <x:c r="I76" s="190" t="str"/>
      <x:c r="J76" s="190" t="str"/>
      <x:c r="K76" s="190" t="str">
        <x:v>ESMALTE</x:v>
      </x:c>
      <x:c r="L76" s="190" t="str">
        <x:v>BRANCO CARRARA</x:v>
      </x:c>
      <x:c r="M76" s="210" t="n">
        <x:v>134</x:v>
      </x:c>
      <x:c r="N76" s="210" t="n">
        <x:v>2110</x:v>
      </x:c>
      <x:c r="O76" s="210" t="n">
        <x:v>130</x:v>
      </x:c>
      <x:c r="P76" s="210" t="n">
        <x:v>30</x:v>
      </x:c>
      <x:c r="Q76" s="211" t="n">
        <x:v>1.103</x:v>
      </x:c>
      <x:c r="R76" s="207" t="str"/>
      <x:c r="S76" s="207" t="str"/>
      <x:c r="T76" s="207" t="str"/>
      <x:c r="U76" s="207" t="n">
        <x:v>0</x:v>
      </x:c>
      <x:c r="V76" s="208" t="n">
        <x:f>MAX(0,M76-U76)</x:f>
        <x:v>134</x:v>
      </x:c>
      <x:c r="W76" s="209" t="n">
        <x:f>IFERROR(U76/M76,0)</x:f>
        <x:v>0</x:v>
      </x:c>
      <x:c r="X76" s="201" t="str">
        <x:f>IF(U76=0,"Não iniciado",IF(U76&gt;=M76,"Concluído","Parcial"))</x:f>
        <x:v>Não iniciado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26815</x:v>
      </x:c>
      <x:c r="C77" s="218" t="str">
        <x:v>5</x:v>
      </x:c>
      <x:c r="D77" s="218" t="str">
        <x:v>609533</x:v>
      </x:c>
      <x:c r="E77" s="218" t="str">
        <x:v>2010600032</x:v>
      </x:c>
      <x:c r="F77" s="218" t="str">
        <x:v>OUTROS</x:v>
      </x:c>
      <x:c r="G77" s="184" t="str">
        <x:v>M P MDF STD PET TXT BCO 2110X130X30 42X1</x:v>
      </x:c>
      <x:c r="H77" s="184" t="str"/>
      <x:c r="I77" s="184" t="str"/>
      <x:c r="J77" s="184" t="str"/>
      <x:c r="K77" s="184" t="str">
        <x:v>ESMALTE</x:v>
      </x:c>
      <x:c r="L77" s="184" t="str">
        <x:v>BRANCO CARRARA</x:v>
      </x:c>
      <x:c r="M77" s="205" t="n">
        <x:v>16</x:v>
      </x:c>
      <x:c r="N77" s="205" t="n">
        <x:v>2110</x:v>
      </x:c>
      <x:c r="O77" s="205" t="n">
        <x:v>130</x:v>
      </x:c>
      <x:c r="P77" s="205" t="n">
        <x:v>30</x:v>
      </x:c>
      <x:c r="Q77" s="206" t="n">
        <x:v>0.132</x:v>
      </x:c>
      <x:c r="R77" s="207" t="str"/>
      <x:c r="S77" s="207" t="str"/>
      <x:c r="T77" s="207" t="str"/>
      <x:c r="U77" s="207" t="n">
        <x:v>0</x:v>
      </x:c>
      <x:c r="V77" s="208" t="n">
        <x:f>MAX(0,M77-U77)</x:f>
        <x:v>16</x:v>
      </x:c>
      <x:c r="W77" s="209" t="n">
        <x:f>IFERROR(U77/M77,0)</x:f>
        <x:v>0</x:v>
      </x:c>
      <x:c r="X77" s="201" t="str">
        <x:f>IF(U77=0,"Não iniciado",IF(U77&gt;=M77,"Concluído","Parcial"))</x:f>
        <x:v>Não iniciado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26744</x:v>
      </x:c>
      <x:c r="C78" s="220" t="str">
        <x:v>5</x:v>
      </x:c>
      <x:c r="D78" s="220" t="str">
        <x:v>610016</x:v>
      </x:c>
      <x:c r="E78" s="220" t="str">
        <x:v>676650</x:v>
      </x:c>
      <x:c r="F78" s="220" t="str">
        <x:v>BATENTE</x:v>
      </x:c>
      <x:c r="G78" s="190" t="str">
        <x:v>1000x130x30 S/REB R1L(MA) PET BCO (REC)</x:v>
      </x:c>
      <x:c r="H78" s="190" t="str">
        <x:v>MAD D/PINUS</x:v>
      </x:c>
      <x:c r="I78" s="190" t="str">
        <x:v>S/CANAL</x:v>
      </x:c>
      <x:c r="J78" s="190" t="str">
        <x:v>S/REB</x:v>
      </x:c>
      <x:c r="K78" s="190" t="str">
        <x:v>RECOBERTO PET</x:v>
      </x:c>
      <x:c r="L78" s="190" t="str">
        <x:v>BRANCO CARRARA</x:v>
      </x:c>
      <x:c r="M78" s="210" t="n">
        <x:v>2</x:v>
      </x:c>
      <x:c r="N78" s="210" t="n">
        <x:v>1000</x:v>
      </x:c>
      <x:c r="O78" s="210" t="n">
        <x:v>130</x:v>
      </x:c>
      <x:c r="P78" s="210" t="n">
        <x:v>30</x:v>
      </x:c>
      <x:c r="Q78" s="211" t="n">
        <x:v>0</x:v>
      </x:c>
      <x:c r="R78" s="207" t="str"/>
      <x:c r="S78" s="207" t="str"/>
      <x:c r="T78" s="207" t="str"/>
      <x:c r="U78" s="207" t="n">
        <x:v>0</x:v>
      </x:c>
      <x:c r="V78" s="208" t="n">
        <x:f>MAX(0,M78-U78)</x:f>
        <x:v>2</x:v>
      </x:c>
      <x:c r="W78" s="209" t="n">
        <x:f>IFERROR(U78/M78,0)</x:f>
        <x:v>0</x:v>
      </x:c>
      <x:c r="X78" s="201" t="str">
        <x:f>IF(U78=0,"Não iniciado",IF(U78&gt;=M78,"Concluído","Parcial"))</x:f>
        <x:v>Não iniciado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26747</x:v>
      </x:c>
      <x:c r="C79" s="218" t="str">
        <x:v>11</x:v>
      </x:c>
      <x:c r="D79" s="218" t="str">
        <x:v>609020</x:v>
      </x:c>
      <x:c r="E79" s="218" t="str">
        <x:v>921859</x:v>
      </x:c>
      <x:c r="F79" s="218" t="str">
        <x:v>BATENTE</x:v>
      </x:c>
      <x:c r="G79" s="184" t="str">
        <x:v>1000x130x30 S/RB R1L (MA) PET BC (UL)</x:v>
      </x:c>
      <x:c r="H79" s="184" t="str">
        <x:v>MDF ULTRA</x:v>
      </x:c>
      <x:c r="I79" s="184" t="str">
        <x:v>S/CANAL</x:v>
      </x:c>
      <x:c r="J79" s="184" t="str">
        <x:v>S/REB</x:v>
      </x:c>
      <x:c r="K79" s="184" t="str">
        <x:v>RECOBERTO PET</x:v>
      </x:c>
      <x:c r="L79" s="184" t="str">
        <x:v>BRANCO CARRARA</x:v>
      </x:c>
      <x:c r="M79" s="205" t="n">
        <x:v>1</x:v>
      </x:c>
      <x:c r="N79" s="205" t="n">
        <x:v>1000</x:v>
      </x:c>
      <x:c r="O79" s="205" t="n">
        <x:v>130</x:v>
      </x:c>
      <x:c r="P79" s="205" t="n">
        <x:v>30</x:v>
      </x:c>
      <x:c r="Q79" s="206" t="n">
        <x:v>0</x:v>
      </x:c>
      <x:c r="R79" s="207" t="str"/>
      <x:c r="S79" s="207" t="str"/>
      <x:c r="T79" s="207" t="str"/>
      <x:c r="U79" s="207" t="n">
        <x:v>0</x:v>
      </x:c>
      <x:c r="V79" s="208" t="n">
        <x:f>MAX(0,M79-U79)</x:f>
        <x:v>1</x:v>
      </x:c>
      <x:c r="W79" s="209" t="n">
        <x:f>IFERROR(U79/M79,0)</x:f>
        <x:v>0</x:v>
      </x:c>
      <x:c r="X79" s="201" t="str">
        <x:f>IF(U79=0,"Não iniciado",IF(U79&gt;=M79,"Concluído","Parcial"))</x:f>
        <x:v>Não iniciado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26815</x:v>
      </x:c>
      <x:c r="C80" s="220" t="str">
        <x:v>5</x:v>
      </x:c>
      <x:c r="D80" s="220" t="str">
        <x:v>609534</x:v>
      </x:c>
      <x:c r="E80" s="220" t="str">
        <x:v>2010600081</x:v>
      </x:c>
      <x:c r="F80" s="220" t="str">
        <x:v>BATENTE</x:v>
      </x:c>
      <x:c r="G80" s="190" t="str">
        <x:v>M T MDF STD PET TXT BCO 947X130X30 42X10</x:v>
      </x:c>
      <x:c r="H80" s="190" t="str"/>
      <x:c r="I80" s="190" t="str"/>
      <x:c r="J80" s="190" t="str"/>
      <x:c r="K80" s="190" t="str">
        <x:v>ESMALTE</x:v>
      </x:c>
      <x:c r="L80" s="190" t="str">
        <x:v>BRANCO CARRARA</x:v>
      </x:c>
      <x:c r="M80" s="210" t="n">
        <x:v>8</x:v>
      </x:c>
      <x:c r="N80" s="210" t="n">
        <x:v>947</x:v>
      </x:c>
      <x:c r="O80" s="210" t="n">
        <x:v>130</x:v>
      </x:c>
      <x:c r="P80" s="210" t="n">
        <x:v>30</x:v>
      </x:c>
      <x:c r="Q80" s="211" t="n">
        <x:v>0.03</x:v>
      </x:c>
      <x:c r="R80" s="207" t="str"/>
      <x:c r="S80" s="207" t="str"/>
      <x:c r="T80" s="207" t="str"/>
      <x:c r="U80" s="207" t="n">
        <x:v>0</x:v>
      </x:c>
      <x:c r="V80" s="208" t="n">
        <x:f>MAX(0,M80-U80)</x:f>
        <x:v>8</x:v>
      </x:c>
      <x:c r="W80" s="209" t="n">
        <x:f>IFERROR(U80/M80,0)</x:f>
        <x:v>0</x:v>
      </x:c>
      <x:c r="X80" s="201" t="str">
        <x:f>IF(U80=0,"Não iniciado",IF(U80&gt;=M80,"Concluído","Parcial"))</x:f>
        <x:v>Não iniciado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26809</x:v>
      </x:c>
      <x:c r="C81" s="218" t="str">
        <x:v>4</x:v>
      </x:c>
      <x:c r="D81" s="218" t="str">
        <x:v>609936</x:v>
      </x:c>
      <x:c r="E81" s="218" t="str">
        <x:v>2010701183</x:v>
      </x:c>
      <x:c r="F81" s="218" t="str">
        <x:v>BATENTE</x:v>
      </x:c>
      <x:c r="G81" s="184" t="str">
        <x:v>M ULTRA PET CAP M 947X130X30 42X10 R2L M</x:v>
      </x:c>
      <x:c r="H81" s="184" t="str">
        <x:v>MDF ULTRA</x:v>
      </x:c>
      <x:c r="I81" s="184" t="str">
        <x:v>C/BORRACHA I APLICADA</x:v>
      </x:c>
      <x:c r="J81" s="184" t="str">
        <x:v>C/REB 42X10</x:v>
      </x:c>
      <x:c r="K81" s="184" t="str">
        <x:v>RECOBERTO PET</x:v>
      </x:c>
      <x:c r="L81" s="184" t="str">
        <x:v>CAPUCCINO MARCHE</x:v>
      </x:c>
      <x:c r="M81" s="205" t="n">
        <x:v>6</x:v>
      </x:c>
      <x:c r="N81" s="205" t="n">
        <x:v>947</x:v>
      </x:c>
      <x:c r="O81" s="205" t="n">
        <x:v>130</x:v>
      </x:c>
      <x:c r="P81" s="205" t="n">
        <x:v>30</x:v>
      </x:c>
      <x:c r="Q81" s="206" t="n">
        <x:v>0.022</x:v>
      </x:c>
      <x:c r="R81" s="207" t="str"/>
      <x:c r="S81" s="207" t="str"/>
      <x:c r="T81" s="207" t="str"/>
      <x:c r="U81" s="207" t="n">
        <x:v>0</x:v>
      </x:c>
      <x:c r="V81" s="208" t="n">
        <x:f>MAX(0,M81-U81)</x:f>
        <x:v>6</x:v>
      </x:c>
      <x:c r="W81" s="209" t="n">
        <x:f>IFERROR(U81/M81,0)</x:f>
        <x:v>0</x:v>
      </x:c>
      <x:c r="X81" s="201" t="str">
        <x:f>IF(U81=0,"Não iniciado",IF(U81&gt;=M81,"Concluído","Parcial"))</x:f>
        <x:v>Não iniciado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26684</x:v>
      </x:c>
      <x:c r="C82" s="220" t="str">
        <x:v>3</x:v>
      </x:c>
      <x:c r="D82" s="220" t="str">
        <x:v>609128</x:v>
      </x:c>
      <x:c r="E82" s="220" t="str">
        <x:v>966817</x:v>
      </x:c>
      <x:c r="F82" s="220" t="str">
        <x:v>BATENTE</x:v>
      </x:c>
      <x:c r="G82" s="190" t="str">
        <x:v>867x130x30 42x10 R2L RT BIA PET STD PREM</x:v>
      </x:c>
      <x:c r="H82" s="190" t="str"/>
      <x:c r="I82" s="190" t="str"/>
      <x:c r="J82" s="190" t="str"/>
      <x:c r="K82" s="190" t="str">
        <x:v>ESMALTE</x:v>
      </x:c>
      <x:c r="L82" s="190" t="str">
        <x:v>BRANCO CARRARA</x:v>
      </x:c>
      <x:c r="M82" s="210" t="n">
        <x:v>3</x:v>
      </x:c>
      <x:c r="N82" s="210" t="n">
        <x:v>867</x:v>
      </x:c>
      <x:c r="O82" s="210" t="n">
        <x:v>130</x:v>
      </x:c>
      <x:c r="P82" s="210" t="n">
        <x:v>30</x:v>
      </x:c>
      <x:c r="Q82" s="211" t="n">
        <x:v>0</x:v>
      </x:c>
      <x:c r="R82" s="207" t="str"/>
      <x:c r="S82" s="207" t="str"/>
      <x:c r="T82" s="207" t="str"/>
      <x:c r="U82" s="207" t="n">
        <x:v>0</x:v>
      </x:c>
      <x:c r="V82" s="208" t="n">
        <x:f>MAX(0,M82-U82)</x:f>
        <x:v>3</x:v>
      </x:c>
      <x:c r="W82" s="209" t="n">
        <x:f>IFERROR(U82/M82,0)</x:f>
        <x:v>0</x:v>
      </x:c>
      <x:c r="X82" s="201" t="str">
        <x:f>IF(U82=0,"Não iniciado",IF(U82&gt;=M82,"Concluído","Parcial"))</x:f>
        <x:v>Não iniciado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26684</x:v>
      </x:c>
      <x:c r="C83" s="218" t="str">
        <x:v>5</x:v>
      </x:c>
      <x:c r="D83" s="218" t="str">
        <x:v>609144</x:v>
      </x:c>
      <x:c r="E83" s="218" t="str">
        <x:v>966817</x:v>
      </x:c>
      <x:c r="F83" s="218" t="str">
        <x:v>BATENTE</x:v>
      </x:c>
      <x:c r="G83" s="184" t="str">
        <x:v>867x130x30 42x10 R2L RT BIA PET STD PREM</x:v>
      </x:c>
      <x:c r="H83" s="184" t="str"/>
      <x:c r="I83" s="184" t="str"/>
      <x:c r="J83" s="184" t="str"/>
      <x:c r="K83" s="184" t="str">
        <x:v>ESMALTE</x:v>
      </x:c>
      <x:c r="L83" s="184" t="str">
        <x:v>BRANCO CARRARA</x:v>
      </x:c>
      <x:c r="M83" s="205" t="n">
        <x:v>6</x:v>
      </x:c>
      <x:c r="N83" s="205" t="n">
        <x:v>867</x:v>
      </x:c>
      <x:c r="O83" s="205" t="n">
        <x:v>130</x:v>
      </x:c>
      <x:c r="P83" s="205" t="n">
        <x:v>30</x:v>
      </x:c>
      <x:c r="Q83" s="206" t="n">
        <x:v>0</x:v>
      </x:c>
      <x:c r="R83" s="207" t="str"/>
      <x:c r="S83" s="207" t="str"/>
      <x:c r="T83" s="207" t="str"/>
      <x:c r="U83" s="207" t="n">
        <x:v>0</x:v>
      </x:c>
      <x:c r="V83" s="208" t="n">
        <x:f>MAX(0,M83-U83)</x:f>
        <x:v>6</x:v>
      </x:c>
      <x:c r="W83" s="209" t="n">
        <x:f>IFERROR(U83/M83,0)</x:f>
        <x:v>0</x:v>
      </x:c>
      <x:c r="X83" s="201" t="str">
        <x:f>IF(U83=0,"Não iniciado",IF(U83&gt;=M83,"Concluído","Parcial"))</x:f>
        <x:v>Não iniciado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26684</x:v>
      </x:c>
      <x:c r="C84" s="220" t="str">
        <x:v>9</x:v>
      </x:c>
      <x:c r="D84" s="220" t="str">
        <x:v>609176</x:v>
      </x:c>
      <x:c r="E84" s="220" t="str">
        <x:v>966817</x:v>
      </x:c>
      <x:c r="F84" s="220" t="str">
        <x:v>BATENTE</x:v>
      </x:c>
      <x:c r="G84" s="190" t="str">
        <x:v>867x130x30 42x10 R2L RT BIA PET STD PREM</x:v>
      </x:c>
      <x:c r="H84" s="190" t="str"/>
      <x:c r="I84" s="190" t="str"/>
      <x:c r="J84" s="190" t="str"/>
      <x:c r="K84" s="190" t="str">
        <x:v>ESMALTE</x:v>
      </x:c>
      <x:c r="L84" s="190" t="str">
        <x:v>BRANCO CARRARA</x:v>
      </x:c>
      <x:c r="M84" s="210" t="n">
        <x:v>57</x:v>
      </x:c>
      <x:c r="N84" s="210" t="n">
        <x:v>867</x:v>
      </x:c>
      <x:c r="O84" s="210" t="n">
        <x:v>130</x:v>
      </x:c>
      <x:c r="P84" s="210" t="n">
        <x:v>30</x:v>
      </x:c>
      <x:c r="Q84" s="211" t="n">
        <x:v>0</x:v>
      </x:c>
      <x:c r="R84" s="207" t="str"/>
      <x:c r="S84" s="207" t="str"/>
      <x:c r="T84" s="207" t="str"/>
      <x:c r="U84" s="207" t="n">
        <x:v>0</x:v>
      </x:c>
      <x:c r="V84" s="208" t="n">
        <x:f>MAX(0,M84-U84)</x:f>
        <x:v>57</x:v>
      </x:c>
      <x:c r="W84" s="209" t="n">
        <x:f>IFERROR(U84/M84,0)</x:f>
        <x:v>0</x:v>
      </x:c>
      <x:c r="X84" s="201" t="str">
        <x:f>IF(U84=0,"Não iniciado",IF(U84&gt;=M84,"Concluído","Parcial"))</x:f>
        <x:v>Não iniciado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26689</x:v>
      </x:c>
      <x:c r="C85" s="218" t="str">
        <x:v>3</x:v>
      </x:c>
      <x:c r="D85" s="218" t="str">
        <x:v>609095</x:v>
      </x:c>
      <x:c r="E85" s="218" t="str">
        <x:v>966817</x:v>
      </x:c>
      <x:c r="F85" s="218" t="str">
        <x:v>BATENTE</x:v>
      </x:c>
      <x:c r="G85" s="184" t="str">
        <x:v>867x130x30 42x10 R2L RT BIA PET STD PREM</x:v>
      </x:c>
      <x:c r="H85" s="184" t="str"/>
      <x:c r="I85" s="184" t="str"/>
      <x:c r="J85" s="184" t="str"/>
      <x:c r="K85" s="184" t="str">
        <x:v>ESMALTE</x:v>
      </x:c>
      <x:c r="L85" s="184" t="str">
        <x:v>BRANCO CARRARA</x:v>
      </x:c>
      <x:c r="M85" s="205" t="n">
        <x:v>61</x:v>
      </x:c>
      <x:c r="N85" s="205" t="n">
        <x:v>867</x:v>
      </x:c>
      <x:c r="O85" s="205" t="n">
        <x:v>130</x:v>
      </x:c>
      <x:c r="P85" s="205" t="n">
        <x:v>30</x:v>
      </x:c>
      <x:c r="Q85" s="206" t="n">
        <x:v>0</x:v>
      </x:c>
      <x:c r="R85" s="207" t="str"/>
      <x:c r="S85" s="207" t="str"/>
      <x:c r="T85" s="207" t="str"/>
      <x:c r="U85" s="207" t="n">
        <x:v>0</x:v>
      </x:c>
      <x:c r="V85" s="208" t="n">
        <x:f>MAX(0,M85-U85)</x:f>
        <x:v>61</x:v>
      </x:c>
      <x:c r="W85" s="209" t="n">
        <x:f>IFERROR(U85/M85,0)</x:f>
        <x:v>0</x:v>
      </x:c>
      <x:c r="X85" s="201" t="str">
        <x:f>IF(U85=0,"Não iniciado",IF(U85&gt;=M85,"Concluído","Parcial"))</x:f>
        <x:v>Não iniciado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26520</x:v>
      </x:c>
      <x:c r="C86" s="220" t="str">
        <x:v>1</x:v>
      </x:c>
      <x:c r="D86" s="220" t="str">
        <x:v>610068</x:v>
      </x:c>
      <x:c r="E86" s="220" t="str">
        <x:v>984360</x:v>
      </x:c>
      <x:c r="F86" s="220" t="str">
        <x:v>BATENTE</x:v>
      </x:c>
      <x:c r="G86" s="190" t="str">
        <x:v>867x130x30 42x10 R2 RT BIA PET CNZ UL)</x:v>
      </x:c>
      <x:c r="H86" s="190" t="str"/>
      <x:c r="I86" s="190" t="str"/>
      <x:c r="J86" s="190" t="str"/>
      <x:c r="K86" s="190" t="str">
        <x:v>RECOBERTO PET</x:v>
      </x:c>
      <x:c r="L86" s="190" t="str">
        <x:v>CINZA VERONA</x:v>
      </x:c>
      <x:c r="M86" s="210" t="n">
        <x:v>2</x:v>
      </x:c>
      <x:c r="N86" s="210" t="n">
        <x:v>867</x:v>
      </x:c>
      <x:c r="O86" s="210" t="n">
        <x:v>130</x:v>
      </x:c>
      <x:c r="P86" s="210" t="n">
        <x:v>30</x:v>
      </x:c>
      <x:c r="Q86" s="211" t="n">
        <x:v>0</x:v>
      </x:c>
      <x:c r="R86" s="207" t="str"/>
      <x:c r="S86" s="207" t="str"/>
      <x:c r="T86" s="207" t="str"/>
      <x:c r="U86" s="207" t="n">
        <x:v>0</x:v>
      </x:c>
      <x:c r="V86" s="208" t="n">
        <x:f>MAX(0,M86-U86)</x:f>
        <x:v>2</x:v>
      </x:c>
      <x:c r="W86" s="209" t="n">
        <x:f>IFERROR(U86/M86,0)</x:f>
        <x:v>0</x:v>
      </x:c>
      <x:c r="X86" s="201" t="str">
        <x:f>IF(U86=0,"Não iniciado",IF(U86&gt;=M86,"Concluído","Parcial"))</x:f>
        <x:v>Não iniciado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26808</x:v>
      </x:c>
      <x:c r="C87" s="218" t="str">
        <x:v>7</x:v>
      </x:c>
      <x:c r="D87" s="218" t="str">
        <x:v>608945</x:v>
      </x:c>
      <x:c r="E87" s="218" t="str">
        <x:v>675742</x:v>
      </x:c>
      <x:c r="F87" s="218" t="str">
        <x:v>BATENTE</x:v>
      </x:c>
      <x:c r="G87" s="184" t="str">
        <x:v>847x130x30 42x10 R2L BIA PET BC(PREMIUM)</x:v>
      </x:c>
      <x:c r="H87" s="184" t="str"/>
      <x:c r="I87" s="184" t="str"/>
      <x:c r="J87" s="184" t="str"/>
      <x:c r="K87" s="184" t="str">
        <x:v>ESMALTE</x:v>
      </x:c>
      <x:c r="L87" s="184" t="str">
        <x:v>BRANCO CARRARA</x:v>
      </x:c>
      <x:c r="M87" s="205" t="n">
        <x:v>4</x:v>
      </x:c>
      <x:c r="N87" s="205" t="n">
        <x:v>847</x:v>
      </x:c>
      <x:c r="O87" s="205" t="n">
        <x:v>130</x:v>
      </x:c>
      <x:c r="P87" s="205" t="n">
        <x:v>30</x:v>
      </x:c>
      <x:c r="Q87" s="206" t="n">
        <x:v>0</x:v>
      </x:c>
      <x:c r="R87" s="207" t="str"/>
      <x:c r="S87" s="207" t="str"/>
      <x:c r="T87" s="207" t="str"/>
      <x:c r="U87" s="207" t="n">
        <x:v>0</x:v>
      </x:c>
      <x:c r="V87" s="208" t="n">
        <x:f>MAX(0,M87-U87)</x:f>
        <x:v>4</x:v>
      </x:c>
      <x:c r="W87" s="209" t="n">
        <x:f>IFERROR(U87/M87,0)</x:f>
        <x:v>0</x:v>
      </x:c>
      <x:c r="X87" s="201" t="str">
        <x:f>IF(U87=0,"Não iniciado",IF(U87&gt;=M87,"Concluído","Parcial"))</x:f>
        <x:v>Não iniciado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26808</x:v>
      </x:c>
      <x:c r="C88" s="220" t="str">
        <x:v>10</x:v>
      </x:c>
      <x:c r="D88" s="220" t="str">
        <x:v>608969</x:v>
      </x:c>
      <x:c r="E88" s="220" t="str">
        <x:v>675742</x:v>
      </x:c>
      <x:c r="F88" s="220" t="str">
        <x:v>BATENTE</x:v>
      </x:c>
      <x:c r="G88" s="190" t="str">
        <x:v>847x130x30 42x10 R2L BIA PET BC(PREMIUM)</x:v>
      </x:c>
      <x:c r="H88" s="190" t="str"/>
      <x:c r="I88" s="190" t="str"/>
      <x:c r="J88" s="190" t="str"/>
      <x:c r="K88" s="190" t="str">
        <x:v>ESMALTE</x:v>
      </x:c>
      <x:c r="L88" s="190" t="str">
        <x:v>BRANCO CARRARA</x:v>
      </x:c>
      <x:c r="M88" s="210" t="n">
        <x:v>1</x:v>
      </x:c>
      <x:c r="N88" s="210" t="n">
        <x:v>847</x:v>
      </x:c>
      <x:c r="O88" s="210" t="n">
        <x:v>130</x:v>
      </x:c>
      <x:c r="P88" s="210" t="n">
        <x:v>30</x:v>
      </x:c>
      <x:c r="Q88" s="211" t="n">
        <x:v>0</x:v>
      </x:c>
      <x:c r="R88" s="207" t="str"/>
      <x:c r="S88" s="207" t="str"/>
      <x:c r="T88" s="207" t="str"/>
      <x:c r="U88" s="207" t="n">
        <x:v>0</x:v>
      </x:c>
      <x:c r="V88" s="208" t="n">
        <x:f>MAX(0,M88-U88)</x:f>
        <x:v>1</x:v>
      </x:c>
      <x:c r="W88" s="209" t="n">
        <x:f>IFERROR(U88/M88,0)</x:f>
        <x:v>0</x:v>
      </x:c>
      <x:c r="X88" s="201" t="str">
        <x:f>IF(U88=0,"Não iniciado",IF(U88&gt;=M88,"Concluído","Parcial"))</x:f>
        <x:v>Não iniciado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26815</x:v>
      </x:c>
      <x:c r="C89" s="218" t="str">
        <x:v>4</x:v>
      </x:c>
      <x:c r="D89" s="218" t="str">
        <x:v>609517</x:v>
      </x:c>
      <x:c r="E89" s="218" t="str">
        <x:v>2010600074</x:v>
      </x:c>
      <x:c r="F89" s="218" t="str">
        <x:v>BATENTE</x:v>
      </x:c>
      <x:c r="G89" s="184" t="str">
        <x:v>M T MDF STD PET TXT BCO 847X130X30 42X10</x:v>
      </x:c>
      <x:c r="H89" s="184" t="str"/>
      <x:c r="I89" s="184" t="str"/>
      <x:c r="J89" s="184" t="str"/>
      <x:c r="K89" s="184" t="str">
        <x:v>ESMALTE</x:v>
      </x:c>
      <x:c r="L89" s="184" t="str">
        <x:v>BRANCO CARRARA</x:v>
      </x:c>
      <x:c r="M89" s="205" t="n">
        <x:v>67</x:v>
      </x:c>
      <x:c r="N89" s="205" t="n">
        <x:v>847</x:v>
      </x:c>
      <x:c r="O89" s="205" t="n">
        <x:v>130</x:v>
      </x:c>
      <x:c r="P89" s="205" t="n">
        <x:v>30</x:v>
      </x:c>
      <x:c r="Q89" s="206" t="n">
        <x:v>0.221</x:v>
      </x:c>
      <x:c r="R89" s="207" t="str"/>
      <x:c r="S89" s="207" t="str"/>
      <x:c r="T89" s="207" t="str"/>
      <x:c r="U89" s="207" t="n">
        <x:v>0</x:v>
      </x:c>
      <x:c r="V89" s="208" t="n">
        <x:f>MAX(0,M89-U89)</x:f>
        <x:v>67</x:v>
      </x:c>
      <x:c r="W89" s="209" t="n">
        <x:f>IFERROR(U89/M89,0)</x:f>
        <x:v>0</x:v>
      </x:c>
      <x:c r="X89" s="201" t="str">
        <x:f>IF(U89=0,"Não iniciado",IF(U89&gt;=M89,"Concluído","Parcial"))</x:f>
        <x:v>Não iniciado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26747</x:v>
      </x:c>
      <x:c r="C90" s="220" t="str">
        <x:v>8</x:v>
      </x:c>
      <x:c r="D90" s="220" t="str">
        <x:v>609015</x:v>
      </x:c>
      <x:c r="E90" s="220" t="str">
        <x:v>955171</x:v>
      </x:c>
      <x:c r="F90" s="220" t="str">
        <x:v>BATENTE</x:v>
      </x:c>
      <x:c r="G90" s="190" t="str">
        <x:v>847x130x30 42X10 R2L BIA RT PET BCO (ULT</x:v>
      </x:c>
      <x:c r="H90" s="190" t="str">
        <x:v>MDF ULTRA</x:v>
      </x:c>
      <x:c r="I90" s="190" t="str">
        <x:v>C/BORRACHA I APLICADA</x:v>
      </x:c>
      <x:c r="J90" s="190" t="str">
        <x:v>C/REB 42X10</x:v>
      </x:c>
      <x:c r="K90" s="190" t="str">
        <x:v>RECOBERTO PET</x:v>
      </x:c>
      <x:c r="L90" s="190" t="str">
        <x:v>BRANCO CARRARA</x:v>
      </x:c>
      <x:c r="M90" s="210" t="n">
        <x:v>4</x:v>
      </x:c>
      <x:c r="N90" s="210" t="n">
        <x:v>847</x:v>
      </x:c>
      <x:c r="O90" s="210" t="n">
        <x:v>130</x:v>
      </x:c>
      <x:c r="P90" s="210" t="n">
        <x:v>30</x:v>
      </x:c>
      <x:c r="Q90" s="211" t="n">
        <x:v>0</x:v>
      </x:c>
      <x:c r="R90" s="207" t="str"/>
      <x:c r="S90" s="207" t="str"/>
      <x:c r="T90" s="207" t="str"/>
      <x:c r="U90" s="207" t="n">
        <x:v>0</x:v>
      </x:c>
      <x:c r="V90" s="208" t="n">
        <x:f>MAX(0,M90-U90)</x:f>
        <x:v>4</x:v>
      </x:c>
      <x:c r="W90" s="209" t="n">
        <x:f>IFERROR(U90/M90,0)</x:f>
        <x:v>0</x:v>
      </x:c>
      <x:c r="X90" s="201" t="str">
        <x:f>IF(U90=0,"Não iniciado",IF(U90&gt;=M90,"Concluído","Parcial"))</x:f>
        <x:v>Não iniciado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26739</x:v>
      </x:c>
      <x:c r="C91" s="218" t="str">
        <x:v>11</x:v>
      </x:c>
      <x:c r="D91" s="218" t="str">
        <x:v>609665</x:v>
      </x:c>
      <x:c r="E91" s="218" t="str">
        <x:v>960977</x:v>
      </x:c>
      <x:c r="F91" s="218" t="str">
        <x:v>BATENTE</x:v>
      </x:c>
      <x:c r="G91" s="184" t="str">
        <x:v>767x130x30 42X10 R2L BIA RT PET BCO (ULT</x:v>
      </x:c>
      <x:c r="H91" s="184" t="str"/>
      <x:c r="I91" s="184" t="str"/>
      <x:c r="J91" s="184" t="str"/>
      <x:c r="K91" s="184" t="str">
        <x:v>ESMALTE</x:v>
      </x:c>
      <x:c r="L91" s="184" t="str">
        <x:v>BRANCO CARRARA</x:v>
      </x:c>
      <x:c r="M91" s="205" t="n">
        <x:v>16</x:v>
      </x:c>
      <x:c r="N91" s="205" t="n">
        <x:v>767</x:v>
      </x:c>
      <x:c r="O91" s="205" t="n">
        <x:v>130</x:v>
      </x:c>
      <x:c r="P91" s="205" t="n">
        <x:v>30</x:v>
      </x:c>
      <x:c r="Q91" s="206" t="n">
        <x:v>0.048</x:v>
      </x:c>
      <x:c r="R91" s="207" t="str"/>
      <x:c r="S91" s="207" t="str"/>
      <x:c r="T91" s="207" t="str"/>
      <x:c r="U91" s="207" t="n">
        <x:v>0</x:v>
      </x:c>
      <x:c r="V91" s="208" t="n">
        <x:f>MAX(0,M91-U91)</x:f>
        <x:v>16</x:v>
      </x:c>
      <x:c r="W91" s="209" t="n">
        <x:f>IFERROR(U91/M91,0)</x:f>
        <x:v>0</x:v>
      </x:c>
      <x:c r="X91" s="201" t="str">
        <x:f>IF(U91=0,"Não iniciado",IF(U91&gt;=M91,"Concluído","Parcial"))</x:f>
        <x:v>Não iniciado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26750</x:v>
      </x:c>
      <x:c r="C92" s="220" t="str">
        <x:v>14</x:v>
      </x:c>
      <x:c r="D92" s="220" t="str">
        <x:v>609838</x:v>
      </x:c>
      <x:c r="E92" s="220" t="str">
        <x:v>960977</x:v>
      </x:c>
      <x:c r="F92" s="220" t="str">
        <x:v>BATENTE</x:v>
      </x:c>
      <x:c r="G92" s="190" t="str">
        <x:v>767x130x30 42X10 R2L BIA RT PET BCO (ULT</x:v>
      </x:c>
      <x:c r="H92" s="190" t="str"/>
      <x:c r="I92" s="190" t="str"/>
      <x:c r="J92" s="190" t="str"/>
      <x:c r="K92" s="190" t="str">
        <x:v>ESMALTE</x:v>
      </x:c>
      <x:c r="L92" s="190" t="str">
        <x:v>BRANCO CARRARA</x:v>
      </x:c>
      <x:c r="M92" s="210" t="n">
        <x:v>19</x:v>
      </x:c>
      <x:c r="N92" s="210" t="n">
        <x:v>767</x:v>
      </x:c>
      <x:c r="O92" s="210" t="n">
        <x:v>130</x:v>
      </x:c>
      <x:c r="P92" s="210" t="n">
        <x:v>30</x:v>
      </x:c>
      <x:c r="Q92" s="211" t="n">
        <x:v>0.057</x:v>
      </x:c>
      <x:c r="R92" s="207" t="str"/>
      <x:c r="S92" s="207" t="str"/>
      <x:c r="T92" s="207" t="str"/>
      <x:c r="U92" s="207" t="n">
        <x:v>0</x:v>
      </x:c>
      <x:c r="V92" s="208" t="n">
        <x:f>MAX(0,M92-U92)</x:f>
        <x:v>19</x:v>
      </x:c>
      <x:c r="W92" s="209" t="n">
        <x:f>IFERROR(U92/M92,0)</x:f>
        <x:v>0</x:v>
      </x:c>
      <x:c r="X92" s="201" t="str">
        <x:f>IF(U92=0,"Não iniciado",IF(U92&gt;=M92,"Concluído","Parcial"))</x:f>
        <x:v>Não iniciado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26520</x:v>
      </x:c>
      <x:c r="C93" s="218" t="str">
        <x:v>3</x:v>
      </x:c>
      <x:c r="D93" s="218" t="str">
        <x:v>610084</x:v>
      </x:c>
      <x:c r="E93" s="218" t="str">
        <x:v>985217</x:v>
      </x:c>
      <x:c r="F93" s="218" t="str">
        <x:v>BATENTE</x:v>
      </x:c>
      <x:c r="G93" s="184" t="str">
        <x:v>767x130x30 42x10 R2 RT BIA PET CNZ UL)</x:v>
      </x:c>
      <x:c r="H93" s="184" t="str"/>
      <x:c r="I93" s="184" t="str"/>
      <x:c r="J93" s="184" t="str"/>
      <x:c r="K93" s="184" t="str">
        <x:v>RECOBERTO PET</x:v>
      </x:c>
      <x:c r="L93" s="184" t="str">
        <x:v>CINZA VERONA</x:v>
      </x:c>
      <x:c r="M93" s="205" t="n">
        <x:v>4</x:v>
      </x:c>
      <x:c r="N93" s="205" t="n">
        <x:v>767</x:v>
      </x:c>
      <x:c r="O93" s="205" t="n">
        <x:v>130</x:v>
      </x:c>
      <x:c r="P93" s="205" t="n">
        <x:v>30</x:v>
      </x:c>
      <x:c r="Q93" s="206" t="n">
        <x:v>0</x:v>
      </x:c>
      <x:c r="R93" s="207" t="str"/>
      <x:c r="S93" s="207" t="str"/>
      <x:c r="T93" s="207" t="str"/>
      <x:c r="U93" s="207" t="n">
        <x:v>0</x:v>
      </x:c>
      <x:c r="V93" s="208" t="n">
        <x:f>MAX(0,M93-U93)</x:f>
        <x:v>4</x:v>
      </x:c>
      <x:c r="W93" s="209" t="n">
        <x:f>IFERROR(U93/M93,0)</x:f>
        <x:v>0</x:v>
      </x:c>
      <x:c r="X93" s="201" t="str">
        <x:f>IF(U93=0,"Não iniciado",IF(U93&gt;=M93,"Concluído","Parcial"))</x:f>
        <x:v>Não iniciado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26744</x:v>
      </x:c>
      <x:c r="C94" s="220" t="str">
        <x:v>2</x:v>
      </x:c>
      <x:c r="D94" s="220" t="str">
        <x:v>609997</x:v>
      </x:c>
      <x:c r="E94" s="220" t="str">
        <x:v>675978</x:v>
      </x:c>
      <x:c r="F94" s="220" t="str">
        <x:v>BATENTE</x:v>
      </x:c>
      <x:c r="G94" s="190" t="str">
        <x:v>747x130x30 42x10 R2 BIA PET BC(PREMIUM)</x:v>
      </x:c>
      <x:c r="H94" s="190" t="str"/>
      <x:c r="I94" s="190" t="str"/>
      <x:c r="J94" s="190" t="str"/>
      <x:c r="K94" s="190" t="str">
        <x:v>RECOBERTO PET</x:v>
      </x:c>
      <x:c r="L94" s="190" t="str">
        <x:v>BRANCO CARRARA</x:v>
      </x:c>
      <x:c r="M94" s="210" t="n">
        <x:v>5</x:v>
      </x:c>
      <x:c r="N94" s="210" t="n">
        <x:v>747</x:v>
      </x:c>
      <x:c r="O94" s="210" t="n">
        <x:v>130</x:v>
      </x:c>
      <x:c r="P94" s="210" t="n">
        <x:v>30</x:v>
      </x:c>
      <x:c r="Q94" s="211" t="n">
        <x:v>0</x:v>
      </x:c>
      <x:c r="R94" s="207" t="str"/>
      <x:c r="S94" s="207" t="str"/>
      <x:c r="T94" s="207" t="str"/>
      <x:c r="U94" s="207" t="n">
        <x:v>0</x:v>
      </x:c>
      <x:c r="V94" s="208" t="n">
        <x:f>MAX(0,M94-U94)</x:f>
        <x:v>5</x:v>
      </x:c>
      <x:c r="W94" s="209" t="n">
        <x:f>IFERROR(U94/M94,0)</x:f>
        <x:v>0</x:v>
      </x:c>
      <x:c r="X94" s="201" t="str">
        <x:f>IF(U94=0,"Não iniciado",IF(U94&gt;=M94,"Concluído","Parcial"))</x:f>
        <x:v>Não iniciado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26747</x:v>
      </x:c>
      <x:c r="C95" s="218" t="str">
        <x:v>6</x:v>
      </x:c>
      <x:c r="D95" s="218" t="str">
        <x:v>609012</x:v>
      </x:c>
      <x:c r="E95" s="218" t="str">
        <x:v>964779</x:v>
      </x:c>
      <x:c r="F95" s="218" t="str">
        <x:v>BATENTE</x:v>
      </x:c>
      <x:c r="G95" s="184" t="str">
        <x:v>747x130x30 42X10 R2L BIA RT PET BCO (ULT</x:v>
      </x:c>
      <x:c r="H95" s="184" t="str"/>
      <x:c r="I95" s="184" t="str"/>
      <x:c r="J95" s="184" t="str"/>
      <x:c r="K95" s="184" t="str">
        <x:v>RECOBERTO MELAMINICO</x:v>
      </x:c>
      <x:c r="L95" s="184" t="str">
        <x:v>BRANCO CARRARA</x:v>
      </x:c>
      <x:c r="M95" s="205" t="n">
        <x:v>1</x:v>
      </x:c>
      <x:c r="N95" s="205" t="n">
        <x:v>747</x:v>
      </x:c>
      <x:c r="O95" s="205" t="n">
        <x:v>130</x:v>
      </x:c>
      <x:c r="P95" s="205" t="n">
        <x:v>30</x:v>
      </x:c>
      <x:c r="Q95" s="206" t="n">
        <x:v>0</x:v>
      </x:c>
      <x:c r="R95" s="207" t="str"/>
      <x:c r="S95" s="207" t="str"/>
      <x:c r="T95" s="207" t="str"/>
      <x:c r="U95" s="207" t="n">
        <x:v>0</x:v>
      </x:c>
      <x:c r="V95" s="208" t="n">
        <x:f>MAX(0,M95-U95)</x:f>
        <x:v>1</x:v>
      </x:c>
      <x:c r="W95" s="209" t="n">
        <x:f>IFERROR(U95/M95,0)</x:f>
        <x:v>0</x:v>
      </x:c>
      <x:c r="X95" s="201" t="str">
        <x:f>IF(U95=0,"Não iniciado",IF(U95&gt;=M95,"Concluído","Parcial"))</x:f>
        <x:v>Não iniciado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26739</x:v>
      </x:c>
      <x:c r="C96" s="220" t="str">
        <x:v>20</x:v>
      </x:c>
      <x:c r="D96" s="220" t="str">
        <x:v>609722</x:v>
      </x:c>
      <x:c r="E96" s="220" t="str">
        <x:v>968091</x:v>
      </x:c>
      <x:c r="F96" s="220" t="str">
        <x:v>BATENTE</x:v>
      </x:c>
      <x:c r="G96" s="190" t="str">
        <x:v>667x130x30 42X10 R2L BIA RT PET BCO (ULT</x:v>
      </x:c>
      <x:c r="H96" s="190" t="str"/>
      <x:c r="I96" s="190" t="str"/>
      <x:c r="J96" s="190" t="str"/>
      <x:c r="K96" s="190" t="str">
        <x:v>ESMALTE</x:v>
      </x:c>
      <x:c r="L96" s="190" t="str">
        <x:v>BRANCO CARRARA</x:v>
      </x:c>
      <x:c r="M96" s="210" t="n">
        <x:v>3</x:v>
      </x:c>
      <x:c r="N96" s="210" t="n">
        <x:v>667</x:v>
      </x:c>
      <x:c r="O96" s="210" t="n">
        <x:v>130</x:v>
      </x:c>
      <x:c r="P96" s="210" t="n">
        <x:v>30</x:v>
      </x:c>
      <x:c r="Q96" s="211" t="n">
        <x:v>0.008</x:v>
      </x:c>
      <x:c r="R96" s="207" t="str"/>
      <x:c r="S96" s="207" t="str"/>
      <x:c r="T96" s="207" t="str"/>
      <x:c r="U96" s="207" t="n">
        <x:v>0</x:v>
      </x:c>
      <x:c r="V96" s="208" t="n">
        <x:f>MAX(0,M96-U96)</x:f>
        <x:v>3</x:v>
      </x:c>
      <x:c r="W96" s="209" t="n">
        <x:f>IFERROR(U96/M96,0)</x:f>
        <x:v>0</x:v>
      </x:c>
      <x:c r="X96" s="201" t="str">
        <x:f>IF(U96=0,"Não iniciado",IF(U96&gt;=M96,"Concluído","Parcial"))</x:f>
        <x:v>Não iniciado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26739</x:v>
      </x:c>
      <x:c r="C97" s="218" t="str">
        <x:v>25</x:v>
      </x:c>
      <x:c r="D97" s="218" t="str">
        <x:v>609776</x:v>
      </x:c>
      <x:c r="E97" s="218" t="str">
        <x:v>968091</x:v>
      </x:c>
      <x:c r="F97" s="218" t="str">
        <x:v>BATENTE</x:v>
      </x:c>
      <x:c r="G97" s="184" t="str">
        <x:v>667x130x30 42X10 R2L BIA RT PET BCO (ULT</x:v>
      </x:c>
      <x:c r="H97" s="184" t="str"/>
      <x:c r="I97" s="184" t="str"/>
      <x:c r="J97" s="184" t="str"/>
      <x:c r="K97" s="184" t="str">
        <x:v>ESMALTE</x:v>
      </x:c>
      <x:c r="L97" s="184" t="str">
        <x:v>BRANCO CARRARA</x:v>
      </x:c>
      <x:c r="M97" s="205" t="n">
        <x:v>1</x:v>
      </x:c>
      <x:c r="N97" s="205" t="n">
        <x:v>667</x:v>
      </x:c>
      <x:c r="O97" s="205" t="n">
        <x:v>130</x:v>
      </x:c>
      <x:c r="P97" s="205" t="n">
        <x:v>30</x:v>
      </x:c>
      <x:c r="Q97" s="206" t="n">
        <x:v>0.003</x:v>
      </x:c>
      <x:c r="R97" s="207" t="str"/>
      <x:c r="S97" s="207" t="str"/>
      <x:c r="T97" s="207" t="str"/>
      <x:c r="U97" s="207" t="n">
        <x:v>0</x:v>
      </x:c>
      <x:c r="V97" s="208" t="n">
        <x:f>MAX(0,M97-U97)</x:f>
        <x:v>1</x:v>
      </x:c>
      <x:c r="W97" s="209" t="n">
        <x:f>IFERROR(U97/M97,0)</x:f>
        <x:v>0</x:v>
      </x:c>
      <x:c r="X97" s="201" t="str">
        <x:f>IF(U97=0,"Não iniciado",IF(U97&gt;=M97,"Concluído","Parcial"))</x:f>
        <x:v>Não iniciado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26750</x:v>
      </x:c>
      <x:c r="C98" s="220" t="str">
        <x:v>23</x:v>
      </x:c>
      <x:c r="D98" s="220" t="str">
        <x:v>609895</x:v>
      </x:c>
      <x:c r="E98" s="220" t="str">
        <x:v>968091</x:v>
      </x:c>
      <x:c r="F98" s="220" t="str">
        <x:v>BATENTE</x:v>
      </x:c>
      <x:c r="G98" s="190" t="str">
        <x:v>667x130x30 42X10 R2L BIA RT PET BCO (ULT</x:v>
      </x:c>
      <x:c r="H98" s="190" t="str"/>
      <x:c r="I98" s="190" t="str"/>
      <x:c r="J98" s="190" t="str"/>
      <x:c r="K98" s="190" t="str">
        <x:v>ESMALTE</x:v>
      </x:c>
      <x:c r="L98" s="190" t="str">
        <x:v>BRANCO CARRARA</x:v>
      </x:c>
      <x:c r="M98" s="210" t="n">
        <x:v>4</x:v>
      </x:c>
      <x:c r="N98" s="210" t="n">
        <x:v>667</x:v>
      </x:c>
      <x:c r="O98" s="210" t="n">
        <x:v>130</x:v>
      </x:c>
      <x:c r="P98" s="210" t="n">
        <x:v>30</x:v>
      </x:c>
      <x:c r="Q98" s="211" t="n">
        <x:v>0.01</x:v>
      </x:c>
      <x:c r="R98" s="207" t="str"/>
      <x:c r="S98" s="207" t="str"/>
      <x:c r="T98" s="207" t="str"/>
      <x:c r="U98" s="207" t="n">
        <x:v>0</x:v>
      </x:c>
      <x:c r="V98" s="208" t="n">
        <x:f>MAX(0,M98-U98)</x:f>
        <x:v>4</x:v>
      </x:c>
      <x:c r="W98" s="209" t="n">
        <x:f>IFERROR(U98/M98,0)</x:f>
        <x:v>0</x:v>
      </x:c>
      <x:c r="X98" s="201" t="str">
        <x:f>IF(U98=0,"Não iniciado",IF(U98&gt;=M98,"Concluído","Parcial"))</x:f>
        <x:v>Não iniciado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26744</x:v>
      </x:c>
      <x:c r="C99" s="218" t="str">
        <x:v>1</x:v>
      </x:c>
      <x:c r="D99" s="218" t="str">
        <x:v>609988</x:v>
      </x:c>
      <x:c r="E99" s="218" t="str">
        <x:v>675803</x:v>
      </x:c>
      <x:c r="F99" s="218" t="str">
        <x:v>BATENTE</x:v>
      </x:c>
      <x:c r="G99" s="184" t="str">
        <x:v>647x130x30 42x10 R2L BIA PET BC(PREMIUM)</x:v>
      </x:c>
      <x:c r="H99" s="184" t="str"/>
      <x:c r="I99" s="184" t="str"/>
      <x:c r="J99" s="184" t="str"/>
      <x:c r="K99" s="184" t="str">
        <x:v>RECOBERTO PET</x:v>
      </x:c>
      <x:c r="L99" s="184" t="str">
        <x:v>BRANCO CARRARA</x:v>
      </x:c>
      <x:c r="M99" s="205" t="n">
        <x:v>4</x:v>
      </x:c>
      <x:c r="N99" s="205" t="n">
        <x:v>647</x:v>
      </x:c>
      <x:c r="O99" s="205" t="n">
        <x:v>130</x:v>
      </x:c>
      <x:c r="P99" s="205" t="n">
        <x:v>30</x:v>
      </x:c>
      <x:c r="Q99" s="206" t="n">
        <x:v>0</x:v>
      </x:c>
      <x:c r="R99" s="207" t="str"/>
      <x:c r="S99" s="207" t="str"/>
      <x:c r="T99" s="207" t="str"/>
      <x:c r="U99" s="207" t="n">
        <x:v>0</x:v>
      </x:c>
      <x:c r="V99" s="208" t="n">
        <x:f>MAX(0,M99-U99)</x:f>
        <x:v>4</x:v>
      </x:c>
      <x:c r="W99" s="209" t="n">
        <x:f>IFERROR(U99/M99,0)</x:f>
        <x:v>0</x:v>
      </x:c>
      <x:c r="X99" s="201" t="str">
        <x:f>IF(U99=0,"Não iniciado",IF(U99&gt;=M99,"Concluído","Parcial"))</x:f>
        <x:v>Não iniciado</x:v>
      </x:c>
      <x:c r="Y99" s="199" t="str"/>
      <x:c r="Z99" s="188" t="str">
        <x:v>Normal</x:v>
      </x:c>
    </x:row>
    <x:row r="100" ht="22" customHeight="1">
      <x:c r="A100" s="219" t="n">
        <x:v>96</x:v>
      </x:c>
      <x:c r="B100" s="220" t="str">
        <x:v>26808</x:v>
      </x:c>
      <x:c r="C100" s="220" t="str">
        <x:v>2</x:v>
      </x:c>
      <x:c r="D100" s="220" t="str">
        <x:v>608905</x:v>
      </x:c>
      <x:c r="E100" s="220" t="str">
        <x:v>675803</x:v>
      </x:c>
      <x:c r="F100" s="220" t="str">
        <x:v>BATENTE</x:v>
      </x:c>
      <x:c r="G100" s="190" t="str">
        <x:v>647x130x30 42x10 R2L BIA PET BC(PREMIUM)</x:v>
      </x:c>
      <x:c r="H100" s="190" t="str"/>
      <x:c r="I100" s="190" t="str"/>
      <x:c r="J100" s="190" t="str"/>
      <x:c r="K100" s="190" t="str">
        <x:v>ESMALTE</x:v>
      </x:c>
      <x:c r="L100" s="190" t="str">
        <x:v>BRANCO CARRARA</x:v>
      </x:c>
      <x:c r="M100" s="210" t="n">
        <x:v>16</x:v>
      </x:c>
      <x:c r="N100" s="210" t="n">
        <x:v>647</x:v>
      </x:c>
      <x:c r="O100" s="210" t="n">
        <x:v>130</x:v>
      </x:c>
      <x:c r="P100" s="210" t="n">
        <x:v>30</x:v>
      </x:c>
      <x:c r="Q100" s="211" t="n">
        <x:v>0</x:v>
      </x:c>
      <x:c r="R100" s="207" t="str"/>
      <x:c r="S100" s="207" t="str"/>
      <x:c r="T100" s="207" t="str"/>
      <x:c r="U100" s="207" t="n">
        <x:v>0</x:v>
      </x:c>
      <x:c r="V100" s="208" t="n">
        <x:f>MAX(0,M100-U100)</x:f>
        <x:v>16</x:v>
      </x:c>
      <x:c r="W100" s="209" t="n">
        <x:f>IFERROR(U100/M100,0)</x:f>
        <x:v>0</x:v>
      </x:c>
      <x:c r="X100" s="201" t="str">
        <x:f>IF(U100=0,"Não iniciado",IF(U100&gt;=M100,"Concluído","Parcial"))</x:f>
        <x:v>Não iniciado</x:v>
      </x:c>
      <x:c r="Y100" s="199" t="str"/>
      <x:c r="Z100" s="188" t="str">
        <x:v>Normal</x:v>
      </x:c>
    </x:row>
    <x:row r="101" ht="22" customHeight="1">
      <x:c r="A101" s="217" t="n">
        <x:v>97</x:v>
      </x:c>
      <x:c r="B101" s="218" t="str">
        <x:v>26520</x:v>
      </x:c>
      <x:c r="C101" s="218" t="str">
        <x:v>5</x:v>
      </x:c>
      <x:c r="D101" s="218" t="str">
        <x:v>610100</x:v>
      </x:c>
      <x:c r="E101" s="218" t="str">
        <x:v>976390</x:v>
      </x:c>
      <x:c r="F101" s="218" t="str">
        <x:v>BATENTE</x:v>
      </x:c>
      <x:c r="G101" s="184" t="str">
        <x:v>647x130x30 42x10 R2L RT BIA PET CNZ T(UL</x:v>
      </x:c>
      <x:c r="H101" s="184" t="str"/>
      <x:c r="I101" s="184" t="str"/>
      <x:c r="J101" s="184" t="str"/>
      <x:c r="K101" s="184" t="str">
        <x:v>RECOBERTO PET</x:v>
      </x:c>
      <x:c r="L101" s="184" t="str">
        <x:v>CINZA VERONA</x:v>
      </x:c>
      <x:c r="M101" s="205" t="n">
        <x:v>1</x:v>
      </x:c>
      <x:c r="N101" s="205" t="n">
        <x:v>647</x:v>
      </x:c>
      <x:c r="O101" s="205" t="n">
        <x:v>130</x:v>
      </x:c>
      <x:c r="P101" s="205" t="n">
        <x:v>30</x:v>
      </x:c>
      <x:c r="Q101" s="206" t="n">
        <x:v>0</x:v>
      </x:c>
      <x:c r="R101" s="207" t="str"/>
      <x:c r="S101" s="207" t="str"/>
      <x:c r="T101" s="207" t="str"/>
      <x:c r="U101" s="207" t="n">
        <x:v>0</x:v>
      </x:c>
      <x:c r="V101" s="208" t="n">
        <x:f>MAX(0,M101-U101)</x:f>
        <x:v>1</x:v>
      </x:c>
      <x:c r="W101" s="209" t="n">
        <x:f>IFERROR(U101/M101,0)</x:f>
        <x:v>0</x:v>
      </x:c>
      <x:c r="X101" s="201" t="str">
        <x:f>IF(U101=0,"Não iniciado",IF(U101&gt;=M101,"Concluído","Parcial"))</x:f>
        <x:v>Não iniciado</x:v>
      </x:c>
      <x:c r="Y101" s="199" t="str"/>
      <x:c r="Z101" s="188" t="str">
        <x:v>Normal</x:v>
      </x:c>
    </x:row>
    <x:row r="102" ht="22" customHeight="1">
      <x:c r="A102" s="219" t="n">
        <x:v>98</x:v>
      </x:c>
      <x:c r="B102" s="220" t="str">
        <x:v>26684</x:v>
      </x:c>
      <x:c r="C102" s="220" t="str">
        <x:v>2</x:v>
      </x:c>
      <x:c r="D102" s="220" t="str">
        <x:v>609122</x:v>
      </x:c>
      <x:c r="E102" s="220" t="str">
        <x:v>2010600483</x:v>
      </x:c>
      <x:c r="F102" s="220" t="str">
        <x:v>BATENTE</x:v>
      </x:c>
      <x:c r="G102" s="190" t="str">
        <x:v>M STD PET BCO CAR 2110X120X30 42X10 R2L</x:v>
      </x:c>
      <x:c r="H102" s="190" t="str"/>
      <x:c r="I102" s="190" t="str"/>
      <x:c r="J102" s="190" t="str"/>
      <x:c r="K102" s="190" t="str">
        <x:v>ESMALTE</x:v>
      </x:c>
      <x:c r="L102" s="190" t="str">
        <x:v>BRANCO CARRARA</x:v>
      </x:c>
      <x:c r="M102" s="210" t="n">
        <x:v>56</x:v>
      </x:c>
      <x:c r="N102" s="210" t="n">
        <x:v>2110</x:v>
      </x:c>
      <x:c r="O102" s="210" t="n">
        <x:v>120</x:v>
      </x:c>
      <x:c r="P102" s="210" t="n">
        <x:v>30</x:v>
      </x:c>
      <x:c r="Q102" s="211" t="n">
        <x:v>0.425</x:v>
      </x:c>
      <x:c r="R102" s="207" t="str"/>
      <x:c r="S102" s="207" t="str"/>
      <x:c r="T102" s="207" t="str"/>
      <x:c r="U102" s="207" t="n">
        <x:v>0</x:v>
      </x:c>
      <x:c r="V102" s="208" t="n">
        <x:f>MAX(0,M102-U102)</x:f>
        <x:v>56</x:v>
      </x:c>
      <x:c r="W102" s="209" t="n">
        <x:f>IFERROR(U102/M102,0)</x:f>
        <x:v>0</x:v>
      </x:c>
      <x:c r="X102" s="201" t="str">
        <x:f>IF(U102=0,"Não iniciado",IF(U102&gt;=M102,"Concluído","Parcial"))</x:f>
        <x:v>Não iniciado</x:v>
      </x:c>
      <x:c r="Y102" s="199" t="str"/>
      <x:c r="Z102" s="188" t="str">
        <x:v>Normal</x:v>
      </x:c>
    </x:row>
    <x:row r="103" ht="22" customHeight="1">
      <x:c r="A103" s="217" t="n">
        <x:v>99</x:v>
      </x:c>
      <x:c r="B103" s="218" t="str">
        <x:v>26684</x:v>
      </x:c>
      <x:c r="C103" s="218" t="str">
        <x:v>4</x:v>
      </x:c>
      <x:c r="D103" s="218" t="str">
        <x:v>609136</x:v>
      </x:c>
      <x:c r="E103" s="218" t="str">
        <x:v>972550</x:v>
      </x:c>
      <x:c r="F103" s="218" t="str">
        <x:v>BATENTE</x:v>
      </x:c>
      <x:c r="G103" s="184" t="str">
        <x:v>2110x120x30 42x10R2L R1BIA PET STD PRM U</x:v>
      </x:c>
      <x:c r="H103" s="184" t="str"/>
      <x:c r="I103" s="184" t="str"/>
      <x:c r="J103" s="184" t="str"/>
      <x:c r="K103" s="184" t="str">
        <x:v>ESMALTE</x:v>
      </x:c>
      <x:c r="L103" s="184" t="str">
        <x:v>BRANCO CARRARA</x:v>
      </x:c>
      <x:c r="M103" s="205" t="n">
        <x:v>110</x:v>
      </x:c>
      <x:c r="N103" s="205" t="n">
        <x:v>2110</x:v>
      </x:c>
      <x:c r="O103" s="205" t="n">
        <x:v>120</x:v>
      </x:c>
      <x:c r="P103" s="205" t="n">
        <x:v>30</x:v>
      </x:c>
      <x:c r="Q103" s="206" t="n">
        <x:v>0</x:v>
      </x:c>
      <x:c r="R103" s="207" t="str"/>
      <x:c r="S103" s="207" t="str"/>
      <x:c r="T103" s="207" t="str"/>
      <x:c r="U103" s="207" t="n">
        <x:v>0</x:v>
      </x:c>
      <x:c r="V103" s="208" t="n">
        <x:f>MAX(0,M103-U103)</x:f>
        <x:v>110</x:v>
      </x:c>
      <x:c r="W103" s="209" t="n">
        <x:f>IFERROR(U103/M103,0)</x:f>
        <x:v>0</x:v>
      </x:c>
      <x:c r="X103" s="201" t="str">
        <x:f>IF(U103=0,"Não iniciado",IF(U103&gt;=M103,"Concluído","Parcial"))</x:f>
        <x:v>Não iniciado</x:v>
      </x:c>
      <x:c r="Y103" s="199" t="str"/>
      <x:c r="Z103" s="188" t="str">
        <x:v>Normal</x:v>
      </x:c>
    </x:row>
    <x:row r="104" ht="22" customHeight="1">
      <x:c r="A104" s="219" t="n">
        <x:v>100</x:v>
      </x:c>
      <x:c r="B104" s="220" t="str">
        <x:v>26684</x:v>
      </x:c>
      <x:c r="C104" s="220" t="str">
        <x:v>8</x:v>
      </x:c>
      <x:c r="D104" s="220" t="str">
        <x:v>609168</x:v>
      </x:c>
      <x:c r="E104" s="220" t="str">
        <x:v>972550</x:v>
      </x:c>
      <x:c r="F104" s="220" t="str">
        <x:v>BATENTE</x:v>
      </x:c>
      <x:c r="G104" s="190" t="str">
        <x:v>2110x120x30 42x10R2L R1BIA PET STD PRM U</x:v>
      </x:c>
      <x:c r="H104" s="190" t="str"/>
      <x:c r="I104" s="190" t="str"/>
      <x:c r="J104" s="190" t="str"/>
      <x:c r="K104" s="190" t="str">
        <x:v>ESMALTE</x:v>
      </x:c>
      <x:c r="L104" s="190" t="str">
        <x:v>BRANCO CARRARA</x:v>
      </x:c>
      <x:c r="M104" s="210" t="n">
        <x:v>10</x:v>
      </x:c>
      <x:c r="N104" s="210" t="n">
        <x:v>2110</x:v>
      </x:c>
      <x:c r="O104" s="210" t="n">
        <x:v>120</x:v>
      </x:c>
      <x:c r="P104" s="210" t="n">
        <x:v>30</x:v>
      </x:c>
      <x:c r="Q104" s="211" t="n">
        <x:v>0</x:v>
      </x:c>
      <x:c r="R104" s="207" t="str"/>
      <x:c r="S104" s="207" t="str"/>
      <x:c r="T104" s="207" t="str"/>
      <x:c r="U104" s="207" t="n">
        <x:v>0</x:v>
      </x:c>
      <x:c r="V104" s="208" t="n">
        <x:f>MAX(0,M104-U104)</x:f>
        <x:v>10</x:v>
      </x:c>
      <x:c r="W104" s="209" t="n">
        <x:f>IFERROR(U104/M104,0)</x:f>
        <x:v>0</x:v>
      </x:c>
      <x:c r="X104" s="201" t="str">
        <x:f>IF(U104=0,"Não iniciado",IF(U104&gt;=M104,"Concluído","Parcial"))</x:f>
        <x:v>Não iniciado</x:v>
      </x:c>
      <x:c r="Y104" s="199" t="str"/>
      <x:c r="Z104" s="188" t="str">
        <x:v>Normal</x:v>
      </x:c>
    </x:row>
    <x:row r="105" ht="22" customHeight="1">
      <x:c r="A105" s="217" t="n">
        <x:v>101</x:v>
      </x:c>
      <x:c r="B105" s="218" t="str">
        <x:v>26689</x:v>
      </x:c>
      <x:c r="C105" s="218" t="str">
        <x:v>1</x:v>
      </x:c>
      <x:c r="D105" s="218" t="str">
        <x:v>609081</x:v>
      </x:c>
      <x:c r="E105" s="218" t="str">
        <x:v>2010600483</x:v>
      </x:c>
      <x:c r="F105" s="218" t="str">
        <x:v>BATENTE</x:v>
      </x:c>
      <x:c r="G105" s="184" t="str">
        <x:v>M STD PET BCO CAR 2110X120X30 42X10 R2L</x:v>
      </x:c>
      <x:c r="H105" s="184" t="str"/>
      <x:c r="I105" s="184" t="str"/>
      <x:c r="J105" s="184" t="str"/>
      <x:c r="K105" s="184" t="str">
        <x:v>ESMALTE</x:v>
      </x:c>
      <x:c r="L105" s="184" t="str">
        <x:v>BRANCO CARRARA</x:v>
      </x:c>
      <x:c r="M105" s="205" t="n">
        <x:v>64</x:v>
      </x:c>
      <x:c r="N105" s="205" t="n">
        <x:v>2110</x:v>
      </x:c>
      <x:c r="O105" s="205" t="n">
        <x:v>120</x:v>
      </x:c>
      <x:c r="P105" s="205" t="n">
        <x:v>30</x:v>
      </x:c>
      <x:c r="Q105" s="206" t="n">
        <x:v>0.486</x:v>
      </x:c>
      <x:c r="R105" s="207" t="str"/>
      <x:c r="S105" s="207" t="str"/>
      <x:c r="T105" s="207" t="str"/>
      <x:c r="U105" s="207" t="n">
        <x:v>0</x:v>
      </x:c>
      <x:c r="V105" s="208" t="n">
        <x:f>MAX(0,M105-U105)</x:f>
        <x:v>64</x:v>
      </x:c>
      <x:c r="W105" s="209" t="n">
        <x:f>IFERROR(U105/M105,0)</x:f>
        <x:v>0</x:v>
      </x:c>
      <x:c r="X105" s="201" t="str">
        <x:f>IF(U105=0,"Não iniciado",IF(U105&gt;=M105,"Concluído","Parcial"))</x:f>
        <x:v>Não iniciado</x:v>
      </x:c>
      <x:c r="Y105" s="199" t="str"/>
      <x:c r="Z105" s="188" t="str">
        <x:v>Normal</x:v>
      </x:c>
    </x:row>
    <x:row r="106" ht="22" customHeight="1">
      <x:c r="A106" s="219" t="n">
        <x:v>102</x:v>
      </x:c>
      <x:c r="B106" s="220" t="str">
        <x:v>26689</x:v>
      </x:c>
      <x:c r="C106" s="220" t="str">
        <x:v>2</x:v>
      </x:c>
      <x:c r="D106" s="220" t="str">
        <x:v>609087</x:v>
      </x:c>
      <x:c r="E106" s="220" t="str">
        <x:v>972550</x:v>
      </x:c>
      <x:c r="F106" s="220" t="str">
        <x:v>BATENTE</x:v>
      </x:c>
      <x:c r="G106" s="190" t="str">
        <x:v>2110x120x30 42x10R2L R1BIA PET STD PRM U</x:v>
      </x:c>
      <x:c r="H106" s="190" t="str"/>
      <x:c r="I106" s="190" t="str"/>
      <x:c r="J106" s="190" t="str"/>
      <x:c r="K106" s="190" t="str">
        <x:v>ESMALTE</x:v>
      </x:c>
      <x:c r="L106" s="190" t="str">
        <x:v>BRANCO CARRARA</x:v>
      </x:c>
      <x:c r="M106" s="210" t="n">
        <x:v>128</x:v>
      </x:c>
      <x:c r="N106" s="210" t="n">
        <x:v>2110</x:v>
      </x:c>
      <x:c r="O106" s="210" t="n">
        <x:v>120</x:v>
      </x:c>
      <x:c r="P106" s="210" t="n">
        <x:v>30</x:v>
      </x:c>
      <x:c r="Q106" s="211" t="n">
        <x:v>0</x:v>
      </x:c>
      <x:c r="R106" s="207" t="str"/>
      <x:c r="S106" s="207" t="str"/>
      <x:c r="T106" s="207" t="str"/>
      <x:c r="U106" s="207" t="n">
        <x:v>0</x:v>
      </x:c>
      <x:c r="V106" s="208" t="n">
        <x:f>MAX(0,M106-U106)</x:f>
        <x:v>128</x:v>
      </x:c>
      <x:c r="W106" s="209" t="n">
        <x:f>IFERROR(U106/M106,0)</x:f>
        <x:v>0</x:v>
      </x:c>
      <x:c r="X106" s="201" t="str">
        <x:f>IF(U106=0,"Não iniciado",IF(U106&gt;=M106,"Concluído","Parcial"))</x:f>
        <x:v>Não iniciado</x:v>
      </x:c>
      <x:c r="Y106" s="199" t="str"/>
      <x:c r="Z106" s="188" t="str">
        <x:v>Normal</x:v>
      </x:c>
    </x:row>
    <x:row r="107" ht="22" customHeight="1">
      <x:c r="A107" s="217" t="n">
        <x:v>103</x:v>
      </x:c>
      <x:c r="B107" s="218" t="str">
        <x:v>26684</x:v>
      </x:c>
      <x:c r="C107" s="218" t="str">
        <x:v>2</x:v>
      </x:c>
      <x:c r="D107" s="218" t="str">
        <x:v>609123</x:v>
      </x:c>
      <x:c r="E107" s="218" t="str">
        <x:v>2010600484</x:v>
      </x:c>
      <x:c r="F107" s="218" t="str">
        <x:v>BATENTE</x:v>
      </x:c>
      <x:c r="G107" s="184" t="str">
        <x:v>M STD PET BCO CAR 867X120X30 42X10 R2L M</x:v>
      </x:c>
      <x:c r="H107" s="184" t="str"/>
      <x:c r="I107" s="184" t="str"/>
      <x:c r="J107" s="184" t="str"/>
      <x:c r="K107" s="184" t="str">
        <x:v>ESMALTE</x:v>
      </x:c>
      <x:c r="L107" s="184" t="str">
        <x:v>BRANCO CARRARA</x:v>
      </x:c>
      <x:c r="M107" s="205" t="n">
        <x:v>28</x:v>
      </x:c>
      <x:c r="N107" s="205" t="n">
        <x:v>867</x:v>
      </x:c>
      <x:c r="O107" s="205" t="n">
        <x:v>120</x:v>
      </x:c>
      <x:c r="P107" s="205" t="n">
        <x:v>30</x:v>
      </x:c>
      <x:c r="Q107" s="206" t="n">
        <x:v>0.087</x:v>
      </x:c>
      <x:c r="R107" s="207" t="str"/>
      <x:c r="S107" s="207" t="str"/>
      <x:c r="T107" s="207" t="str"/>
      <x:c r="U107" s="207" t="n">
        <x:v>0</x:v>
      </x:c>
      <x:c r="V107" s="208" t="n">
        <x:f>MAX(0,M107-U107)</x:f>
        <x:v>28</x:v>
      </x:c>
      <x:c r="W107" s="209" t="n">
        <x:f>IFERROR(U107/M107,0)</x:f>
        <x:v>0</x:v>
      </x:c>
      <x:c r="X107" s="201" t="str">
        <x:f>IF(U107=0,"Não iniciado",IF(U107&gt;=M107,"Concluído","Parcial"))</x:f>
        <x:v>Não iniciado</x:v>
      </x:c>
      <x:c r="Y107" s="199" t="str"/>
      <x:c r="Z107" s="188" t="str">
        <x:v>Normal</x:v>
      </x:c>
    </x:row>
    <x:row r="108" ht="22" customHeight="1">
      <x:c r="A108" s="219" t="n">
        <x:v>104</x:v>
      </x:c>
      <x:c r="B108" s="220" t="str">
        <x:v>26684</x:v>
      </x:c>
      <x:c r="C108" s="220" t="str">
        <x:v>4</x:v>
      </x:c>
      <x:c r="D108" s="220" t="str">
        <x:v>609137</x:v>
      </x:c>
      <x:c r="E108" s="220" t="str">
        <x:v>972551</x:v>
      </x:c>
      <x:c r="F108" s="220" t="str">
        <x:v>BATENTE</x:v>
      </x:c>
      <x:c r="G108" s="190" t="str">
        <x:v>867x120x30 42x10 R2L RT BIA PET STD PREM</x:v>
      </x:c>
      <x:c r="H108" s="190" t="str"/>
      <x:c r="I108" s="190" t="str"/>
      <x:c r="J108" s="190" t="str"/>
      <x:c r="K108" s="190" t="str">
        <x:v>ESMALTE</x:v>
      </x:c>
      <x:c r="L108" s="190" t="str">
        <x:v>BRANCO CARRARA</x:v>
      </x:c>
      <x:c r="M108" s="210" t="n">
        <x:v>55</x:v>
      </x:c>
      <x:c r="N108" s="210" t="n">
        <x:v>867</x:v>
      </x:c>
      <x:c r="O108" s="210" t="n">
        <x:v>120</x:v>
      </x:c>
      <x:c r="P108" s="210" t="n">
        <x:v>30</x:v>
      </x:c>
      <x:c r="Q108" s="211" t="n">
        <x:v>0</x:v>
      </x:c>
      <x:c r="R108" s="207" t="str"/>
      <x:c r="S108" s="207" t="str"/>
      <x:c r="T108" s="207" t="str"/>
      <x:c r="U108" s="207" t="n">
        <x:v>0</x:v>
      </x:c>
      <x:c r="V108" s="208" t="n">
        <x:f>MAX(0,M108-U108)</x:f>
        <x:v>55</x:v>
      </x:c>
      <x:c r="W108" s="209" t="n">
        <x:f>IFERROR(U108/M108,0)</x:f>
        <x:v>0</x:v>
      </x:c>
      <x:c r="X108" s="201" t="str">
        <x:f>IF(U108=0,"Não iniciado",IF(U108&gt;=M108,"Concluído","Parcial"))</x:f>
        <x:v>Não iniciado</x:v>
      </x:c>
      <x:c r="Y108" s="199" t="str"/>
      <x:c r="Z108" s="188" t="str">
        <x:v>Normal</x:v>
      </x:c>
    </x:row>
    <x:row r="109" ht="22" customHeight="1">
      <x:c r="A109" s="217" t="n">
        <x:v>105</x:v>
      </x:c>
      <x:c r="B109" s="218" t="str">
        <x:v>26684</x:v>
      </x:c>
      <x:c r="C109" s="218" t="str">
        <x:v>8</x:v>
      </x:c>
      <x:c r="D109" s="218" t="str">
        <x:v>609169</x:v>
      </x:c>
      <x:c r="E109" s="218" t="str">
        <x:v>972551</x:v>
      </x:c>
      <x:c r="F109" s="218" t="str">
        <x:v>BATENTE</x:v>
      </x:c>
      <x:c r="G109" s="184" t="str">
        <x:v>867x120x30 42x10 R2L RT BIA PET STD PREM</x:v>
      </x:c>
      <x:c r="H109" s="184" t="str"/>
      <x:c r="I109" s="184" t="str"/>
      <x:c r="J109" s="184" t="str"/>
      <x:c r="K109" s="184" t="str">
        <x:v>ESMALTE</x:v>
      </x:c>
      <x:c r="L109" s="184" t="str">
        <x:v>BRANCO CARRARA</x:v>
      </x:c>
      <x:c r="M109" s="205" t="n">
        <x:v>5</x:v>
      </x:c>
      <x:c r="N109" s="205" t="n">
        <x:v>867</x:v>
      </x:c>
      <x:c r="O109" s="205" t="n">
        <x:v>120</x:v>
      </x:c>
      <x:c r="P109" s="205" t="n">
        <x:v>30</x:v>
      </x:c>
      <x:c r="Q109" s="206" t="n">
        <x:v>0</x:v>
      </x:c>
      <x:c r="R109" s="207" t="str"/>
      <x:c r="S109" s="207" t="str"/>
      <x:c r="T109" s="207" t="str"/>
      <x:c r="U109" s="207" t="n">
        <x:v>0</x:v>
      </x:c>
      <x:c r="V109" s="208" t="n">
        <x:f>MAX(0,M109-U109)</x:f>
        <x:v>5</x:v>
      </x:c>
      <x:c r="W109" s="209" t="n">
        <x:f>IFERROR(U109/M109,0)</x:f>
        <x:v>0</x:v>
      </x:c>
      <x:c r="X109" s="201" t="str">
        <x:f>IF(U109=0,"Não iniciado",IF(U109&gt;=M109,"Concluído","Parcial"))</x:f>
        <x:v>Não iniciado</x:v>
      </x:c>
      <x:c r="Y109" s="199" t="str"/>
      <x:c r="Z109" s="188" t="str">
        <x:v>Normal</x:v>
      </x:c>
    </x:row>
    <x:row r="110" ht="22" customHeight="1">
      <x:c r="A110" s="219" t="n">
        <x:v>106</x:v>
      </x:c>
      <x:c r="B110" s="220" t="str">
        <x:v>26689</x:v>
      </x:c>
      <x:c r="C110" s="220" t="str">
        <x:v>1</x:v>
      </x:c>
      <x:c r="D110" s="220" t="str">
        <x:v>609082</x:v>
      </x:c>
      <x:c r="E110" s="220" t="str">
        <x:v>2010600484</x:v>
      </x:c>
      <x:c r="F110" s="220" t="str">
        <x:v>BATENTE</x:v>
      </x:c>
      <x:c r="G110" s="190" t="str">
        <x:v>M STD PET BCO CAR 867X120X30 42X10 R2L M</x:v>
      </x:c>
      <x:c r="H110" s="190" t="str"/>
      <x:c r="I110" s="190" t="str"/>
      <x:c r="J110" s="190" t="str"/>
      <x:c r="K110" s="190" t="str">
        <x:v>ESMALTE</x:v>
      </x:c>
      <x:c r="L110" s="190" t="str">
        <x:v>BRANCO CARRARA</x:v>
      </x:c>
      <x:c r="M110" s="210" t="n">
        <x:v>32</x:v>
      </x:c>
      <x:c r="N110" s="210" t="n">
        <x:v>867</x:v>
      </x:c>
      <x:c r="O110" s="210" t="n">
        <x:v>120</x:v>
      </x:c>
      <x:c r="P110" s="210" t="n">
        <x:v>30</x:v>
      </x:c>
      <x:c r="Q110" s="211" t="n">
        <x:v>0.1</x:v>
      </x:c>
      <x:c r="R110" s="207" t="str"/>
      <x:c r="S110" s="207" t="str"/>
      <x:c r="T110" s="207" t="str"/>
      <x:c r="U110" s="207" t="n">
        <x:v>0</x:v>
      </x:c>
      <x:c r="V110" s="208" t="n">
        <x:f>MAX(0,M110-U110)</x:f>
        <x:v>32</x:v>
      </x:c>
      <x:c r="W110" s="209" t="n">
        <x:f>IFERROR(U110/M110,0)</x:f>
        <x:v>0</x:v>
      </x:c>
      <x:c r="X110" s="201" t="str">
        <x:f>IF(U110=0,"Não iniciado",IF(U110&gt;=M110,"Concluído","Parcial"))</x:f>
        <x:v>Não iniciado</x:v>
      </x:c>
      <x:c r="Y110" s="199" t="str"/>
      <x:c r="Z110" s="188" t="str">
        <x:v>Normal</x:v>
      </x:c>
    </x:row>
    <x:row r="111" ht="22" customHeight="1">
      <x:c r="A111" s="217" t="n">
        <x:v>107</x:v>
      </x:c>
      <x:c r="B111" s="218" t="str">
        <x:v>26689</x:v>
      </x:c>
      <x:c r="C111" s="218" t="str">
        <x:v>2</x:v>
      </x:c>
      <x:c r="D111" s="218" t="str">
        <x:v>609088</x:v>
      </x:c>
      <x:c r="E111" s="218" t="str">
        <x:v>972551</x:v>
      </x:c>
      <x:c r="F111" s="218" t="str">
        <x:v>BATENTE</x:v>
      </x:c>
      <x:c r="G111" s="184" t="str">
        <x:v>867x120x30 42x10 R2L RT BIA PET STD PREM</x:v>
      </x:c>
      <x:c r="H111" s="184" t="str"/>
      <x:c r="I111" s="184" t="str"/>
      <x:c r="J111" s="184" t="str"/>
      <x:c r="K111" s="184" t="str">
        <x:v>ESMALTE</x:v>
      </x:c>
      <x:c r="L111" s="184" t="str">
        <x:v>BRANCO CARRARA</x:v>
      </x:c>
      <x:c r="M111" s="205" t="n">
        <x:v>64</x:v>
      </x:c>
      <x:c r="N111" s="205" t="n">
        <x:v>867</x:v>
      </x:c>
      <x:c r="O111" s="205" t="n">
        <x:v>120</x:v>
      </x:c>
      <x:c r="P111" s="205" t="n">
        <x:v>30</x:v>
      </x:c>
      <x:c r="Q111" s="206" t="n">
        <x:v>0</x:v>
      </x:c>
      <x:c r="R111" s="207" t="str"/>
      <x:c r="S111" s="207" t="str"/>
      <x:c r="T111" s="207" t="str"/>
      <x:c r="U111" s="207" t="n">
        <x:v>0</x:v>
      </x:c>
      <x:c r="V111" s="208" t="n">
        <x:f>MAX(0,M111-U111)</x:f>
        <x:v>64</x:v>
      </x:c>
      <x:c r="W111" s="209" t="n">
        <x:f>IFERROR(U111/M111,0)</x:f>
        <x:v>0</x:v>
      </x:c>
      <x:c r="X111" s="201" t="str">
        <x:f>IF(U111=0,"Não iniciado",IF(U111&gt;=M111,"Concluído","Parcial"))</x:f>
        <x:v>Não iniciado</x:v>
      </x:c>
      <x:c r="Y111" s="199" t="str"/>
      <x:c r="Z111" s="188" t="str">
        <x:v>Normal</x:v>
      </x:c>
    </x:row>
    <x:row r="112" ht="22" customHeight="1">
      <x:c r="A112" s="219" t="n">
        <x:v>108</x:v>
      </x:c>
      <x:c r="B112" s="220" t="str">
        <x:v>26684</x:v>
      </x:c>
      <x:c r="C112" s="220" t="str">
        <x:v>1</x:v>
      </x:c>
      <x:c r="D112" s="220" t="str">
        <x:v>609111</x:v>
      </x:c>
      <x:c r="E112" s="220" t="str">
        <x:v>963653</x:v>
      </x:c>
      <x:c r="F112" s="220" t="str">
        <x:v>BATENTE</x:v>
      </x:c>
      <x:c r="G112" s="190" t="str">
        <x:v>2110x110x30 42x10R2L R1BIA PET STD PRM U</x:v>
      </x:c>
      <x:c r="H112" s="190" t="str"/>
      <x:c r="I112" s="190" t="str"/>
      <x:c r="J112" s="190" t="str"/>
      <x:c r="K112" s="190" t="str">
        <x:v>ESMALTE</x:v>
      </x:c>
      <x:c r="L112" s="190" t="str">
        <x:v>BRANCO CARRARA</x:v>
      </x:c>
      <x:c r="M112" s="210" t="n">
        <x:v>2</x:v>
      </x:c>
      <x:c r="N112" s="210" t="n">
        <x:v>2110</x:v>
      </x:c>
      <x:c r="O112" s="210" t="n">
        <x:v>110</x:v>
      </x:c>
      <x:c r="P112" s="210" t="n">
        <x:v>30</x:v>
      </x:c>
      <x:c r="Q112" s="211" t="n">
        <x:v>0</x:v>
      </x:c>
      <x:c r="R112" s="207" t="str"/>
      <x:c r="S112" s="207" t="str"/>
      <x:c r="T112" s="207" t="str"/>
      <x:c r="U112" s="207" t="n">
        <x:v>0</x:v>
      </x:c>
      <x:c r="V112" s="208" t="n">
        <x:f>MAX(0,M112-U112)</x:f>
        <x:v>2</x:v>
      </x:c>
      <x:c r="W112" s="209" t="n">
        <x:f>IFERROR(U112/M112,0)</x:f>
        <x:v>0</x:v>
      </x:c>
      <x:c r="X112" s="201" t="str">
        <x:f>IF(U112=0,"Não iniciado",IF(U112&gt;=M112,"Concluído","Parcial"))</x:f>
        <x:v>Não iniciado</x:v>
      </x:c>
      <x:c r="Y112" s="199" t="str"/>
      <x:c r="Z112" s="188" t="str">
        <x:v>Normal</x:v>
      </x:c>
    </x:row>
    <x:row r="113" ht="22" customHeight="1">
      <x:c r="A113" s="217" t="n">
        <x:v>109</x:v>
      </x:c>
      <x:c r="B113" s="218" t="str">
        <x:v>26739</x:v>
      </x:c>
      <x:c r="C113" s="218" t="str">
        <x:v>10</x:v>
      </x:c>
      <x:c r="D113" s="218" t="str">
        <x:v>609659</x:v>
      </x:c>
      <x:c r="E113" s="218" t="str">
        <x:v>2010700601</x:v>
      </x:c>
      <x:c r="F113" s="218" t="str">
        <x:v>BATENTE</x:v>
      </x:c>
      <x:c r="G113" s="184" t="str">
        <x:v>P M ULTRA PET BCO CAR 2110X110X30 42X10</x:v>
      </x:c>
      <x:c r="H113" s="184" t="str"/>
      <x:c r="I113" s="184" t="str"/>
      <x:c r="J113" s="184" t="str"/>
      <x:c r="K113" s="184" t="str">
        <x:v>ESMALTE</x:v>
      </x:c>
      <x:c r="L113" s="184" t="str">
        <x:v>BRANCO CARRARA</x:v>
      </x:c>
      <x:c r="M113" s="205" t="n">
        <x:v>44</x:v>
      </x:c>
      <x:c r="N113" s="205" t="n">
        <x:v>2110</x:v>
      </x:c>
      <x:c r="O113" s="205" t="n">
        <x:v>110</x:v>
      </x:c>
      <x:c r="P113" s="205" t="n">
        <x:v>30</x:v>
      </x:c>
      <x:c r="Q113" s="206" t="n">
        <x:v>0.306</x:v>
      </x:c>
      <x:c r="R113" s="207" t="str"/>
      <x:c r="S113" s="207" t="str"/>
      <x:c r="T113" s="207" t="str"/>
      <x:c r="U113" s="207" t="n">
        <x:v>0</x:v>
      </x:c>
      <x:c r="V113" s="208" t="n">
        <x:f>MAX(0,M113-U113)</x:f>
        <x:v>44</x:v>
      </x:c>
      <x:c r="W113" s="209" t="n">
        <x:f>IFERROR(U113/M113,0)</x:f>
        <x:v>0</x:v>
      </x:c>
      <x:c r="X113" s="201" t="str">
        <x:f>IF(U113=0,"Não iniciado",IF(U113&gt;=M113,"Concluído","Parcial"))</x:f>
        <x:v>Não iniciado</x:v>
      </x:c>
      <x:c r="Y113" s="199" t="str"/>
      <x:c r="Z113" s="188" t="str">
        <x:v>Normal</x:v>
      </x:c>
    </x:row>
    <x:row r="114" ht="22" customHeight="1">
      <x:c r="A114" s="219" t="n">
        <x:v>110</x:v>
      </x:c>
      <x:c r="B114" s="220" t="str">
        <x:v>26739</x:v>
      </x:c>
      <x:c r="C114" s="220" t="str">
        <x:v>19</x:v>
      </x:c>
      <x:c r="D114" s="220" t="str">
        <x:v>609711</x:v>
      </x:c>
      <x:c r="E114" s="220" t="str">
        <x:v>959077</x:v>
      </x:c>
      <x:c r="F114" s="220" t="str">
        <x:v>BATENTE</x:v>
      </x:c>
      <x:c r="G114" s="190" t="str">
        <x:v>2110x110x30 42x10 R2 RT BIA PET BC U(UL)</x:v>
      </x:c>
      <x:c r="H114" s="190" t="str"/>
      <x:c r="I114" s="190" t="str"/>
      <x:c r="J114" s="190" t="str"/>
      <x:c r="K114" s="190" t="str">
        <x:v>ESMALTE</x:v>
      </x:c>
      <x:c r="L114" s="190" t="str">
        <x:v>BRANCO CARRARA</x:v>
      </x:c>
      <x:c r="M114" s="210" t="n">
        <x:v>54</x:v>
      </x:c>
      <x:c r="N114" s="210" t="n">
        <x:v>2110</x:v>
      </x:c>
      <x:c r="O114" s="210" t="n">
        <x:v>110</x:v>
      </x:c>
      <x:c r="P114" s="210" t="n">
        <x:v>30</x:v>
      </x:c>
      <x:c r="Q114" s="211" t="n">
        <x:v>0</x:v>
      </x:c>
      <x:c r="R114" s="207" t="str"/>
      <x:c r="S114" s="207" t="str"/>
      <x:c r="T114" s="207" t="str"/>
      <x:c r="U114" s="207" t="n">
        <x:v>0</x:v>
      </x:c>
      <x:c r="V114" s="208" t="n">
        <x:f>MAX(0,M114-U114)</x:f>
        <x:v>54</x:v>
      </x:c>
      <x:c r="W114" s="209" t="n">
        <x:f>IFERROR(U114/M114,0)</x:f>
        <x:v>0</x:v>
      </x:c>
      <x:c r="X114" s="201" t="str">
        <x:f>IF(U114=0,"Não iniciado",IF(U114&gt;=M114,"Concluído","Parcial"))</x:f>
        <x:v>Não iniciado</x:v>
      </x:c>
      <x:c r="Y114" s="199" t="str"/>
      <x:c r="Z114" s="188" t="str">
        <x:v>Normal</x:v>
      </x:c>
    </x:row>
    <x:row r="115" ht="22" customHeight="1">
      <x:c r="A115" s="217" t="n">
        <x:v>111</x:v>
      </x:c>
      <x:c r="B115" s="218" t="str">
        <x:v>26739</x:v>
      </x:c>
      <x:c r="C115" s="218" t="str">
        <x:v>24</x:v>
      </x:c>
      <x:c r="D115" s="218" t="str">
        <x:v>609756</x:v>
      </x:c>
      <x:c r="E115" s="218" t="str">
        <x:v>959077</x:v>
      </x:c>
      <x:c r="F115" s="218" t="str">
        <x:v>BATENTE</x:v>
      </x:c>
      <x:c r="G115" s="184" t="str">
        <x:v>2110x110x30 42x10 R2 RT BIA PET BC U(UL)</x:v>
      </x:c>
      <x:c r="H115" s="184" t="str"/>
      <x:c r="I115" s="184" t="str"/>
      <x:c r="J115" s="184" t="str"/>
      <x:c r="K115" s="184" t="str">
        <x:v>ESMALTE</x:v>
      </x:c>
      <x:c r="L115" s="184" t="str">
        <x:v>BRANCO CARRARA</x:v>
      </x:c>
      <x:c r="M115" s="205" t="n">
        <x:v>4</x:v>
      </x:c>
      <x:c r="N115" s="205" t="n">
        <x:v>2110</x:v>
      </x:c>
      <x:c r="O115" s="205" t="n">
        <x:v>110</x:v>
      </x:c>
      <x:c r="P115" s="205" t="n">
        <x:v>30</x:v>
      </x:c>
      <x:c r="Q115" s="206" t="n">
        <x:v>0</x:v>
      </x:c>
      <x:c r="R115" s="207" t="str"/>
      <x:c r="S115" s="207" t="str"/>
      <x:c r="T115" s="207" t="str"/>
      <x:c r="U115" s="207" t="n">
        <x:v>0</x:v>
      </x:c>
      <x:c r="V115" s="208" t="n">
        <x:f>MAX(0,M115-U115)</x:f>
        <x:v>4</x:v>
      </x:c>
      <x:c r="W115" s="209" t="n">
        <x:f>IFERROR(U115/M115,0)</x:f>
        <x:v>0</x:v>
      </x:c>
      <x:c r="X115" s="201" t="str">
        <x:f>IF(U115=0,"Não iniciado",IF(U115&gt;=M115,"Concluído","Parcial"))</x:f>
        <x:v>Não iniciado</x:v>
      </x:c>
      <x:c r="Y115" s="199" t="str"/>
      <x:c r="Z115" s="188" t="str">
        <x:v>Normal</x:v>
      </x:c>
    </x:row>
    <x:row r="116" ht="22" customHeight="1">
      <x:c r="A116" s="219" t="n">
        <x:v>112</x:v>
      </x:c>
      <x:c r="B116" s="220" t="str">
        <x:v>26750</x:v>
      </x:c>
      <x:c r="C116" s="220" t="str">
        <x:v>13</x:v>
      </x:c>
      <x:c r="D116" s="220" t="str">
        <x:v>609832</x:v>
      </x:c>
      <x:c r="E116" s="220" t="str">
        <x:v>2010700601</x:v>
      </x:c>
      <x:c r="F116" s="220" t="str">
        <x:v>BATENTE</x:v>
      </x:c>
      <x:c r="G116" s="190" t="str">
        <x:v>P M ULTRA PET BCO CAR 2110X110X30 42X10</x:v>
      </x:c>
      <x:c r="H116" s="190" t="str"/>
      <x:c r="I116" s="190" t="str"/>
      <x:c r="J116" s="190" t="str"/>
      <x:c r="K116" s="190" t="str">
        <x:v>ESMALTE</x:v>
      </x:c>
      <x:c r="L116" s="190" t="str">
        <x:v>BRANCO CARRARA</x:v>
      </x:c>
      <x:c r="M116" s="210" t="n">
        <x:v>56</x:v>
      </x:c>
      <x:c r="N116" s="210" t="n">
        <x:v>2110</x:v>
      </x:c>
      <x:c r="O116" s="210" t="n">
        <x:v>110</x:v>
      </x:c>
      <x:c r="P116" s="210" t="n">
        <x:v>30</x:v>
      </x:c>
      <x:c r="Q116" s="211" t="n">
        <x:v>0.39</x:v>
      </x:c>
      <x:c r="R116" s="207" t="str"/>
      <x:c r="S116" s="207" t="str"/>
      <x:c r="T116" s="207" t="str"/>
      <x:c r="U116" s="207" t="n">
        <x:v>0</x:v>
      </x:c>
      <x:c r="V116" s="208" t="n">
        <x:f>MAX(0,M116-U116)</x:f>
        <x:v>56</x:v>
      </x:c>
      <x:c r="W116" s="209" t="n">
        <x:f>IFERROR(U116/M116,0)</x:f>
        <x:v>0</x:v>
      </x:c>
      <x:c r="X116" s="201" t="str">
        <x:f>IF(U116=0,"Não iniciado",IF(U116&gt;=M116,"Concluído","Parcial"))</x:f>
        <x:v>Não iniciado</x:v>
      </x:c>
      <x:c r="Y116" s="199" t="str"/>
      <x:c r="Z116" s="188" t="str">
        <x:v>Normal</x:v>
      </x:c>
    </x:row>
    <x:row r="117" ht="22" customHeight="1">
      <x:c r="A117" s="217" t="n">
        <x:v>113</x:v>
      </x:c>
      <x:c r="B117" s="218" t="str">
        <x:v>26750</x:v>
      </x:c>
      <x:c r="C117" s="218" t="str">
        <x:v>22</x:v>
      </x:c>
      <x:c r="D117" s="218" t="str">
        <x:v>609884</x:v>
      </x:c>
      <x:c r="E117" s="218" t="str">
        <x:v>959077</x:v>
      </x:c>
      <x:c r="F117" s="218" t="str">
        <x:v>BATENTE</x:v>
      </x:c>
      <x:c r="G117" s="184" t="str">
        <x:v>2110x110x30 42x10 R2 RT BIA PET BC U(UL)</x:v>
      </x:c>
      <x:c r="H117" s="184" t="str"/>
      <x:c r="I117" s="184" t="str"/>
      <x:c r="J117" s="184" t="str"/>
      <x:c r="K117" s="184" t="str">
        <x:v>ESMALTE</x:v>
      </x:c>
      <x:c r="L117" s="184" t="str">
        <x:v>BRANCO CARRARA</x:v>
      </x:c>
      <x:c r="M117" s="205" t="n">
        <x:v>38</x:v>
      </x:c>
      <x:c r="N117" s="205" t="n">
        <x:v>2110</x:v>
      </x:c>
      <x:c r="O117" s="205" t="n">
        <x:v>110</x:v>
      </x:c>
      <x:c r="P117" s="205" t="n">
        <x:v>30</x:v>
      </x:c>
      <x:c r="Q117" s="206" t="n">
        <x:v>0</x:v>
      </x:c>
      <x:c r="R117" s="207" t="str"/>
      <x:c r="S117" s="207" t="str"/>
      <x:c r="T117" s="207" t="str"/>
      <x:c r="U117" s="207" t="n">
        <x:v>0</x:v>
      </x:c>
      <x:c r="V117" s="208" t="n">
        <x:f>MAX(0,M117-U117)</x:f>
        <x:v>38</x:v>
      </x:c>
      <x:c r="W117" s="209" t="n">
        <x:f>IFERROR(U117/M117,0)</x:f>
        <x:v>0</x:v>
      </x:c>
      <x:c r="X117" s="201" t="str">
        <x:f>IF(U117=0,"Não iniciado",IF(U117&gt;=M117,"Concluído","Parcial"))</x:f>
        <x:v>Não iniciado</x:v>
      </x:c>
      <x:c r="Y117" s="199" t="str"/>
      <x:c r="Z117" s="188" t="str">
        <x:v>Normal</x:v>
      </x:c>
    </x:row>
    <x:row r="118" ht="22" customHeight="1">
      <x:c r="A118" s="219" t="n">
        <x:v>114</x:v>
      </x:c>
      <x:c r="B118" s="220" t="str">
        <x:v>26750</x:v>
      </x:c>
      <x:c r="C118" s="220" t="str">
        <x:v>26</x:v>
      </x:c>
      <x:c r="D118" s="220" t="str">
        <x:v>609917</x:v>
      </x:c>
      <x:c r="E118" s="220" t="str">
        <x:v>959077</x:v>
      </x:c>
      <x:c r="F118" s="220" t="str">
        <x:v>BATENTE</x:v>
      </x:c>
      <x:c r="G118" s="190" t="str">
        <x:v>2110x110x30 42x10 R2 RT BIA PET BC U(UL)</x:v>
      </x:c>
      <x:c r="H118" s="190" t="str"/>
      <x:c r="I118" s="190" t="str"/>
      <x:c r="J118" s="190" t="str"/>
      <x:c r="K118" s="190" t="str">
        <x:v>ESMALTE</x:v>
      </x:c>
      <x:c r="L118" s="190" t="str">
        <x:v>BRANCO CARRARA</x:v>
      </x:c>
      <x:c r="M118" s="210" t="n">
        <x:v>4</x:v>
      </x:c>
      <x:c r="N118" s="210" t="n">
        <x:v>2110</x:v>
      </x:c>
      <x:c r="O118" s="210" t="n">
        <x:v>110</x:v>
      </x:c>
      <x:c r="P118" s="210" t="n">
        <x:v>30</x:v>
      </x:c>
      <x:c r="Q118" s="211" t="n">
        <x:v>0</x:v>
      </x:c>
      <x:c r="R118" s="207" t="str"/>
      <x:c r="S118" s="207" t="str"/>
      <x:c r="T118" s="207" t="str"/>
      <x:c r="U118" s="207" t="n">
        <x:v>0</x:v>
      </x:c>
      <x:c r="V118" s="208" t="n">
        <x:f>MAX(0,M118-U118)</x:f>
        <x:v>4</x:v>
      </x:c>
      <x:c r="W118" s="209" t="n">
        <x:f>IFERROR(U118/M118,0)</x:f>
        <x:v>0</x:v>
      </x:c>
      <x:c r="X118" s="201" t="str">
        <x:f>IF(U118=0,"Não iniciado",IF(U118&gt;=M118,"Concluído","Parcial"))</x:f>
        <x:v>Não iniciado</x:v>
      </x:c>
      <x:c r="Y118" s="199" t="str"/>
      <x:c r="Z118" s="188" t="str">
        <x:v>Normal</x:v>
      </x:c>
    </x:row>
    <x:row r="119" ht="22" customHeight="1">
      <x:c r="A119" s="217" t="n">
        <x:v>115</x:v>
      </x:c>
      <x:c r="B119" s="218" t="str">
        <x:v>26808</x:v>
      </x:c>
      <x:c r="C119" s="218" t="str">
        <x:v>1</x:v>
      </x:c>
      <x:c r="D119" s="218" t="str">
        <x:v>608896</x:v>
      </x:c>
      <x:c r="E119" s="218" t="str">
        <x:v>674786</x:v>
      </x:c>
      <x:c r="F119" s="218" t="str">
        <x:v>BATENTE</x:v>
      </x:c>
      <x:c r="G119" s="184" t="str">
        <x:v>2110x110x30 42x10 R2L BIA R PET U PREMIU</x:v>
      </x:c>
      <x:c r="H119" s="184" t="str"/>
      <x:c r="I119" s="184" t="str"/>
      <x:c r="J119" s="184" t="str"/>
      <x:c r="K119" s="184" t="str">
        <x:v>ESMALTE</x:v>
      </x:c>
      <x:c r="L119" s="184" t="str">
        <x:v>BRANCO CARRARA</x:v>
      </x:c>
      <x:c r="M119" s="205" t="n">
        <x:v>288</x:v>
      </x:c>
      <x:c r="N119" s="205" t="n">
        <x:v>2110</x:v>
      </x:c>
      <x:c r="O119" s="205" t="n">
        <x:v>110</x:v>
      </x:c>
      <x:c r="P119" s="205" t="n">
        <x:v>30</x:v>
      </x:c>
      <x:c r="Q119" s="206" t="n">
        <x:v>2.005</x:v>
      </x:c>
      <x:c r="R119" s="207" t="str"/>
      <x:c r="S119" s="207" t="str"/>
      <x:c r="T119" s="207" t="str"/>
      <x:c r="U119" s="207" t="n">
        <x:v>0</x:v>
      </x:c>
      <x:c r="V119" s="208" t="n">
        <x:f>MAX(0,M119-U119)</x:f>
        <x:v>288</x:v>
      </x:c>
      <x:c r="W119" s="209" t="n">
        <x:f>IFERROR(U119/M119,0)</x:f>
        <x:v>0</x:v>
      </x:c>
      <x:c r="X119" s="201" t="str">
        <x:f>IF(U119=0,"Não iniciado",IF(U119&gt;=M119,"Concluído","Parcial"))</x:f>
        <x:v>Não iniciado</x:v>
      </x:c>
      <x:c r="Y119" s="199" t="str"/>
      <x:c r="Z119" s="188" t="str">
        <x:v>Normal</x:v>
      </x:c>
    </x:row>
    <x:row r="120" ht="22" customHeight="1">
      <x:c r="A120" s="219" t="n">
        <x:v>116</x:v>
      </x:c>
      <x:c r="B120" s="220" t="str">
        <x:v>26808</x:v>
      </x:c>
      <x:c r="C120" s="220" t="str">
        <x:v>4</x:v>
      </x:c>
      <x:c r="D120" s="220" t="str">
        <x:v>608920</x:v>
      </x:c>
      <x:c r="E120" s="220" t="str">
        <x:v>674786</x:v>
      </x:c>
      <x:c r="F120" s="220" t="str">
        <x:v>BATENTE</x:v>
      </x:c>
      <x:c r="G120" s="190" t="str">
        <x:v>2110x110x30 42x10 R2L BIA R PET U PREMIU</x:v>
      </x:c>
      <x:c r="H120" s="190" t="str"/>
      <x:c r="I120" s="190" t="str"/>
      <x:c r="J120" s="190" t="str"/>
      <x:c r="K120" s="190" t="str">
        <x:v>ESMALTE</x:v>
      </x:c>
      <x:c r="L120" s="190" t="str">
        <x:v>BRANCO CARRARA</x:v>
      </x:c>
      <x:c r="M120" s="210" t="n">
        <x:v>126</x:v>
      </x:c>
      <x:c r="N120" s="210" t="n">
        <x:v>2110</x:v>
      </x:c>
      <x:c r="O120" s="210" t="n">
        <x:v>110</x:v>
      </x:c>
      <x:c r="P120" s="210" t="n">
        <x:v>30</x:v>
      </x:c>
      <x:c r="Q120" s="211" t="n">
        <x:v>0.877</x:v>
      </x:c>
      <x:c r="R120" s="207" t="str"/>
      <x:c r="S120" s="207" t="str"/>
      <x:c r="T120" s="207" t="str"/>
      <x:c r="U120" s="207" t="n">
        <x:v>0</x:v>
      </x:c>
      <x:c r="V120" s="208" t="n">
        <x:f>MAX(0,M120-U120)</x:f>
        <x:v>126</x:v>
      </x:c>
      <x:c r="W120" s="209" t="n">
        <x:f>IFERROR(U120/M120,0)</x:f>
        <x:v>0</x:v>
      </x:c>
      <x:c r="X120" s="201" t="str">
        <x:f>IF(U120=0,"Não iniciado",IF(U120&gt;=M120,"Concluído","Parcial"))</x:f>
        <x:v>Não iniciado</x:v>
      </x:c>
      <x:c r="Y120" s="199" t="str"/>
      <x:c r="Z120" s="188" t="str">
        <x:v>Normal</x:v>
      </x:c>
    </x:row>
    <x:row r="121" ht="22" customHeight="1">
      <x:c r="A121" s="217" t="n">
        <x:v>117</x:v>
      </x:c>
      <x:c r="B121" s="218" t="str">
        <x:v>26808</x:v>
      </x:c>
      <x:c r="C121" s="218" t="str">
        <x:v>6</x:v>
      </x:c>
      <x:c r="D121" s="218" t="str">
        <x:v>608940</x:v>
      </x:c>
      <x:c r="E121" s="218" t="str">
        <x:v>973935</x:v>
      </x:c>
      <x:c r="F121" s="218" t="str">
        <x:v>BATENTE</x:v>
      </x:c>
      <x:c r="G121" s="184" t="str">
        <x:v>2110x110x30 42x10 R2 BIA PET BCO U PREM</x:v>
      </x:c>
      <x:c r="H121" s="184" t="str"/>
      <x:c r="I121" s="184" t="str"/>
      <x:c r="J121" s="184" t="str"/>
      <x:c r="K121" s="184" t="str">
        <x:v>ESMALTE</x:v>
      </x:c>
      <x:c r="L121" s="184" t="str">
        <x:v>BRANCO CARRARA</x:v>
      </x:c>
      <x:c r="M121" s="205" t="n">
        <x:v>12</x:v>
      </x:c>
      <x:c r="N121" s="205" t="n">
        <x:v>2110</x:v>
      </x:c>
      <x:c r="O121" s="205" t="n">
        <x:v>110</x:v>
      </x:c>
      <x:c r="P121" s="205" t="n">
        <x:v>30</x:v>
      </x:c>
      <x:c r="Q121" s="206" t="n">
        <x:v>0</x:v>
      </x:c>
      <x:c r="R121" s="207" t="str"/>
      <x:c r="S121" s="207" t="str"/>
      <x:c r="T121" s="207" t="str"/>
      <x:c r="U121" s="207" t="n">
        <x:v>0</x:v>
      </x:c>
      <x:c r="V121" s="208" t="n">
        <x:f>MAX(0,M121-U121)</x:f>
        <x:v>12</x:v>
      </x:c>
      <x:c r="W121" s="209" t="n">
        <x:f>IFERROR(U121/M121,0)</x:f>
        <x:v>0</x:v>
      </x:c>
      <x:c r="X121" s="201" t="str">
        <x:f>IF(U121=0,"Não iniciado",IF(U121&gt;=M121,"Concluído","Parcial"))</x:f>
        <x:v>Não iniciado</x:v>
      </x:c>
      <x:c r="Y121" s="199" t="str"/>
      <x:c r="Z121" s="188" t="str">
        <x:v>Normal</x:v>
      </x:c>
    </x:row>
    <x:row r="122" ht="22" customHeight="1">
      <x:c r="A122" s="219" t="n">
        <x:v>118</x:v>
      </x:c>
      <x:c r="B122" s="220" t="str">
        <x:v>26808</x:v>
      </x:c>
      <x:c r="C122" s="220" t="str">
        <x:v>9</x:v>
      </x:c>
      <x:c r="D122" s="220" t="str">
        <x:v>610975</x:v>
      </x:c>
      <x:c r="E122" s="220" t="str">
        <x:v>674786</x:v>
      </x:c>
      <x:c r="F122" s="220" t="str">
        <x:v>BATENTE</x:v>
      </x:c>
      <x:c r="G122" s="190" t="str">
        <x:v>2110x110x30 42x10 R2L BIA R PET U PREMIU</x:v>
      </x:c>
      <x:c r="H122" s="190" t="str"/>
      <x:c r="I122" s="190" t="str"/>
      <x:c r="J122" s="190" t="str"/>
      <x:c r="K122" s="190" t="str">
        <x:v>ESMALTE</x:v>
      </x:c>
      <x:c r="L122" s="190" t="str">
        <x:v>BRANCO CARRARA</x:v>
      </x:c>
      <x:c r="M122" s="210" t="n">
        <x:v>142</x:v>
      </x:c>
      <x:c r="N122" s="210" t="n">
        <x:v>2110</x:v>
      </x:c>
      <x:c r="O122" s="210" t="n">
        <x:v>110</x:v>
      </x:c>
      <x:c r="P122" s="210" t="n">
        <x:v>30</x:v>
      </x:c>
      <x:c r="Q122" s="211" t="n">
        <x:v>0.989</x:v>
      </x:c>
      <x:c r="R122" s="207" t="str"/>
      <x:c r="S122" s="207" t="str"/>
      <x:c r="T122" s="207" t="str"/>
      <x:c r="U122" s="207" t="n">
        <x:v>0</x:v>
      </x:c>
      <x:c r="V122" s="208" t="n">
        <x:f>MAX(0,M122-U122)</x:f>
        <x:v>142</x:v>
      </x:c>
      <x:c r="W122" s="209" t="n">
        <x:f>IFERROR(U122/M122,0)</x:f>
        <x:v>0</x:v>
      </x:c>
      <x:c r="X122" s="201" t="str">
        <x:f>IF(U122=0,"Não iniciado",IF(U122&gt;=M122,"Concluído","Parcial"))</x:f>
        <x:v>Não iniciado</x:v>
      </x:c>
      <x:c r="Y122" s="199" t="str"/>
      <x:c r="Z122" s="188" t="str">
        <x:v>Normal</x:v>
      </x:c>
    </x:row>
    <x:row r="123" ht="22" customHeight="1">
      <x:c r="A123" s="217" t="n">
        <x:v>119</x:v>
      </x:c>
      <x:c r="B123" s="218" t="str">
        <x:v>26520</x:v>
      </x:c>
      <x:c r="C123" s="218" t="str">
        <x:v>2</x:v>
      </x:c>
      <x:c r="D123" s="218" t="str">
        <x:v>610073</x:v>
      </x:c>
      <x:c r="E123" s="218" t="str">
        <x:v>975453</x:v>
      </x:c>
      <x:c r="F123" s="218" t="str">
        <x:v>BATENTE</x:v>
      </x:c>
      <x:c r="G123" s="184" t="str">
        <x:v>2110x110x30 42x10 R2L RT BIA PET CNZ U(U</x:v>
      </x:c>
      <x:c r="H123" s="184" t="str"/>
      <x:c r="I123" s="184" t="str"/>
      <x:c r="J123" s="184" t="str"/>
      <x:c r="K123" s="184" t="str">
        <x:v>RECOBERTO PET</x:v>
      </x:c>
      <x:c r="L123" s="184" t="str">
        <x:v>CINZA VERONA</x:v>
      </x:c>
      <x:c r="M123" s="205" t="n">
        <x:v>12</x:v>
      </x:c>
      <x:c r="N123" s="205" t="n">
        <x:v>2110</x:v>
      </x:c>
      <x:c r="O123" s="205" t="n">
        <x:v>110</x:v>
      </x:c>
      <x:c r="P123" s="205" t="n">
        <x:v>30</x:v>
      </x:c>
      <x:c r="Q123" s="206" t="n">
        <x:v>0.084</x:v>
      </x:c>
      <x:c r="R123" s="207" t="str"/>
      <x:c r="S123" s="207" t="str"/>
      <x:c r="T123" s="207" t="str"/>
      <x:c r="U123" s="207" t="n">
        <x:v>0</x:v>
      </x:c>
      <x:c r="V123" s="208" t="n">
        <x:f>MAX(0,M123-U123)</x:f>
        <x:v>12</x:v>
      </x:c>
      <x:c r="W123" s="209" t="n">
        <x:f>IFERROR(U123/M123,0)</x:f>
        <x:v>0</x:v>
      </x:c>
      <x:c r="X123" s="201" t="str">
        <x:f>IF(U123=0,"Não iniciado",IF(U123&gt;=M123,"Concluído","Parcial"))</x:f>
        <x:v>Não iniciado</x:v>
      </x:c>
      <x:c r="Y123" s="199" t="str"/>
      <x:c r="Z123" s="188" t="str">
        <x:v>Normal</x:v>
      </x:c>
    </x:row>
    <x:row r="124" ht="22" customHeight="1">
      <x:c r="A124" s="219" t="n">
        <x:v>120</x:v>
      </x:c>
      <x:c r="B124" s="220" t="str">
        <x:v>26520</x:v>
      </x:c>
      <x:c r="C124" s="220" t="str">
        <x:v>4</x:v>
      </x:c>
      <x:c r="D124" s="220" t="str">
        <x:v>610091</x:v>
      </x:c>
      <x:c r="E124" s="220" t="str">
        <x:v>2010700177</x:v>
      </x:c>
      <x:c r="F124" s="220" t="str">
        <x:v>BATENTE</x:v>
      </x:c>
      <x:c r="G124" s="190" t="str">
        <x:v>M P ULTRA PET CI VE 2110X110X30 42X10 R2</x:v>
      </x:c>
      <x:c r="H124" s="190" t="str"/>
      <x:c r="I124" s="190" t="str"/>
      <x:c r="J124" s="190" t="str"/>
      <x:c r="K124" s="190" t="str">
        <x:v>RECOBERTO PET</x:v>
      </x:c>
      <x:c r="L124" s="190" t="str">
        <x:v>CINZA VERONA</x:v>
      </x:c>
      <x:c r="M124" s="210" t="n">
        <x:v>8</x:v>
      </x:c>
      <x:c r="N124" s="210" t="n">
        <x:v>2110</x:v>
      </x:c>
      <x:c r="O124" s="210" t="n">
        <x:v>110</x:v>
      </x:c>
      <x:c r="P124" s="210" t="n">
        <x:v>30</x:v>
      </x:c>
      <x:c r="Q124" s="211" t="n">
        <x:v>0.056</x:v>
      </x:c>
      <x:c r="R124" s="207" t="str"/>
      <x:c r="S124" s="207" t="str"/>
      <x:c r="T124" s="207" t="str"/>
      <x:c r="U124" s="207" t="n">
        <x:v>0</x:v>
      </x:c>
      <x:c r="V124" s="208" t="n">
        <x:f>MAX(0,M124-U124)</x:f>
        <x:v>8</x:v>
      </x:c>
      <x:c r="W124" s="209" t="n">
        <x:f>IFERROR(U124/M124,0)</x:f>
        <x:v>0</x:v>
      </x:c>
      <x:c r="X124" s="201" t="str">
        <x:f>IF(U124=0,"Não iniciado",IF(U124&gt;=M124,"Concluído","Parcial"))</x:f>
        <x:v>Não iniciado</x:v>
      </x:c>
      <x:c r="Y124" s="199" t="str"/>
      <x:c r="Z124" s="188" t="str">
        <x:v>Normal</x:v>
      </x:c>
    </x:row>
    <x:row r="125" ht="22" customHeight="1">
      <x:c r="A125" s="217" t="n">
        <x:v>121</x:v>
      </x:c>
      <x:c r="B125" s="218" t="str">
        <x:v>26520</x:v>
      </x:c>
      <x:c r="C125" s="218" t="str">
        <x:v>11</x:v>
      </x:c>
      <x:c r="D125" s="218" t="str">
        <x:v>610128</x:v>
      </x:c>
      <x:c r="E125" s="218" t="str">
        <x:v>2010701218</x:v>
      </x:c>
      <x:c r="F125" s="218" t="str">
        <x:v>BATENTE</x:v>
      </x:c>
      <x:c r="G125" s="184" t="str">
        <x:v>M ULTRA PET C RA 2110X110X30 42X10 R2L M</x:v>
      </x:c>
      <x:c r="H125" s="184" t="str"/>
      <x:c r="I125" s="184" t="str"/>
      <x:c r="J125" s="184" t="str"/>
      <x:c r="K125" s="184" t="str">
        <x:v>RECOBERTO PET</x:v>
      </x:c>
      <x:c r="L125" s="184" t="str">
        <x:v>CURUPIXA RAVENNA</x:v>
      </x:c>
      <x:c r="M125" s="205" t="n">
        <x:v>6</x:v>
      </x:c>
      <x:c r="N125" s="205" t="n">
        <x:v>2110</x:v>
      </x:c>
      <x:c r="O125" s="205" t="n">
        <x:v>110</x:v>
      </x:c>
      <x:c r="P125" s="205" t="n">
        <x:v>30</x:v>
      </x:c>
      <x:c r="Q125" s="206" t="n">
        <x:v>0.042</x:v>
      </x:c>
      <x:c r="R125" s="207" t="str"/>
      <x:c r="S125" s="207" t="str"/>
      <x:c r="T125" s="207" t="str"/>
      <x:c r="U125" s="207" t="n">
        <x:v>0</x:v>
      </x:c>
      <x:c r="V125" s="208" t="n">
        <x:f>MAX(0,M125-U125)</x:f>
        <x:v>6</x:v>
      </x:c>
      <x:c r="W125" s="209" t="n">
        <x:f>IFERROR(U125/M125,0)</x:f>
        <x:v>0</x:v>
      </x:c>
      <x:c r="X125" s="201" t="str">
        <x:f>IF(U125=0,"Não iniciado",IF(U125&gt;=M125,"Concluído","Parcial"))</x:f>
        <x:v>Não iniciado</x:v>
      </x:c>
      <x:c r="Y125" s="199" t="str"/>
      <x:c r="Z125" s="188" t="str">
        <x:v>Normal</x:v>
      </x:c>
    </x:row>
    <x:row r="126" ht="22" customHeight="1">
      <x:c r="A126" s="219" t="n">
        <x:v>122</x:v>
      </x:c>
      <x:c r="B126" s="220" t="str">
        <x:v>26520</x:v>
      </x:c>
      <x:c r="C126" s="220" t="str">
        <x:v>12</x:v>
      </x:c>
      <x:c r="D126" s="220" t="str">
        <x:v>610136</x:v>
      </x:c>
      <x:c r="E126" s="220" t="str">
        <x:v>2010701220</x:v>
      </x:c>
      <x:c r="F126" s="220" t="str">
        <x:v>BATENTE</x:v>
      </x:c>
      <x:c r="G126" s="190" t="str">
        <x:v>M ULTRA PET C RA 2110X110X30 42X10 R2L M</x:v>
      </x:c>
      <x:c r="H126" s="190" t="str"/>
      <x:c r="I126" s="190" t="str"/>
      <x:c r="J126" s="190" t="str"/>
      <x:c r="K126" s="190" t="str">
        <x:v>RECOBERTO PET</x:v>
      </x:c>
      <x:c r="L126" s="190" t="str">
        <x:v>CURUPIXA RAVENNA</x:v>
      </x:c>
      <x:c r="M126" s="210" t="n">
        <x:v>2</x:v>
      </x:c>
      <x:c r="N126" s="210" t="n">
        <x:v>2110</x:v>
      </x:c>
      <x:c r="O126" s="210" t="n">
        <x:v>110</x:v>
      </x:c>
      <x:c r="P126" s="210" t="n">
        <x:v>30</x:v>
      </x:c>
      <x:c r="Q126" s="211" t="n">
        <x:v>0.014</x:v>
      </x:c>
      <x:c r="R126" s="207" t="str"/>
      <x:c r="S126" s="207" t="str"/>
      <x:c r="T126" s="207" t="str"/>
      <x:c r="U126" s="207" t="n">
        <x:v>0</x:v>
      </x:c>
      <x:c r="V126" s="208" t="n">
        <x:f>MAX(0,M126-U126)</x:f>
        <x:v>2</x:v>
      </x:c>
      <x:c r="W126" s="209" t="n">
        <x:f>IFERROR(U126/M126,0)</x:f>
        <x:v>0</x:v>
      </x:c>
      <x:c r="X126" s="201" t="str">
        <x:f>IF(U126=0,"Não iniciado",IF(U126&gt;=M126,"Concluído","Parcial"))</x:f>
        <x:v>Não iniciado</x:v>
      </x:c>
      <x:c r="Y126" s="199" t="str"/>
      <x:c r="Z126" s="188" t="str">
        <x:v>Normal</x:v>
      </x:c>
    </x:row>
    <x:row r="127" ht="22" customHeight="1">
      <x:c r="A127" s="217" t="n">
        <x:v>123</x:v>
      </x:c>
      <x:c r="B127" s="218" t="str">
        <x:v>26800</x:v>
      </x:c>
      <x:c r="C127" s="218" t="str">
        <x:v>2</x:v>
      </x:c>
      <x:c r="D127" s="218" t="str">
        <x:v>612115</x:v>
      </x:c>
      <x:c r="E127" s="218" t="str">
        <x:v>2010701286</x:v>
      </x:c>
      <x:c r="F127" s="218" t="str">
        <x:v>BATENTE</x:v>
      </x:c>
      <x:c r="G127" s="184" t="str">
        <x:v>M ULTRA PET CA MA 2110X110X30 42X10 R2L</x:v>
      </x:c>
      <x:c r="H127" s="184" t="str">
        <x:v>MDF ULTRA</x:v>
      </x:c>
      <x:c r="I127" s="184" t="str">
        <x:v>C/BORRACHA I APLICADA</x:v>
      </x:c>
      <x:c r="J127" s="184" t="str">
        <x:v>C/REB 42X10</x:v>
      </x:c>
      <x:c r="K127" s="184" t="str">
        <x:v>RECOBERTO PET</x:v>
      </x:c>
      <x:c r="L127" s="184" t="str">
        <x:v>CARVALHO MALVA</x:v>
      </x:c>
      <x:c r="M127" s="205" t="n">
        <x:v>2</x:v>
      </x:c>
      <x:c r="N127" s="205" t="n">
        <x:v>2110</x:v>
      </x:c>
      <x:c r="O127" s="205" t="n">
        <x:v>110</x:v>
      </x:c>
      <x:c r="P127" s="205" t="n">
        <x:v>30</x:v>
      </x:c>
      <x:c r="Q127" s="206" t="n">
        <x:v>0.014</x:v>
      </x:c>
      <x:c r="R127" s="207" t="str"/>
      <x:c r="S127" s="207" t="str"/>
      <x:c r="T127" s="207" t="str"/>
      <x:c r="U127" s="207" t="n">
        <x:v>0</x:v>
      </x:c>
      <x:c r="V127" s="208" t="n">
        <x:f>MAX(0,M127-U127)</x:f>
        <x:v>2</x:v>
      </x:c>
      <x:c r="W127" s="209" t="n">
        <x:f>IFERROR(U127/M127,0)</x:f>
        <x:v>0</x:v>
      </x:c>
      <x:c r="X127" s="201" t="str">
        <x:f>IF(U127=0,"Não iniciado",IF(U127&gt;=M127,"Concluído","Parcial"))</x:f>
        <x:v>Não iniciado</x:v>
      </x:c>
      <x:c r="Y127" s="199" t="str"/>
      <x:c r="Z127" s="188" t="str">
        <x:v>Normal</x:v>
      </x:c>
    </x:row>
    <x:row r="128" ht="22" customHeight="1">
      <x:c r="A128" s="219" t="n">
        <x:v>124</x:v>
      </x:c>
      <x:c r="B128" s="220" t="str">
        <x:v>26766</x:v>
      </x:c>
      <x:c r="C128" s="220" t="str">
        <x:v>3</x:v>
      </x:c>
      <x:c r="D128" s="220" t="str">
        <x:v>610146</x:v>
      </x:c>
      <x:c r="E128" s="220" t="str">
        <x:v>985754</x:v>
      </x:c>
      <x:c r="F128" s="220" t="str">
        <x:v>BATENTE</x:v>
      </x:c>
      <x:c r="G128" s="190" t="str">
        <x:v>2110x110x30 42x10R2LR1 BIA PET MOG STD U</x:v>
      </x:c>
      <x:c r="H128" s="190" t="str">
        <x:v>MDF STD</x:v>
      </x:c>
      <x:c r="I128" s="190" t="str">
        <x:v>C/BORRACHA I APLICADA</x:v>
      </x:c>
      <x:c r="J128" s="190" t="str">
        <x:v>C/REB 42X10</x:v>
      </x:c>
      <x:c r="K128" s="190" t="str">
        <x:v>RECOBERTO PET TXT</x:v>
      </x:c>
      <x:c r="L128" s="190" t="str">
        <x:v>MOGNO BRASILEIRO</x:v>
      </x:c>
      <x:c r="M128" s="210" t="n">
        <x:v>216</x:v>
      </x:c>
      <x:c r="N128" s="210" t="n">
        <x:v>2110</x:v>
      </x:c>
      <x:c r="O128" s="210" t="n">
        <x:v>110</x:v>
      </x:c>
      <x:c r="P128" s="210" t="n">
        <x:v>30</x:v>
      </x:c>
      <x:c r="Q128" s="211" t="n">
        <x:v>0</x:v>
      </x:c>
      <x:c r="R128" s="207" t="str"/>
      <x:c r="S128" s="207" t="str"/>
      <x:c r="T128" s="207" t="str"/>
      <x:c r="U128" s="207" t="n">
        <x:v>0</x:v>
      </x:c>
      <x:c r="V128" s="208" t="n">
        <x:f>MAX(0,M128-U128)</x:f>
        <x:v>216</x:v>
      </x:c>
      <x:c r="W128" s="209" t="n">
        <x:f>IFERROR(U128/M128,0)</x:f>
        <x:v>0</x:v>
      </x:c>
      <x:c r="X128" s="201" t="str">
        <x:f>IF(U128=0,"Não iniciado",IF(U128&gt;=M128,"Concluído","Parcial"))</x:f>
        <x:v>Não iniciado</x:v>
      </x:c>
      <x:c r="Y128" s="199" t="str"/>
      <x:c r="Z128" s="188" t="str">
        <x:v>Normal</x:v>
      </x:c>
    </x:row>
    <x:row r="129" ht="22" customHeight="1">
      <x:c r="A129" s="217" t="n">
        <x:v>125</x:v>
      </x:c>
      <x:c r="B129" s="218" t="str">
        <x:v>26766</x:v>
      </x:c>
      <x:c r="C129" s="218" t="str">
        <x:v>5</x:v>
      </x:c>
      <x:c r="D129" s="218" t="str">
        <x:v>610150</x:v>
      </x:c>
      <x:c r="E129" s="218" t="str">
        <x:v>985754</x:v>
      </x:c>
      <x:c r="F129" s="218" t="str">
        <x:v>BATENTE</x:v>
      </x:c>
      <x:c r="G129" s="184" t="str">
        <x:v>2110x110x30 42x10R2LR1 BIA PET MOG STD U</x:v>
      </x:c>
      <x:c r="H129" s="184" t="str">
        <x:v>MDF STD</x:v>
      </x:c>
      <x:c r="I129" s="184" t="str">
        <x:v>C/BORRACHA I APLICADA</x:v>
      </x:c>
      <x:c r="J129" s="184" t="str">
        <x:v>C/REB 42X10</x:v>
      </x:c>
      <x:c r="K129" s="184" t="str">
        <x:v>RECOBERTO PET TXT</x:v>
      </x:c>
      <x:c r="L129" s="184" t="str">
        <x:v>MOGNO BRASILEIRO</x:v>
      </x:c>
      <x:c r="M129" s="205" t="n">
        <x:v>648</x:v>
      </x:c>
      <x:c r="N129" s="205" t="n">
        <x:v>2110</x:v>
      </x:c>
      <x:c r="O129" s="205" t="n">
        <x:v>110</x:v>
      </x:c>
      <x:c r="P129" s="205" t="n">
        <x:v>30</x:v>
      </x:c>
      <x:c r="Q129" s="206" t="n">
        <x:v>0</x:v>
      </x:c>
      <x:c r="R129" s="207" t="str"/>
      <x:c r="S129" s="207" t="str"/>
      <x:c r="T129" s="207" t="str"/>
      <x:c r="U129" s="207" t="n">
        <x:v>0</x:v>
      </x:c>
      <x:c r="V129" s="208" t="n">
        <x:f>MAX(0,M129-U129)</x:f>
        <x:v>648</x:v>
      </x:c>
      <x:c r="W129" s="209" t="n">
        <x:f>IFERROR(U129/M129,0)</x:f>
        <x:v>0</x:v>
      </x:c>
      <x:c r="X129" s="201" t="str">
        <x:f>IF(U129=0,"Não iniciado",IF(U129&gt;=M129,"Concluído","Parcial"))</x:f>
        <x:v>Não iniciado</x:v>
      </x:c>
      <x:c r="Y129" s="199" t="str"/>
      <x:c r="Z129" s="188" t="str">
        <x:v>Normal</x:v>
      </x:c>
    </x:row>
    <x:row r="130" ht="22" customHeight="1">
      <x:c r="A130" s="219" t="n">
        <x:v>126</x:v>
      </x:c>
      <x:c r="B130" s="220" t="str">
        <x:v>26766</x:v>
      </x:c>
      <x:c r="C130" s="220" t="str">
        <x:v>7</x:v>
      </x:c>
      <x:c r="D130" s="220" t="str">
        <x:v>610154</x:v>
      </x:c>
      <x:c r="E130" s="220" t="str">
        <x:v>985754</x:v>
      </x:c>
      <x:c r="F130" s="220" t="str">
        <x:v>BATENTE</x:v>
      </x:c>
      <x:c r="G130" s="190" t="str">
        <x:v>2110x110x30 42x10R2LR1 BIA PET MOG STD U</x:v>
      </x:c>
      <x:c r="H130" s="190" t="str">
        <x:v>MDF STD</x:v>
      </x:c>
      <x:c r="I130" s="190" t="str">
        <x:v>C/BORRACHA I APLICADA</x:v>
      </x:c>
      <x:c r="J130" s="190" t="str">
        <x:v>C/REB 42X10</x:v>
      </x:c>
      <x:c r="K130" s="190" t="str">
        <x:v>RECOBERTO PET TXT</x:v>
      </x:c>
      <x:c r="L130" s="190" t="str">
        <x:v>MOGNO BRASILEIRO</x:v>
      </x:c>
      <x:c r="M130" s="210" t="n">
        <x:v>288</x:v>
      </x:c>
      <x:c r="N130" s="210" t="n">
        <x:v>2110</x:v>
      </x:c>
      <x:c r="O130" s="210" t="n">
        <x:v>110</x:v>
      </x:c>
      <x:c r="P130" s="210" t="n">
        <x:v>30</x:v>
      </x:c>
      <x:c r="Q130" s="211" t="n">
        <x:v>0</x:v>
      </x:c>
      <x:c r="R130" s="207" t="str"/>
      <x:c r="S130" s="207" t="str"/>
      <x:c r="T130" s="207" t="str"/>
      <x:c r="U130" s="207" t="n">
        <x:v>0</x:v>
      </x:c>
      <x:c r="V130" s="208" t="n">
        <x:f>MAX(0,M130-U130)</x:f>
        <x:v>288</x:v>
      </x:c>
      <x:c r="W130" s="209" t="n">
        <x:f>IFERROR(U130/M130,0)</x:f>
        <x:v>0</x:v>
      </x:c>
      <x:c r="X130" s="201" t="str">
        <x:f>IF(U130=0,"Não iniciado",IF(U130&gt;=M130,"Concluído","Parcial"))</x:f>
        <x:v>Não iniciado</x:v>
      </x:c>
      <x:c r="Y130" s="199" t="str"/>
      <x:c r="Z130" s="188" t="str">
        <x:v>Normal</x:v>
      </x:c>
    </x:row>
    <x:row r="131" ht="22" customHeight="1">
      <x:c r="A131" s="217" t="n">
        <x:v>127</x:v>
      </x:c>
      <x:c r="B131" s="218" t="str">
        <x:v>26824</x:v>
      </x:c>
      <x:c r="C131" s="218" t="str">
        <x:v>1</x:v>
      </x:c>
      <x:c r="D131" s="218" t="str">
        <x:v>609583</x:v>
      </x:c>
      <x:c r="E131" s="218" t="str">
        <x:v>2010600020</x:v>
      </x:c>
      <x:c r="F131" s="218" t="str">
        <x:v>OUTROS</x:v>
      </x:c>
      <x:c r="G131" s="184" t="str">
        <x:v>M CJ MDF STD PET TXT BCO 2110X110X30 42X</x:v>
      </x:c>
      <x:c r="H131" s="184" t="str"/>
      <x:c r="I131" s="184" t="str"/>
      <x:c r="J131" s="184" t="str"/>
      <x:c r="K131" s="184" t="str">
        <x:v>ESMALTE</x:v>
      </x:c>
      <x:c r="L131" s="184" t="str">
        <x:v>BRANCO CARRARA</x:v>
      </x:c>
      <x:c r="M131" s="205" t="n">
        <x:v>246</x:v>
      </x:c>
      <x:c r="N131" s="205" t="n">
        <x:v>2110</x:v>
      </x:c>
      <x:c r="O131" s="205" t="n">
        <x:v>110</x:v>
      </x:c>
      <x:c r="P131" s="205" t="n">
        <x:v>30</x:v>
      </x:c>
      <x:c r="Q131" s="206" t="n">
        <x:v>1.713</x:v>
      </x:c>
      <x:c r="R131" s="207" t="str"/>
      <x:c r="S131" s="207" t="str"/>
      <x:c r="T131" s="207" t="str"/>
      <x:c r="U131" s="207" t="n">
        <x:v>0</x:v>
      </x:c>
      <x:c r="V131" s="208" t="n">
        <x:f>MAX(0,M131-U131)</x:f>
        <x:v>246</x:v>
      </x:c>
      <x:c r="W131" s="209" t="n">
        <x:f>IFERROR(U131/M131,0)</x:f>
        <x:v>0</x:v>
      </x:c>
      <x:c r="X131" s="201" t="str">
        <x:f>IF(U131=0,"Não iniciado",IF(U131&gt;=M131,"Concluído","Parcial"))</x:f>
        <x:v>Não iniciado</x:v>
      </x:c>
      <x:c r="Y131" s="199" t="str"/>
      <x:c r="Z131" s="188" t="str">
        <x:v>Normal</x:v>
      </x:c>
    </x:row>
    <x:row r="132" ht="22" customHeight="1">
      <x:c r="A132" s="219" t="n">
        <x:v>128</x:v>
      </x:c>
      <x:c r="B132" s="220" t="str">
        <x:v>26825</x:v>
      </x:c>
      <x:c r="C132" s="220" t="str">
        <x:v>2</x:v>
      </x:c>
      <x:c r="D132" s="220" t="str">
        <x:v>609045</x:v>
      </x:c>
      <x:c r="E132" s="220" t="str">
        <x:v>2010701244</x:v>
      </x:c>
      <x:c r="F132" s="220" t="str">
        <x:v>BATENTE</x:v>
      </x:c>
      <x:c r="G132" s="190" t="str">
        <x:v>M ULTRA PET BCO CAR 1100X110X30 S/REB RG</x:v>
      </x:c>
      <x:c r="H132" s="190" t="str">
        <x:v>MDF ULTRA</x:v>
      </x:c>
      <x:c r="I132" s="190" t="str">
        <x:v>S/CANAL</x:v>
      </x:c>
      <x:c r="J132" s="190" t="str">
        <x:v>S/REB</x:v>
      </x:c>
      <x:c r="K132" s="190" t="str">
        <x:v>RECOBERTO PET</x:v>
      </x:c>
      <x:c r="L132" s="190" t="str">
        <x:v>BRANCO CARRARA</x:v>
      </x:c>
      <x:c r="M132" s="210" t="n">
        <x:v>32</x:v>
      </x:c>
      <x:c r="N132" s="210" t="n">
        <x:v>1100</x:v>
      </x:c>
      <x:c r="O132" s="210" t="n">
        <x:v>110</x:v>
      </x:c>
      <x:c r="P132" s="210" t="n">
        <x:v>30</x:v>
      </x:c>
      <x:c r="Q132" s="211" t="n">
        <x:v>0.116</x:v>
      </x:c>
      <x:c r="R132" s="207" t="str"/>
      <x:c r="S132" s="207" t="str"/>
      <x:c r="T132" s="207" t="str"/>
      <x:c r="U132" s="207" t="n">
        <x:v>0</x:v>
      </x:c>
      <x:c r="V132" s="208" t="n">
        <x:f>MAX(0,M132-U132)</x:f>
        <x:v>32</x:v>
      </x:c>
      <x:c r="W132" s="209" t="n">
        <x:f>IFERROR(U132/M132,0)</x:f>
        <x:v>0</x:v>
      </x:c>
      <x:c r="X132" s="201" t="str">
        <x:f>IF(U132=0,"Não iniciado",IF(U132&gt;=M132,"Concluído","Parcial"))</x:f>
        <x:v>Não iniciado</x:v>
      </x:c>
      <x:c r="Y132" s="199" t="str"/>
      <x:c r="Z132" s="188" t="str">
        <x:v>Normal</x:v>
      </x:c>
    </x:row>
    <x:row r="133" ht="22" customHeight="1">
      <x:c r="A133" s="217" t="n">
        <x:v>129</x:v>
      </x:c>
      <x:c r="B133" s="218" t="str">
        <x:v>26520</x:v>
      </x:c>
      <x:c r="C133" s="218" t="str">
        <x:v>8</x:v>
      </x:c>
      <x:c r="D133" s="218" t="str">
        <x:v>610113</x:v>
      </x:c>
      <x:c r="E133" s="218" t="str">
        <x:v>2010701223</x:v>
      </x:c>
      <x:c r="F133" s="218" t="str">
        <x:v>BATENTE</x:v>
      </x:c>
      <x:c r="G133" s="184" t="str">
        <x:v>M ULTRA PET C RA 1000X110X30 S/REB RG 1</x:v>
      </x:c>
      <x:c r="H133" s="184" t="str">
        <x:v>MDF ULTRA</x:v>
      </x:c>
      <x:c r="I133" s="184" t="str">
        <x:v>S/CANAL</x:v>
      </x:c>
      <x:c r="J133" s="184" t="str">
        <x:v>S/REB</x:v>
      </x:c>
      <x:c r="K133" s="184" t="str">
        <x:v>RECOBERTO PET</x:v>
      </x:c>
      <x:c r="L133" s="184" t="str">
        <x:v>CURUPIXA RAVENNA</x:v>
      </x:c>
      <x:c r="M133" s="205" t="n">
        <x:v>1</x:v>
      </x:c>
      <x:c r="N133" s="205" t="n">
        <x:v>1000</x:v>
      </x:c>
      <x:c r="O133" s="205" t="n">
        <x:v>110</x:v>
      </x:c>
      <x:c r="P133" s="205" t="n">
        <x:v>30</x:v>
      </x:c>
      <x:c r="Q133" s="206" t="n">
        <x:v>0.003</x:v>
      </x:c>
      <x:c r="R133" s="207" t="str"/>
      <x:c r="S133" s="207" t="str"/>
      <x:c r="T133" s="207" t="str"/>
      <x:c r="U133" s="207" t="n">
        <x:v>0</x:v>
      </x:c>
      <x:c r="V133" s="208" t="n">
        <x:f>MAX(0,M133-U133)</x:f>
        <x:v>1</x:v>
      </x:c>
      <x:c r="W133" s="209" t="n">
        <x:f>IFERROR(U133/M133,0)</x:f>
        <x:v>0</x:v>
      </x:c>
      <x:c r="X133" s="201" t="str">
        <x:f>IF(U133=0,"Não iniciado",IF(U133&gt;=M133,"Concluído","Parcial"))</x:f>
        <x:v>Não iniciado</x:v>
      </x:c>
      <x:c r="Y133" s="199" t="str"/>
      <x:c r="Z133" s="188" t="str">
        <x:v>Normal</x:v>
      </x:c>
    </x:row>
    <x:row r="134" ht="22" customHeight="1">
      <x:c r="A134" s="219" t="n">
        <x:v>130</x:v>
      </x:c>
      <x:c r="B134" s="220" t="str">
        <x:v>26826</x:v>
      </x:c>
      <x:c r="C134" s="220" t="str">
        <x:v>2</x:v>
      </x:c>
      <x:c r="D134" s="220" t="str">
        <x:v>609060</x:v>
      </x:c>
      <x:c r="E134" s="220" t="str">
        <x:v>2010600173</x:v>
      </x:c>
      <x:c r="F134" s="220" t="str">
        <x:v>OUTROS</x:v>
      </x:c>
      <x:c r="G134" s="190" t="str">
        <x:v>M T MDF STD PET TXT BCO 1000X110X30 S/RE</x:v>
      </x:c>
      <x:c r="H134" s="190" t="str">
        <x:v>MDF STD</x:v>
      </x:c>
      <x:c r="I134" s="190" t="str">
        <x:v>S/CANAL</x:v>
      </x:c>
      <x:c r="J134" s="190" t="str">
        <x:v>S/REB</x:v>
      </x:c>
      <x:c r="K134" s="190" t="str">
        <x:v>RECOBERTO PET TXT</x:v>
      </x:c>
      <x:c r="L134" s="190" t="str">
        <x:v>BRANCO</x:v>
      </x:c>
      <x:c r="M134" s="210" t="n">
        <x:v>62</x:v>
      </x:c>
      <x:c r="N134" s="210" t="n">
        <x:v>1000</x:v>
      </x:c>
      <x:c r="O134" s="210" t="n">
        <x:v>110</x:v>
      </x:c>
      <x:c r="P134" s="210" t="n">
        <x:v>30</x:v>
      </x:c>
      <x:c r="Q134" s="211" t="n">
        <x:v>0.205</x:v>
      </x:c>
      <x:c r="R134" s="207" t="str"/>
      <x:c r="S134" s="207" t="str"/>
      <x:c r="T134" s="207" t="str"/>
      <x:c r="U134" s="207" t="n">
        <x:v>0</x:v>
      </x:c>
      <x:c r="V134" s="208" t="n">
        <x:f>MAX(0,M134-U134)</x:f>
        <x:v>62</x:v>
      </x:c>
      <x:c r="W134" s="209" t="n">
        <x:f>IFERROR(U134/M134,0)</x:f>
        <x:v>0</x:v>
      </x:c>
      <x:c r="X134" s="201" t="str">
        <x:f>IF(U134=0,"Não iniciado",IF(U134&gt;=M134,"Concluído","Parcial"))</x:f>
        <x:v>Não iniciado</x:v>
      </x:c>
      <x:c r="Y134" s="199" t="str"/>
      <x:c r="Z134" s="188" t="str">
        <x:v>Normal</x:v>
      </x:c>
    </x:row>
    <x:row r="135" ht="22" customHeight="1">
      <x:c r="A135" s="217" t="n">
        <x:v>131</x:v>
      </x:c>
      <x:c r="B135" s="218" t="str">
        <x:v>26684</x:v>
      </x:c>
      <x:c r="C135" s="218" t="str">
        <x:v>1</x:v>
      </x:c>
      <x:c r="D135" s="218" t="str">
        <x:v>609112</x:v>
      </x:c>
      <x:c r="E135" s="218" t="str">
        <x:v>966816</x:v>
      </x:c>
      <x:c r="F135" s="218" t="str">
        <x:v>BATENTE</x:v>
      </x:c>
      <x:c r="G135" s="184" t="str">
        <x:v>867x110x30 42x10 R2L RT BIA PET STD PREM</x:v>
      </x:c>
      <x:c r="H135" s="184" t="str"/>
      <x:c r="I135" s="184" t="str"/>
      <x:c r="J135" s="184" t="str"/>
      <x:c r="K135" s="184" t="str">
        <x:v>ESMALTE</x:v>
      </x:c>
      <x:c r="L135" s="184" t="str">
        <x:v>BRANCO CARRARA</x:v>
      </x:c>
      <x:c r="M135" s="205" t="n">
        <x:v>1</x:v>
      </x:c>
      <x:c r="N135" s="205" t="n">
        <x:v>867</x:v>
      </x:c>
      <x:c r="O135" s="205" t="n">
        <x:v>110</x:v>
      </x:c>
      <x:c r="P135" s="205" t="n">
        <x:v>30</x:v>
      </x:c>
      <x:c r="Q135" s="206" t="n">
        <x:v>0</x:v>
      </x:c>
      <x:c r="R135" s="207" t="str"/>
      <x:c r="S135" s="207" t="str"/>
      <x:c r="T135" s="207" t="str"/>
      <x:c r="U135" s="207" t="n">
        <x:v>0</x:v>
      </x:c>
      <x:c r="V135" s="208" t="n">
        <x:f>MAX(0,M135-U135)</x:f>
        <x:v>1</x:v>
      </x:c>
      <x:c r="W135" s="209" t="n">
        <x:f>IFERROR(U135/M135,0)</x:f>
        <x:v>0</x:v>
      </x:c>
      <x:c r="X135" s="201" t="str">
        <x:f>IF(U135=0,"Não iniciado",IF(U135&gt;=M135,"Concluído","Parcial"))</x:f>
        <x:v>Não iniciado</x:v>
      </x:c>
      <x:c r="Y135" s="199" t="str"/>
      <x:c r="Z135" s="188" t="str">
        <x:v>Normal</x:v>
      </x:c>
    </x:row>
    <x:row r="136" ht="22" customHeight="1">
      <x:c r="A136" s="219" t="n">
        <x:v>132</x:v>
      </x:c>
      <x:c r="B136" s="220" t="str">
        <x:v>26520</x:v>
      </x:c>
      <x:c r="C136" s="220" t="str">
        <x:v>2</x:v>
      </x:c>
      <x:c r="D136" s="220" t="str">
        <x:v>610076</x:v>
      </x:c>
      <x:c r="E136" s="220" t="str">
        <x:v>985066</x:v>
      </x:c>
      <x:c r="F136" s="220" t="str">
        <x:v>BATENTE</x:v>
      </x:c>
      <x:c r="G136" s="190" t="str">
        <x:v>867x110x30 42x10 R2L R1 BIA PET CNZ (UL)</x:v>
      </x:c>
      <x:c r="H136" s="190" t="str"/>
      <x:c r="I136" s="190" t="str"/>
      <x:c r="J136" s="190" t="str"/>
      <x:c r="K136" s="190" t="str">
        <x:v>RECOBERTO PET</x:v>
      </x:c>
      <x:c r="L136" s="190" t="str">
        <x:v>CINZA VERONA</x:v>
      </x:c>
      <x:c r="M136" s="210" t="n">
        <x:v>6</x:v>
      </x:c>
      <x:c r="N136" s="210" t="n">
        <x:v>867</x:v>
      </x:c>
      <x:c r="O136" s="210" t="n">
        <x:v>110</x:v>
      </x:c>
      <x:c r="P136" s="210" t="n">
        <x:v>30</x:v>
      </x:c>
      <x:c r="Q136" s="211" t="n">
        <x:v>0.017</x:v>
      </x:c>
      <x:c r="R136" s="207" t="str"/>
      <x:c r="S136" s="207" t="str"/>
      <x:c r="T136" s="207" t="str"/>
      <x:c r="U136" s="207" t="n">
        <x:v>0</x:v>
      </x:c>
      <x:c r="V136" s="208" t="n">
        <x:f>MAX(0,M136-U136)</x:f>
        <x:v>6</x:v>
      </x:c>
      <x:c r="W136" s="209" t="n">
        <x:f>IFERROR(U136/M136,0)</x:f>
        <x:v>0</x:v>
      </x:c>
      <x:c r="X136" s="201" t="str">
        <x:f>IF(U136=0,"Não iniciado",IF(U136&gt;=M136,"Concluído","Parcial"))</x:f>
        <x:v>Não iniciado</x:v>
      </x:c>
      <x:c r="Y136" s="199" t="str"/>
      <x:c r="Z136" s="188" t="str">
        <x:v>Normal</x:v>
      </x:c>
    </x:row>
    <x:row r="137" ht="22" customHeight="1">
      <x:c r="A137" s="217" t="n">
        <x:v>133</x:v>
      </x:c>
      <x:c r="B137" s="218" t="str">
        <x:v>26766</x:v>
      </x:c>
      <x:c r="C137" s="218" t="str">
        <x:v>7</x:v>
      </x:c>
      <x:c r="D137" s="218" t="str">
        <x:v>610155</x:v>
      </x:c>
      <x:c r="E137" s="218" t="str">
        <x:v>985764</x:v>
      </x:c>
      <x:c r="F137" s="218" t="str">
        <x:v>BATENTE</x:v>
      </x:c>
      <x:c r="G137" s="184" t="str">
        <x:v>867x110x30 42x10 R2L RT BIA PET MOG STD</x:v>
      </x:c>
      <x:c r="H137" s="184" t="str">
        <x:v>MDF STD</x:v>
      </x:c>
      <x:c r="I137" s="184" t="str">
        <x:v>C/BORRACHA I APLICADA</x:v>
      </x:c>
      <x:c r="J137" s="184" t="str">
        <x:v>C/REB 42X10</x:v>
      </x:c>
      <x:c r="K137" s="184" t="str">
        <x:v>RECOBERTO PET TXT</x:v>
      </x:c>
      <x:c r="L137" s="184" t="str">
        <x:v>MOGNO BRASILEIRO</x:v>
      </x:c>
      <x:c r="M137" s="205" t="n">
        <x:v>144</x:v>
      </x:c>
      <x:c r="N137" s="205" t="n">
        <x:v>867</x:v>
      </x:c>
      <x:c r="O137" s="205" t="n">
        <x:v>110</x:v>
      </x:c>
      <x:c r="P137" s="205" t="n">
        <x:v>30</x:v>
      </x:c>
      <x:c r="Q137" s="206" t="n">
        <x:v>0</x:v>
      </x:c>
      <x:c r="R137" s="207" t="str"/>
      <x:c r="S137" s="207" t="str"/>
      <x:c r="T137" s="207" t="str"/>
      <x:c r="U137" s="207" t="n">
        <x:v>0</x:v>
      </x:c>
      <x:c r="V137" s="208" t="n">
        <x:f>MAX(0,M137-U137)</x:f>
        <x:v>144</x:v>
      </x:c>
      <x:c r="W137" s="209" t="n">
        <x:f>IFERROR(U137/M137,0)</x:f>
        <x:v>0</x:v>
      </x:c>
      <x:c r="X137" s="201" t="str">
        <x:f>IF(U137=0,"Não iniciado",IF(U137&gt;=M137,"Concluído","Parcial"))</x:f>
        <x:v>Não iniciado</x:v>
      </x:c>
      <x:c r="Y137" s="199" t="str"/>
      <x:c r="Z137" s="188" t="str">
        <x:v>Normal</x:v>
      </x:c>
    </x:row>
    <x:row r="138" ht="22" customHeight="1">
      <x:c r="A138" s="219" t="n">
        <x:v>134</x:v>
      </x:c>
      <x:c r="B138" s="220" t="str">
        <x:v>26808</x:v>
      </x:c>
      <x:c r="C138" s="220" t="str">
        <x:v>6</x:v>
      </x:c>
      <x:c r="D138" s="220" t="str">
        <x:v>608941</x:v>
      </x:c>
      <x:c r="E138" s="220" t="str">
        <x:v>973936</x:v>
      </x:c>
      <x:c r="F138" s="220" t="str">
        <x:v>BATENTE</x:v>
      </x:c>
      <x:c r="G138" s="190" t="str">
        <x:v>847x110x30 42x10 R2L BIA PET BCO PRE</x:v>
      </x:c>
      <x:c r="H138" s="190" t="str"/>
      <x:c r="I138" s="190" t="str"/>
      <x:c r="J138" s="190" t="str"/>
      <x:c r="K138" s="190" t="str">
        <x:v>ESMALTE</x:v>
      </x:c>
      <x:c r="L138" s="190" t="str">
        <x:v>BRANCO CARRARA</x:v>
      </x:c>
      <x:c r="M138" s="210" t="n">
        <x:v>6</x:v>
      </x:c>
      <x:c r="N138" s="210" t="n">
        <x:v>847</x:v>
      </x:c>
      <x:c r="O138" s="210" t="n">
        <x:v>110</x:v>
      </x:c>
      <x:c r="P138" s="210" t="n">
        <x:v>30</x:v>
      </x:c>
      <x:c r="Q138" s="211" t="n">
        <x:v>0</x:v>
      </x:c>
      <x:c r="R138" s="207" t="str"/>
      <x:c r="S138" s="207" t="str"/>
      <x:c r="T138" s="207" t="str"/>
      <x:c r="U138" s="207" t="n">
        <x:v>0</x:v>
      </x:c>
      <x:c r="V138" s="208" t="n">
        <x:f>MAX(0,M138-U138)</x:f>
        <x:v>6</x:v>
      </x:c>
      <x:c r="W138" s="209" t="n">
        <x:f>IFERROR(U138/M138,0)</x:f>
        <x:v>0</x:v>
      </x:c>
      <x:c r="X138" s="201" t="str">
        <x:f>IF(U138=0,"Não iniciado",IF(U138&gt;=M138,"Concluído","Parcial"))</x:f>
        <x:v>Não iniciado</x:v>
      </x:c>
      <x:c r="Y138" s="199" t="str"/>
      <x:c r="Z138" s="188" t="str">
        <x:v>Normal</x:v>
      </x:c>
    </x:row>
    <x:row r="139" ht="22" customHeight="1">
      <x:c r="A139" s="217" t="n">
        <x:v>135</x:v>
      </x:c>
      <x:c r="B139" s="218" t="str">
        <x:v>26808</x:v>
      </x:c>
      <x:c r="C139" s="218" t="str">
        <x:v>9</x:v>
      </x:c>
      <x:c r="D139" s="218" t="str">
        <x:v>610976</x:v>
      </x:c>
      <x:c r="E139" s="218" t="str">
        <x:v>675670</x:v>
      </x:c>
      <x:c r="F139" s="218" t="str">
        <x:v>BATENTE</x:v>
      </x:c>
      <x:c r="G139" s="184" t="str">
        <x:v>847x110x30 42x10 R2L BIA PET BCO PREMIUM</x:v>
      </x:c>
      <x:c r="H139" s="184" t="str"/>
      <x:c r="I139" s="184" t="str"/>
      <x:c r="J139" s="184" t="str"/>
      <x:c r="K139" s="184" t="str">
        <x:v>ESMALTE</x:v>
      </x:c>
      <x:c r="L139" s="184" t="str">
        <x:v>BRANCO CARRARA</x:v>
      </x:c>
      <x:c r="M139" s="205" t="n">
        <x:v>71</x:v>
      </x:c>
      <x:c r="N139" s="205" t="n">
        <x:v>847</x:v>
      </x:c>
      <x:c r="O139" s="205" t="n">
        <x:v>110</x:v>
      </x:c>
      <x:c r="P139" s="205" t="n">
        <x:v>30</x:v>
      </x:c>
      <x:c r="Q139" s="206" t="n">
        <x:v>0</x:v>
      </x:c>
      <x:c r="R139" s="207" t="str"/>
      <x:c r="S139" s="207" t="str"/>
      <x:c r="T139" s="207" t="str"/>
      <x:c r="U139" s="207" t="n">
        <x:v>0</x:v>
      </x:c>
      <x:c r="V139" s="208" t="n">
        <x:f>MAX(0,M139-U139)</x:f>
        <x:v>71</x:v>
      </x:c>
      <x:c r="W139" s="209" t="n">
        <x:f>IFERROR(U139/M139,0)</x:f>
        <x:v>0</x:v>
      </x:c>
      <x:c r="X139" s="201" t="str">
        <x:f>IF(U139=0,"Não iniciado",IF(U139&gt;=M139,"Concluído","Parcial"))</x:f>
        <x:v>Não iniciado</x:v>
      </x:c>
      <x:c r="Y139" s="199" t="str"/>
      <x:c r="Z139" s="188" t="str">
        <x:v>Normal</x:v>
      </x:c>
    </x:row>
    <x:row r="140" ht="22" customHeight="1">
      <x:c r="A140" s="219" t="n">
        <x:v>136</x:v>
      </x:c>
      <x:c r="B140" s="220" t="str">
        <x:v>26766</x:v>
      </x:c>
      <x:c r="C140" s="220" t="str">
        <x:v>5</x:v>
      </x:c>
      <x:c r="D140" s="220" t="str">
        <x:v>610151</x:v>
      </x:c>
      <x:c r="E140" s="220" t="str">
        <x:v>985762</x:v>
      </x:c>
      <x:c r="F140" s="220" t="str">
        <x:v>BATENTE</x:v>
      </x:c>
      <x:c r="G140" s="190" t="str">
        <x:v>847x110x30 42x10 R2L RT BIA PET MOG STD</x:v>
      </x:c>
      <x:c r="H140" s="190" t="str">
        <x:v>MDF STD</x:v>
      </x:c>
      <x:c r="I140" s="190" t="str">
        <x:v>C/BORRACHA I APLICADA</x:v>
      </x:c>
      <x:c r="J140" s="190" t="str">
        <x:v>C/REB 42X10</x:v>
      </x:c>
      <x:c r="K140" s="190" t="str">
        <x:v>RECOBERTO PET TXT</x:v>
      </x:c>
      <x:c r="L140" s="190" t="str">
        <x:v>MOGNO BRASILEIRO</x:v>
      </x:c>
      <x:c r="M140" s="210" t="n">
        <x:v>324</x:v>
      </x:c>
      <x:c r="N140" s="210" t="n">
        <x:v>847</x:v>
      </x:c>
      <x:c r="O140" s="210" t="n">
        <x:v>110</x:v>
      </x:c>
      <x:c r="P140" s="210" t="n">
        <x:v>30</x:v>
      </x:c>
      <x:c r="Q140" s="211" t="n">
        <x:v>0</x:v>
      </x:c>
      <x:c r="R140" s="207" t="str"/>
      <x:c r="S140" s="207" t="str"/>
      <x:c r="T140" s="207" t="str"/>
      <x:c r="U140" s="207" t="n">
        <x:v>0</x:v>
      </x:c>
      <x:c r="V140" s="208" t="n">
        <x:f>MAX(0,M140-U140)</x:f>
        <x:v>324</x:v>
      </x:c>
      <x:c r="W140" s="209" t="n">
        <x:f>IFERROR(U140/M140,0)</x:f>
        <x:v>0</x:v>
      </x:c>
      <x:c r="X140" s="201" t="str">
        <x:f>IF(U140=0,"Não iniciado",IF(U140&gt;=M140,"Concluído","Parcial"))</x:f>
        <x:v>Não iniciado</x:v>
      </x:c>
      <x:c r="Y140" s="199" t="str"/>
      <x:c r="Z140" s="188" t="str">
        <x:v>Normal</x:v>
      </x:c>
    </x:row>
    <x:row r="141" ht="22" customHeight="1">
      <x:c r="A141" s="217" t="n">
        <x:v>137</x:v>
      </x:c>
      <x:c r="B141" s="218" t="str">
        <x:v>26739</x:v>
      </x:c>
      <x:c r="C141" s="218" t="str">
        <x:v>10</x:v>
      </x:c>
      <x:c r="D141" s="218" t="str">
        <x:v>609660</x:v>
      </x:c>
      <x:c r="E141" s="218" t="str">
        <x:v>2010700634</x:v>
      </x:c>
      <x:c r="F141" s="218" t="str">
        <x:v>BATENTE</x:v>
      </x:c>
      <x:c r="G141" s="184" t="str">
        <x:v>M ULTRA PET BCO CAR 767X110X30 42X10 R2L</x:v>
      </x:c>
      <x:c r="H141" s="184" t="str"/>
      <x:c r="I141" s="184" t="str"/>
      <x:c r="J141" s="184" t="str"/>
      <x:c r="K141" s="184" t="str">
        <x:v>ESMALTE</x:v>
      </x:c>
      <x:c r="L141" s="184" t="str">
        <x:v>BRANCO CARRARA</x:v>
      </x:c>
      <x:c r="M141" s="205" t="n">
        <x:v>22</x:v>
      </x:c>
      <x:c r="N141" s="205" t="n">
        <x:v>767</x:v>
      </x:c>
      <x:c r="O141" s="205" t="n">
        <x:v>110</x:v>
      </x:c>
      <x:c r="P141" s="205" t="n">
        <x:v>30</x:v>
      </x:c>
      <x:c r="Q141" s="206" t="n">
        <x:v>0.056</x:v>
      </x:c>
      <x:c r="R141" s="207" t="str"/>
      <x:c r="S141" s="207" t="str"/>
      <x:c r="T141" s="207" t="str"/>
      <x:c r="U141" s="207" t="n">
        <x:v>0</x:v>
      </x:c>
      <x:c r="V141" s="208" t="n">
        <x:f>MAX(0,M141-U141)</x:f>
        <x:v>22</x:v>
      </x:c>
      <x:c r="W141" s="209" t="n">
        <x:f>IFERROR(U141/M141,0)</x:f>
        <x:v>0</x:v>
      </x:c>
      <x:c r="X141" s="201" t="str">
        <x:f>IF(U141=0,"Não iniciado",IF(U141&gt;=M141,"Concluído","Parcial"))</x:f>
        <x:v>Não iniciado</x:v>
      </x:c>
      <x:c r="Y141" s="199" t="str"/>
      <x:c r="Z141" s="188" t="str">
        <x:v>Normal</x:v>
      </x:c>
    </x:row>
    <x:row r="142" ht="22" customHeight="1">
      <x:c r="A142" s="219" t="n">
        <x:v>138</x:v>
      </x:c>
      <x:c r="B142" s="220" t="str">
        <x:v>26750</x:v>
      </x:c>
      <x:c r="C142" s="220" t="str">
        <x:v>13</x:v>
      </x:c>
      <x:c r="D142" s="220" t="str">
        <x:v>609833</x:v>
      </x:c>
      <x:c r="E142" s="220" t="str">
        <x:v>2010700634</x:v>
      </x:c>
      <x:c r="F142" s="220" t="str">
        <x:v>BATENTE</x:v>
      </x:c>
      <x:c r="G142" s="190" t="str">
        <x:v>M ULTRA PET BCO CAR 767X110X30 42X10 R2L</x:v>
      </x:c>
      <x:c r="H142" s="190" t="str"/>
      <x:c r="I142" s="190" t="str"/>
      <x:c r="J142" s="190" t="str"/>
      <x:c r="K142" s="190" t="str">
        <x:v>ESMALTE</x:v>
      </x:c>
      <x:c r="L142" s="190" t="str">
        <x:v>BRANCO CARRARA</x:v>
      </x:c>
      <x:c r="M142" s="210" t="n">
        <x:v>28</x:v>
      </x:c>
      <x:c r="N142" s="210" t="n">
        <x:v>767</x:v>
      </x:c>
      <x:c r="O142" s="210" t="n">
        <x:v>110</x:v>
      </x:c>
      <x:c r="P142" s="210" t="n">
        <x:v>30</x:v>
      </x:c>
      <x:c r="Q142" s="211" t="n">
        <x:v>0.071</x:v>
      </x:c>
      <x:c r="R142" s="207" t="str"/>
      <x:c r="S142" s="207" t="str"/>
      <x:c r="T142" s="207" t="str"/>
      <x:c r="U142" s="207" t="n">
        <x:v>0</x:v>
      </x:c>
      <x:c r="V142" s="208" t="n">
        <x:f>MAX(0,M142-U142)</x:f>
        <x:v>28</x:v>
      </x:c>
      <x:c r="W142" s="209" t="n">
        <x:f>IFERROR(U142/M142,0)</x:f>
        <x:v>0</x:v>
      </x:c>
      <x:c r="X142" s="201" t="str">
        <x:f>IF(U142=0,"Não iniciado",IF(U142&gt;=M142,"Concluído","Parcial"))</x:f>
        <x:v>Não iniciado</x:v>
      </x:c>
      <x:c r="Y142" s="199" t="str"/>
      <x:c r="Z142" s="188" t="str">
        <x:v>Normal</x:v>
      </x:c>
    </x:row>
    <x:row r="143" ht="22" customHeight="1">
      <x:c r="A143" s="217" t="n">
        <x:v>139</x:v>
      </x:c>
      <x:c r="B143" s="218" t="str">
        <x:v>26520</x:v>
      </x:c>
      <x:c r="C143" s="218" t="str">
        <x:v>4</x:v>
      </x:c>
      <x:c r="D143" s="218" t="str">
        <x:v>610092</x:v>
      </x:c>
      <x:c r="E143" s="218" t="str">
        <x:v>2010701216</x:v>
      </x:c>
      <x:c r="F143" s="218" t="str">
        <x:v>BATENTE</x:v>
      </x:c>
      <x:c r="G143" s="184" t="str">
        <x:v>M ULTRA PET CI VE 767X110X30 42X10 R2L M</x:v>
      </x:c>
      <x:c r="H143" s="184" t="str"/>
      <x:c r="I143" s="184" t="str"/>
      <x:c r="J143" s="184" t="str"/>
      <x:c r="K143" s="184" t="str">
        <x:v>RECOBERTO PET</x:v>
      </x:c>
      <x:c r="L143" s="184" t="str">
        <x:v>CINZA VERONA</x:v>
      </x:c>
      <x:c r="M143" s="205" t="n">
        <x:v>4</x:v>
      </x:c>
      <x:c r="N143" s="205" t="n">
        <x:v>767</x:v>
      </x:c>
      <x:c r="O143" s="205" t="n">
        <x:v>110</x:v>
      </x:c>
      <x:c r="P143" s="205" t="n">
        <x:v>30</x:v>
      </x:c>
      <x:c r="Q143" s="206" t="n">
        <x:v>0.01</x:v>
      </x:c>
      <x:c r="R143" s="207" t="str"/>
      <x:c r="S143" s="207" t="str"/>
      <x:c r="T143" s="207" t="str"/>
      <x:c r="U143" s="207" t="n">
        <x:v>0</x:v>
      </x:c>
      <x:c r="V143" s="208" t="n">
        <x:f>MAX(0,M143-U143)</x:f>
        <x:v>4</x:v>
      </x:c>
      <x:c r="W143" s="209" t="n">
        <x:f>IFERROR(U143/M143,0)</x:f>
        <x:v>0</x:v>
      </x:c>
      <x:c r="X143" s="201" t="str">
        <x:f>IF(U143=0,"Não iniciado",IF(U143&gt;=M143,"Concluído","Parcial"))</x:f>
        <x:v>Não iniciado</x:v>
      </x:c>
      <x:c r="Y143" s="199" t="str"/>
      <x:c r="Z143" s="188" t="str">
        <x:v>Normal</x:v>
      </x:c>
    </x:row>
    <x:row r="144" ht="22" customHeight="1">
      <x:c r="A144" s="219" t="n">
        <x:v>140</x:v>
      </x:c>
      <x:c r="B144" s="220" t="str">
        <x:v>26520</x:v>
      </x:c>
      <x:c r="C144" s="220" t="str">
        <x:v>11</x:v>
      </x:c>
      <x:c r="D144" s="220" t="str">
        <x:v>610129</x:v>
      </x:c>
      <x:c r="E144" s="220" t="str">
        <x:v>2010701219</x:v>
      </x:c>
      <x:c r="F144" s="220" t="str">
        <x:v>BATENTE</x:v>
      </x:c>
      <x:c r="G144" s="190" t="str">
        <x:v>M ULTRA PET C RA 767X110X30 42X10 R2L ME</x:v>
      </x:c>
      <x:c r="H144" s="190" t="str"/>
      <x:c r="I144" s="190" t="str"/>
      <x:c r="J144" s="190" t="str"/>
      <x:c r="K144" s="190" t="str">
        <x:v>RECOBERTO PET</x:v>
      </x:c>
      <x:c r="L144" s="190" t="str">
        <x:v>CURUPIXA RAVENNA</x:v>
      </x:c>
      <x:c r="M144" s="210" t="n">
        <x:v>3</x:v>
      </x:c>
      <x:c r="N144" s="210" t="n">
        <x:v>767</x:v>
      </x:c>
      <x:c r="O144" s="210" t="n">
        <x:v>110</x:v>
      </x:c>
      <x:c r="P144" s="210" t="n">
        <x:v>30</x:v>
      </x:c>
      <x:c r="Q144" s="211" t="n">
        <x:v>0.008</x:v>
      </x:c>
      <x:c r="R144" s="207" t="str"/>
      <x:c r="S144" s="207" t="str"/>
      <x:c r="T144" s="207" t="str"/>
      <x:c r="U144" s="207" t="n">
        <x:v>0</x:v>
      </x:c>
      <x:c r="V144" s="208" t="n">
        <x:f>MAX(0,M144-U144)</x:f>
        <x:v>3</x:v>
      </x:c>
      <x:c r="W144" s="209" t="n">
        <x:f>IFERROR(U144/M144,0)</x:f>
        <x:v>0</x:v>
      </x:c>
      <x:c r="X144" s="201" t="str">
        <x:f>IF(U144=0,"Não iniciado",IF(U144&gt;=M144,"Concluído","Parcial"))</x:f>
        <x:v>Não iniciado</x:v>
      </x:c>
      <x:c r="Y144" s="199" t="str"/>
      <x:c r="Z144" s="188" t="str">
        <x:v>Normal</x:v>
      </x:c>
    </x:row>
    <x:row r="145" ht="22" customHeight="1">
      <x:c r="A145" s="217" t="n">
        <x:v>141</x:v>
      </x:c>
      <x:c r="B145" s="218" t="str">
        <x:v>26808</x:v>
      </x:c>
      <x:c r="C145" s="218" t="str">
        <x:v>4</x:v>
      </x:c>
      <x:c r="D145" s="218" t="str">
        <x:v>608921</x:v>
      </x:c>
      <x:c r="E145" s="218" t="str">
        <x:v>675804</x:v>
      </x:c>
      <x:c r="F145" s="218" t="str">
        <x:v>BATENTE</x:v>
      </x:c>
      <x:c r="G145" s="184" t="str">
        <x:v>747x110x30 42X10 R2L BIA PET BCO (GOLD)</x:v>
      </x:c>
      <x:c r="H145" s="184" t="str"/>
      <x:c r="I145" s="184" t="str"/>
      <x:c r="J145" s="184" t="str"/>
      <x:c r="K145" s="184" t="str">
        <x:v>ESMALTE</x:v>
      </x:c>
      <x:c r="L145" s="184" t="str">
        <x:v>BRANCO CARRARA</x:v>
      </x:c>
      <x:c r="M145" s="205" t="n">
        <x:v>63</x:v>
      </x:c>
      <x:c r="N145" s="205" t="n">
        <x:v>747</x:v>
      </x:c>
      <x:c r="O145" s="205" t="n">
        <x:v>110</x:v>
      </x:c>
      <x:c r="P145" s="205" t="n">
        <x:v>30</x:v>
      </x:c>
      <x:c r="Q145" s="206" t="n">
        <x:v>0</x:v>
      </x:c>
      <x:c r="R145" s="207" t="str"/>
      <x:c r="S145" s="207" t="str"/>
      <x:c r="T145" s="207" t="str"/>
      <x:c r="U145" s="207" t="n">
        <x:v>0</x:v>
      </x:c>
      <x:c r="V145" s="208" t="n">
        <x:f>MAX(0,M145-U145)</x:f>
        <x:v>63</x:v>
      </x:c>
      <x:c r="W145" s="209" t="n">
        <x:f>IFERROR(U145/M145,0)</x:f>
        <x:v>0</x:v>
      </x:c>
      <x:c r="X145" s="201" t="str">
        <x:f>IF(U145=0,"Não iniciado",IF(U145&gt;=M145,"Concluído","Parcial"))</x:f>
        <x:v>Não iniciado</x:v>
      </x:c>
      <x:c r="Y145" s="199" t="str"/>
      <x:c r="Z145" s="188" t="str">
        <x:v>Normal</x:v>
      </x:c>
    </x:row>
    <x:row r="146" ht="22" customHeight="1">
      <x:c r="A146" s="219" t="n">
        <x:v>142</x:v>
      </x:c>
      <x:c r="B146" s="220" t="str">
        <x:v>26766</x:v>
      </x:c>
      <x:c r="C146" s="220" t="str">
        <x:v>3</x:v>
      </x:c>
      <x:c r="D146" s="220" t="str">
        <x:v>610147</x:v>
      </x:c>
      <x:c r="E146" s="220" t="str">
        <x:v>985755</x:v>
      </x:c>
      <x:c r="F146" s="220" t="str">
        <x:v>BATENTE</x:v>
      </x:c>
      <x:c r="G146" s="190" t="str">
        <x:v>747x110x30 42x10 R2L RT BIA PET MOG STD</x:v>
      </x:c>
      <x:c r="H146" s="190" t="str">
        <x:v>MDF STD</x:v>
      </x:c>
      <x:c r="I146" s="190" t="str">
        <x:v>C/BORRACHA I APLICADA</x:v>
      </x:c>
      <x:c r="J146" s="190" t="str">
        <x:v>C/REB 42X10</x:v>
      </x:c>
      <x:c r="K146" s="190" t="str">
        <x:v>RECOBERTO PET TXT</x:v>
      </x:c>
      <x:c r="L146" s="190" t="str">
        <x:v>MOGNO BRASILEIRO</x:v>
      </x:c>
      <x:c r="M146" s="210" t="n">
        <x:v>108</x:v>
      </x:c>
      <x:c r="N146" s="210" t="n">
        <x:v>747</x:v>
      </x:c>
      <x:c r="O146" s="210" t="n">
        <x:v>110</x:v>
      </x:c>
      <x:c r="P146" s="210" t="n">
        <x:v>30</x:v>
      </x:c>
      <x:c r="Q146" s="211" t="n">
        <x:v>0</x:v>
      </x:c>
      <x:c r="R146" s="207" t="str"/>
      <x:c r="S146" s="207" t="str"/>
      <x:c r="T146" s="207" t="str"/>
      <x:c r="U146" s="207" t="n">
        <x:v>0</x:v>
      </x:c>
      <x:c r="V146" s="208" t="n">
        <x:f>MAX(0,M146-U146)</x:f>
        <x:v>108</x:v>
      </x:c>
      <x:c r="W146" s="209" t="n">
        <x:f>IFERROR(U146/M146,0)</x:f>
        <x:v>0</x:v>
      </x:c>
      <x:c r="X146" s="201" t="str">
        <x:f>IF(U146=0,"Não iniciado",IF(U146&gt;=M146,"Concluído","Parcial"))</x:f>
        <x:v>Não iniciado</x:v>
      </x:c>
      <x:c r="Y146" s="199" t="str"/>
      <x:c r="Z146" s="188" t="str">
        <x:v>Normal</x:v>
      </x:c>
    </x:row>
    <x:row r="147" ht="22" customHeight="1">
      <x:c r="A147" s="217" t="n">
        <x:v>143</x:v>
      </x:c>
      <x:c r="B147" s="218" t="str">
        <x:v>26739</x:v>
      </x:c>
      <x:c r="C147" s="218" t="str">
        <x:v>19</x:v>
      </x:c>
      <x:c r="D147" s="218" t="str">
        <x:v>609715</x:v>
      </x:c>
      <x:c r="E147" s="218" t="str">
        <x:v>974316</x:v>
      </x:c>
      <x:c r="F147" s="218" t="str">
        <x:v>BATENTE</x:v>
      </x:c>
      <x:c r="G147" s="184" t="str">
        <x:v>667x110x30 42x10 R2L RT BIA PET BC (UL)</x:v>
      </x:c>
      <x:c r="H147" s="184" t="str"/>
      <x:c r="I147" s="184" t="str"/>
      <x:c r="J147" s="184" t="str"/>
      <x:c r="K147" s="184" t="str">
        <x:v>ESMALTE</x:v>
      </x:c>
      <x:c r="L147" s="184" t="str">
        <x:v>BRANCO CARRARA</x:v>
      </x:c>
      <x:c r="M147" s="205" t="n">
        <x:v>27</x:v>
      </x:c>
      <x:c r="N147" s="205" t="n">
        <x:v>667</x:v>
      </x:c>
      <x:c r="O147" s="205" t="n">
        <x:v>110</x:v>
      </x:c>
      <x:c r="P147" s="205" t="n">
        <x:v>30</x:v>
      </x:c>
      <x:c r="Q147" s="206" t="n">
        <x:v>0.059</x:v>
      </x:c>
      <x:c r="R147" s="207" t="str"/>
      <x:c r="S147" s="207" t="str"/>
      <x:c r="T147" s="207" t="str"/>
      <x:c r="U147" s="207" t="n">
        <x:v>0</x:v>
      </x:c>
      <x:c r="V147" s="208" t="n">
        <x:f>MAX(0,M147-U147)</x:f>
        <x:v>27</x:v>
      </x:c>
      <x:c r="W147" s="209" t="n">
        <x:f>IFERROR(U147/M147,0)</x:f>
        <x:v>0</x:v>
      </x:c>
      <x:c r="X147" s="201" t="str">
        <x:f>IF(U147=0,"Não iniciado",IF(U147&gt;=M147,"Concluído","Parcial"))</x:f>
        <x:v>Não iniciado</x:v>
      </x:c>
      <x:c r="Y147" s="199" t="str"/>
      <x:c r="Z147" s="188" t="str">
        <x:v>Normal</x:v>
      </x:c>
    </x:row>
    <x:row r="148" ht="22" customHeight="1">
      <x:c r="A148" s="219" t="n">
        <x:v>144</x:v>
      </x:c>
      <x:c r="B148" s="220" t="str">
        <x:v>26739</x:v>
      </x:c>
      <x:c r="C148" s="220" t="str">
        <x:v>24</x:v>
      </x:c>
      <x:c r="D148" s="220" t="str">
        <x:v>609763</x:v>
      </x:c>
      <x:c r="E148" s="220" t="str">
        <x:v>974316</x:v>
      </x:c>
      <x:c r="F148" s="220" t="str">
        <x:v>BATENTE</x:v>
      </x:c>
      <x:c r="G148" s="190" t="str">
        <x:v>667x110x30 42x10 R2L RT BIA PET BC (UL)</x:v>
      </x:c>
      <x:c r="H148" s="190" t="str"/>
      <x:c r="I148" s="190" t="str"/>
      <x:c r="J148" s="190" t="str"/>
      <x:c r="K148" s="190" t="str">
        <x:v>ESMALTE</x:v>
      </x:c>
      <x:c r="L148" s="190" t="str">
        <x:v>BRANCO CARRARA</x:v>
      </x:c>
      <x:c r="M148" s="210" t="n">
        <x:v>2</x:v>
      </x:c>
      <x:c r="N148" s="210" t="n">
        <x:v>667</x:v>
      </x:c>
      <x:c r="O148" s="210" t="n">
        <x:v>110</x:v>
      </x:c>
      <x:c r="P148" s="210" t="n">
        <x:v>30</x:v>
      </x:c>
      <x:c r="Q148" s="211" t="n">
        <x:v>0.004</x:v>
      </x:c>
      <x:c r="R148" s="207" t="str"/>
      <x:c r="S148" s="207" t="str"/>
      <x:c r="T148" s="207" t="str"/>
      <x:c r="U148" s="207" t="n">
        <x:v>0</x:v>
      </x:c>
      <x:c r="V148" s="208" t="n">
        <x:f>MAX(0,M148-U148)</x:f>
        <x:v>2</x:v>
      </x:c>
      <x:c r="W148" s="209" t="n">
        <x:f>IFERROR(U148/M148,0)</x:f>
        <x:v>0</x:v>
      </x:c>
      <x:c r="X148" s="201" t="str">
        <x:f>IF(U148=0,"Não iniciado",IF(U148&gt;=M148,"Concluído","Parcial"))</x:f>
        <x:v>Não iniciado</x:v>
      </x:c>
      <x:c r="Y148" s="199" t="str"/>
      <x:c r="Z148" s="188" t="str">
        <x:v>Normal</x:v>
      </x:c>
    </x:row>
    <x:row r="149" ht="22" customHeight="1">
      <x:c r="A149" s="217" t="n">
        <x:v>145</x:v>
      </x:c>
      <x:c r="B149" s="218" t="str">
        <x:v>26750</x:v>
      </x:c>
      <x:c r="C149" s="218" t="str">
        <x:v>22</x:v>
      </x:c>
      <x:c r="D149" s="218" t="str">
        <x:v>609888</x:v>
      </x:c>
      <x:c r="E149" s="218" t="str">
        <x:v>974316</x:v>
      </x:c>
      <x:c r="F149" s="218" t="str">
        <x:v>BATENTE</x:v>
      </x:c>
      <x:c r="G149" s="184" t="str">
        <x:v>667x110x30 42x10 R2L RT BIA PET BC (UL)</x:v>
      </x:c>
      <x:c r="H149" s="184" t="str"/>
      <x:c r="I149" s="184" t="str"/>
      <x:c r="J149" s="184" t="str"/>
      <x:c r="K149" s="184" t="str">
        <x:v>ESMALTE</x:v>
      </x:c>
      <x:c r="L149" s="184" t="str">
        <x:v>BRANCO CARRARA</x:v>
      </x:c>
      <x:c r="M149" s="205" t="n">
        <x:v>19</x:v>
      </x:c>
      <x:c r="N149" s="205" t="n">
        <x:v>667</x:v>
      </x:c>
      <x:c r="O149" s="205" t="n">
        <x:v>110</x:v>
      </x:c>
      <x:c r="P149" s="205" t="n">
        <x:v>30</x:v>
      </x:c>
      <x:c r="Q149" s="206" t="n">
        <x:v>0.042</x:v>
      </x:c>
      <x:c r="R149" s="207" t="str"/>
      <x:c r="S149" s="207" t="str"/>
      <x:c r="T149" s="207" t="str"/>
      <x:c r="U149" s="207" t="n">
        <x:v>0</x:v>
      </x:c>
      <x:c r="V149" s="208" t="n">
        <x:f>MAX(0,M149-U149)</x:f>
        <x:v>19</x:v>
      </x:c>
      <x:c r="W149" s="209" t="n">
        <x:f>IFERROR(U149/M149,0)</x:f>
        <x:v>0</x:v>
      </x:c>
      <x:c r="X149" s="201" t="str">
        <x:f>IF(U149=0,"Não iniciado",IF(U149&gt;=M149,"Concluído","Parcial"))</x:f>
        <x:v>Não iniciado</x:v>
      </x:c>
      <x:c r="Y149" s="199" t="str"/>
      <x:c r="Z149" s="188" t="str">
        <x:v>Normal</x:v>
      </x:c>
    </x:row>
    <x:row r="150" ht="22" customHeight="1">
      <x:c r="A150" s="219" t="n">
        <x:v>146</x:v>
      </x:c>
      <x:c r="B150" s="220" t="str">
        <x:v>26750</x:v>
      </x:c>
      <x:c r="C150" s="220" t="str">
        <x:v>26</x:v>
      </x:c>
      <x:c r="D150" s="220" t="str">
        <x:v>609924</x:v>
      </x:c>
      <x:c r="E150" s="220" t="str">
        <x:v>974316</x:v>
      </x:c>
      <x:c r="F150" s="220" t="str">
        <x:v>BATENTE</x:v>
      </x:c>
      <x:c r="G150" s="190" t="str">
        <x:v>667x110x30 42x10 R2L RT BIA PET BC (UL)</x:v>
      </x:c>
      <x:c r="H150" s="190" t="str"/>
      <x:c r="I150" s="190" t="str"/>
      <x:c r="J150" s="190" t="str"/>
      <x:c r="K150" s="190" t="str">
        <x:v>ESMALTE</x:v>
      </x:c>
      <x:c r="L150" s="190" t="str">
        <x:v>BRANCO CARRARA</x:v>
      </x:c>
      <x:c r="M150" s="210" t="n">
        <x:v>2</x:v>
      </x:c>
      <x:c r="N150" s="210" t="n">
        <x:v>667</x:v>
      </x:c>
      <x:c r="O150" s="210" t="n">
        <x:v>110</x:v>
      </x:c>
      <x:c r="P150" s="210" t="n">
        <x:v>30</x:v>
      </x:c>
      <x:c r="Q150" s="211" t="n">
        <x:v>0.004</x:v>
      </x:c>
      <x:c r="R150" s="207" t="str"/>
      <x:c r="S150" s="207" t="str"/>
      <x:c r="T150" s="207" t="str"/>
      <x:c r="U150" s="207" t="n">
        <x:v>0</x:v>
      </x:c>
      <x:c r="V150" s="208" t="n">
        <x:f>MAX(0,M150-U150)</x:f>
        <x:v>2</x:v>
      </x:c>
      <x:c r="W150" s="209" t="n">
        <x:f>IFERROR(U150/M150,0)</x:f>
        <x:v>0</x:v>
      </x:c>
      <x:c r="X150" s="201" t="str">
        <x:f>IF(U150=0,"Não iniciado",IF(U150&gt;=M150,"Concluído","Parcial"))</x:f>
        <x:v>Não iniciado</x:v>
      </x:c>
      <x:c r="Y150" s="199" t="str"/>
      <x:c r="Z150" s="188" t="str">
        <x:v>Normal</x:v>
      </x:c>
    </x:row>
    <x:row r="151" ht="22" customHeight="1">
      <x:c r="A151" s="217" t="n">
        <x:v>147</x:v>
      </x:c>
      <x:c r="B151" s="218" t="str">
        <x:v>26808</x:v>
      </x:c>
      <x:c r="C151" s="218" t="str">
        <x:v>1</x:v>
      </x:c>
      <x:c r="D151" s="218" t="str">
        <x:v>608897</x:v>
      </x:c>
      <x:c r="E151" s="218" t="str">
        <x:v>675802</x:v>
      </x:c>
      <x:c r="F151" s="218" t="str">
        <x:v>BATENTE</x:v>
      </x:c>
      <x:c r="G151" s="184" t="str">
        <x:v>647x110x30 42X10 R2L BIA PET BCO (GOLD)</x:v>
      </x:c>
      <x:c r="H151" s="184" t="str"/>
      <x:c r="I151" s="184" t="str"/>
      <x:c r="J151" s="184" t="str"/>
      <x:c r="K151" s="184" t="str">
        <x:v>ESMALTE</x:v>
      </x:c>
      <x:c r="L151" s="184" t="str">
        <x:v>BRANCO CARRARA</x:v>
      </x:c>
      <x:c r="M151" s="205" t="n">
        <x:v>144</x:v>
      </x:c>
      <x:c r="N151" s="205" t="n">
        <x:v>647</x:v>
      </x:c>
      <x:c r="O151" s="205" t="n">
        <x:v>110</x:v>
      </x:c>
      <x:c r="P151" s="205" t="n">
        <x:v>30</x:v>
      </x:c>
      <x:c r="Q151" s="206" t="n">
        <x:v>0.307</x:v>
      </x:c>
      <x:c r="R151" s="207" t="str"/>
      <x:c r="S151" s="207" t="str"/>
      <x:c r="T151" s="207" t="str"/>
      <x:c r="U151" s="207" t="n">
        <x:v>0</x:v>
      </x:c>
      <x:c r="V151" s="208" t="n">
        <x:f>MAX(0,M151-U151)</x:f>
        <x:v>144</x:v>
      </x:c>
      <x:c r="W151" s="209" t="n">
        <x:f>IFERROR(U151/M151,0)</x:f>
        <x:v>0</x:v>
      </x:c>
      <x:c r="X151" s="201" t="str">
        <x:f>IF(U151=0,"Não iniciado",IF(U151&gt;=M151,"Concluído","Parcial"))</x:f>
        <x:v>Não iniciado</x:v>
      </x:c>
      <x:c r="Y151" s="199" t="str"/>
      <x:c r="Z151" s="188" t="str">
        <x:v>Normal</x:v>
      </x:c>
    </x:row>
    <x:row r="152" ht="22" customHeight="1">
      <x:c r="A152" s="219" t="n">
        <x:v>148</x:v>
      </x:c>
      <x:c r="B152" s="220" t="str">
        <x:v>26520</x:v>
      </x:c>
      <x:c r="C152" s="220" t="str">
        <x:v>12</x:v>
      </x:c>
      <x:c r="D152" s="220" t="str">
        <x:v>610137</x:v>
      </x:c>
      <x:c r="E152" s="220" t="str">
        <x:v>2010701221</x:v>
      </x:c>
      <x:c r="F152" s="220" t="str">
        <x:v>BATENTE</x:v>
      </x:c>
      <x:c r="G152" s="190" t="str">
        <x:v>M ULTRA PET C RA 647X110X30 42X10 R2L ME</x:v>
      </x:c>
      <x:c r="H152" s="190" t="str"/>
      <x:c r="I152" s="190" t="str"/>
      <x:c r="J152" s="190" t="str"/>
      <x:c r="K152" s="190" t="str">
        <x:v>RECOBERTO PET</x:v>
      </x:c>
      <x:c r="L152" s="190" t="str">
        <x:v>CURUPIXA RAVENNA</x:v>
      </x:c>
      <x:c r="M152" s="210" t="n">
        <x:v>1</x:v>
      </x:c>
      <x:c r="N152" s="210" t="n">
        <x:v>647</x:v>
      </x:c>
      <x:c r="O152" s="210" t="n">
        <x:v>110</x:v>
      </x:c>
      <x:c r="P152" s="210" t="n">
        <x:v>30</x:v>
      </x:c>
      <x:c r="Q152" s="211" t="n">
        <x:v>0.002</x:v>
      </x:c>
      <x:c r="R152" s="207" t="str"/>
      <x:c r="S152" s="207" t="str"/>
      <x:c r="T152" s="207" t="str"/>
      <x:c r="U152" s="207" t="n">
        <x:v>0</x:v>
      </x:c>
      <x:c r="V152" s="208" t="n">
        <x:f>MAX(0,M152-U152)</x:f>
        <x:v>1</x:v>
      </x:c>
      <x:c r="W152" s="209" t="n">
        <x:f>IFERROR(U152/M152,0)</x:f>
        <x:v>0</x:v>
      </x:c>
      <x:c r="X152" s="201" t="str">
        <x:f>IF(U152=0,"Não iniciado",IF(U152&gt;=M152,"Concluído","Parcial"))</x:f>
        <x:v>Não iniciado</x:v>
      </x:c>
      <x:c r="Y152" s="199" t="str"/>
      <x:c r="Z152" s="188" t="str">
        <x:v>Normal</x:v>
      </x:c>
    </x:row>
    <x:row r="153" ht="22" customHeight="1">
      <x:c r="A153" s="217" t="n">
        <x:v>149</x:v>
      </x:c>
      <x:c r="B153" s="218" t="str">
        <x:v>26800</x:v>
      </x:c>
      <x:c r="C153" s="218" t="str">
        <x:v>2</x:v>
      </x:c>
      <x:c r="D153" s="218" t="str">
        <x:v>612114</x:v>
      </x:c>
      <x:c r="E153" s="218" t="str">
        <x:v>2010700966</x:v>
      </x:c>
      <x:c r="F153" s="218" t="str">
        <x:v>BATENTE</x:v>
      </x:c>
      <x:c r="G153" s="184" t="str">
        <x:v>M ULTRA PET CA MA 647X110X30 42X10 R2L M</x:v>
      </x:c>
      <x:c r="H153" s="184" t="str">
        <x:v>MDF ULTRA</x:v>
      </x:c>
      <x:c r="I153" s="184" t="str">
        <x:v>C/BORRACHA I APLICADA</x:v>
      </x:c>
      <x:c r="J153" s="184" t="str">
        <x:v>C/REB 42X10</x:v>
      </x:c>
      <x:c r="K153" s="184" t="str">
        <x:v>RECOBERTO PET</x:v>
      </x:c>
      <x:c r="L153" s="184" t="str">
        <x:v>CARVALHO MALVA</x:v>
      </x:c>
      <x:c r="M153" s="205" t="n">
        <x:v>1</x:v>
      </x:c>
      <x:c r="N153" s="205" t="n">
        <x:v>647</x:v>
      </x:c>
      <x:c r="O153" s="205" t="n">
        <x:v>110</x:v>
      </x:c>
      <x:c r="P153" s="205" t="n">
        <x:v>30</x:v>
      </x:c>
      <x:c r="Q153" s="206" t="n">
        <x:v>0.002</x:v>
      </x:c>
      <x:c r="R153" s="207" t="str"/>
      <x:c r="S153" s="207" t="str"/>
      <x:c r="T153" s="207" t="str"/>
      <x:c r="U153" s="207" t="n">
        <x:v>0</x:v>
      </x:c>
      <x:c r="V153" s="208" t="n">
        <x:f>MAX(0,M153-U153)</x:f>
        <x:v>1</x:v>
      </x:c>
      <x:c r="W153" s="209" t="n">
        <x:f>IFERROR(U153/M153,0)</x:f>
        <x:v>0</x:v>
      </x:c>
      <x:c r="X153" s="201" t="str">
        <x:f>IF(U153=0,"Não iniciado",IF(U153&gt;=M153,"Concluído","Parcial"))</x:f>
        <x:v>Não iniciado</x:v>
      </x:c>
      <x:c r="Y153" s="199" t="str"/>
      <x:c r="Z153" s="188" t="str">
        <x:v>Normal</x:v>
      </x:c>
    </x:row>
    <x:row r="154" ht="22" customHeight="1">
      <x:c r="A154" s="219" t="n">
        <x:v>150</x:v>
      </x:c>
      <x:c r="B154" s="220" t="str">
        <x:v>26824</x:v>
      </x:c>
      <x:c r="C154" s="220" t="str">
        <x:v>1</x:v>
      </x:c>
      <x:c r="D154" s="220" t="str">
        <x:v>609584</x:v>
      </x:c>
      <x:c r="E154" s="220" t="str">
        <x:v>2010600021</x:v>
      </x:c>
      <x:c r="F154" s="220" t="str">
        <x:v>OUTROS</x:v>
      </x:c>
      <x:c r="G154" s="190" t="str">
        <x:v>M CJ MDF STD PET TXT BCO 647X110X30 42X1</x:v>
      </x:c>
      <x:c r="H154" s="190" t="str"/>
      <x:c r="I154" s="190" t="str"/>
      <x:c r="J154" s="190" t="str"/>
      <x:c r="K154" s="190" t="str">
        <x:v>ESMALTE</x:v>
      </x:c>
      <x:c r="L154" s="190" t="str">
        <x:v>BRANCO CARRARA</x:v>
      </x:c>
      <x:c r="M154" s="210" t="n">
        <x:v>123</x:v>
      </x:c>
      <x:c r="N154" s="210" t="n">
        <x:v>647</x:v>
      </x:c>
      <x:c r="O154" s="210" t="n">
        <x:v>110</x:v>
      </x:c>
      <x:c r="P154" s="210" t="n">
        <x:v>30</x:v>
      </x:c>
      <x:c r="Q154" s="211" t="n">
        <x:v>0</x:v>
      </x:c>
      <x:c r="R154" s="207" t="str"/>
      <x:c r="S154" s="207" t="str"/>
      <x:c r="T154" s="207" t="str"/>
      <x:c r="U154" s="207" t="n">
        <x:v>0</x:v>
      </x:c>
      <x:c r="V154" s="208" t="n">
        <x:f>MAX(0,M154-U154)</x:f>
        <x:v>123</x:v>
      </x:c>
      <x:c r="W154" s="209" t="n">
        <x:f>IFERROR(U154/M154,0)</x:f>
        <x:v>0</x:v>
      </x:c>
      <x:c r="X154" s="201" t="str">
        <x:f>IF(U154=0,"Não iniciado",IF(U154&gt;=M154,"Concluído","Parcial"))</x:f>
        <x:v>Não iniciado</x:v>
      </x:c>
      <x:c r="Y154" s="199" t="str"/>
      <x:c r="Z154" s="188" t="str">
        <x:v>Normal</x:v>
      </x:c>
    </x:row>
    <x:row r="155" ht="22" customHeight="1">
      <x:c r="A155" s="217" t="n">
        <x:v>151</x:v>
      </x:c>
      <x:c r="B155" s="218" t="str">
        <x:v>26766</x:v>
      </x:c>
      <x:c r="C155" s="218" t="str">
        <x:v>8</x:v>
      </x:c>
      <x:c r="D155" s="218" t="str">
        <x:v>610157</x:v>
      </x:c>
      <x:c r="E155" s="218" t="str">
        <x:v>985771</x:v>
      </x:c>
      <x:c r="F155" s="218" t="str">
        <x:v>OUTROS</x:v>
      </x:c>
      <x:c r="G155" s="184" t="str">
        <x:v>TRA ALI 1100X100X9 RT RL80 PET MOG STD</x:v>
      </x:c>
      <x:c r="H155" s="184" t="str">
        <x:v>REG 2L(MAIOR 80MM)</x:v>
      </x:c>
      <x:c r="I155" s="184" t="str"/>
      <x:c r="J155" s="184" t="str"/>
      <x:c r="K155" s="184" t="str">
        <x:v>RECOBERTO PET TXT</x:v>
      </x:c>
      <x:c r="L155" s="184" t="str">
        <x:v>MOGNO BRASILEIRO</x:v>
      </x:c>
      <x:c r="M155" s="205" t="n">
        <x:v>756</x:v>
      </x:c>
      <x:c r="N155" s="205" t="n">
        <x:v>1100</x:v>
      </x:c>
      <x:c r="O155" s="205" t="n">
        <x:v>100</x:v>
      </x:c>
      <x:c r="P155" s="205" t="n">
        <x:v>9</x:v>
      </x:c>
      <x:c r="Q155" s="206" t="n">
        <x:v>0.748</x:v>
      </x:c>
      <x:c r="R155" s="207" t="str"/>
      <x:c r="S155" s="207" t="str"/>
      <x:c r="T155" s="207" t="str"/>
      <x:c r="U155" s="207" t="n">
        <x:v>0</x:v>
      </x:c>
      <x:c r="V155" s="208" t="n">
        <x:f>MAX(0,M155-U155)</x:f>
        <x:v>756</x:v>
      </x:c>
      <x:c r="W155" s="209" t="n">
        <x:f>IFERROR(U155/M155,0)</x:f>
        <x:v>0</x:v>
      </x:c>
      <x:c r="X155" s="201" t="str">
        <x:f>IF(U155=0,"Não iniciado",IF(U155&gt;=M155,"Concluído","Parcial"))</x:f>
        <x:v>Não iniciado</x:v>
      </x:c>
      <x:c r="Y155" s="199" t="str"/>
      <x:c r="Z155" s="188" t="str">
        <x:v>Normal</x:v>
      </x:c>
    </x:row>
    <x:row r="156" ht="22" customHeight="1">
      <x:c r="A156" s="219" t="n">
        <x:v>152</x:v>
      </x:c>
      <x:c r="B156" s="220" t="str">
        <x:v>26766</x:v>
      </x:c>
      <x:c r="C156" s="220" t="str">
        <x:v>8</x:v>
      </x:c>
      <x:c r="D156" s="220" t="str">
        <x:v>610158</x:v>
      </x:c>
      <x:c r="E156" s="220" t="str">
        <x:v>985778</x:v>
      </x:c>
      <x:c r="F156" s="220" t="str">
        <x:v>OUTROS</x:v>
      </x:c>
      <x:c r="G156" s="190" t="str">
        <x:v>TRA ALI 1100X100X9 RT LME PET MOG STD</x:v>
      </x:c>
      <x:c r="H156" s="190" t="str">
        <x:v>REG 2L(MAIOR 80MM)</x:v>
      </x:c>
      <x:c r="I156" s="190" t="str"/>
      <x:c r="J156" s="190" t="str"/>
      <x:c r="K156" s="190" t="str">
        <x:v>RECOBERTO PET TXT</x:v>
      </x:c>
      <x:c r="L156" s="190" t="str">
        <x:v>MOGNO BRASILEIRO</x:v>
      </x:c>
      <x:c r="M156" s="210" t="n">
        <x:v>756</x:v>
      </x:c>
      <x:c r="N156" s="210" t="n">
        <x:v>1100</x:v>
      </x:c>
      <x:c r="O156" s="210" t="n">
        <x:v>100</x:v>
      </x:c>
      <x:c r="P156" s="210" t="n">
        <x:v>9</x:v>
      </x:c>
      <x:c r="Q156" s="211" t="n">
        <x:v>0.748</x:v>
      </x:c>
      <x:c r="R156" s="207" t="str"/>
      <x:c r="S156" s="207" t="str"/>
      <x:c r="T156" s="207" t="str"/>
      <x:c r="U156" s="207" t="n">
        <x:v>0</x:v>
      </x:c>
      <x:c r="V156" s="208" t="n">
        <x:f>MAX(0,M156-U156)</x:f>
        <x:v>756</x:v>
      </x:c>
      <x:c r="W156" s="209" t="n">
        <x:f>IFERROR(U156/M156,0)</x:f>
        <x:v>0</x:v>
      </x:c>
      <x:c r="X156" s="201" t="str">
        <x:f>IF(U156=0,"Não iniciado",IF(U156&gt;=M156,"Concluído","Parcial"))</x:f>
        <x:v>Não iniciado</x:v>
      </x:c>
      <x:c r="Y156" s="199" t="str"/>
      <x:c r="Z156" s="188" t="str">
        <x:v>Normal</x:v>
      </x:c>
    </x:row>
    <x:row r="157" ht="22" customHeight="1">
      <x:c r="A157" s="217" t="n">
        <x:v>153</x:v>
      </x:c>
      <x:c r="B157" s="218" t="str">
        <x:v>26824</x:v>
      </x:c>
      <x:c r="C157" s="218" t="str">
        <x:v>4</x:v>
      </x:c>
      <x:c r="D157" s="218" t="str">
        <x:v>609607</x:v>
      </x:c>
      <x:c r="E157" s="218" t="str">
        <x:v>2010600026</x:v>
      </x:c>
      <x:c r="F157" s="218" t="str">
        <x:v>BATENTE</x:v>
      </x:c>
      <x:c r="G157" s="184" t="str">
        <x:v>M P MDF STD PET TXT BCO 2110X90X30 42X10</x:v>
      </x:c>
      <x:c r="H157" s="184" t="str"/>
      <x:c r="I157" s="184" t="str"/>
      <x:c r="J157" s="184" t="str"/>
      <x:c r="K157" s="184" t="str">
        <x:v>ESMALTE</x:v>
      </x:c>
      <x:c r="L157" s="184" t="str">
        <x:v>BRANCO</x:v>
      </x:c>
      <x:c r="M157" s="205" t="n">
        <x:v>84</x:v>
      </x:c>
      <x:c r="N157" s="205" t="n">
        <x:v>2110</x:v>
      </x:c>
      <x:c r="O157" s="205" t="n">
        <x:v>90</x:v>
      </x:c>
      <x:c r="P157" s="205" t="n">
        <x:v>30</x:v>
      </x:c>
      <x:c r="Q157" s="206" t="n">
        <x:v>0.479</x:v>
      </x:c>
      <x:c r="R157" s="207" t="str"/>
      <x:c r="S157" s="207" t="str"/>
      <x:c r="T157" s="207" t="str"/>
      <x:c r="U157" s="207" t="n">
        <x:v>0</x:v>
      </x:c>
      <x:c r="V157" s="208" t="n">
        <x:f>MAX(0,M157-U157)</x:f>
        <x:v>84</x:v>
      </x:c>
      <x:c r="W157" s="209" t="n">
        <x:f>IFERROR(U157/M157,0)</x:f>
        <x:v>0</x:v>
      </x:c>
      <x:c r="X157" s="201" t="str">
        <x:f>IF(U157=0,"Não iniciado",IF(U157&gt;=M157,"Concluído","Parcial"))</x:f>
        <x:v>Não iniciado</x:v>
      </x:c>
      <x:c r="Y157" s="199" t="str"/>
      <x:c r="Z157" s="188" t="str">
        <x:v>Normal</x:v>
      </x:c>
    </x:row>
    <x:row r="158" ht="22" customHeight="1">
      <x:c r="A158" s="219" t="n">
        <x:v>154</x:v>
      </x:c>
      <x:c r="B158" s="220" t="str">
        <x:v>26824</x:v>
      </x:c>
      <x:c r="C158" s="220" t="str">
        <x:v>5</x:v>
      </x:c>
      <x:c r="D158" s="220" t="str">
        <x:v>609615</x:v>
      </x:c>
      <x:c r="E158" s="220" t="str">
        <x:v>2010600026</x:v>
      </x:c>
      <x:c r="F158" s="220" t="str">
        <x:v>BATENTE</x:v>
      </x:c>
      <x:c r="G158" s="190" t="str">
        <x:v>M P MDF STD PET TXT BCO 2110X90X30 42X10</x:v>
      </x:c>
      <x:c r="H158" s="190" t="str"/>
      <x:c r="I158" s="190" t="str"/>
      <x:c r="J158" s="190" t="str"/>
      <x:c r="K158" s="190" t="str">
        <x:v>ESMALTE</x:v>
      </x:c>
      <x:c r="L158" s="190" t="str">
        <x:v>BRANCO</x:v>
      </x:c>
      <x:c r="M158" s="210" t="n">
        <x:v>42</x:v>
      </x:c>
      <x:c r="N158" s="210" t="n">
        <x:v>2110</x:v>
      </x:c>
      <x:c r="O158" s="210" t="n">
        <x:v>90</x:v>
      </x:c>
      <x:c r="P158" s="210" t="n">
        <x:v>30</x:v>
      </x:c>
      <x:c r="Q158" s="211" t="n">
        <x:v>0.239</x:v>
      </x:c>
      <x:c r="R158" s="207" t="str"/>
      <x:c r="S158" s="207" t="str"/>
      <x:c r="T158" s="207" t="str"/>
      <x:c r="U158" s="207" t="n">
        <x:v>0</x:v>
      </x:c>
      <x:c r="V158" s="208" t="n">
        <x:f>MAX(0,M158-U158)</x:f>
        <x:v>42</x:v>
      </x:c>
      <x:c r="W158" s="209" t="n">
        <x:f>IFERROR(U158/M158,0)</x:f>
        <x:v>0</x:v>
      </x:c>
      <x:c r="X158" s="201" t="str">
        <x:f>IF(U158=0,"Não iniciado",IF(U158&gt;=M158,"Concluído","Parcial"))</x:f>
        <x:v>Não iniciado</x:v>
      </x:c>
      <x:c r="Y158" s="199" t="str"/>
      <x:c r="Z158" s="188" t="str">
        <x:v>Normal</x:v>
      </x:c>
    </x:row>
    <x:row r="159" ht="22" customHeight="1">
      <x:c r="A159" s="217" t="n">
        <x:v>155</x:v>
      </x:c>
      <x:c r="B159" s="218" t="str">
        <x:v>26824</x:v>
      </x:c>
      <x:c r="C159" s="218" t="str">
        <x:v>6</x:v>
      </x:c>
      <x:c r="D159" s="218" t="str">
        <x:v>609623</x:v>
      </x:c>
      <x:c r="E159" s="218" t="str">
        <x:v>2010600026</x:v>
      </x:c>
      <x:c r="F159" s="218" t="str">
        <x:v>BATENTE</x:v>
      </x:c>
      <x:c r="G159" s="184" t="str">
        <x:v>M P MDF STD PET TXT BCO 2110X90X30 42X10</x:v>
      </x:c>
      <x:c r="H159" s="184" t="str"/>
      <x:c r="I159" s="184" t="str"/>
      <x:c r="J159" s="184" t="str"/>
      <x:c r="K159" s="184" t="str">
        <x:v>ESMALTE</x:v>
      </x:c>
      <x:c r="L159" s="184" t="str">
        <x:v>BRANCO</x:v>
      </x:c>
      <x:c r="M159" s="205" t="n">
        <x:v>4</x:v>
      </x:c>
      <x:c r="N159" s="205" t="n">
        <x:v>2110</x:v>
      </x:c>
      <x:c r="O159" s="205" t="n">
        <x:v>90</x:v>
      </x:c>
      <x:c r="P159" s="205" t="n">
        <x:v>30</x:v>
      </x:c>
      <x:c r="Q159" s="206" t="n">
        <x:v>0.023</x:v>
      </x:c>
      <x:c r="R159" s="207" t="str"/>
      <x:c r="S159" s="207" t="str"/>
      <x:c r="T159" s="207" t="str"/>
      <x:c r="U159" s="207" t="n">
        <x:v>0</x:v>
      </x:c>
      <x:c r="V159" s="208" t="n">
        <x:f>MAX(0,M159-U159)</x:f>
        <x:v>4</x:v>
      </x:c>
      <x:c r="W159" s="209" t="n">
        <x:f>IFERROR(U159/M159,0)</x:f>
        <x:v>0</x:v>
      </x:c>
      <x:c r="X159" s="201" t="str">
        <x:f>IF(U159=0,"Não iniciado",IF(U159&gt;=M159,"Concluído","Parcial"))</x:f>
        <x:v>Não iniciado</x:v>
      </x:c>
      <x:c r="Y159" s="199" t="str"/>
      <x:c r="Z159" s="188" t="str">
        <x:v>Normal</x:v>
      </x:c>
    </x:row>
    <x:row r="160" ht="22" customHeight="1">
      <x:c r="A160" s="219" t="n">
        <x:v>156</x:v>
      </x:c>
      <x:c r="B160" s="220" t="str">
        <x:v>26739</x:v>
      </x:c>
      <x:c r="C160" s="220" t="str">
        <x:v>9</x:v>
      </x:c>
      <x:c r="D160" s="220" t="str">
        <x:v>609647</x:v>
      </x:c>
      <x:c r="E160" s="220" t="str">
        <x:v>918484</x:v>
      </x:c>
      <x:c r="F160" s="220" t="str">
        <x:v>BATENTE</x:v>
      </x:c>
      <x:c r="G160" s="190" t="str">
        <x:v>2110x90x30 42x10 R2 R1 BIA PET BC U(UL)</x:v>
      </x:c>
      <x:c r="H160" s="190" t="str"/>
      <x:c r="I160" s="190" t="str"/>
      <x:c r="J160" s="190" t="str"/>
      <x:c r="K160" s="190" t="str">
        <x:v>ESMALTE</x:v>
      </x:c>
      <x:c r="L160" s="190" t="str">
        <x:v>BRANCO CARRARA</x:v>
      </x:c>
      <x:c r="M160" s="210" t="n">
        <x:v>12</x:v>
      </x:c>
      <x:c r="N160" s="210" t="n">
        <x:v>2110</x:v>
      </x:c>
      <x:c r="O160" s="210" t="n">
        <x:v>90</x:v>
      </x:c>
      <x:c r="P160" s="210" t="n">
        <x:v>30</x:v>
      </x:c>
      <x:c r="Q160" s="211" t="n">
        <x:v>0</x:v>
      </x:c>
      <x:c r="R160" s="207" t="str"/>
      <x:c r="S160" s="207" t="str"/>
      <x:c r="T160" s="207" t="str"/>
      <x:c r="U160" s="207" t="n">
        <x:v>0</x:v>
      </x:c>
      <x:c r="V160" s="208" t="n">
        <x:f>MAX(0,M160-U160)</x:f>
        <x:v>12</x:v>
      </x:c>
      <x:c r="W160" s="209" t="n">
        <x:f>IFERROR(U160/M160,0)</x:f>
        <x:v>0</x:v>
      </x:c>
      <x:c r="X160" s="201" t="str">
        <x:f>IF(U160=0,"Não iniciado",IF(U160&gt;=M160,"Concluído","Parcial"))</x:f>
        <x:v>Não iniciado</x:v>
      </x:c>
      <x:c r="Y160" s="199" t="str"/>
      <x:c r="Z160" s="188" t="str">
        <x:v>Normal</x:v>
      </x:c>
    </x:row>
    <x:row r="161" ht="22" customHeight="1">
      <x:c r="A161" s="217" t="n">
        <x:v>157</x:v>
      </x:c>
      <x:c r="B161" s="218" t="str">
        <x:v>26739</x:v>
      </x:c>
      <x:c r="C161" s="218" t="str">
        <x:v>18</x:v>
      </x:c>
      <x:c r="D161" s="218" t="str">
        <x:v>609707</x:v>
      </x:c>
      <x:c r="E161" s="218" t="str">
        <x:v>2010700591</x:v>
      </x:c>
      <x:c r="F161" s="218" t="str">
        <x:v>BATENTE</x:v>
      </x:c>
      <x:c r="G161" s="184" t="str">
        <x:v>CJ M ULTRA PET BCO CAR 2110X90X30 42X10</x:v>
      </x:c>
      <x:c r="H161" s="184" t="str"/>
      <x:c r="I161" s="184" t="str"/>
      <x:c r="J161" s="184" t="str"/>
      <x:c r="K161" s="184" t="str">
        <x:v>ESMALTE</x:v>
      </x:c>
      <x:c r="L161" s="184" t="str">
        <x:v>BRANCO CARRARA</x:v>
      </x:c>
      <x:c r="M161" s="205" t="n">
        <x:v>10</x:v>
      </x:c>
      <x:c r="N161" s="205" t="n">
        <x:v>2110</x:v>
      </x:c>
      <x:c r="O161" s="205" t="n">
        <x:v>90</x:v>
      </x:c>
      <x:c r="P161" s="205" t="n">
        <x:v>30</x:v>
      </x:c>
      <x:c r="Q161" s="206" t="n">
        <x:v>0.057</x:v>
      </x:c>
      <x:c r="R161" s="207" t="str"/>
      <x:c r="S161" s="207" t="str"/>
      <x:c r="T161" s="207" t="str"/>
      <x:c r="U161" s="207" t="n">
        <x:v>0</x:v>
      </x:c>
      <x:c r="V161" s="208" t="n">
        <x:f>MAX(0,M161-U161)</x:f>
        <x:v>10</x:v>
      </x:c>
      <x:c r="W161" s="209" t="n">
        <x:f>IFERROR(U161/M161,0)</x:f>
        <x:v>0</x:v>
      </x:c>
      <x:c r="X161" s="201" t="str">
        <x:f>IF(U161=0,"Não iniciado",IF(U161&gt;=M161,"Concluído","Parcial"))</x:f>
        <x:v>Não iniciado</x:v>
      </x:c>
      <x:c r="Y161" s="199" t="str"/>
      <x:c r="Z161" s="188" t="str">
        <x:v>Normal</x:v>
      </x:c>
    </x:row>
    <x:row r="162" ht="22" customHeight="1">
      <x:c r="A162" s="219" t="n">
        <x:v>158</x:v>
      </x:c>
      <x:c r="B162" s="220" t="str">
        <x:v>26750</x:v>
      </x:c>
      <x:c r="C162" s="220" t="str">
        <x:v>12</x:v>
      </x:c>
      <x:c r="D162" s="220" t="str">
        <x:v>609820</x:v>
      </x:c>
      <x:c r="E162" s="220" t="str">
        <x:v>918484</x:v>
      </x:c>
      <x:c r="F162" s="220" t="str">
        <x:v>BATENTE</x:v>
      </x:c>
      <x:c r="G162" s="190" t="str">
        <x:v>2110x90x30 42x10 R2 R1 BIA PET BC U(UL)</x:v>
      </x:c>
      <x:c r="H162" s="190" t="str"/>
      <x:c r="I162" s="190" t="str"/>
      <x:c r="J162" s="190" t="str"/>
      <x:c r="K162" s="190" t="str">
        <x:v>ESMALTE</x:v>
      </x:c>
      <x:c r="L162" s="190" t="str">
        <x:v>BRANCO CARRARA</x:v>
      </x:c>
      <x:c r="M162" s="210" t="n">
        <x:v>8</x:v>
      </x:c>
      <x:c r="N162" s="210" t="n">
        <x:v>2110</x:v>
      </x:c>
      <x:c r="O162" s="210" t="n">
        <x:v>90</x:v>
      </x:c>
      <x:c r="P162" s="210" t="n">
        <x:v>30</x:v>
      </x:c>
      <x:c r="Q162" s="211" t="n">
        <x:v>0</x:v>
      </x:c>
      <x:c r="R162" s="207" t="str"/>
      <x:c r="S162" s="207" t="str"/>
      <x:c r="T162" s="207" t="str"/>
      <x:c r="U162" s="207" t="n">
        <x:v>0</x:v>
      </x:c>
      <x:c r="V162" s="208" t="n">
        <x:f>MAX(0,M162-U162)</x:f>
        <x:v>8</x:v>
      </x:c>
      <x:c r="W162" s="209" t="n">
        <x:f>IFERROR(U162/M162,0)</x:f>
        <x:v>0</x:v>
      </x:c>
      <x:c r="X162" s="201" t="str">
        <x:f>IF(U162=0,"Não iniciado",IF(U162&gt;=M162,"Concluído","Parcial"))</x:f>
        <x:v>Não iniciado</x:v>
      </x:c>
      <x:c r="Y162" s="199" t="str"/>
      <x:c r="Z162" s="188" t="str">
        <x:v>Normal</x:v>
      </x:c>
    </x:row>
    <x:row r="163" ht="22" customHeight="1">
      <x:c r="A163" s="217" t="n">
        <x:v>159</x:v>
      </x:c>
      <x:c r="B163" s="218" t="str">
        <x:v>26750</x:v>
      </x:c>
      <x:c r="C163" s="218" t="str">
        <x:v>21</x:v>
      </x:c>
      <x:c r="D163" s="218" t="str">
        <x:v>609880</x:v>
      </x:c>
      <x:c r="E163" s="218" t="str">
        <x:v>2010700591</x:v>
      </x:c>
      <x:c r="F163" s="218" t="str">
        <x:v>BATENTE</x:v>
      </x:c>
      <x:c r="G163" s="184" t="str">
        <x:v>CJ M ULTRA PET BCO CAR 2110X90X30 42X10</x:v>
      </x:c>
      <x:c r="H163" s="184" t="str"/>
      <x:c r="I163" s="184" t="str"/>
      <x:c r="J163" s="184" t="str"/>
      <x:c r="K163" s="184" t="str">
        <x:v>ESMALTE</x:v>
      </x:c>
      <x:c r="L163" s="184" t="str">
        <x:v>BRANCO CARRARA</x:v>
      </x:c>
      <x:c r="M163" s="205" t="n">
        <x:v>10</x:v>
      </x:c>
      <x:c r="N163" s="205" t="n">
        <x:v>2110</x:v>
      </x:c>
      <x:c r="O163" s="205" t="n">
        <x:v>90</x:v>
      </x:c>
      <x:c r="P163" s="205" t="n">
        <x:v>30</x:v>
      </x:c>
      <x:c r="Q163" s="206" t="n">
        <x:v>0.057</x:v>
      </x:c>
      <x:c r="R163" s="207" t="str"/>
      <x:c r="S163" s="207" t="str"/>
      <x:c r="T163" s="207" t="str"/>
      <x:c r="U163" s="207" t="n">
        <x:v>0</x:v>
      </x:c>
      <x:c r="V163" s="208" t="n">
        <x:f>MAX(0,M163-U163)</x:f>
        <x:v>10</x:v>
      </x:c>
      <x:c r="W163" s="209" t="n">
        <x:f>IFERROR(U163/M163,0)</x:f>
        <x:v>0</x:v>
      </x:c>
      <x:c r="X163" s="201" t="str">
        <x:f>IF(U163=0,"Não iniciado",IF(U163&gt;=M163,"Concluído","Parcial"))</x:f>
        <x:v>Não iniciado</x:v>
      </x:c>
      <x:c r="Y163" s="199" t="str"/>
      <x:c r="Z163" s="188" t="str">
        <x:v>Normal</x:v>
      </x:c>
    </x:row>
    <x:row r="164" ht="22" customHeight="1">
      <x:c r="A164" s="219" t="n">
        <x:v>160</x:v>
      </x:c>
      <x:c r="B164" s="220" t="str">
        <x:v>26792</x:v>
      </x:c>
      <x:c r="C164" s="220" t="str">
        <x:v>2</x:v>
      </x:c>
      <x:c r="D164" s="220" t="str">
        <x:v>609425</x:v>
      </x:c>
      <x:c r="E164" s="220" t="str">
        <x:v>2010600197</x:v>
      </x:c>
      <x:c r="F164" s="220" t="str">
        <x:v>BATENTE</x:v>
      </x:c>
      <x:c r="G164" s="190" t="str">
        <x:v>M P MDF STD PET TXT BCO 2110X90X30 42X10</x:v>
      </x:c>
      <x:c r="H164" s="190" t="str"/>
      <x:c r="I164" s="190" t="str"/>
      <x:c r="J164" s="190" t="str"/>
      <x:c r="K164" s="190" t="str">
        <x:v>ESMALTE</x:v>
      </x:c>
      <x:c r="L164" s="190" t="str">
        <x:v>BRANCO CARRARA</x:v>
      </x:c>
      <x:c r="M164" s="210" t="n">
        <x:v>34</x:v>
      </x:c>
      <x:c r="N164" s="210" t="n">
        <x:v>2110</x:v>
      </x:c>
      <x:c r="O164" s="210" t="n">
        <x:v>90</x:v>
      </x:c>
      <x:c r="P164" s="210" t="n">
        <x:v>30</x:v>
      </x:c>
      <x:c r="Q164" s="211" t="n">
        <x:v>0.194</x:v>
      </x:c>
      <x:c r="R164" s="207" t="str"/>
      <x:c r="S164" s="207" t="str"/>
      <x:c r="T164" s="207" t="str"/>
      <x:c r="U164" s="207" t="n">
        <x:v>0</x:v>
      </x:c>
      <x:c r="V164" s="208" t="n">
        <x:f>MAX(0,M164-U164)</x:f>
        <x:v>34</x:v>
      </x:c>
      <x:c r="W164" s="209" t="n">
        <x:f>IFERROR(U164/M164,0)</x:f>
        <x:v>0</x:v>
      </x:c>
      <x:c r="X164" s="201" t="str">
        <x:f>IF(U164=0,"Não iniciado",IF(U164&gt;=M164,"Concluído","Parcial"))</x:f>
        <x:v>Não iniciado</x:v>
      </x:c>
      <x:c r="Y164" s="199" t="str"/>
      <x:c r="Z164" s="188" t="str">
        <x:v>Normal</x:v>
      </x:c>
    </x:row>
    <x:row r="165" ht="22" customHeight="1">
      <x:c r="A165" s="217" t="n">
        <x:v>161</x:v>
      </x:c>
      <x:c r="B165" s="218" t="str">
        <x:v>26792</x:v>
      </x:c>
      <x:c r="C165" s="218" t="str">
        <x:v>3</x:v>
      </x:c>
      <x:c r="D165" s="218" t="str">
        <x:v>609433</x:v>
      </x:c>
      <x:c r="E165" s="218" t="str">
        <x:v>2010600197</x:v>
      </x:c>
      <x:c r="F165" s="218" t="str">
        <x:v>BATENTE</x:v>
      </x:c>
      <x:c r="G165" s="184" t="str">
        <x:v>M P MDF STD PET TXT BCO 2110X90X30 42X10</x:v>
      </x:c>
      <x:c r="H165" s="184" t="str"/>
      <x:c r="I165" s="184" t="str"/>
      <x:c r="J165" s="184" t="str"/>
      <x:c r="K165" s="184" t="str">
        <x:v>ESMALTE</x:v>
      </x:c>
      <x:c r="L165" s="184" t="str">
        <x:v>BRANCO CARRARA</x:v>
      </x:c>
      <x:c r="M165" s="205" t="n">
        <x:v>2</x:v>
      </x:c>
      <x:c r="N165" s="205" t="n">
        <x:v>2110</x:v>
      </x:c>
      <x:c r="O165" s="205" t="n">
        <x:v>90</x:v>
      </x:c>
      <x:c r="P165" s="205" t="n">
        <x:v>30</x:v>
      </x:c>
      <x:c r="Q165" s="206" t="n">
        <x:v>0.011</x:v>
      </x:c>
      <x:c r="R165" s="207" t="str"/>
      <x:c r="S165" s="207" t="str"/>
      <x:c r="T165" s="207" t="str"/>
      <x:c r="U165" s="207" t="n">
        <x:v>0</x:v>
      </x:c>
      <x:c r="V165" s="208" t="n">
        <x:f>MAX(0,M165-U165)</x:f>
        <x:v>2</x:v>
      </x:c>
      <x:c r="W165" s="209" t="n">
        <x:f>IFERROR(U165/M165,0)</x:f>
        <x:v>0</x:v>
      </x:c>
      <x:c r="X165" s="201" t="str">
        <x:f>IF(U165=0,"Não iniciado",IF(U165&gt;=M165,"Concluído","Parcial"))</x:f>
        <x:v>Não iniciado</x:v>
      </x:c>
      <x:c r="Y165" s="199" t="str"/>
      <x:c r="Z165" s="188" t="str">
        <x:v>Normal</x:v>
      </x:c>
    </x:row>
    <x:row r="166" ht="22" customHeight="1">
      <x:c r="A166" s="219" t="n">
        <x:v>162</x:v>
      </x:c>
      <x:c r="B166" s="220" t="str">
        <x:v>26808</x:v>
      </x:c>
      <x:c r="C166" s="220" t="str">
        <x:v>3</x:v>
      </x:c>
      <x:c r="D166" s="220" t="str">
        <x:v>608912</x:v>
      </x:c>
      <x:c r="E166" s="220" t="str">
        <x:v>674638</x:v>
      </x:c>
      <x:c r="F166" s="220" t="str">
        <x:v>BATENTE</x:v>
      </x:c>
      <x:c r="G166" s="190" t="str">
        <x:v>2110x90x30 42X10 R2 BIA PET BC U (MCMV)</x:v>
      </x:c>
      <x:c r="H166" s="190" t="str"/>
      <x:c r="I166" s="190" t="str"/>
      <x:c r="J166" s="190" t="str"/>
      <x:c r="K166" s="190" t="str">
        <x:v>ESMALTE</x:v>
      </x:c>
      <x:c r="L166" s="190" t="str">
        <x:v>BRANCO CARRARA</x:v>
      </x:c>
      <x:c r="M166" s="210" t="n">
        <x:v>120</x:v>
      </x:c>
      <x:c r="N166" s="210" t="n">
        <x:v>2110</x:v>
      </x:c>
      <x:c r="O166" s="210" t="n">
        <x:v>90</x:v>
      </x:c>
      <x:c r="P166" s="210" t="n">
        <x:v>30</x:v>
      </x:c>
      <x:c r="Q166" s="211" t="n">
        <x:v>0.684</x:v>
      </x:c>
      <x:c r="R166" s="207" t="str"/>
      <x:c r="S166" s="207" t="str"/>
      <x:c r="T166" s="207" t="str"/>
      <x:c r="U166" s="207" t="n">
        <x:v>0</x:v>
      </x:c>
      <x:c r="V166" s="208" t="n">
        <x:f>MAX(0,M166-U166)</x:f>
        <x:v>120</x:v>
      </x:c>
      <x:c r="W166" s="209" t="n">
        <x:f>IFERROR(U166/M166,0)</x:f>
        <x:v>0</x:v>
      </x:c>
      <x:c r="X166" s="201" t="str">
        <x:f>IF(U166=0,"Não iniciado",IF(U166&gt;=M166,"Concluído","Parcial"))</x:f>
        <x:v>Não iniciado</x:v>
      </x:c>
      <x:c r="Y166" s="199" t="str"/>
      <x:c r="Z166" s="188" t="str">
        <x:v>Normal</x:v>
      </x:c>
    </x:row>
    <x:row r="167" ht="22" customHeight="1">
      <x:c r="A167" s="217" t="n">
        <x:v>163</x:v>
      </x:c>
      <x:c r="B167" s="218" t="str">
        <x:v>26808</x:v>
      </x:c>
      <x:c r="C167" s="218" t="str">
        <x:v>5</x:v>
      </x:c>
      <x:c r="D167" s="218" t="str">
        <x:v>608928</x:v>
      </x:c>
      <x:c r="E167" s="218" t="str">
        <x:v>674638</x:v>
      </x:c>
      <x:c r="F167" s="218" t="str">
        <x:v>BATENTE</x:v>
      </x:c>
      <x:c r="G167" s="184" t="str">
        <x:v>2110x90x30 42X10 R2 BIA PET BC U (MCMV)</x:v>
      </x:c>
      <x:c r="H167" s="184" t="str"/>
      <x:c r="I167" s="184" t="str"/>
      <x:c r="J167" s="184" t="str"/>
      <x:c r="K167" s="184" t="str">
        <x:v>ESMALTE</x:v>
      </x:c>
      <x:c r="L167" s="184" t="str">
        <x:v>BRANCO CARRARA</x:v>
      </x:c>
      <x:c r="M167" s="205" t="n">
        <x:v>2</x:v>
      </x:c>
      <x:c r="N167" s="205" t="n">
        <x:v>2110</x:v>
      </x:c>
      <x:c r="O167" s="205" t="n">
        <x:v>90</x:v>
      </x:c>
      <x:c r="P167" s="205" t="n">
        <x:v>30</x:v>
      </x:c>
      <x:c r="Q167" s="206" t="n">
        <x:v>0.011</x:v>
      </x:c>
      <x:c r="R167" s="207" t="str"/>
      <x:c r="S167" s="207" t="str"/>
      <x:c r="T167" s="207" t="str"/>
      <x:c r="U167" s="207" t="n">
        <x:v>0</x:v>
      </x:c>
      <x:c r="V167" s="208" t="n">
        <x:f>MAX(0,M167-U167)</x:f>
        <x:v>2</x:v>
      </x:c>
      <x:c r="W167" s="209" t="n">
        <x:f>IFERROR(U167/M167,0)</x:f>
        <x:v>0</x:v>
      </x:c>
      <x:c r="X167" s="201" t="str">
        <x:f>IF(U167=0,"Não iniciado",IF(U167&gt;=M167,"Concluído","Parcial"))</x:f>
        <x:v>Não iniciado</x:v>
      </x:c>
      <x:c r="Y167" s="199" t="str"/>
      <x:c r="Z167" s="188" t="str">
        <x:v>Normal</x:v>
      </x:c>
    </x:row>
    <x:row r="168" ht="22" customHeight="1">
      <x:c r="A168" s="219" t="n">
        <x:v>164</x:v>
      </x:c>
      <x:c r="B168" s="220" t="str">
        <x:v>26808</x:v>
      </x:c>
      <x:c r="C168" s="220" t="str">
        <x:v>8</x:v>
      </x:c>
      <x:c r="D168" s="220" t="str">
        <x:v>608952</x:v>
      </x:c>
      <x:c r="E168" s="220" t="str">
        <x:v>674638</x:v>
      </x:c>
      <x:c r="F168" s="220" t="str">
        <x:v>BATENTE</x:v>
      </x:c>
      <x:c r="G168" s="190" t="str">
        <x:v>2110x90x30 42X10 R2 BIA PET BC U (MCMV)</x:v>
      </x:c>
      <x:c r="H168" s="190" t="str"/>
      <x:c r="I168" s="190" t="str"/>
      <x:c r="J168" s="190" t="str"/>
      <x:c r="K168" s="190" t="str">
        <x:v>ESMALTE</x:v>
      </x:c>
      <x:c r="L168" s="190" t="str">
        <x:v>BRANCO CARRARA</x:v>
      </x:c>
      <x:c r="M168" s="210" t="n">
        <x:v>44</x:v>
      </x:c>
      <x:c r="N168" s="210" t="n">
        <x:v>2110</x:v>
      </x:c>
      <x:c r="O168" s="210" t="n">
        <x:v>90</x:v>
      </x:c>
      <x:c r="P168" s="210" t="n">
        <x:v>30</x:v>
      </x:c>
      <x:c r="Q168" s="211" t="n">
        <x:v>0.251</x:v>
      </x:c>
      <x:c r="R168" s="207" t="str"/>
      <x:c r="S168" s="207" t="str"/>
      <x:c r="T168" s="207" t="str"/>
      <x:c r="U168" s="207" t="n">
        <x:v>0</x:v>
      </x:c>
      <x:c r="V168" s="208" t="n">
        <x:f>MAX(0,M168-U168)</x:f>
        <x:v>44</x:v>
      </x:c>
      <x:c r="W168" s="209" t="n">
        <x:f>IFERROR(U168/M168,0)</x:f>
        <x:v>0</x:v>
      </x:c>
      <x:c r="X168" s="201" t="str">
        <x:f>IF(U168=0,"Não iniciado",IF(U168&gt;=M168,"Concluído","Parcial"))</x:f>
        <x:v>Não iniciado</x:v>
      </x:c>
      <x:c r="Y168" s="199" t="str"/>
      <x:c r="Z168" s="188" t="str">
        <x:v>Normal</x:v>
      </x:c>
    </x:row>
    <x:row r="169" ht="22" customHeight="1">
      <x:c r="A169" s="217" t="n">
        <x:v>165</x:v>
      </x:c>
      <x:c r="B169" s="218" t="str">
        <x:v>26808</x:v>
      </x:c>
      <x:c r="C169" s="218" t="str">
        <x:v>11</x:v>
      </x:c>
      <x:c r="D169" s="218" t="str">
        <x:v>608980</x:v>
      </x:c>
      <x:c r="E169" s="218" t="str">
        <x:v>2010500025</x:v>
      </x:c>
      <x:c r="F169" s="218" t="str">
        <x:v>BATENTE</x:v>
      </x:c>
      <x:c r="G169" s="184" t="str">
        <x:v>M P PINUS PET BCO CAR 2110X90X30 42X10 R</x:v>
      </x:c>
      <x:c r="H169" s="184" t="str"/>
      <x:c r="I169" s="184" t="str"/>
      <x:c r="J169" s="184" t="str"/>
      <x:c r="K169" s="184" t="str">
        <x:v>ESMALTE</x:v>
      </x:c>
      <x:c r="L169" s="184" t="str">
        <x:v>BRANCO CARRARA</x:v>
      </x:c>
      <x:c r="M169" s="205" t="n">
        <x:v>2</x:v>
      </x:c>
      <x:c r="N169" s="205" t="n">
        <x:v>2110</x:v>
      </x:c>
      <x:c r="O169" s="205" t="n">
        <x:v>90</x:v>
      </x:c>
      <x:c r="P169" s="205" t="n">
        <x:v>30</x:v>
      </x:c>
      <x:c r="Q169" s="206" t="n">
        <x:v>0.011</x:v>
      </x:c>
      <x:c r="R169" s="207" t="str"/>
      <x:c r="S169" s="207" t="str"/>
      <x:c r="T169" s="207" t="str"/>
      <x:c r="U169" s="207" t="n">
        <x:v>0</x:v>
      </x:c>
      <x:c r="V169" s="208" t="n">
        <x:f>MAX(0,M169-U169)</x:f>
        <x:v>2</x:v>
      </x:c>
      <x:c r="W169" s="209" t="n">
        <x:f>IFERROR(U169/M169,0)</x:f>
        <x:v>0</x:v>
      </x:c>
      <x:c r="X169" s="201" t="str">
        <x:f>IF(U169=0,"Não iniciado",IF(U169&gt;=M169,"Concluído","Parcial"))</x:f>
        <x:v>Não iniciado</x:v>
      </x:c>
      <x:c r="Y169" s="199" t="str"/>
      <x:c r="Z169" s="188" t="str">
        <x:v>Normal</x:v>
      </x:c>
    </x:row>
    <x:row r="170" ht="22" customHeight="1">
      <x:c r="A170" s="219" t="n">
        <x:v>166</x:v>
      </x:c>
      <x:c r="B170" s="220" t="str">
        <x:v>26815</x:v>
      </x:c>
      <x:c r="C170" s="220" t="str">
        <x:v>2</x:v>
      </x:c>
      <x:c r="D170" s="220" t="str">
        <x:v>609494</x:v>
      </x:c>
      <x:c r="E170" s="220" t="str">
        <x:v>2010600197</x:v>
      </x:c>
      <x:c r="F170" s="220" t="str">
        <x:v>BATENTE</x:v>
      </x:c>
      <x:c r="G170" s="190" t="str">
        <x:v>M P MDF STD PET TXT BCO 2110X90X30 42X10</x:v>
      </x:c>
      <x:c r="H170" s="190" t="str"/>
      <x:c r="I170" s="190" t="str"/>
      <x:c r="J170" s="190" t="str"/>
      <x:c r="K170" s="190" t="str">
        <x:v>ESMALTE</x:v>
      </x:c>
      <x:c r="L170" s="190" t="str">
        <x:v>BRANCO CARRARA</x:v>
      </x:c>
      <x:c r="M170" s="210" t="n">
        <x:v>20</x:v>
      </x:c>
      <x:c r="N170" s="210" t="n">
        <x:v>2110</x:v>
      </x:c>
      <x:c r="O170" s="210" t="n">
        <x:v>90</x:v>
      </x:c>
      <x:c r="P170" s="210" t="n">
        <x:v>30</x:v>
      </x:c>
      <x:c r="Q170" s="211" t="n">
        <x:v>0.114</x:v>
      </x:c>
      <x:c r="R170" s="207" t="str"/>
      <x:c r="S170" s="207" t="str"/>
      <x:c r="T170" s="207" t="str"/>
      <x:c r="U170" s="207" t="n">
        <x:v>0</x:v>
      </x:c>
      <x:c r="V170" s="208" t="n">
        <x:f>MAX(0,M170-U170)</x:f>
        <x:v>20</x:v>
      </x:c>
      <x:c r="W170" s="209" t="n">
        <x:f>IFERROR(U170/M170,0)</x:f>
        <x:v>0</x:v>
      </x:c>
      <x:c r="X170" s="201" t="str">
        <x:f>IF(U170=0,"Não iniciado",IF(U170&gt;=M170,"Concluído","Parcial"))</x:f>
        <x:v>Não iniciado</x:v>
      </x:c>
      <x:c r="Y170" s="199" t="str"/>
      <x:c r="Z170" s="188" t="str">
        <x:v>Normal</x:v>
      </x:c>
    </x:row>
    <x:row r="171" ht="22" customHeight="1">
      <x:c r="A171" s="217" t="n">
        <x:v>167</x:v>
      </x:c>
      <x:c r="B171" s="218" t="str">
        <x:v>26824</x:v>
      </x:c>
      <x:c r="C171" s="218" t="str">
        <x:v>3</x:v>
      </x:c>
      <x:c r="D171" s="218" t="str">
        <x:v>609599</x:v>
      </x:c>
      <x:c r="E171" s="218" t="str">
        <x:v>2010600026</x:v>
      </x:c>
      <x:c r="F171" s="218" t="str">
        <x:v>BATENTE</x:v>
      </x:c>
      <x:c r="G171" s="184" t="str">
        <x:v>M P MDF STD PET TXT BCO 2110X90X30 42X10</x:v>
      </x:c>
      <x:c r="H171" s="184" t="str"/>
      <x:c r="I171" s="184" t="str"/>
      <x:c r="J171" s="184" t="str"/>
      <x:c r="K171" s="184" t="str">
        <x:v>ESMALTE</x:v>
      </x:c>
      <x:c r="L171" s="184" t="str">
        <x:v>BRANCO CARRARA</x:v>
      </x:c>
      <x:c r="M171" s="205" t="n">
        <x:v>10</x:v>
      </x:c>
      <x:c r="N171" s="205" t="n">
        <x:v>2110</x:v>
      </x:c>
      <x:c r="O171" s="205" t="n">
        <x:v>90</x:v>
      </x:c>
      <x:c r="P171" s="205" t="n">
        <x:v>30</x:v>
      </x:c>
      <x:c r="Q171" s="206" t="n">
        <x:v>0.057</x:v>
      </x:c>
      <x:c r="R171" s="207" t="str"/>
      <x:c r="S171" s="207" t="str"/>
      <x:c r="T171" s="207" t="str"/>
      <x:c r="U171" s="207" t="n">
        <x:v>0</x:v>
      </x:c>
      <x:c r="V171" s="208" t="n">
        <x:f>MAX(0,M171-U171)</x:f>
        <x:v>10</x:v>
      </x:c>
      <x:c r="W171" s="209" t="n">
        <x:f>IFERROR(U171/M171,0)</x:f>
        <x:v>0</x:v>
      </x:c>
      <x:c r="X171" s="201" t="str">
        <x:f>IF(U171=0,"Não iniciado",IF(U171&gt;=M171,"Concluído","Parcial"))</x:f>
        <x:v>Não iniciado</x:v>
      </x:c>
      <x:c r="Y171" s="199" t="str"/>
      <x:c r="Z171" s="188" t="str">
        <x:v>Normal</x:v>
      </x:c>
    </x:row>
    <x:row r="172" ht="22" customHeight="1">
      <x:c r="A172" s="219" t="n">
        <x:v>168</x:v>
      </x:c>
      <x:c r="B172" s="220" t="str">
        <x:v>26807</x:v>
      </x:c>
      <x:c r="C172" s="220" t="str">
        <x:v>1</x:v>
      </x:c>
      <x:c r="D172" s="220" t="str">
        <x:v>610043</x:v>
      </x:c>
      <x:c r="E172" s="220" t="str">
        <x:v>2010701233</x:v>
      </x:c>
      <x:c r="F172" s="220" t="str">
        <x:v>BATENTE</x:v>
      </x:c>
      <x:c r="G172" s="190" t="str">
        <x:v>M ULTRA PET CA PE 2110X90X30 42X10 R2L M</x:v>
      </x:c>
      <x:c r="H172" s="190" t="str">
        <x:v>MDF ULTRA</x:v>
      </x:c>
      <x:c r="I172" s="190" t="str">
        <x:v>C/BORRACHA I APLICADA</x:v>
      </x:c>
      <x:c r="J172" s="190" t="str">
        <x:v>C/REB 42X10</x:v>
      </x:c>
      <x:c r="K172" s="190" t="str">
        <x:v>RECOBERTO PET</x:v>
      </x:c>
      <x:c r="L172" s="190" t="str">
        <x:v>CARVALHO PESCARA</x:v>
      </x:c>
      <x:c r="M172" s="210" t="n">
        <x:v>40</x:v>
      </x:c>
      <x:c r="N172" s="210" t="n">
        <x:v>2110</x:v>
      </x:c>
      <x:c r="O172" s="210" t="n">
        <x:v>90</x:v>
      </x:c>
      <x:c r="P172" s="210" t="n">
        <x:v>30</x:v>
      </x:c>
      <x:c r="Q172" s="211" t="n">
        <x:v>0.228</x:v>
      </x:c>
      <x:c r="R172" s="207" t="str"/>
      <x:c r="S172" s="207" t="str"/>
      <x:c r="T172" s="207" t="str"/>
      <x:c r="U172" s="207" t="n">
        <x:v>0</x:v>
      </x:c>
      <x:c r="V172" s="208" t="n">
        <x:f>MAX(0,M172-U172)</x:f>
        <x:v>40</x:v>
      </x:c>
      <x:c r="W172" s="209" t="n">
        <x:f>IFERROR(U172/M172,0)</x:f>
        <x:v>0</x:v>
      </x:c>
      <x:c r="X172" s="201" t="str">
        <x:f>IF(U172=0,"Não iniciado",IF(U172&gt;=M172,"Concluído","Parcial"))</x:f>
        <x:v>Não iniciado</x:v>
      </x:c>
      <x:c r="Y172" s="199" t="str"/>
      <x:c r="Z172" s="188" t="str">
        <x:v>Normal</x:v>
      </x:c>
    </x:row>
    <x:row r="173" ht="22" customHeight="1">
      <x:c r="A173" s="217" t="n">
        <x:v>169</x:v>
      </x:c>
      <x:c r="B173" s="218" t="str">
        <x:v>26807</x:v>
      </x:c>
      <x:c r="C173" s="218" t="str">
        <x:v>1</x:v>
      </x:c>
      <x:c r="D173" s="218" t="str">
        <x:v>610044</x:v>
      </x:c>
      <x:c r="E173" s="218" t="str">
        <x:v>2010701234</x:v>
      </x:c>
      <x:c r="F173" s="218" t="str">
        <x:v>BATENTE</x:v>
      </x:c>
      <x:c r="G173" s="184" t="str">
        <x:v>M ULTRA PET CA PE 1100X90X30 42X10 R2L M</x:v>
      </x:c>
      <x:c r="H173" s="184" t="str">
        <x:v>MDF ULTRA</x:v>
      </x:c>
      <x:c r="I173" s="184" t="str">
        <x:v>C/BORRACHA I APLICADA</x:v>
      </x:c>
      <x:c r="J173" s="184" t="str">
        <x:v>C/REB 42X10</x:v>
      </x:c>
      <x:c r="K173" s="184" t="str">
        <x:v>RECOBERTO PET</x:v>
      </x:c>
      <x:c r="L173" s="184" t="str">
        <x:v>CARVALHO PESCARA</x:v>
      </x:c>
      <x:c r="M173" s="205" t="n">
        <x:v>20</x:v>
      </x:c>
      <x:c r="N173" s="205" t="n">
        <x:v>1100</x:v>
      </x:c>
      <x:c r="O173" s="205" t="n">
        <x:v>90</x:v>
      </x:c>
      <x:c r="P173" s="205" t="n">
        <x:v>30</x:v>
      </x:c>
      <x:c r="Q173" s="206" t="n">
        <x:v>0.059</x:v>
      </x:c>
      <x:c r="R173" s="207" t="str"/>
      <x:c r="S173" s="207" t="str"/>
      <x:c r="T173" s="207" t="str"/>
      <x:c r="U173" s="207" t="n">
        <x:v>0</x:v>
      </x:c>
      <x:c r="V173" s="208" t="n">
        <x:f>MAX(0,M173-U173)</x:f>
        <x:v>20</x:v>
      </x:c>
      <x:c r="W173" s="209" t="n">
        <x:f>IFERROR(U173/M173,0)</x:f>
        <x:v>0</x:v>
      </x:c>
      <x:c r="X173" s="201" t="str">
        <x:f>IF(U173=0,"Não iniciado",IF(U173&gt;=M173,"Concluído","Parcial"))</x:f>
        <x:v>Não iniciado</x:v>
      </x:c>
      <x:c r="Y173" s="199" t="str"/>
      <x:c r="Z173" s="188" t="str">
        <x:v>Normal</x:v>
      </x:c>
    </x:row>
    <x:row r="174" ht="22" customHeight="1">
      <x:c r="A174" s="219" t="n">
        <x:v>170</x:v>
      </x:c>
      <x:c r="B174" s="220" t="str">
        <x:v>26808</x:v>
      </x:c>
      <x:c r="C174" s="220" t="str">
        <x:v>11</x:v>
      </x:c>
      <x:c r="D174" s="220" t="str">
        <x:v>608981</x:v>
      </x:c>
      <x:c r="E174" s="220" t="str">
        <x:v>2010500059</x:v>
      </x:c>
      <x:c r="F174" s="220" t="str">
        <x:v>BATENTE</x:v>
      </x:c>
      <x:c r="G174" s="190" t="str">
        <x:v>M T PINUS PET BCO CAR 1047X90X30 42X10 R</x:v>
      </x:c>
      <x:c r="H174" s="190" t="str"/>
      <x:c r="I174" s="190" t="str"/>
      <x:c r="J174" s="190" t="str"/>
      <x:c r="K174" s="190" t="str">
        <x:v>ESMALTE</x:v>
      </x:c>
      <x:c r="L174" s="190" t="str">
        <x:v>BRANCO CARRARA</x:v>
      </x:c>
      <x:c r="M174" s="210" t="n">
        <x:v>1</x:v>
      </x:c>
      <x:c r="N174" s="210" t="n">
        <x:v>1047</x:v>
      </x:c>
      <x:c r="O174" s="210" t="n">
        <x:v>90</x:v>
      </x:c>
      <x:c r="P174" s="210" t="n">
        <x:v>30</x:v>
      </x:c>
      <x:c r="Q174" s="211" t="n">
        <x:v>0</x:v>
      </x:c>
      <x:c r="R174" s="207" t="str"/>
      <x:c r="S174" s="207" t="str"/>
      <x:c r="T174" s="207" t="str"/>
      <x:c r="U174" s="207" t="n">
        <x:v>0</x:v>
      </x:c>
      <x:c r="V174" s="208" t="n">
        <x:f>MAX(0,M174-U174)</x:f>
        <x:v>1</x:v>
      </x:c>
      <x:c r="W174" s="209" t="n">
        <x:f>IFERROR(U174/M174,0)</x:f>
        <x:v>0</x:v>
      </x:c>
      <x:c r="X174" s="201" t="str">
        <x:f>IF(U174=0,"Não iniciado",IF(U174&gt;=M174,"Concluído","Parcial"))</x:f>
        <x:v>Não iniciado</x:v>
      </x:c>
      <x:c r="Y174" s="199" t="str"/>
      <x:c r="Z174" s="188" t="str">
        <x:v>Normal</x:v>
      </x:c>
    </x:row>
    <x:row r="175" ht="22" customHeight="1">
      <x:c r="A175" s="217" t="n">
        <x:v>171</x:v>
      </x:c>
      <x:c r="B175" s="218" t="str">
        <x:v>26739</x:v>
      </x:c>
      <x:c r="C175" s="218" t="str">
        <x:v>14</x:v>
      </x:c>
      <x:c r="D175" s="218" t="str">
        <x:v>609680</x:v>
      </x:c>
      <x:c r="E175" s="218" t="str">
        <x:v>2010700216</x:v>
      </x:c>
      <x:c r="F175" s="218" t="str">
        <x:v>BATENTE</x:v>
      </x:c>
      <x:c r="G175" s="184" t="str">
        <x:v>M T ULTRA PET BCO CAR 1000X90X30 S/REB R</x:v>
      </x:c>
      <x:c r="H175" s="184" t="str">
        <x:v>MDF ULTRA</x:v>
      </x:c>
      <x:c r="I175" s="184" t="str">
        <x:v>S/CANAL</x:v>
      </x:c>
      <x:c r="J175" s="184" t="str">
        <x:v>S/REB</x:v>
      </x:c>
      <x:c r="K175" s="184" t="str">
        <x:v>RECOBERTO PET</x:v>
      </x:c>
      <x:c r="L175" s="184" t="str">
        <x:v>BRANCO CARRARA</x:v>
      </x:c>
      <x:c r="M175" s="205" t="n">
        <x:v>7</x:v>
      </x:c>
      <x:c r="N175" s="205" t="n">
        <x:v>1000</x:v>
      </x:c>
      <x:c r="O175" s="205" t="n">
        <x:v>90</x:v>
      </x:c>
      <x:c r="P175" s="205" t="n">
        <x:v>30</x:v>
      </x:c>
      <x:c r="Q175" s="206" t="n">
        <x:v>0.019</x:v>
      </x:c>
      <x:c r="R175" s="207" t="str"/>
      <x:c r="S175" s="207" t="str"/>
      <x:c r="T175" s="207" t="str"/>
      <x:c r="U175" s="207" t="n">
        <x:v>0</x:v>
      </x:c>
      <x:c r="V175" s="208" t="n">
        <x:f>MAX(0,M175-U175)</x:f>
        <x:v>7</x:v>
      </x:c>
      <x:c r="W175" s="209" t="n">
        <x:f>IFERROR(U175/M175,0)</x:f>
        <x:v>0</x:v>
      </x:c>
      <x:c r="X175" s="201" t="str">
        <x:f>IF(U175=0,"Não iniciado",IF(U175&gt;=M175,"Concluído","Parcial"))</x:f>
        <x:v>Não iniciado</x:v>
      </x:c>
      <x:c r="Y175" s="199" t="str"/>
      <x:c r="Z175" s="188" t="str">
        <x:v>Normal</x:v>
      </x:c>
    </x:row>
    <x:row r="176" ht="22" customHeight="1">
      <x:c r="A176" s="219" t="n">
        <x:v>172</x:v>
      </x:c>
      <x:c r="B176" s="220" t="str">
        <x:v>26750</x:v>
      </x:c>
      <x:c r="C176" s="220" t="str">
        <x:v>17</x:v>
      </x:c>
      <x:c r="D176" s="220" t="str">
        <x:v>609853</x:v>
      </x:c>
      <x:c r="E176" s="220" t="str">
        <x:v>2010700216</x:v>
      </x:c>
      <x:c r="F176" s="220" t="str">
        <x:v>BATENTE</x:v>
      </x:c>
      <x:c r="G176" s="190" t="str">
        <x:v>M T ULTRA PET BCO CAR 1000X90X30 S/REB R</x:v>
      </x:c>
      <x:c r="H176" s="190" t="str">
        <x:v>MDF ULTRA</x:v>
      </x:c>
      <x:c r="I176" s="190" t="str">
        <x:v>S/CANAL</x:v>
      </x:c>
      <x:c r="J176" s="190" t="str">
        <x:v>S/REB</x:v>
      </x:c>
      <x:c r="K176" s="190" t="str">
        <x:v>RECOBERTO PET</x:v>
      </x:c>
      <x:c r="L176" s="190" t="str">
        <x:v>BRANCO CARRARA</x:v>
      </x:c>
      <x:c r="M176" s="210" t="n">
        <x:v>7</x:v>
      </x:c>
      <x:c r="N176" s="210" t="n">
        <x:v>1000</x:v>
      </x:c>
      <x:c r="O176" s="210" t="n">
        <x:v>90</x:v>
      </x:c>
      <x:c r="P176" s="210" t="n">
        <x:v>30</x:v>
      </x:c>
      <x:c r="Q176" s="211" t="n">
        <x:v>0.019</x:v>
      </x:c>
      <x:c r="R176" s="207" t="str"/>
      <x:c r="S176" s="207" t="str"/>
      <x:c r="T176" s="207" t="str"/>
      <x:c r="U176" s="207" t="n">
        <x:v>0</x:v>
      </x:c>
      <x:c r="V176" s="208" t="n">
        <x:f>MAX(0,M176-U176)</x:f>
        <x:v>7</x:v>
      </x:c>
      <x:c r="W176" s="209" t="n">
        <x:f>IFERROR(U176/M176,0)</x:f>
        <x:v>0</x:v>
      </x:c>
      <x:c r="X176" s="201" t="str">
        <x:f>IF(U176=0,"Não iniciado",IF(U176&gt;=M176,"Concluído","Parcial"))</x:f>
        <x:v>Não iniciado</x:v>
      </x:c>
      <x:c r="Y176" s="199" t="str"/>
      <x:c r="Z176" s="188" t="str">
        <x:v>Normal</x:v>
      </x:c>
    </x:row>
    <x:row r="177" ht="22" customHeight="1">
      <x:c r="A177" s="217" t="n">
        <x:v>173</x:v>
      </x:c>
      <x:c r="B177" s="218" t="str">
        <x:v>26824</x:v>
      </x:c>
      <x:c r="C177" s="218" t="str">
        <x:v>6</x:v>
      </x:c>
      <x:c r="D177" s="218" t="str">
        <x:v>609624</x:v>
      </x:c>
      <x:c r="E177" s="218" t="str">
        <x:v>2010600034</x:v>
      </x:c>
      <x:c r="F177" s="218" t="str">
        <x:v>BATENTE</x:v>
      </x:c>
      <x:c r="G177" s="184" t="str">
        <x:v>M T MDF STD PET TXT BCO 947X90X30 42X10</x:v>
      </x:c>
      <x:c r="H177" s="184" t="str"/>
      <x:c r="I177" s="184" t="str"/>
      <x:c r="J177" s="184" t="str"/>
      <x:c r="K177" s="184" t="str">
        <x:v>ESMALTE</x:v>
      </x:c>
      <x:c r="L177" s="184" t="str">
        <x:v>BRANCO</x:v>
      </x:c>
      <x:c r="M177" s="205" t="n">
        <x:v>2</x:v>
      </x:c>
      <x:c r="N177" s="205" t="n">
        <x:v>947</x:v>
      </x:c>
      <x:c r="O177" s="205" t="n">
        <x:v>90</x:v>
      </x:c>
      <x:c r="P177" s="205" t="n">
        <x:v>30</x:v>
      </x:c>
      <x:c r="Q177" s="206" t="n">
        <x:v>0</x:v>
      </x:c>
      <x:c r="R177" s="207" t="str"/>
      <x:c r="S177" s="207" t="str"/>
      <x:c r="T177" s="207" t="str"/>
      <x:c r="U177" s="207" t="n">
        <x:v>0</x:v>
      </x:c>
      <x:c r="V177" s="208" t="n">
        <x:f>MAX(0,M177-U177)</x:f>
        <x:v>2</x:v>
      </x:c>
      <x:c r="W177" s="209" t="n">
        <x:f>IFERROR(U177/M177,0)</x:f>
        <x:v>0</x:v>
      </x:c>
      <x:c r="X177" s="201" t="str">
        <x:f>IF(U177=0,"Não iniciado",IF(U177&gt;=M177,"Concluído","Parcial"))</x:f>
        <x:v>Não iniciado</x:v>
      </x:c>
      <x:c r="Y177" s="199" t="str"/>
      <x:c r="Z177" s="188" t="str">
        <x:v>Normal</x:v>
      </x:c>
    </x:row>
    <x:row r="178" ht="22" customHeight="1">
      <x:c r="A178" s="219" t="n">
        <x:v>174</x:v>
      </x:c>
      <x:c r="B178" s="220" t="str">
        <x:v>26824</x:v>
      </x:c>
      <x:c r="C178" s="220" t="str">
        <x:v>4</x:v>
      </x:c>
      <x:c r="D178" s="220" t="str">
        <x:v>609608</x:v>
      </x:c>
      <x:c r="E178" s="220" t="str">
        <x:v>2010600199</x:v>
      </x:c>
      <x:c r="F178" s="220" t="str">
        <x:v>BATENTE</x:v>
      </x:c>
      <x:c r="G178" s="190" t="str">
        <x:v>M T MDF STD PET TXT BCO 847X90X30 42X10</x:v>
      </x:c>
      <x:c r="H178" s="190" t="str"/>
      <x:c r="I178" s="190" t="str"/>
      <x:c r="J178" s="190" t="str"/>
      <x:c r="K178" s="190" t="str">
        <x:v>ESMALTE</x:v>
      </x:c>
      <x:c r="L178" s="190" t="str">
        <x:v>BRANCO</x:v>
      </x:c>
      <x:c r="M178" s="210" t="n">
        <x:v>42</x:v>
      </x:c>
      <x:c r="N178" s="210" t="n">
        <x:v>847</x:v>
      </x:c>
      <x:c r="O178" s="210" t="n">
        <x:v>90</x:v>
      </x:c>
      <x:c r="P178" s="210" t="n">
        <x:v>30</x:v>
      </x:c>
      <x:c r="Q178" s="211" t="n">
        <x:v>0.096</x:v>
      </x:c>
      <x:c r="R178" s="207" t="str"/>
      <x:c r="S178" s="207" t="str"/>
      <x:c r="T178" s="207" t="str"/>
      <x:c r="U178" s="207" t="n">
        <x:v>0</x:v>
      </x:c>
      <x:c r="V178" s="208" t="n">
        <x:f>MAX(0,M178-U178)</x:f>
        <x:v>42</x:v>
      </x:c>
      <x:c r="W178" s="209" t="n">
        <x:f>IFERROR(U178/M178,0)</x:f>
        <x:v>0</x:v>
      </x:c>
      <x:c r="X178" s="201" t="str">
        <x:f>IF(U178=0,"Não iniciado",IF(U178&gt;=M178,"Concluído","Parcial"))</x:f>
        <x:v>Não iniciado</x:v>
      </x:c>
      <x:c r="Y178" s="199" t="str"/>
      <x:c r="Z178" s="188" t="str">
        <x:v>Normal</x:v>
      </x:c>
    </x:row>
    <x:row r="179" ht="22" customHeight="1">
      <x:c r="A179" s="217" t="n">
        <x:v>175</x:v>
      </x:c>
      <x:c r="B179" s="218" t="str">
        <x:v>26824</x:v>
      </x:c>
      <x:c r="C179" s="218" t="str">
        <x:v>5</x:v>
      </x:c>
      <x:c r="D179" s="218" t="str">
        <x:v>609616</x:v>
      </x:c>
      <x:c r="E179" s="218" t="str">
        <x:v>2010600199</x:v>
      </x:c>
      <x:c r="F179" s="218" t="str">
        <x:v>BATENTE</x:v>
      </x:c>
      <x:c r="G179" s="184" t="str">
        <x:v>M T MDF STD PET TXT BCO 847X90X30 42X10</x:v>
      </x:c>
      <x:c r="H179" s="184" t="str"/>
      <x:c r="I179" s="184" t="str"/>
      <x:c r="J179" s="184" t="str"/>
      <x:c r="K179" s="184" t="str">
        <x:v>ESMALTE</x:v>
      </x:c>
      <x:c r="L179" s="184" t="str">
        <x:v>BRANCO</x:v>
      </x:c>
      <x:c r="M179" s="205" t="n">
        <x:v>21</x:v>
      </x:c>
      <x:c r="N179" s="205" t="n">
        <x:v>847</x:v>
      </x:c>
      <x:c r="O179" s="205" t="n">
        <x:v>90</x:v>
      </x:c>
      <x:c r="P179" s="205" t="n">
        <x:v>30</x:v>
      </x:c>
      <x:c r="Q179" s="206" t="n">
        <x:v>0.048</x:v>
      </x:c>
      <x:c r="R179" s="207" t="str"/>
      <x:c r="S179" s="207" t="str"/>
      <x:c r="T179" s="207" t="str"/>
      <x:c r="U179" s="207" t="n">
        <x:v>0</x:v>
      </x:c>
      <x:c r="V179" s="208" t="n">
        <x:f>MAX(0,M179-U179)</x:f>
        <x:v>21</x:v>
      </x:c>
      <x:c r="W179" s="209" t="n">
        <x:f>IFERROR(U179/M179,0)</x:f>
        <x:v>0</x:v>
      </x:c>
      <x:c r="X179" s="201" t="str">
        <x:f>IF(U179=0,"Não iniciado",IF(U179&gt;=M179,"Concluído","Parcial"))</x:f>
        <x:v>Não iniciado</x:v>
      </x:c>
      <x:c r="Y179" s="199" t="str"/>
      <x:c r="Z179" s="188" t="str">
        <x:v>Normal</x:v>
      </x:c>
    </x:row>
    <x:row r="180" ht="22" customHeight="1">
      <x:c r="A180" s="219" t="n">
        <x:v>176</x:v>
      </x:c>
      <x:c r="B180" s="220" t="str">
        <x:v>26808</x:v>
      </x:c>
      <x:c r="C180" s="220" t="str">
        <x:v>5</x:v>
      </x:c>
      <x:c r="D180" s="220" t="str">
        <x:v>608929</x:v>
      </x:c>
      <x:c r="E180" s="220" t="str">
        <x:v>675810</x:v>
      </x:c>
      <x:c r="F180" s="220" t="str">
        <x:v>BATENTE</x:v>
      </x:c>
      <x:c r="G180" s="190" t="str">
        <x:v>847x90x30 42x10 R2L BIA PET BCO(PREMIUM)</x:v>
      </x:c>
      <x:c r="H180" s="190" t="str"/>
      <x:c r="I180" s="190" t="str"/>
      <x:c r="J180" s="190" t="str"/>
      <x:c r="K180" s="190" t="str">
        <x:v>ESMALTE</x:v>
      </x:c>
      <x:c r="L180" s="190" t="str">
        <x:v>BRANCO CARRARA</x:v>
      </x:c>
      <x:c r="M180" s="210" t="n">
        <x:v>1</x:v>
      </x:c>
      <x:c r="N180" s="210" t="n">
        <x:v>847</x:v>
      </x:c>
      <x:c r="O180" s="210" t="n">
        <x:v>90</x:v>
      </x:c>
      <x:c r="P180" s="210" t="n">
        <x:v>30</x:v>
      </x:c>
      <x:c r="Q180" s="211" t="n">
        <x:v>0</x:v>
      </x:c>
      <x:c r="R180" s="207" t="str"/>
      <x:c r="S180" s="207" t="str"/>
      <x:c r="T180" s="207" t="str"/>
      <x:c r="U180" s="207" t="n">
        <x:v>0</x:v>
      </x:c>
      <x:c r="V180" s="208" t="n">
        <x:f>MAX(0,M180-U180)</x:f>
        <x:v>1</x:v>
      </x:c>
      <x:c r="W180" s="209" t="n">
        <x:f>IFERROR(U180/M180,0)</x:f>
        <x:v>0</x:v>
      </x:c>
      <x:c r="X180" s="201" t="str">
        <x:f>IF(U180=0,"Não iniciado",IF(U180&gt;=M180,"Concluído","Parcial"))</x:f>
        <x:v>Não iniciado</x:v>
      </x:c>
      <x:c r="Y180" s="199" t="str"/>
      <x:c r="Z180" s="188" t="str">
        <x:v>Normal</x:v>
      </x:c>
    </x:row>
    <x:row r="181" ht="22" customHeight="1">
      <x:c r="A181" s="217" t="n">
        <x:v>177</x:v>
      </x:c>
      <x:c r="B181" s="218" t="str">
        <x:v>26808</x:v>
      </x:c>
      <x:c r="C181" s="218" t="str">
        <x:v>8</x:v>
      </x:c>
      <x:c r="D181" s="218" t="str">
        <x:v>608953</x:v>
      </x:c>
      <x:c r="E181" s="218" t="str">
        <x:v>675810</x:v>
      </x:c>
      <x:c r="F181" s="218" t="str">
        <x:v>BATENTE</x:v>
      </x:c>
      <x:c r="G181" s="184" t="str">
        <x:v>847x90x30 42x10 R2L BIA PET BCO(PREMIUM)</x:v>
      </x:c>
      <x:c r="H181" s="184" t="str"/>
      <x:c r="I181" s="184" t="str"/>
      <x:c r="J181" s="184" t="str"/>
      <x:c r="K181" s="184" t="str">
        <x:v>ESMALTE</x:v>
      </x:c>
      <x:c r="L181" s="184" t="str">
        <x:v>BRANCO CARRARA</x:v>
      </x:c>
      <x:c r="M181" s="205" t="n">
        <x:v>22</x:v>
      </x:c>
      <x:c r="N181" s="205" t="n">
        <x:v>847</x:v>
      </x:c>
      <x:c r="O181" s="205" t="n">
        <x:v>90</x:v>
      </x:c>
      <x:c r="P181" s="205" t="n">
        <x:v>30</x:v>
      </x:c>
      <x:c r="Q181" s="206" t="n">
        <x:v>0</x:v>
      </x:c>
      <x:c r="R181" s="207" t="str"/>
      <x:c r="S181" s="207" t="str"/>
      <x:c r="T181" s="207" t="str"/>
      <x:c r="U181" s="207" t="n">
        <x:v>0</x:v>
      </x:c>
      <x:c r="V181" s="208" t="n">
        <x:f>MAX(0,M181-U181)</x:f>
        <x:v>22</x:v>
      </x:c>
      <x:c r="W181" s="209" t="n">
        <x:f>IFERROR(U181/M181,0)</x:f>
        <x:v>0</x:v>
      </x:c>
      <x:c r="X181" s="201" t="str">
        <x:f>IF(U181=0,"Não iniciado",IF(U181&gt;=M181,"Concluído","Parcial"))</x:f>
        <x:v>Não iniciado</x:v>
      </x:c>
      <x:c r="Y181" s="199" t="str"/>
      <x:c r="Z181" s="188" t="str">
        <x:v>Normal</x:v>
      </x:c>
    </x:row>
    <x:row r="182" ht="22" customHeight="1">
      <x:c r="A182" s="219" t="n">
        <x:v>178</x:v>
      </x:c>
      <x:c r="B182" s="220" t="str">
        <x:v>26824</x:v>
      </x:c>
      <x:c r="C182" s="220" t="str">
        <x:v>3</x:v>
      </x:c>
      <x:c r="D182" s="220" t="str">
        <x:v>609600</x:v>
      </x:c>
      <x:c r="E182" s="220" t="str">
        <x:v>2010600199</x:v>
      </x:c>
      <x:c r="F182" s="220" t="str">
        <x:v>BATENTE</x:v>
      </x:c>
      <x:c r="G182" s="190" t="str">
        <x:v>M T MDF STD PET TXT BCO 847X90X30 42X10</x:v>
      </x:c>
      <x:c r="H182" s="190" t="str"/>
      <x:c r="I182" s="190" t="str"/>
      <x:c r="J182" s="190" t="str"/>
      <x:c r="K182" s="190" t="str">
        <x:v>ESMALTE</x:v>
      </x:c>
      <x:c r="L182" s="190" t="str">
        <x:v>BRANCO CARRARA</x:v>
      </x:c>
      <x:c r="M182" s="210" t="n">
        <x:v>5</x:v>
      </x:c>
      <x:c r="N182" s="210" t="n">
        <x:v>847</x:v>
      </x:c>
      <x:c r="O182" s="210" t="n">
        <x:v>90</x:v>
      </x:c>
      <x:c r="P182" s="210" t="n">
        <x:v>30</x:v>
      </x:c>
      <x:c r="Q182" s="211" t="n">
        <x:v>0.011</x:v>
      </x:c>
      <x:c r="R182" s="207" t="str"/>
      <x:c r="S182" s="207" t="str"/>
      <x:c r="T182" s="207" t="str"/>
      <x:c r="U182" s="207" t="n">
        <x:v>0</x:v>
      </x:c>
      <x:c r="V182" s="208" t="n">
        <x:f>MAX(0,M182-U182)</x:f>
        <x:v>5</x:v>
      </x:c>
      <x:c r="W182" s="209" t="n">
        <x:f>IFERROR(U182/M182,0)</x:f>
        <x:v>0</x:v>
      </x:c>
      <x:c r="X182" s="201" t="str">
        <x:f>IF(U182=0,"Não iniciado",IF(U182&gt;=M182,"Concluído","Parcial"))</x:f>
        <x:v>Não iniciado</x:v>
      </x:c>
      <x:c r="Y182" s="199" t="str"/>
      <x:c r="Z182" s="188" t="str">
        <x:v>Normal</x:v>
      </x:c>
    </x:row>
    <x:row r="183" ht="22" customHeight="1">
      <x:c r="A183" s="217" t="n">
        <x:v>179</x:v>
      </x:c>
      <x:c r="B183" s="218" t="str">
        <x:v>26739</x:v>
      </x:c>
      <x:c r="C183" s="218" t="str">
        <x:v>9</x:v>
      </x:c>
      <x:c r="D183" s="218" t="str">
        <x:v>609651</x:v>
      </x:c>
      <x:c r="E183" s="218" t="str">
        <x:v>968118</x:v>
      </x:c>
      <x:c r="F183" s="218" t="str">
        <x:v>BATENTE</x:v>
      </x:c>
      <x:c r="G183" s="184" t="str">
        <x:v>767x90x30 42x10 R2L R1 BIA PET BRC (UL)</x:v>
      </x:c>
      <x:c r="H183" s="184" t="str"/>
      <x:c r="I183" s="184" t="str"/>
      <x:c r="J183" s="184" t="str"/>
      <x:c r="K183" s="184" t="str">
        <x:v>ESMALTE</x:v>
      </x:c>
      <x:c r="L183" s="184" t="str">
        <x:v>BRANCO CARRARA</x:v>
      </x:c>
      <x:c r="M183" s="205" t="n">
        <x:v>6</x:v>
      </x:c>
      <x:c r="N183" s="205" t="n">
        <x:v>767</x:v>
      </x:c>
      <x:c r="O183" s="205" t="n">
        <x:v>90</x:v>
      </x:c>
      <x:c r="P183" s="205" t="n">
        <x:v>30</x:v>
      </x:c>
      <x:c r="Q183" s="206" t="n">
        <x:v>0.012</x:v>
      </x:c>
      <x:c r="R183" s="207" t="str"/>
      <x:c r="S183" s="207" t="str"/>
      <x:c r="T183" s="207" t="str"/>
      <x:c r="U183" s="207" t="n">
        <x:v>0</x:v>
      </x:c>
      <x:c r="V183" s="208" t="n">
        <x:f>MAX(0,M183-U183)</x:f>
        <x:v>6</x:v>
      </x:c>
      <x:c r="W183" s="209" t="n">
        <x:f>IFERROR(U183/M183,0)</x:f>
        <x:v>0</x:v>
      </x:c>
      <x:c r="X183" s="201" t="str">
        <x:f>IF(U183=0,"Não iniciado",IF(U183&gt;=M183,"Concluído","Parcial"))</x:f>
        <x:v>Não iniciado</x:v>
      </x:c>
      <x:c r="Y183" s="199" t="str"/>
      <x:c r="Z183" s="188" t="str">
        <x:v>Normal</x:v>
      </x:c>
    </x:row>
    <x:row r="184" ht="22" customHeight="1">
      <x:c r="A184" s="219" t="n">
        <x:v>180</x:v>
      </x:c>
      <x:c r="B184" s="220" t="str">
        <x:v>26750</x:v>
      </x:c>
      <x:c r="C184" s="220" t="str">
        <x:v>12</x:v>
      </x:c>
      <x:c r="D184" s="220" t="str">
        <x:v>609824</x:v>
      </x:c>
      <x:c r="E184" s="220" t="str">
        <x:v>968118</x:v>
      </x:c>
      <x:c r="F184" s="220" t="str">
        <x:v>BATENTE</x:v>
      </x:c>
      <x:c r="G184" s="190" t="str">
        <x:v>767x90x30 42x10 R2L R1 BIA PET BRC (UL)</x:v>
      </x:c>
      <x:c r="H184" s="190" t="str"/>
      <x:c r="I184" s="190" t="str"/>
      <x:c r="J184" s="190" t="str"/>
      <x:c r="K184" s="190" t="str">
        <x:v>ESMALTE</x:v>
      </x:c>
      <x:c r="L184" s="190" t="str">
        <x:v>BRANCO CARRARA</x:v>
      </x:c>
      <x:c r="M184" s="210" t="n">
        <x:v>4</x:v>
      </x:c>
      <x:c r="N184" s="210" t="n">
        <x:v>767</x:v>
      </x:c>
      <x:c r="O184" s="210" t="n">
        <x:v>90</x:v>
      </x:c>
      <x:c r="P184" s="210" t="n">
        <x:v>30</x:v>
      </x:c>
      <x:c r="Q184" s="211" t="n">
        <x:v>0.008</x:v>
      </x:c>
      <x:c r="R184" s="207" t="str"/>
      <x:c r="S184" s="207" t="str"/>
      <x:c r="T184" s="207" t="str"/>
      <x:c r="U184" s="207" t="n">
        <x:v>0</x:v>
      </x:c>
      <x:c r="V184" s="208" t="n">
        <x:f>MAX(0,M184-U184)</x:f>
        <x:v>4</x:v>
      </x:c>
      <x:c r="W184" s="209" t="n">
        <x:f>IFERROR(U184/M184,0)</x:f>
        <x:v>0</x:v>
      </x:c>
      <x:c r="X184" s="201" t="str">
        <x:f>IF(U184=0,"Não iniciado",IF(U184&gt;=M184,"Concluído","Parcial"))</x:f>
        <x:v>Não iniciado</x:v>
      </x:c>
      <x:c r="Y184" s="199" t="str"/>
      <x:c r="Z184" s="188" t="str">
        <x:v>Normal</x:v>
      </x:c>
    </x:row>
    <x:row r="185" ht="22" customHeight="1">
      <x:c r="A185" s="217" t="n">
        <x:v>181</x:v>
      </x:c>
      <x:c r="B185" s="218" t="str">
        <x:v>26808</x:v>
      </x:c>
      <x:c r="C185" s="218" t="str">
        <x:v>3</x:v>
      </x:c>
      <x:c r="D185" s="218" t="str">
        <x:v>608913</x:v>
      </x:c>
      <x:c r="E185" s="218" t="str">
        <x:v>674639</x:v>
      </x:c>
      <x:c r="F185" s="218" t="str">
        <x:v>BATENTE</x:v>
      </x:c>
      <x:c r="G185" s="184" t="str">
        <x:v>747x90x30 42x10 R2L BIA RC PET BCO (REC)</x:v>
      </x:c>
      <x:c r="H185" s="184" t="str"/>
      <x:c r="I185" s="184" t="str"/>
      <x:c r="J185" s="184" t="str"/>
      <x:c r="K185" s="184" t="str">
        <x:v>ESMALTE</x:v>
      </x:c>
      <x:c r="L185" s="184" t="str">
        <x:v>BRANCO CARRARA</x:v>
      </x:c>
      <x:c r="M185" s="205" t="n">
        <x:v>60</x:v>
      </x:c>
      <x:c r="N185" s="205" t="n">
        <x:v>747</x:v>
      </x:c>
      <x:c r="O185" s="205" t="n">
        <x:v>90</x:v>
      </x:c>
      <x:c r="P185" s="205" t="n">
        <x:v>30</x:v>
      </x:c>
      <x:c r="Q185" s="206" t="n">
        <x:v>0</x:v>
      </x:c>
      <x:c r="R185" s="207" t="str"/>
      <x:c r="S185" s="207" t="str"/>
      <x:c r="T185" s="207" t="str"/>
      <x:c r="U185" s="207" t="n">
        <x:v>0</x:v>
      </x:c>
      <x:c r="V185" s="208" t="n">
        <x:f>MAX(0,M185-U185)</x:f>
        <x:v>60</x:v>
      </x:c>
      <x:c r="W185" s="209" t="n">
        <x:f>IFERROR(U185/M185,0)</x:f>
        <x:v>0</x:v>
      </x:c>
      <x:c r="X185" s="201" t="str">
        <x:f>IF(U185=0,"Não iniciado",IF(U185&gt;=M185,"Concluído","Parcial"))</x:f>
        <x:v>Não iniciado</x:v>
      </x:c>
      <x:c r="Y185" s="199" t="str"/>
      <x:c r="Z185" s="188" t="str">
        <x:v>Normal</x:v>
      </x:c>
    </x:row>
    <x:row r="186" ht="22" customHeight="1">
      <x:c r="A186" s="219" t="n">
        <x:v>182</x:v>
      </x:c>
      <x:c r="B186" s="220" t="str">
        <x:v>26739</x:v>
      </x:c>
      <x:c r="C186" s="220" t="str">
        <x:v>18</x:v>
      </x:c>
      <x:c r="D186" s="220" t="str">
        <x:v>609708</x:v>
      </x:c>
      <x:c r="E186" s="220" t="str">
        <x:v>2010700704</x:v>
      </x:c>
      <x:c r="F186" s="220" t="str">
        <x:v>BATENTE</x:v>
      </x:c>
      <x:c r="G186" s="190" t="str">
        <x:v>M ULTRA PET BCO CAR 667X90X30 42X10 R2L</x:v>
      </x:c>
      <x:c r="H186" s="190" t="str"/>
      <x:c r="I186" s="190" t="str"/>
      <x:c r="J186" s="190" t="str"/>
      <x:c r="K186" s="190" t="str">
        <x:v>ESMALTE</x:v>
      </x:c>
      <x:c r="L186" s="190" t="str">
        <x:v>BRANCO CARRARA</x:v>
      </x:c>
      <x:c r="M186" s="210" t="n">
        <x:v>5</x:v>
      </x:c>
      <x:c r="N186" s="210" t="n">
        <x:v>667</x:v>
      </x:c>
      <x:c r="O186" s="210" t="n">
        <x:v>90</x:v>
      </x:c>
      <x:c r="P186" s="210" t="n">
        <x:v>30</x:v>
      </x:c>
      <x:c r="Q186" s="211" t="n">
        <x:v>0.009</x:v>
      </x:c>
      <x:c r="R186" s="207" t="str"/>
      <x:c r="S186" s="207" t="str"/>
      <x:c r="T186" s="207" t="str"/>
      <x:c r="U186" s="207" t="n">
        <x:v>0</x:v>
      </x:c>
      <x:c r="V186" s="208" t="n">
        <x:f>MAX(0,M186-U186)</x:f>
        <x:v>5</x:v>
      </x:c>
      <x:c r="W186" s="209" t="n">
        <x:f>IFERROR(U186/M186,0)</x:f>
        <x:v>0</x:v>
      </x:c>
      <x:c r="X186" s="201" t="str">
        <x:f>IF(U186=0,"Não iniciado",IF(U186&gt;=M186,"Concluído","Parcial"))</x:f>
        <x:v>Não iniciado</x:v>
      </x:c>
      <x:c r="Y186" s="199" t="str"/>
      <x:c r="Z186" s="188" t="str">
        <x:v>Normal</x:v>
      </x:c>
    </x:row>
    <x:row r="187" ht="22" customHeight="1">
      <x:c r="A187" s="217" t="n">
        <x:v>183</x:v>
      </x:c>
      <x:c r="B187" s="218" t="str">
        <x:v>26750</x:v>
      </x:c>
      <x:c r="C187" s="218" t="str">
        <x:v>21</x:v>
      </x:c>
      <x:c r="D187" s="218" t="str">
        <x:v>609881</x:v>
      </x:c>
      <x:c r="E187" s="218" t="str">
        <x:v>2010700704</x:v>
      </x:c>
      <x:c r="F187" s="218" t="str">
        <x:v>BATENTE</x:v>
      </x:c>
      <x:c r="G187" s="184" t="str">
        <x:v>M ULTRA PET BCO CAR 667X90X30 42X10 R2L</x:v>
      </x:c>
      <x:c r="H187" s="184" t="str"/>
      <x:c r="I187" s="184" t="str"/>
      <x:c r="J187" s="184" t="str"/>
      <x:c r="K187" s="184" t="str">
        <x:v>ESMALTE</x:v>
      </x:c>
      <x:c r="L187" s="184" t="str">
        <x:v>BRANCO CARRARA</x:v>
      </x:c>
      <x:c r="M187" s="205" t="n">
        <x:v>5</x:v>
      </x:c>
      <x:c r="N187" s="205" t="n">
        <x:v>667</x:v>
      </x:c>
      <x:c r="O187" s="205" t="n">
        <x:v>90</x:v>
      </x:c>
      <x:c r="P187" s="205" t="n">
        <x:v>30</x:v>
      </x:c>
      <x:c r="Q187" s="206" t="n">
        <x:v>0.009</x:v>
      </x:c>
      <x:c r="R187" s="207" t="str"/>
      <x:c r="S187" s="207" t="str"/>
      <x:c r="T187" s="207" t="str"/>
      <x:c r="U187" s="207" t="n">
        <x:v>0</x:v>
      </x:c>
      <x:c r="V187" s="208" t="n">
        <x:f>MAX(0,M187-U187)</x:f>
        <x:v>5</x:v>
      </x:c>
      <x:c r="W187" s="209" t="n">
        <x:f>IFERROR(U187/M187,0)</x:f>
        <x:v>0</x:v>
      </x:c>
      <x:c r="X187" s="201" t="str">
        <x:f>IF(U187=0,"Não iniciado",IF(U187&gt;=M187,"Concluído","Parcial"))</x:f>
        <x:v>Não iniciado</x:v>
      </x:c>
      <x:c r="Y187" s="199" t="str"/>
      <x:c r="Z187" s="188" t="str">
        <x:v>Normal</x:v>
      </x:c>
    </x:row>
    <x:row r="188" ht="22" customHeight="1">
      <x:c r="A188" s="219" t="n">
        <x:v>184</x:v>
      </x:c>
      <x:c r="B188" s="220" t="str">
        <x:v>26792</x:v>
      </x:c>
      <x:c r="C188" s="220" t="str">
        <x:v>2</x:v>
      </x:c>
      <x:c r="D188" s="220" t="str">
        <x:v>609426</x:v>
      </x:c>
      <x:c r="E188" s="220" t="str">
        <x:v>2010600198</x:v>
      </x:c>
      <x:c r="F188" s="220" t="str">
        <x:v>BATENTE</x:v>
      </x:c>
      <x:c r="G188" s="190" t="str">
        <x:v>M T MDF STD PET TXT BCO 647X90X30 42X10</x:v>
      </x:c>
      <x:c r="H188" s="190" t="str"/>
      <x:c r="I188" s="190" t="str"/>
      <x:c r="J188" s="190" t="str"/>
      <x:c r="K188" s="190" t="str">
        <x:v>ESMALTE</x:v>
      </x:c>
      <x:c r="L188" s="190" t="str">
        <x:v>BRANCO CARRARA</x:v>
      </x:c>
      <x:c r="M188" s="210" t="n">
        <x:v>17</x:v>
      </x:c>
      <x:c r="N188" s="210" t="n">
        <x:v>647</x:v>
      </x:c>
      <x:c r="O188" s="210" t="n">
        <x:v>90</x:v>
      </x:c>
      <x:c r="P188" s="210" t="n">
        <x:v>30</x:v>
      </x:c>
      <x:c r="Q188" s="211" t="n">
        <x:v>0.03</x:v>
      </x:c>
      <x:c r="R188" s="207" t="str"/>
      <x:c r="S188" s="207" t="str"/>
      <x:c r="T188" s="207" t="str"/>
      <x:c r="U188" s="207" t="n">
        <x:v>0</x:v>
      </x:c>
      <x:c r="V188" s="208" t="n">
        <x:f>MAX(0,M188-U188)</x:f>
        <x:v>17</x:v>
      </x:c>
      <x:c r="W188" s="209" t="n">
        <x:f>IFERROR(U188/M188,0)</x:f>
        <x:v>0</x:v>
      </x:c>
      <x:c r="X188" s="201" t="str">
        <x:f>IF(U188=0,"Não iniciado",IF(U188&gt;=M188,"Concluído","Parcial"))</x:f>
        <x:v>Não iniciado</x:v>
      </x:c>
      <x:c r="Y188" s="199" t="str"/>
      <x:c r="Z188" s="188" t="str">
        <x:v>Normal</x:v>
      </x:c>
    </x:row>
    <x:row r="189" ht="22" customHeight="1">
      <x:c r="A189" s="217" t="n">
        <x:v>185</x:v>
      </x:c>
      <x:c r="B189" s="218" t="str">
        <x:v>26792</x:v>
      </x:c>
      <x:c r="C189" s="218" t="str">
        <x:v>3</x:v>
      </x:c>
      <x:c r="D189" s="218" t="str">
        <x:v>609434</x:v>
      </x:c>
      <x:c r="E189" s="218" t="str">
        <x:v>2010600198</x:v>
      </x:c>
      <x:c r="F189" s="218" t="str">
        <x:v>BATENTE</x:v>
      </x:c>
      <x:c r="G189" s="184" t="str">
        <x:v>M T MDF STD PET TXT BCO 647X90X30 42X10</x:v>
      </x:c>
      <x:c r="H189" s="184" t="str"/>
      <x:c r="I189" s="184" t="str"/>
      <x:c r="J189" s="184" t="str"/>
      <x:c r="K189" s="184" t="str">
        <x:v>ESMALTE</x:v>
      </x:c>
      <x:c r="L189" s="184" t="str">
        <x:v>BRANCO CARRARA</x:v>
      </x:c>
      <x:c r="M189" s="205" t="n">
        <x:v>1</x:v>
      </x:c>
      <x:c r="N189" s="205" t="n">
        <x:v>647</x:v>
      </x:c>
      <x:c r="O189" s="205" t="n">
        <x:v>90</x:v>
      </x:c>
      <x:c r="P189" s="205" t="n">
        <x:v>30</x:v>
      </x:c>
      <x:c r="Q189" s="206" t="n">
        <x:v>0.002</x:v>
      </x:c>
      <x:c r="R189" s="207" t="str"/>
      <x:c r="S189" s="207" t="str"/>
      <x:c r="T189" s="207" t="str"/>
      <x:c r="U189" s="207" t="n">
        <x:v>0</x:v>
      </x:c>
      <x:c r="V189" s="208" t="n">
        <x:f>MAX(0,M189-U189)</x:f>
        <x:v>1</x:v>
      </x:c>
      <x:c r="W189" s="209" t="n">
        <x:f>IFERROR(U189/M189,0)</x:f>
        <x:v>0</x:v>
      </x:c>
      <x:c r="X189" s="201" t="str">
        <x:f>IF(U189=0,"Não iniciado",IF(U189&gt;=M189,"Concluído","Parcial"))</x:f>
        <x:v>Não iniciado</x:v>
      </x:c>
      <x:c r="Y189" s="199" t="str"/>
      <x:c r="Z189" s="188" t="str">
        <x:v>Normal</x:v>
      </x:c>
    </x:row>
    <x:row r="190" ht="22" customHeight="1">
      <x:c r="A190" s="219" t="n">
        <x:v>186</x:v>
      </x:c>
      <x:c r="B190" s="220" t="str">
        <x:v>26815</x:v>
      </x:c>
      <x:c r="C190" s="220" t="str">
        <x:v>2</x:v>
      </x:c>
      <x:c r="D190" s="220" t="str">
        <x:v>609495</x:v>
      </x:c>
      <x:c r="E190" s="220" t="str">
        <x:v>2010600198</x:v>
      </x:c>
      <x:c r="F190" s="220" t="str">
        <x:v>BATENTE</x:v>
      </x:c>
      <x:c r="G190" s="190" t="str">
        <x:v>M T MDF STD PET TXT BCO 647X90X30 42X10</x:v>
      </x:c>
      <x:c r="H190" s="190" t="str"/>
      <x:c r="I190" s="190" t="str"/>
      <x:c r="J190" s="190" t="str"/>
      <x:c r="K190" s="190" t="str">
        <x:v>ESMALTE</x:v>
      </x:c>
      <x:c r="L190" s="190" t="str">
        <x:v>BRANCO CARRARA</x:v>
      </x:c>
      <x:c r="M190" s="210" t="n">
        <x:v>10</x:v>
      </x:c>
      <x:c r="N190" s="210" t="n">
        <x:v>647</x:v>
      </x:c>
      <x:c r="O190" s="210" t="n">
        <x:v>90</x:v>
      </x:c>
      <x:c r="P190" s="210" t="n">
        <x:v>30</x:v>
      </x:c>
      <x:c r="Q190" s="211" t="n">
        <x:v>0.017</x:v>
      </x:c>
      <x:c r="R190" s="207" t="str"/>
      <x:c r="S190" s="207" t="str"/>
      <x:c r="T190" s="207" t="str"/>
      <x:c r="U190" s="207" t="n">
        <x:v>0</x:v>
      </x:c>
      <x:c r="V190" s="208" t="n">
        <x:f>MAX(0,M190-U190)</x:f>
        <x:v>10</x:v>
      </x:c>
      <x:c r="W190" s="209" t="n">
        <x:f>IFERROR(U190/M190,0)</x:f>
        <x:v>0</x:v>
      </x:c>
      <x:c r="X190" s="201" t="str">
        <x:f>IF(U190=0,"Não iniciado",IF(U190&gt;=M190,"Concluído","Parcial"))</x:f>
        <x:v>Não iniciado</x:v>
      </x:c>
      <x:c r="Y190" s="199" t="str"/>
      <x:c r="Z190" s="188" t="str">
        <x:v>Normal</x:v>
      </x:c>
    </x:row>
    <x:row r="191" ht="22" customHeight="1">
      <x:c r="A191" s="217" t="n">
        <x:v>187</x:v>
      </x:c>
      <x:c r="B191" s="218" t="str">
        <x:v>26792</x:v>
      </x:c>
      <x:c r="C191" s="218" t="str">
        <x:v>4</x:v>
      </x:c>
      <x:c r="D191" s="218" t="str">
        <x:v>609441</x:v>
      </x:c>
      <x:c r="E191" s="218" t="str">
        <x:v>2010600024</x:v>
      </x:c>
      <x:c r="F191" s="218" t="str">
        <x:v>BATENTE</x:v>
      </x:c>
      <x:c r="G191" s="184" t="str">
        <x:v>M P MDF STD PET TXT BCO 2110X80X30 42X10</x:v>
      </x:c>
      <x:c r="H191" s="184" t="str"/>
      <x:c r="I191" s="184" t="str"/>
      <x:c r="J191" s="184" t="str"/>
      <x:c r="K191" s="184" t="str">
        <x:v>ESMALTE</x:v>
      </x:c>
      <x:c r="L191" s="184" t="str">
        <x:v>BRANCO</x:v>
      </x:c>
      <x:c r="M191" s="205" t="n">
        <x:v>288</x:v>
      </x:c>
      <x:c r="N191" s="205" t="n">
        <x:v>2110</x:v>
      </x:c>
      <x:c r="O191" s="205" t="n">
        <x:v>80</x:v>
      </x:c>
      <x:c r="P191" s="205" t="n">
        <x:v>30</x:v>
      </x:c>
      <x:c r="Q191" s="206" t="n">
        <x:v>1.458</x:v>
      </x:c>
      <x:c r="R191" s="207" t="str"/>
      <x:c r="S191" s="207" t="str"/>
      <x:c r="T191" s="207" t="str"/>
      <x:c r="U191" s="207" t="n">
        <x:v>0</x:v>
      </x:c>
      <x:c r="V191" s="208" t="n">
        <x:f>MAX(0,M191-U191)</x:f>
        <x:v>288</x:v>
      </x:c>
      <x:c r="W191" s="209" t="n">
        <x:f>IFERROR(U191/M191,0)</x:f>
        <x:v>0</x:v>
      </x:c>
      <x:c r="X191" s="201" t="str">
        <x:f>IF(U191=0,"Não iniciado",IF(U191&gt;=M191,"Concluído","Parcial"))</x:f>
        <x:v>Não iniciado</x:v>
      </x:c>
      <x:c r="Y191" s="199" t="str"/>
      <x:c r="Z191" s="188" t="str">
        <x:v>Normal</x:v>
      </x:c>
    </x:row>
    <x:row r="192" ht="22" customHeight="1">
      <x:c r="A192" s="219" t="n">
        <x:v>188</x:v>
      </x:c>
      <x:c r="B192" s="220" t="str">
        <x:v>26796</x:v>
      </x:c>
      <x:c r="C192" s="220" t="str">
        <x:v>2</x:v>
      </x:c>
      <x:c r="D192" s="220" t="str">
        <x:v>609296</x:v>
      </x:c>
      <x:c r="E192" s="220" t="str">
        <x:v>2010600024</x:v>
      </x:c>
      <x:c r="F192" s="220" t="str">
        <x:v>BATENTE</x:v>
      </x:c>
      <x:c r="G192" s="190" t="str">
        <x:v>M P MDF STD PET TXT BCO 2110X80X30 42X10</x:v>
      </x:c>
      <x:c r="H192" s="190" t="str"/>
      <x:c r="I192" s="190" t="str"/>
      <x:c r="J192" s="190" t="str"/>
      <x:c r="K192" s="190" t="str">
        <x:v>ESMALTE</x:v>
      </x:c>
      <x:c r="L192" s="190" t="str">
        <x:v>BRANCO</x:v>
      </x:c>
      <x:c r="M192" s="210" t="n">
        <x:v>96</x:v>
      </x:c>
      <x:c r="N192" s="210" t="n">
        <x:v>2110</x:v>
      </x:c>
      <x:c r="O192" s="210" t="n">
        <x:v>80</x:v>
      </x:c>
      <x:c r="P192" s="210" t="n">
        <x:v>30</x:v>
      </x:c>
      <x:c r="Q192" s="211" t="n">
        <x:v>0.486</x:v>
      </x:c>
      <x:c r="R192" s="207" t="str"/>
      <x:c r="S192" s="207" t="str"/>
      <x:c r="T192" s="207" t="str"/>
      <x:c r="U192" s="207" t="n">
        <x:v>0</x:v>
      </x:c>
      <x:c r="V192" s="208" t="n">
        <x:f>MAX(0,M192-U192)</x:f>
        <x:v>96</x:v>
      </x:c>
      <x:c r="W192" s="209" t="n">
        <x:f>IFERROR(U192/M192,0)</x:f>
        <x:v>0</x:v>
      </x:c>
      <x:c r="X192" s="201" t="str">
        <x:f>IF(U192=0,"Não iniciado",IF(U192&gt;=M192,"Concluído","Parcial"))</x:f>
        <x:v>Não iniciado</x:v>
      </x:c>
      <x:c r="Y192" s="199" t="str"/>
      <x:c r="Z192" s="188" t="str">
        <x:v>Normal</x:v>
      </x:c>
    </x:row>
    <x:row r="193" ht="22" customHeight="1">
      <x:c r="A193" s="217" t="n">
        <x:v>189</x:v>
      </x:c>
      <x:c r="B193" s="218" t="str">
        <x:v>26799</x:v>
      </x:c>
      <x:c r="C193" s="218" t="str">
        <x:v>2</x:v>
      </x:c>
      <x:c r="D193" s="218" t="str">
        <x:v>609401</x:v>
      </x:c>
      <x:c r="E193" s="218" t="str">
        <x:v>2010600024</x:v>
      </x:c>
      <x:c r="F193" s="218" t="str">
        <x:v>BATENTE</x:v>
      </x:c>
      <x:c r="G193" s="184" t="str">
        <x:v>M P MDF STD PET TXT BCO 2110X80X30 42X10</x:v>
      </x:c>
      <x:c r="H193" s="184" t="str"/>
      <x:c r="I193" s="184" t="str"/>
      <x:c r="J193" s="184" t="str"/>
      <x:c r="K193" s="184" t="str">
        <x:v>ESMALTE</x:v>
      </x:c>
      <x:c r="L193" s="184" t="str">
        <x:v>BRANCO</x:v>
      </x:c>
      <x:c r="M193" s="205" t="n">
        <x:v>32</x:v>
      </x:c>
      <x:c r="N193" s="205" t="n">
        <x:v>2110</x:v>
      </x:c>
      <x:c r="O193" s="205" t="n">
        <x:v>80</x:v>
      </x:c>
      <x:c r="P193" s="205" t="n">
        <x:v>30</x:v>
      </x:c>
      <x:c r="Q193" s="206" t="n">
        <x:v>0.162</x:v>
      </x:c>
      <x:c r="R193" s="207" t="str"/>
      <x:c r="S193" s="207" t="str"/>
      <x:c r="T193" s="207" t="str"/>
      <x:c r="U193" s="207" t="n">
        <x:v>0</x:v>
      </x:c>
      <x:c r="V193" s="208" t="n">
        <x:f>MAX(0,M193-U193)</x:f>
        <x:v>32</x:v>
      </x:c>
      <x:c r="W193" s="209" t="n">
        <x:f>IFERROR(U193/M193,0)</x:f>
        <x:v>0</x:v>
      </x:c>
      <x:c r="X193" s="201" t="str">
        <x:f>IF(U193=0,"Não iniciado",IF(U193&gt;=M193,"Concluído","Parcial"))</x:f>
        <x:v>Não iniciado</x:v>
      </x:c>
      <x:c r="Y193" s="199" t="str"/>
      <x:c r="Z193" s="188" t="str">
        <x:v>Normal</x:v>
      </x:c>
    </x:row>
    <x:row r="194" ht="22" customHeight="1">
      <x:c r="A194" s="219" t="n">
        <x:v>190</x:v>
      </x:c>
      <x:c r="B194" s="220" t="str">
        <x:v>26815</x:v>
      </x:c>
      <x:c r="C194" s="220" t="str">
        <x:v>3</x:v>
      </x:c>
      <x:c r="D194" s="220" t="str">
        <x:v>609502</x:v>
      </x:c>
      <x:c r="E194" s="220" t="str">
        <x:v>2010600024</x:v>
      </x:c>
      <x:c r="F194" s="220" t="str">
        <x:v>BATENTE</x:v>
      </x:c>
      <x:c r="G194" s="190" t="str">
        <x:v>M P MDF STD PET TXT BCO 2110X80X30 42X10</x:v>
      </x:c>
      <x:c r="H194" s="190" t="str"/>
      <x:c r="I194" s="190" t="str"/>
      <x:c r="J194" s="190" t="str"/>
      <x:c r="K194" s="190" t="str">
        <x:v>ESMALTE</x:v>
      </x:c>
      <x:c r="L194" s="190" t="str">
        <x:v>BRANCO</x:v>
      </x:c>
      <x:c r="M194" s="210" t="n">
        <x:v>184</x:v>
      </x:c>
      <x:c r="N194" s="210" t="n">
        <x:v>2110</x:v>
      </x:c>
      <x:c r="O194" s="210" t="n">
        <x:v>80</x:v>
      </x:c>
      <x:c r="P194" s="210" t="n">
        <x:v>30</x:v>
      </x:c>
      <x:c r="Q194" s="211" t="n">
        <x:v>0.932</x:v>
      </x:c>
      <x:c r="R194" s="207" t="str"/>
      <x:c r="S194" s="207" t="str"/>
      <x:c r="T194" s="207" t="str"/>
      <x:c r="U194" s="207" t="n">
        <x:v>0</x:v>
      </x:c>
      <x:c r="V194" s="208" t="n">
        <x:f>MAX(0,M194-U194)</x:f>
        <x:v>184</x:v>
      </x:c>
      <x:c r="W194" s="209" t="n">
        <x:f>IFERROR(U194/M194,0)</x:f>
        <x:v>0</x:v>
      </x:c>
      <x:c r="X194" s="201" t="str">
        <x:f>IF(U194=0,"Não iniciado",IF(U194&gt;=M194,"Concluído","Parcial"))</x:f>
        <x:v>Não iniciado</x:v>
      </x:c>
      <x:c r="Y194" s="199" t="str"/>
      <x:c r="Z194" s="188" t="str">
        <x:v>Normal</x:v>
      </x:c>
    </x:row>
    <x:row r="195" ht="22" customHeight="1">
      <x:c r="A195" s="217" t="n">
        <x:v>191</x:v>
      </x:c>
      <x:c r="B195" s="218" t="str">
        <x:v>26739</x:v>
      </x:c>
      <x:c r="C195" s="218" t="str">
        <x:v>8</x:v>
      </x:c>
      <x:c r="D195" s="218" t="str">
        <x:v>609643</x:v>
      </x:c>
      <x:c r="E195" s="218" t="str">
        <x:v>2010701021</x:v>
      </x:c>
      <x:c r="F195" s="218" t="str">
        <x:v>BATENTE</x:v>
      </x:c>
      <x:c r="G195" s="184" t="str">
        <x:v>M ULTRA PET BCO CAR 2110X80X30 42X10 R2L</x:v>
      </x:c>
      <x:c r="H195" s="184" t="str"/>
      <x:c r="I195" s="184" t="str"/>
      <x:c r="J195" s="184" t="str"/>
      <x:c r="K195" s="184" t="str">
        <x:v>ESMALTE</x:v>
      </x:c>
      <x:c r="L195" s="184" t="str">
        <x:v>BRANCO CARRARA</x:v>
      </x:c>
      <x:c r="M195" s="205" t="n">
        <x:v>36</x:v>
      </x:c>
      <x:c r="N195" s="205" t="n">
        <x:v>2110</x:v>
      </x:c>
      <x:c r="O195" s="205" t="n">
        <x:v>80</x:v>
      </x:c>
      <x:c r="P195" s="205" t="n">
        <x:v>30</x:v>
      </x:c>
      <x:c r="Q195" s="206" t="n">
        <x:v>36</x:v>
      </x:c>
      <x:c r="R195" s="207" t="str"/>
      <x:c r="S195" s="207" t="str"/>
      <x:c r="T195" s="207" t="str"/>
      <x:c r="U195" s="207" t="n">
        <x:v>0</x:v>
      </x:c>
      <x:c r="V195" s="208" t="n">
        <x:f>MAX(0,M195-U195)</x:f>
        <x:v>36</x:v>
      </x:c>
      <x:c r="W195" s="209" t="n">
        <x:f>IFERROR(U195/M195,0)</x:f>
        <x:v>0</x:v>
      </x:c>
      <x:c r="X195" s="201" t="str">
        <x:f>IF(U195=0,"Não iniciado",IF(U195&gt;=M195,"Concluído","Parcial"))</x:f>
        <x:v>Não iniciado</x:v>
      </x:c>
      <x:c r="Y195" s="199" t="str"/>
      <x:c r="Z195" s="188" t="str">
        <x:v>Normal</x:v>
      </x:c>
    </x:row>
    <x:row r="196" ht="22" customHeight="1">
      <x:c r="A196" s="219" t="n">
        <x:v>192</x:v>
      </x:c>
      <x:c r="B196" s="220" t="str">
        <x:v>26739</x:v>
      </x:c>
      <x:c r="C196" s="220" t="str">
        <x:v>17</x:v>
      </x:c>
      <x:c r="D196" s="220" t="str">
        <x:v>609699</x:v>
      </x:c>
      <x:c r="E196" s="220" t="str">
        <x:v>2010701021</x:v>
      </x:c>
      <x:c r="F196" s="220" t="str">
        <x:v>BATENTE</x:v>
      </x:c>
      <x:c r="G196" s="190" t="str">
        <x:v>M ULTRA PET BCO CAR 2110X80X30 42X10 R2L</x:v>
      </x:c>
      <x:c r="H196" s="190" t="str"/>
      <x:c r="I196" s="190" t="str"/>
      <x:c r="J196" s="190" t="str"/>
      <x:c r="K196" s="190" t="str">
        <x:v>ESMALTE</x:v>
      </x:c>
      <x:c r="L196" s="190" t="str">
        <x:v>BRANCO CARRARA</x:v>
      </x:c>
      <x:c r="M196" s="210" t="n">
        <x:v>18</x:v>
      </x:c>
      <x:c r="N196" s="210" t="n">
        <x:v>2110</x:v>
      </x:c>
      <x:c r="O196" s="210" t="n">
        <x:v>80</x:v>
      </x:c>
      <x:c r="P196" s="210" t="n">
        <x:v>30</x:v>
      </x:c>
      <x:c r="Q196" s="211" t="n">
        <x:v>18</x:v>
      </x:c>
      <x:c r="R196" s="207" t="str"/>
      <x:c r="S196" s="207" t="str"/>
      <x:c r="T196" s="207" t="str"/>
      <x:c r="U196" s="207" t="n">
        <x:v>0</x:v>
      </x:c>
      <x:c r="V196" s="208" t="n">
        <x:f>MAX(0,M196-U196)</x:f>
        <x:v>18</x:v>
      </x:c>
      <x:c r="W196" s="209" t="n">
        <x:f>IFERROR(U196/M196,0)</x:f>
        <x:v>0</x:v>
      </x:c>
      <x:c r="X196" s="201" t="str">
        <x:f>IF(U196=0,"Não iniciado",IF(U196&gt;=M196,"Concluído","Parcial"))</x:f>
        <x:v>Não iniciado</x:v>
      </x:c>
      <x:c r="Y196" s="199" t="str"/>
      <x:c r="Z196" s="188" t="str">
        <x:v>Normal</x:v>
      </x:c>
    </x:row>
    <x:row r="197" ht="22" customHeight="1">
      <x:c r="A197" s="217" t="n">
        <x:v>193</x:v>
      </x:c>
      <x:c r="B197" s="218" t="str">
        <x:v>26739</x:v>
      </x:c>
      <x:c r="C197" s="218" t="str">
        <x:v>23</x:v>
      </x:c>
      <x:c r="D197" s="218" t="str">
        <x:v>609749</x:v>
      </x:c>
      <x:c r="E197" s="218" t="str">
        <x:v>2010701021</x:v>
      </x:c>
      <x:c r="F197" s="218" t="str">
        <x:v>BATENTE</x:v>
      </x:c>
      <x:c r="G197" s="184" t="str">
        <x:v>M ULTRA PET BCO CAR 2110X80X30 42X10 R2L</x:v>
      </x:c>
      <x:c r="H197" s="184" t="str"/>
      <x:c r="I197" s="184" t="str"/>
      <x:c r="J197" s="184" t="str"/>
      <x:c r="K197" s="184" t="str">
        <x:v>ESMALTE</x:v>
      </x:c>
      <x:c r="L197" s="184" t="str">
        <x:v>BRANCO CARRARA</x:v>
      </x:c>
      <x:c r="M197" s="205" t="n">
        <x:v>2</x:v>
      </x:c>
      <x:c r="N197" s="205" t="n">
        <x:v>2110</x:v>
      </x:c>
      <x:c r="O197" s="205" t="n">
        <x:v>80</x:v>
      </x:c>
      <x:c r="P197" s="205" t="n">
        <x:v>30</x:v>
      </x:c>
      <x:c r="Q197" s="206" t="n">
        <x:v>2</x:v>
      </x:c>
      <x:c r="R197" s="207" t="str"/>
      <x:c r="S197" s="207" t="str"/>
      <x:c r="T197" s="207" t="str"/>
      <x:c r="U197" s="207" t="n">
        <x:v>0</x:v>
      </x:c>
      <x:c r="V197" s="208" t="n">
        <x:f>MAX(0,M197-U197)</x:f>
        <x:v>2</x:v>
      </x:c>
      <x:c r="W197" s="209" t="n">
        <x:f>IFERROR(U197/M197,0)</x:f>
        <x:v>0</x:v>
      </x:c>
      <x:c r="X197" s="201" t="str">
        <x:f>IF(U197=0,"Não iniciado",IF(U197&gt;=M197,"Concluído","Parcial"))</x:f>
        <x:v>Não iniciado</x:v>
      </x:c>
      <x:c r="Y197" s="199" t="str"/>
      <x:c r="Z197" s="188" t="str">
        <x:v>Normal</x:v>
      </x:c>
    </x:row>
    <x:row r="198" ht="22" customHeight="1">
      <x:c r="A198" s="219" t="n">
        <x:v>194</x:v>
      </x:c>
      <x:c r="B198" s="220" t="str">
        <x:v>26750</x:v>
      </x:c>
      <x:c r="C198" s="220" t="str">
        <x:v>11</x:v>
      </x:c>
      <x:c r="D198" s="220" t="str">
        <x:v>609816</x:v>
      </x:c>
      <x:c r="E198" s="220" t="str">
        <x:v>2010701021</x:v>
      </x:c>
      <x:c r="F198" s="220" t="str">
        <x:v>BATENTE</x:v>
      </x:c>
      <x:c r="G198" s="190" t="str">
        <x:v>M ULTRA PET BCO CAR 2110X80X30 42X10 R2L</x:v>
      </x:c>
      <x:c r="H198" s="190" t="str"/>
      <x:c r="I198" s="190" t="str"/>
      <x:c r="J198" s="190" t="str"/>
      <x:c r="K198" s="190" t="str">
        <x:v>ESMALTE</x:v>
      </x:c>
      <x:c r="L198" s="190" t="str">
        <x:v>BRANCO CARRARA</x:v>
      </x:c>
      <x:c r="M198" s="210" t="n">
        <x:v>24</x:v>
      </x:c>
      <x:c r="N198" s="210" t="n">
        <x:v>2110</x:v>
      </x:c>
      <x:c r="O198" s="210" t="n">
        <x:v>80</x:v>
      </x:c>
      <x:c r="P198" s="210" t="n">
        <x:v>30</x:v>
      </x:c>
      <x:c r="Q198" s="211" t="n">
        <x:v>0.122</x:v>
      </x:c>
      <x:c r="R198" s="207" t="str"/>
      <x:c r="S198" s="207" t="str"/>
      <x:c r="T198" s="207" t="str"/>
      <x:c r="U198" s="207" t="n">
        <x:v>0</x:v>
      </x:c>
      <x:c r="V198" s="208" t="n">
        <x:f>MAX(0,M198-U198)</x:f>
        <x:v>24</x:v>
      </x:c>
      <x:c r="W198" s="209" t="n">
        <x:f>IFERROR(U198/M198,0)</x:f>
        <x:v>0</x:v>
      </x:c>
      <x:c r="X198" s="201" t="str">
        <x:f>IF(U198=0,"Não iniciado",IF(U198&gt;=M198,"Concluído","Parcial"))</x:f>
        <x:v>Não iniciado</x:v>
      </x:c>
      <x:c r="Y198" s="199" t="str"/>
      <x:c r="Z198" s="188" t="str">
        <x:v>Normal</x:v>
      </x:c>
    </x:row>
    <x:row r="199" ht="22" customHeight="1">
      <x:c r="A199" s="217" t="n">
        <x:v>195</x:v>
      </x:c>
      <x:c r="B199" s="218" t="str">
        <x:v>26750</x:v>
      </x:c>
      <x:c r="C199" s="218" t="str">
        <x:v>20</x:v>
      </x:c>
      <x:c r="D199" s="218" t="str">
        <x:v>609872</x:v>
      </x:c>
      <x:c r="E199" s="218" t="str">
        <x:v>2010701021</x:v>
      </x:c>
      <x:c r="F199" s="218" t="str">
        <x:v>BATENTE</x:v>
      </x:c>
      <x:c r="G199" s="184" t="str">
        <x:v>M ULTRA PET BCO CAR 2110X80X30 42X10 R2L</x:v>
      </x:c>
      <x:c r="H199" s="184" t="str"/>
      <x:c r="I199" s="184" t="str"/>
      <x:c r="J199" s="184" t="str"/>
      <x:c r="K199" s="184" t="str">
        <x:v>ESMALTE</x:v>
      </x:c>
      <x:c r="L199" s="184" t="str">
        <x:v>BRANCO CARRARA</x:v>
      </x:c>
      <x:c r="M199" s="205" t="n">
        <x:v>18</x:v>
      </x:c>
      <x:c r="N199" s="205" t="n">
        <x:v>2110</x:v>
      </x:c>
      <x:c r="O199" s="205" t="n">
        <x:v>80</x:v>
      </x:c>
      <x:c r="P199" s="205" t="n">
        <x:v>30</x:v>
      </x:c>
      <x:c r="Q199" s="206" t="n">
        <x:v>0.091</x:v>
      </x:c>
      <x:c r="R199" s="207" t="str"/>
      <x:c r="S199" s="207" t="str"/>
      <x:c r="T199" s="207" t="str"/>
      <x:c r="U199" s="207" t="n">
        <x:v>0</x:v>
      </x:c>
      <x:c r="V199" s="208" t="n">
        <x:f>MAX(0,M199-U199)</x:f>
        <x:v>18</x:v>
      </x:c>
      <x:c r="W199" s="209" t="n">
        <x:f>IFERROR(U199/M199,0)</x:f>
        <x:v>0</x:v>
      </x:c>
      <x:c r="X199" s="201" t="str">
        <x:f>IF(U199=0,"Não iniciado",IF(U199&gt;=M199,"Concluído","Parcial"))</x:f>
        <x:v>Não iniciado</x:v>
      </x:c>
      <x:c r="Y199" s="199" t="str"/>
      <x:c r="Z199" s="188" t="str">
        <x:v>Normal</x:v>
      </x:c>
    </x:row>
    <x:row r="200" ht="22" customHeight="1">
      <x:c r="A200" s="219" t="n">
        <x:v>196</x:v>
      </x:c>
      <x:c r="B200" s="220" t="str">
        <x:v>26792</x:v>
      </x:c>
      <x:c r="C200" s="220" t="str">
        <x:v>1</x:v>
      </x:c>
      <x:c r="D200" s="220" t="str">
        <x:v>609417</x:v>
      </x:c>
      <x:c r="E200" s="220" t="str">
        <x:v>2010600024</x:v>
      </x:c>
      <x:c r="F200" s="220" t="str">
        <x:v>BATENTE</x:v>
      </x:c>
      <x:c r="G200" s="190" t="str">
        <x:v>M P MDF STD PET TXT BCO 2110X80X30 42X10</x:v>
      </x:c>
      <x:c r="H200" s="190" t="str"/>
      <x:c r="I200" s="190" t="str"/>
      <x:c r="J200" s="190" t="str"/>
      <x:c r="K200" s="190" t="str">
        <x:v>ESMALTE</x:v>
      </x:c>
      <x:c r="L200" s="190" t="str">
        <x:v>BRANCO CARRARA</x:v>
      </x:c>
      <x:c r="M200" s="210" t="n">
        <x:v>274</x:v>
      </x:c>
      <x:c r="N200" s="210" t="n">
        <x:v>2110</x:v>
      </x:c>
      <x:c r="O200" s="210" t="n">
        <x:v>80</x:v>
      </x:c>
      <x:c r="P200" s="210" t="n">
        <x:v>30</x:v>
      </x:c>
      <x:c r="Q200" s="211" t="n">
        <x:v>1.388</x:v>
      </x:c>
      <x:c r="R200" s="207" t="str"/>
      <x:c r="S200" s="207" t="str"/>
      <x:c r="T200" s="207" t="str"/>
      <x:c r="U200" s="207" t="n">
        <x:v>0</x:v>
      </x:c>
      <x:c r="V200" s="208" t="n">
        <x:f>MAX(0,M200-U200)</x:f>
        <x:v>274</x:v>
      </x:c>
      <x:c r="W200" s="209" t="n">
        <x:f>IFERROR(U200/M200,0)</x:f>
        <x:v>0</x:v>
      </x:c>
      <x:c r="X200" s="201" t="str">
        <x:f>IF(U200=0,"Não iniciado",IF(U200&gt;=M200,"Concluído","Parcial"))</x:f>
        <x:v>Não iniciado</x:v>
      </x:c>
      <x:c r="Y200" s="199" t="str"/>
      <x:c r="Z200" s="188" t="str">
        <x:v>Normal</x:v>
      </x:c>
    </x:row>
    <x:row r="201" ht="22" customHeight="1">
      <x:c r="A201" s="217" t="n">
        <x:v>197</x:v>
      </x:c>
      <x:c r="B201" s="218" t="str">
        <x:v>26796</x:v>
      </x:c>
      <x:c r="C201" s="218" t="str">
        <x:v>1</x:v>
      </x:c>
      <x:c r="D201" s="218" t="str">
        <x:v>609288</x:v>
      </x:c>
      <x:c r="E201" s="218" t="str">
        <x:v>2010600024</x:v>
      </x:c>
      <x:c r="F201" s="218" t="str">
        <x:v>BATENTE</x:v>
      </x:c>
      <x:c r="G201" s="184" t="str">
        <x:v>M P MDF STD PET TXT BCO 2110X80X30 42X10</x:v>
      </x:c>
      <x:c r="H201" s="184" t="str"/>
      <x:c r="I201" s="184" t="str"/>
      <x:c r="J201" s="184" t="str"/>
      <x:c r="K201" s="184" t="str">
        <x:v>ESMALTE</x:v>
      </x:c>
      <x:c r="L201" s="184" t="str">
        <x:v>BRANCO CARRARA</x:v>
      </x:c>
      <x:c r="M201" s="205" t="n">
        <x:v>432</x:v>
      </x:c>
      <x:c r="N201" s="205" t="n">
        <x:v>2110</x:v>
      </x:c>
      <x:c r="O201" s="205" t="n">
        <x:v>80</x:v>
      </x:c>
      <x:c r="P201" s="205" t="n">
        <x:v>30</x:v>
      </x:c>
      <x:c r="Q201" s="206" t="n">
        <x:v>2.188</x:v>
      </x:c>
      <x:c r="R201" s="207" t="str"/>
      <x:c r="S201" s="207" t="str"/>
      <x:c r="T201" s="207" t="str"/>
      <x:c r="U201" s="207" t="n">
        <x:v>0</x:v>
      </x:c>
      <x:c r="V201" s="208" t="n">
        <x:f>MAX(0,M201-U201)</x:f>
        <x:v>432</x:v>
      </x:c>
      <x:c r="W201" s="209" t="n">
        <x:f>IFERROR(U201/M201,0)</x:f>
        <x:v>0</x:v>
      </x:c>
      <x:c r="X201" s="201" t="str">
        <x:f>IF(U201=0,"Não iniciado",IF(U201&gt;=M201,"Concluído","Parcial"))</x:f>
        <x:v>Não iniciado</x:v>
      </x:c>
      <x:c r="Y201" s="199" t="str"/>
      <x:c r="Z201" s="188" t="str">
        <x:v>Normal</x:v>
      </x:c>
    </x:row>
    <x:row r="202" ht="22" customHeight="1">
      <x:c r="A202" s="219" t="n">
        <x:v>198</x:v>
      </x:c>
      <x:c r="B202" s="220" t="str">
        <x:v>26799</x:v>
      </x:c>
      <x:c r="C202" s="220" t="str">
        <x:v>1</x:v>
      </x:c>
      <x:c r="D202" s="220" t="str">
        <x:v>609393</x:v>
      </x:c>
      <x:c r="E202" s="220" t="str">
        <x:v>2010600024</x:v>
      </x:c>
      <x:c r="F202" s="220" t="str">
        <x:v>BATENTE</x:v>
      </x:c>
      <x:c r="G202" s="190" t="str">
        <x:v>M P MDF STD PET TXT BCO 2110X80X30 42X10</x:v>
      </x:c>
      <x:c r="H202" s="190" t="str"/>
      <x:c r="I202" s="190" t="str"/>
      <x:c r="J202" s="190" t="str"/>
      <x:c r="K202" s="190" t="str">
        <x:v>ESMALTE</x:v>
      </x:c>
      <x:c r="L202" s="190" t="str">
        <x:v>BRANCO CARRARA</x:v>
      </x:c>
      <x:c r="M202" s="210" t="n">
        <x:v>144</x:v>
      </x:c>
      <x:c r="N202" s="210" t="n">
        <x:v>2110</x:v>
      </x:c>
      <x:c r="O202" s="210" t="n">
        <x:v>80</x:v>
      </x:c>
      <x:c r="P202" s="210" t="n">
        <x:v>30</x:v>
      </x:c>
      <x:c r="Q202" s="211" t="n">
        <x:v>0.729</x:v>
      </x:c>
      <x:c r="R202" s="207" t="str"/>
      <x:c r="S202" s="207" t="str"/>
      <x:c r="T202" s="207" t="str"/>
      <x:c r="U202" s="207" t="n">
        <x:v>0</x:v>
      </x:c>
      <x:c r="V202" s="208" t="n">
        <x:f>MAX(0,M202-U202)</x:f>
        <x:v>144</x:v>
      </x:c>
      <x:c r="W202" s="209" t="n">
        <x:f>IFERROR(U202/M202,0)</x:f>
        <x:v>0</x:v>
      </x:c>
      <x:c r="X202" s="201" t="str">
        <x:f>IF(U202=0,"Não iniciado",IF(U202&gt;=M202,"Concluído","Parcial"))</x:f>
        <x:v>Não iniciado</x:v>
      </x:c>
      <x:c r="Y202" s="199" t="str"/>
      <x:c r="Z202" s="188" t="str">
        <x:v>Normal</x:v>
      </x:c>
    </x:row>
    <x:row r="203" ht="22" customHeight="1">
      <x:c r="A203" s="217" t="n">
        <x:v>199</x:v>
      </x:c>
      <x:c r="B203" s="218" t="str">
        <x:v>26815</x:v>
      </x:c>
      <x:c r="C203" s="218" t="str">
        <x:v>1</x:v>
      </x:c>
      <x:c r="D203" s="218" t="str">
        <x:v>609486</x:v>
      </x:c>
      <x:c r="E203" s="218" t="str">
        <x:v>2010600024</x:v>
      </x:c>
      <x:c r="F203" s="218" t="str">
        <x:v>BATENTE</x:v>
      </x:c>
      <x:c r="G203" s="184" t="str">
        <x:v>M P MDF STD PET TXT BCO 2110X80X30 42X10</x:v>
      </x:c>
      <x:c r="H203" s="184" t="str"/>
      <x:c r="I203" s="184" t="str"/>
      <x:c r="J203" s="184" t="str"/>
      <x:c r="K203" s="184" t="str">
        <x:v>ESMALTE</x:v>
      </x:c>
      <x:c r="L203" s="184" t="str">
        <x:v>BRANCO CARRARA</x:v>
      </x:c>
      <x:c r="M203" s="205" t="n">
        <x:v>308</x:v>
      </x:c>
      <x:c r="N203" s="205" t="n">
        <x:v>2110</x:v>
      </x:c>
      <x:c r="O203" s="205" t="n">
        <x:v>80</x:v>
      </x:c>
      <x:c r="P203" s="205" t="n">
        <x:v>30</x:v>
      </x:c>
      <x:c r="Q203" s="206" t="n">
        <x:v>1.56</x:v>
      </x:c>
      <x:c r="R203" s="207" t="str"/>
      <x:c r="S203" s="207" t="str"/>
      <x:c r="T203" s="207" t="str"/>
      <x:c r="U203" s="207" t="n">
        <x:v>0</x:v>
      </x:c>
      <x:c r="V203" s="208" t="n">
        <x:f>MAX(0,M203-U203)</x:f>
        <x:v>308</x:v>
      </x:c>
      <x:c r="W203" s="209" t="n">
        <x:f>IFERROR(U203/M203,0)</x:f>
        <x:v>0</x:v>
      </x:c>
      <x:c r="X203" s="201" t="str">
        <x:f>IF(U203=0,"Não iniciado",IF(U203&gt;=M203,"Concluído","Parcial"))</x:f>
        <x:v>Não iniciado</x:v>
      </x:c>
      <x:c r="Y203" s="199" t="str"/>
      <x:c r="Z203" s="188" t="str">
        <x:v>Normal</x:v>
      </x:c>
    </x:row>
    <x:row r="204" ht="22" customHeight="1">
      <x:c r="A204" s="219" t="n">
        <x:v>200</x:v>
      </x:c>
      <x:c r="B204" s="220" t="str">
        <x:v>26766</x:v>
      </x:c>
      <x:c r="C204" s="220" t="str">
        <x:v>2</x:v>
      </x:c>
      <x:c r="D204" s="220" t="str">
        <x:v>610143</x:v>
      </x:c>
      <x:c r="E204" s="220" t="str">
        <x:v>985752</x:v>
      </x:c>
      <x:c r="F204" s="220" t="str">
        <x:v>BATENTE</x:v>
      </x:c>
      <x:c r="G204" s="190" t="str">
        <x:v>2110x80x30 42x10R2L R1 BIA PET MOG STD U</x:v>
      </x:c>
      <x:c r="H204" s="190" t="str">
        <x:v>MDF STD</x:v>
      </x:c>
      <x:c r="I204" s="190" t="str">
        <x:v>C/BORRACHA I APLICADA</x:v>
      </x:c>
      <x:c r="J204" s="190" t="str">
        <x:v>C/REB 42X10</x:v>
      </x:c>
      <x:c r="K204" s="190" t="str">
        <x:v>RECOBERTO PET TXT</x:v>
      </x:c>
      <x:c r="L204" s="190" t="str">
        <x:v>MOGNO BRASILEIRO</x:v>
      </x:c>
      <x:c r="M204" s="210" t="n">
        <x:v>360</x:v>
      </x:c>
      <x:c r="N204" s="210" t="n">
        <x:v>2110</x:v>
      </x:c>
      <x:c r="O204" s="210" t="n">
        <x:v>80</x:v>
      </x:c>
      <x:c r="P204" s="210" t="n">
        <x:v>30</x:v>
      </x:c>
      <x:c r="Q204" s="211" t="n">
        <x:v>0</x:v>
      </x:c>
      <x:c r="R204" s="207" t="str"/>
      <x:c r="S204" s="207" t="str"/>
      <x:c r="T204" s="207" t="str"/>
      <x:c r="U204" s="207" t="n">
        <x:v>0</x:v>
      </x:c>
      <x:c r="V204" s="208" t="n">
        <x:f>MAX(0,M204-U204)</x:f>
        <x:v>360</x:v>
      </x:c>
      <x:c r="W204" s="209" t="n">
        <x:f>IFERROR(U204/M204,0)</x:f>
        <x:v>0</x:v>
      </x:c>
      <x:c r="X204" s="201" t="str">
        <x:f>IF(U204=0,"Não iniciado",IF(U204&gt;=M204,"Concluído","Parcial"))</x:f>
        <x:v>Não iniciado</x:v>
      </x:c>
      <x:c r="Y204" s="199" t="str"/>
      <x:c r="Z204" s="188" t="str">
        <x:v>Normal</x:v>
      </x:c>
    </x:row>
    <x:row r="205" ht="22" customHeight="1">
      <x:c r="A205" s="217" t="n">
        <x:v>201</x:v>
      </x:c>
      <x:c r="B205" s="218" t="str">
        <x:v>26796</x:v>
      </x:c>
      <x:c r="C205" s="218" t="str">
        <x:v>3</x:v>
      </x:c>
      <x:c r="D205" s="218" t="str">
        <x:v>609304</x:v>
      </x:c>
      <x:c r="E205" s="218" t="str">
        <x:v>2010600056</x:v>
      </x:c>
      <x:c r="F205" s="218" t="str">
        <x:v>OUTROS</x:v>
      </x:c>
      <x:c r="G205" s="184" t="str">
        <x:v>M CJ MDF STD PET TXT BCO 2110X80X30 42X1</x:v>
      </x:c>
      <x:c r="H205" s="184" t="str"/>
      <x:c r="I205" s="184" t="str"/>
      <x:c r="J205" s="184" t="str"/>
      <x:c r="K205" s="184" t="str">
        <x:v>ESMALTE</x:v>
      </x:c>
      <x:c r="L205" s="184" t="str">
        <x:v>BRANCO CARRARA</x:v>
      </x:c>
      <x:c r="M205" s="205" t="n">
        <x:v>384</x:v>
      </x:c>
      <x:c r="N205" s="205" t="n">
        <x:v>2110</x:v>
      </x:c>
      <x:c r="O205" s="205" t="n">
        <x:v>80</x:v>
      </x:c>
      <x:c r="P205" s="205" t="n">
        <x:v>30</x:v>
      </x:c>
      <x:c r="Q205" s="206" t="n">
        <x:v>1.945</x:v>
      </x:c>
      <x:c r="R205" s="207" t="str"/>
      <x:c r="S205" s="207" t="str"/>
      <x:c r="T205" s="207" t="str"/>
      <x:c r="U205" s="207" t="n">
        <x:v>0</x:v>
      </x:c>
      <x:c r="V205" s="208" t="n">
        <x:f>MAX(0,M205-U205)</x:f>
        <x:v>384</x:v>
      </x:c>
      <x:c r="W205" s="209" t="n">
        <x:f>IFERROR(U205/M205,0)</x:f>
        <x:v>0</x:v>
      </x:c>
      <x:c r="X205" s="201" t="str">
        <x:f>IF(U205=0,"Não iniciado",IF(U205&gt;=M205,"Concluído","Parcial"))</x:f>
        <x:v>Não iniciado</x:v>
      </x:c>
      <x:c r="Y205" s="199" t="str"/>
      <x:c r="Z205" s="188" t="str">
        <x:v>Normal</x:v>
      </x:c>
    </x:row>
    <x:row r="206" ht="22" customHeight="1">
      <x:c r="A206" s="219" t="n">
        <x:v>202</x:v>
      </x:c>
      <x:c r="B206" s="220" t="str">
        <x:v>26799</x:v>
      </x:c>
      <x:c r="C206" s="220" t="str">
        <x:v>3</x:v>
      </x:c>
      <x:c r="D206" s="220" t="str">
        <x:v>609409</x:v>
      </x:c>
      <x:c r="E206" s="220" t="str">
        <x:v>2010600056</x:v>
      </x:c>
      <x:c r="F206" s="220" t="str">
        <x:v>OUTROS</x:v>
      </x:c>
      <x:c r="G206" s="190" t="str">
        <x:v>M CJ MDF STD PET TXT BCO 2110X80X30 42X1</x:v>
      </x:c>
      <x:c r="H206" s="190" t="str"/>
      <x:c r="I206" s="190" t="str"/>
      <x:c r="J206" s="190" t="str"/>
      <x:c r="K206" s="190" t="str">
        <x:v>ESMALTE</x:v>
      </x:c>
      <x:c r="L206" s="190" t="str">
        <x:v>BRANCO CARRARA</x:v>
      </x:c>
      <x:c r="M206" s="210" t="n">
        <x:v>128</x:v>
      </x:c>
      <x:c r="N206" s="210" t="n">
        <x:v>2110</x:v>
      </x:c>
      <x:c r="O206" s="210" t="n">
        <x:v>80</x:v>
      </x:c>
      <x:c r="P206" s="210" t="n">
        <x:v>30</x:v>
      </x:c>
      <x:c r="Q206" s="211" t="n">
        <x:v>0.648</x:v>
      </x:c>
      <x:c r="R206" s="207" t="str"/>
      <x:c r="S206" s="207" t="str"/>
      <x:c r="T206" s="207" t="str"/>
      <x:c r="U206" s="207" t="n">
        <x:v>0</x:v>
      </x:c>
      <x:c r="V206" s="208" t="n">
        <x:f>MAX(0,M206-U206)</x:f>
        <x:v>128</x:v>
      </x:c>
      <x:c r="W206" s="209" t="n">
        <x:f>IFERROR(U206/M206,0)</x:f>
        <x:v>0</x:v>
      </x:c>
      <x:c r="X206" s="201" t="str">
        <x:f>IF(U206=0,"Não iniciado",IF(U206&gt;=M206,"Concluído","Parcial"))</x:f>
        <x:v>Não iniciado</x:v>
      </x:c>
      <x:c r="Y206" s="199" t="str"/>
      <x:c r="Z206" s="188" t="str">
        <x:v>Normal</x:v>
      </x:c>
    </x:row>
    <x:row r="207" ht="22" customHeight="1">
      <x:c r="A207" s="217" t="n">
        <x:v>203</x:v>
      </x:c>
      <x:c r="B207" s="218" t="str">
        <x:v>26796</x:v>
      </x:c>
      <x:c r="C207" s="218" t="str">
        <x:v>3</x:v>
      </x:c>
      <x:c r="D207" s="218" t="str">
        <x:v>609305</x:v>
      </x:c>
      <x:c r="E207" s="218" t="str">
        <x:v>2010600379</x:v>
      </x:c>
      <x:c r="F207" s="218" t="str">
        <x:v>BATENTE</x:v>
      </x:c>
      <x:c r="G207" s="184" t="str">
        <x:v>M STD PET TXT BCO 847X80X30 42X10 R2L ME</x:v>
      </x:c>
      <x:c r="H207" s="184" t="str"/>
      <x:c r="I207" s="184" t="str"/>
      <x:c r="J207" s="184" t="str"/>
      <x:c r="K207" s="184" t="str">
        <x:v>ESMALTE</x:v>
      </x:c>
      <x:c r="L207" s="184" t="str">
        <x:v>BRANCO CARRARA</x:v>
      </x:c>
      <x:c r="M207" s="205" t="n">
        <x:v>192</x:v>
      </x:c>
      <x:c r="N207" s="205" t="n">
        <x:v>847</x:v>
      </x:c>
      <x:c r="O207" s="205" t="n">
        <x:v>80</x:v>
      </x:c>
      <x:c r="P207" s="205" t="n">
        <x:v>30</x:v>
      </x:c>
      <x:c r="Q207" s="206" t="n">
        <x:v>0.39</x:v>
      </x:c>
      <x:c r="R207" s="207" t="str"/>
      <x:c r="S207" s="207" t="str"/>
      <x:c r="T207" s="207" t="str"/>
      <x:c r="U207" s="207" t="n">
        <x:v>0</x:v>
      </x:c>
      <x:c r="V207" s="208" t="n">
        <x:f>MAX(0,M207-U207)</x:f>
        <x:v>192</x:v>
      </x:c>
      <x:c r="W207" s="209" t="n">
        <x:f>IFERROR(U207/M207,0)</x:f>
        <x:v>0</x:v>
      </x:c>
      <x:c r="X207" s="201" t="str">
        <x:f>IF(U207=0,"Não iniciado",IF(U207&gt;=M207,"Concluído","Parcial"))</x:f>
        <x:v>Não iniciado</x:v>
      </x:c>
      <x:c r="Y207" s="199" t="str"/>
      <x:c r="Z207" s="188" t="str">
        <x:v>Normal</x:v>
      </x:c>
    </x:row>
    <x:row r="208" ht="22" customHeight="1">
      <x:c r="A208" s="219" t="n">
        <x:v>204</x:v>
      </x:c>
      <x:c r="B208" s="220" t="str">
        <x:v>26799</x:v>
      </x:c>
      <x:c r="C208" s="220" t="str">
        <x:v>3</x:v>
      </x:c>
      <x:c r="D208" s="220" t="str">
        <x:v>609410</x:v>
      </x:c>
      <x:c r="E208" s="220" t="str">
        <x:v>2010600379</x:v>
      </x:c>
      <x:c r="F208" s="220" t="str">
        <x:v>BATENTE</x:v>
      </x:c>
      <x:c r="G208" s="190" t="str">
        <x:v>M STD PET TXT BCO 847X80X30 42X10 R2L ME</x:v>
      </x:c>
      <x:c r="H208" s="190" t="str"/>
      <x:c r="I208" s="190" t="str"/>
      <x:c r="J208" s="190" t="str"/>
      <x:c r="K208" s="190" t="str">
        <x:v>ESMALTE</x:v>
      </x:c>
      <x:c r="L208" s="190" t="str">
        <x:v>BRANCO CARRARA</x:v>
      </x:c>
      <x:c r="M208" s="210" t="n">
        <x:v>64</x:v>
      </x:c>
      <x:c r="N208" s="210" t="n">
        <x:v>847</x:v>
      </x:c>
      <x:c r="O208" s="210" t="n">
        <x:v>80</x:v>
      </x:c>
      <x:c r="P208" s="210" t="n">
        <x:v>30</x:v>
      </x:c>
      <x:c r="Q208" s="211" t="n">
        <x:v>0.13</x:v>
      </x:c>
      <x:c r="R208" s="207" t="str"/>
      <x:c r="S208" s="207" t="str"/>
      <x:c r="T208" s="207" t="str"/>
      <x:c r="U208" s="207" t="n">
        <x:v>0</x:v>
      </x:c>
      <x:c r="V208" s="208" t="n">
        <x:f>MAX(0,M208-U208)</x:f>
        <x:v>64</x:v>
      </x:c>
      <x:c r="W208" s="209" t="n">
        <x:f>IFERROR(U208/M208,0)</x:f>
        <x:v>0</x:v>
      </x:c>
      <x:c r="X208" s="201" t="str">
        <x:f>IF(U208=0,"Não iniciado",IF(U208&gt;=M208,"Concluído","Parcial"))</x:f>
        <x:v>Não iniciado</x:v>
      </x:c>
      <x:c r="Y208" s="199" t="str"/>
      <x:c r="Z208" s="188" t="str">
        <x:v>Normal</x:v>
      </x:c>
    </x:row>
    <x:row r="209" ht="22" customHeight="1">
      <x:c r="A209" s="217" t="n">
        <x:v>205</x:v>
      </x:c>
      <x:c r="B209" s="218" t="str">
        <x:v>26739</x:v>
      </x:c>
      <x:c r="C209" s="218" t="str">
        <x:v>8</x:v>
      </x:c>
      <x:c r="D209" s="218" t="str">
        <x:v>609644</x:v>
      </x:c>
      <x:c r="E209" s="218" t="str">
        <x:v>2010701245</x:v>
      </x:c>
      <x:c r="F209" s="218" t="str">
        <x:v>BATENTE</x:v>
      </x:c>
      <x:c r="G209" s="184" t="str">
        <x:v>M ULTRA PET BCO CAR 767X80X30 42X10 R2L</x:v>
      </x:c>
      <x:c r="H209" s="184" t="str"/>
      <x:c r="I209" s="184" t="str"/>
      <x:c r="J209" s="184" t="str"/>
      <x:c r="K209" s="184" t="str">
        <x:v>ESMALTE</x:v>
      </x:c>
      <x:c r="L209" s="184" t="str">
        <x:v>BRANCO CARRARA</x:v>
      </x:c>
      <x:c r="M209" s="205" t="n">
        <x:v>18</x:v>
      </x:c>
      <x:c r="N209" s="205" t="n">
        <x:v>767</x:v>
      </x:c>
      <x:c r="O209" s="205" t="n">
        <x:v>80</x:v>
      </x:c>
      <x:c r="P209" s="205" t="n">
        <x:v>30</x:v>
      </x:c>
      <x:c r="Q209" s="206" t="n">
        <x:v>18</x:v>
      </x:c>
      <x:c r="R209" s="207" t="str"/>
      <x:c r="S209" s="207" t="str"/>
      <x:c r="T209" s="207" t="str"/>
      <x:c r="U209" s="207" t="n">
        <x:v>0</x:v>
      </x:c>
      <x:c r="V209" s="208" t="n">
        <x:f>MAX(0,M209-U209)</x:f>
        <x:v>18</x:v>
      </x:c>
      <x:c r="W209" s="209" t="n">
        <x:f>IFERROR(U209/M209,0)</x:f>
        <x:v>0</x:v>
      </x:c>
      <x:c r="X209" s="201" t="str">
        <x:f>IF(U209=0,"Não iniciado",IF(U209&gt;=M209,"Concluído","Parcial"))</x:f>
        <x:v>Não iniciado</x:v>
      </x:c>
      <x:c r="Y209" s="199" t="str"/>
      <x:c r="Z209" s="188" t="str">
        <x:v>Normal</x:v>
      </x:c>
    </x:row>
    <x:row r="210" ht="22" customHeight="1">
      <x:c r="A210" s="219" t="n">
        <x:v>206</x:v>
      </x:c>
      <x:c r="B210" s="220" t="str">
        <x:v>26750</x:v>
      </x:c>
      <x:c r="C210" s="220" t="str">
        <x:v>11</x:v>
      </x:c>
      <x:c r="D210" s="220" t="str">
        <x:v>609817</x:v>
      </x:c>
      <x:c r="E210" s="220" t="str">
        <x:v>2010701245</x:v>
      </x:c>
      <x:c r="F210" s="220" t="str">
        <x:v>BATENTE</x:v>
      </x:c>
      <x:c r="G210" s="190" t="str">
        <x:v>M ULTRA PET BCO CAR 767X80X30 42X10 R2L</x:v>
      </x:c>
      <x:c r="H210" s="190" t="str"/>
      <x:c r="I210" s="190" t="str"/>
      <x:c r="J210" s="190" t="str"/>
      <x:c r="K210" s="190" t="str">
        <x:v>ESMALTE</x:v>
      </x:c>
      <x:c r="L210" s="190" t="str">
        <x:v>BRANCO CARRARA</x:v>
      </x:c>
      <x:c r="M210" s="210" t="n">
        <x:v>12</x:v>
      </x:c>
      <x:c r="N210" s="210" t="n">
        <x:v>767</x:v>
      </x:c>
      <x:c r="O210" s="210" t="n">
        <x:v>80</x:v>
      </x:c>
      <x:c r="P210" s="210" t="n">
        <x:v>30</x:v>
      </x:c>
      <x:c r="Q210" s="211" t="n">
        <x:v>0.022</x:v>
      </x:c>
      <x:c r="R210" s="207" t="str"/>
      <x:c r="S210" s="207" t="str"/>
      <x:c r="T210" s="207" t="str"/>
      <x:c r="U210" s="207" t="n">
        <x:v>0</x:v>
      </x:c>
      <x:c r="V210" s="208" t="n">
        <x:f>MAX(0,M210-U210)</x:f>
        <x:v>12</x:v>
      </x:c>
      <x:c r="W210" s="209" t="n">
        <x:f>IFERROR(U210/M210,0)</x:f>
        <x:v>0</x:v>
      </x:c>
      <x:c r="X210" s="201" t="str">
        <x:f>IF(U210=0,"Não iniciado",IF(U210&gt;=M210,"Concluído","Parcial"))</x:f>
        <x:v>Não iniciado</x:v>
      </x:c>
      <x:c r="Y210" s="199" t="str"/>
      <x:c r="Z210" s="188" t="str">
        <x:v>Normal</x:v>
      </x:c>
    </x:row>
    <x:row r="211" ht="22" customHeight="1">
      <x:c r="A211" s="217" t="n">
        <x:v>207</x:v>
      </x:c>
      <x:c r="B211" s="218" t="str">
        <x:v>26792</x:v>
      </x:c>
      <x:c r="C211" s="218" t="str">
        <x:v>4</x:v>
      </x:c>
      <x:c r="D211" s="218" t="str">
        <x:v>609442</x:v>
      </x:c>
      <x:c r="E211" s="218" t="str">
        <x:v>2010600025</x:v>
      </x:c>
      <x:c r="F211" s="218" t="str">
        <x:v>BATENTE</x:v>
      </x:c>
      <x:c r="G211" s="184" t="str">
        <x:v>M T MDF STD PET TXT BCO 747X80X30 42X10</x:v>
      </x:c>
      <x:c r="H211" s="184" t="str"/>
      <x:c r="I211" s="184" t="str"/>
      <x:c r="J211" s="184" t="str"/>
      <x:c r="K211" s="184" t="str">
        <x:v>ESMALTE</x:v>
      </x:c>
      <x:c r="L211" s="184" t="str">
        <x:v>BRANCO</x:v>
      </x:c>
      <x:c r="M211" s="205" t="n">
        <x:v>144</x:v>
      </x:c>
      <x:c r="N211" s="205" t="n">
        <x:v>747</x:v>
      </x:c>
      <x:c r="O211" s="205" t="n">
        <x:v>80</x:v>
      </x:c>
      <x:c r="P211" s="205" t="n">
        <x:v>30</x:v>
      </x:c>
      <x:c r="Q211" s="206" t="n">
        <x:v>0</x:v>
      </x:c>
      <x:c r="R211" s="207" t="str"/>
      <x:c r="S211" s="207" t="str"/>
      <x:c r="T211" s="207" t="str"/>
      <x:c r="U211" s="207" t="n">
        <x:v>0</x:v>
      </x:c>
      <x:c r="V211" s="208" t="n">
        <x:f>MAX(0,M211-U211)</x:f>
        <x:v>144</x:v>
      </x:c>
      <x:c r="W211" s="209" t="n">
        <x:f>IFERROR(U211/M211,0)</x:f>
        <x:v>0</x:v>
      </x:c>
      <x:c r="X211" s="201" t="str">
        <x:f>IF(U211=0,"Não iniciado",IF(U211&gt;=M211,"Concluído","Parcial"))</x:f>
        <x:v>Não iniciado</x:v>
      </x:c>
      <x:c r="Y211" s="199" t="str"/>
      <x:c r="Z211" s="188" t="str">
        <x:v>Normal</x:v>
      </x:c>
    </x:row>
    <x:row r="212" ht="22" customHeight="1">
      <x:c r="A212" s="219" t="n">
        <x:v>208</x:v>
      </x:c>
      <x:c r="B212" s="220" t="str">
        <x:v>26796</x:v>
      </x:c>
      <x:c r="C212" s="220" t="str">
        <x:v>2</x:v>
      </x:c>
      <x:c r="D212" s="220" t="str">
        <x:v>609297</x:v>
      </x:c>
      <x:c r="E212" s="220" t="str">
        <x:v>2010600025</x:v>
      </x:c>
      <x:c r="F212" s="220" t="str">
        <x:v>BATENTE</x:v>
      </x:c>
      <x:c r="G212" s="190" t="str">
        <x:v>M T MDF STD PET TXT BCO 747X80X30 42X10</x:v>
      </x:c>
      <x:c r="H212" s="190" t="str"/>
      <x:c r="I212" s="190" t="str"/>
      <x:c r="J212" s="190" t="str"/>
      <x:c r="K212" s="190" t="str">
        <x:v>ESMALTE</x:v>
      </x:c>
      <x:c r="L212" s="190" t="str">
        <x:v>BRANCO</x:v>
      </x:c>
      <x:c r="M212" s="210" t="n">
        <x:v>48</x:v>
      </x:c>
      <x:c r="N212" s="210" t="n">
        <x:v>747</x:v>
      </x:c>
      <x:c r="O212" s="210" t="n">
        <x:v>80</x:v>
      </x:c>
      <x:c r="P212" s="210" t="n">
        <x:v>30</x:v>
      </x:c>
      <x:c r="Q212" s="211" t="n">
        <x:v>0</x:v>
      </x:c>
      <x:c r="R212" s="207" t="str"/>
      <x:c r="S212" s="207" t="str"/>
      <x:c r="T212" s="207" t="str"/>
      <x:c r="U212" s="207" t="n">
        <x:v>0</x:v>
      </x:c>
      <x:c r="V212" s="208" t="n">
        <x:f>MAX(0,M212-U212)</x:f>
        <x:v>48</x:v>
      </x:c>
      <x:c r="W212" s="209" t="n">
        <x:f>IFERROR(U212/M212,0)</x:f>
        <x:v>0</x:v>
      </x:c>
      <x:c r="X212" s="201" t="str">
        <x:f>IF(U212=0,"Não iniciado",IF(U212&gt;=M212,"Concluído","Parcial"))</x:f>
        <x:v>Não iniciado</x:v>
      </x:c>
      <x:c r="Y212" s="199" t="str"/>
      <x:c r="Z212" s="188" t="str">
        <x:v>Normal</x:v>
      </x:c>
    </x:row>
    <x:row r="213" ht="22" customHeight="1">
      <x:c r="A213" s="217" t="n">
        <x:v>209</x:v>
      </x:c>
      <x:c r="B213" s="218" t="str">
        <x:v>26799</x:v>
      </x:c>
      <x:c r="C213" s="218" t="str">
        <x:v>2</x:v>
      </x:c>
      <x:c r="D213" s="218" t="str">
        <x:v>609402</x:v>
      </x:c>
      <x:c r="E213" s="218" t="str">
        <x:v>2010600025</x:v>
      </x:c>
      <x:c r="F213" s="218" t="str">
        <x:v>BATENTE</x:v>
      </x:c>
      <x:c r="G213" s="184" t="str">
        <x:v>M T MDF STD PET TXT BCO 747X80X30 42X10</x:v>
      </x:c>
      <x:c r="H213" s="184" t="str"/>
      <x:c r="I213" s="184" t="str"/>
      <x:c r="J213" s="184" t="str"/>
      <x:c r="K213" s="184" t="str">
        <x:v>ESMALTE</x:v>
      </x:c>
      <x:c r="L213" s="184" t="str">
        <x:v>BRANCO</x:v>
      </x:c>
      <x:c r="M213" s="205" t="n">
        <x:v>16</x:v>
      </x:c>
      <x:c r="N213" s="205" t="n">
        <x:v>747</x:v>
      </x:c>
      <x:c r="O213" s="205" t="n">
        <x:v>80</x:v>
      </x:c>
      <x:c r="P213" s="205" t="n">
        <x:v>30</x:v>
      </x:c>
      <x:c r="Q213" s="206" t="n">
        <x:v>0</x:v>
      </x:c>
      <x:c r="R213" s="207" t="str"/>
      <x:c r="S213" s="207" t="str"/>
      <x:c r="T213" s="207" t="str"/>
      <x:c r="U213" s="207" t="n">
        <x:v>0</x:v>
      </x:c>
      <x:c r="V213" s="208" t="n">
        <x:f>MAX(0,M213-U213)</x:f>
        <x:v>16</x:v>
      </x:c>
      <x:c r="W213" s="209" t="n">
        <x:f>IFERROR(U213/M213,0)</x:f>
        <x:v>0</x:v>
      </x:c>
      <x:c r="X213" s="201" t="str">
        <x:f>IF(U213=0,"Não iniciado",IF(U213&gt;=M213,"Concluído","Parcial"))</x:f>
        <x:v>Não iniciado</x:v>
      </x:c>
      <x:c r="Y213" s="199" t="str"/>
      <x:c r="Z213" s="188" t="str">
        <x:v>Normal</x:v>
      </x:c>
    </x:row>
    <x:row r="214" ht="22" customHeight="1">
      <x:c r="A214" s="219" t="n">
        <x:v>210</x:v>
      </x:c>
      <x:c r="B214" s="220" t="str">
        <x:v>26815</x:v>
      </x:c>
      <x:c r="C214" s="220" t="str">
        <x:v>3</x:v>
      </x:c>
      <x:c r="D214" s="220" t="str">
        <x:v>609503</x:v>
      </x:c>
      <x:c r="E214" s="220" t="str">
        <x:v>2010600025</x:v>
      </x:c>
      <x:c r="F214" s="220" t="str">
        <x:v>BATENTE</x:v>
      </x:c>
      <x:c r="G214" s="190" t="str">
        <x:v>M T MDF STD PET TXT BCO 747X80X30 42X10</x:v>
      </x:c>
      <x:c r="H214" s="190" t="str"/>
      <x:c r="I214" s="190" t="str"/>
      <x:c r="J214" s="190" t="str"/>
      <x:c r="K214" s="190" t="str">
        <x:v>ESMALTE</x:v>
      </x:c>
      <x:c r="L214" s="190" t="str">
        <x:v>BRANCO</x:v>
      </x:c>
      <x:c r="M214" s="210" t="n">
        <x:v>92</x:v>
      </x:c>
      <x:c r="N214" s="210" t="n">
        <x:v>747</x:v>
      </x:c>
      <x:c r="O214" s="210" t="n">
        <x:v>80</x:v>
      </x:c>
      <x:c r="P214" s="210" t="n">
        <x:v>30</x:v>
      </x:c>
      <x:c r="Q214" s="211" t="n">
        <x:v>0</x:v>
      </x:c>
      <x:c r="R214" s="207" t="str"/>
      <x:c r="S214" s="207" t="str"/>
      <x:c r="T214" s="207" t="str"/>
      <x:c r="U214" s="207" t="n">
        <x:v>0</x:v>
      </x:c>
      <x:c r="V214" s="208" t="n">
        <x:f>MAX(0,M214-U214)</x:f>
        <x:v>92</x:v>
      </x:c>
      <x:c r="W214" s="209" t="n">
        <x:f>IFERROR(U214/M214,0)</x:f>
        <x:v>0</x:v>
      </x:c>
      <x:c r="X214" s="201" t="str">
        <x:f>IF(U214=0,"Não iniciado",IF(U214&gt;=M214,"Concluído","Parcial"))</x:f>
        <x:v>Não iniciado</x:v>
      </x:c>
      <x:c r="Y214" s="199" t="str"/>
      <x:c r="Z214" s="188" t="str">
        <x:v>Normal</x:v>
      </x:c>
    </x:row>
    <x:row r="215" ht="22" customHeight="1">
      <x:c r="A215" s="217" t="n">
        <x:v>211</x:v>
      </x:c>
      <x:c r="B215" s="218" t="str">
        <x:v>26766</x:v>
      </x:c>
      <x:c r="C215" s="218" t="str">
        <x:v>2</x:v>
      </x:c>
      <x:c r="D215" s="218" t="str">
        <x:v>610144</x:v>
      </x:c>
      <x:c r="E215" s="218" t="str">
        <x:v>985753</x:v>
      </x:c>
      <x:c r="F215" s="218" t="str">
        <x:v>BATENTE</x:v>
      </x:c>
      <x:c r="G215" s="184" t="str">
        <x:v>747x80x30 42x10 R2L RT BIA PET MOG STD</x:v>
      </x:c>
      <x:c r="H215" s="184" t="str">
        <x:v>MDF STD</x:v>
      </x:c>
      <x:c r="I215" s="184" t="str">
        <x:v>C/BORRACHA I APLICADA</x:v>
      </x:c>
      <x:c r="J215" s="184" t="str">
        <x:v>C/REB 42X10</x:v>
      </x:c>
      <x:c r="K215" s="184" t="str">
        <x:v>RECOBERTO PET TXT</x:v>
      </x:c>
      <x:c r="L215" s="184" t="str">
        <x:v>MOGNO BRASILEIRO</x:v>
      </x:c>
      <x:c r="M215" s="205" t="n">
        <x:v>180</x:v>
      </x:c>
      <x:c r="N215" s="205" t="n">
        <x:v>747</x:v>
      </x:c>
      <x:c r="O215" s="205" t="n">
        <x:v>80</x:v>
      </x:c>
      <x:c r="P215" s="205" t="n">
        <x:v>30</x:v>
      </x:c>
      <x:c r="Q215" s="206" t="n">
        <x:v>0</x:v>
      </x:c>
      <x:c r="R215" s="207" t="str"/>
      <x:c r="S215" s="207" t="str"/>
      <x:c r="T215" s="207" t="str"/>
      <x:c r="U215" s="207" t="n">
        <x:v>0</x:v>
      </x:c>
      <x:c r="V215" s="208" t="n">
        <x:f>MAX(0,M215-U215)</x:f>
        <x:v>180</x:v>
      </x:c>
      <x:c r="W215" s="209" t="n">
        <x:f>IFERROR(U215/M215,0)</x:f>
        <x:v>0</x:v>
      </x:c>
      <x:c r="X215" s="201" t="str">
        <x:f>IF(U215=0,"Não iniciado",IF(U215&gt;=M215,"Concluído","Parcial"))</x:f>
        <x:v>Não iniciado</x:v>
      </x:c>
      <x:c r="Y215" s="199" t="str"/>
      <x:c r="Z215" s="188" t="str">
        <x:v>Normal</x:v>
      </x:c>
    </x:row>
    <x:row r="216" ht="22" customHeight="1">
      <x:c r="A216" s="219" t="n">
        <x:v>212</x:v>
      </x:c>
      <x:c r="B216" s="220" t="str">
        <x:v>26739</x:v>
      </x:c>
      <x:c r="C216" s="220" t="str">
        <x:v>17</x:v>
      </x:c>
      <x:c r="D216" s="220" t="str">
        <x:v>609700</x:v>
      </x:c>
      <x:c r="E216" s="220" t="str">
        <x:v>2010701246</x:v>
      </x:c>
      <x:c r="F216" s="220" t="str">
        <x:v>BATENTE</x:v>
      </x:c>
      <x:c r="G216" s="190" t="str">
        <x:v>M ULTRA PET BCO CAR 667X80X30 42X10 R2L</x:v>
      </x:c>
      <x:c r="H216" s="190" t="str"/>
      <x:c r="I216" s="190" t="str"/>
      <x:c r="J216" s="190" t="str"/>
      <x:c r="K216" s="190" t="str">
        <x:v>ESMALTE</x:v>
      </x:c>
      <x:c r="L216" s="190" t="str">
        <x:v>BRANCO CARRARA</x:v>
      </x:c>
      <x:c r="M216" s="210" t="n">
        <x:v>9</x:v>
      </x:c>
      <x:c r="N216" s="210" t="n">
        <x:v>667</x:v>
      </x:c>
      <x:c r="O216" s="210" t="n">
        <x:v>80</x:v>
      </x:c>
      <x:c r="P216" s="210" t="n">
        <x:v>30</x:v>
      </x:c>
      <x:c r="Q216" s="211" t="n">
        <x:v>3</x:v>
      </x:c>
      <x:c r="R216" s="207" t="str"/>
      <x:c r="S216" s="207" t="str"/>
      <x:c r="T216" s="207" t="str"/>
      <x:c r="U216" s="207" t="n">
        <x:v>0</x:v>
      </x:c>
      <x:c r="V216" s="208" t="n">
        <x:f>MAX(0,M216-U216)</x:f>
        <x:v>9</x:v>
      </x:c>
      <x:c r="W216" s="209" t="n">
        <x:f>IFERROR(U216/M216,0)</x:f>
        <x:v>0</x:v>
      </x:c>
      <x:c r="X216" s="201" t="str">
        <x:f>IF(U216=0,"Não iniciado",IF(U216&gt;=M216,"Concluído","Parcial"))</x:f>
        <x:v>Não iniciado</x:v>
      </x:c>
      <x:c r="Y216" s="199" t="str"/>
      <x:c r="Z216" s="188" t="str">
        <x:v>Normal</x:v>
      </x:c>
    </x:row>
    <x:row r="217" ht="22" customHeight="1">
      <x:c r="A217" s="217" t="n">
        <x:v>213</x:v>
      </x:c>
      <x:c r="B217" s="218" t="str">
        <x:v>26739</x:v>
      </x:c>
      <x:c r="C217" s="218" t="str">
        <x:v>23</x:v>
      </x:c>
      <x:c r="D217" s="218" t="str">
        <x:v>609750</x:v>
      </x:c>
      <x:c r="E217" s="218" t="str">
        <x:v>2010701246</x:v>
      </x:c>
      <x:c r="F217" s="218" t="str">
        <x:v>BATENTE</x:v>
      </x:c>
      <x:c r="G217" s="184" t="str">
        <x:v>M ULTRA PET BCO CAR 667X80X30 42X10 R2L</x:v>
      </x:c>
      <x:c r="H217" s="184" t="str"/>
      <x:c r="I217" s="184" t="str"/>
      <x:c r="J217" s="184" t="str"/>
      <x:c r="K217" s="184" t="str">
        <x:v>ESMALTE</x:v>
      </x:c>
      <x:c r="L217" s="184" t="str">
        <x:v>BRANCO CARRARA</x:v>
      </x:c>
      <x:c r="M217" s="205" t="n">
        <x:v>1</x:v>
      </x:c>
      <x:c r="N217" s="205" t="n">
        <x:v>667</x:v>
      </x:c>
      <x:c r="O217" s="205" t="n">
        <x:v>80</x:v>
      </x:c>
      <x:c r="P217" s="205" t="n">
        <x:v>30</x:v>
      </x:c>
      <x:c r="Q217" s="206" t="n">
        <x:v>0.5</x:v>
      </x:c>
      <x:c r="R217" s="207" t="str"/>
      <x:c r="S217" s="207" t="str"/>
      <x:c r="T217" s="207" t="str"/>
      <x:c r="U217" s="207" t="n">
        <x:v>0</x:v>
      </x:c>
      <x:c r="V217" s="208" t="n">
        <x:f>MAX(0,M217-U217)</x:f>
        <x:v>1</x:v>
      </x:c>
      <x:c r="W217" s="209" t="n">
        <x:f>IFERROR(U217/M217,0)</x:f>
        <x:v>0</x:v>
      </x:c>
      <x:c r="X217" s="201" t="str">
        <x:f>IF(U217=0,"Não iniciado",IF(U217&gt;=M217,"Concluído","Parcial"))</x:f>
        <x:v>Não iniciado</x:v>
      </x:c>
      <x:c r="Y217" s="199" t="str"/>
      <x:c r="Z217" s="188" t="str">
        <x:v>Normal</x:v>
      </x:c>
    </x:row>
    <x:row r="218" ht="22" customHeight="1">
      <x:c r="A218" s="219" t="n">
        <x:v>214</x:v>
      </x:c>
      <x:c r="B218" s="220" t="str">
        <x:v>26750</x:v>
      </x:c>
      <x:c r="C218" s="220" t="str">
        <x:v>20</x:v>
      </x:c>
      <x:c r="D218" s="220" t="str">
        <x:v>609873</x:v>
      </x:c>
      <x:c r="E218" s="220" t="str">
        <x:v>2010701246</x:v>
      </x:c>
      <x:c r="F218" s="220" t="str">
        <x:v>BATENTE</x:v>
      </x:c>
      <x:c r="G218" s="190" t="str">
        <x:v>M ULTRA PET BCO CAR 667X80X30 42X10 R2L</x:v>
      </x:c>
      <x:c r="H218" s="190" t="str"/>
      <x:c r="I218" s="190" t="str"/>
      <x:c r="J218" s="190" t="str"/>
      <x:c r="K218" s="190" t="str">
        <x:v>ESMALTE</x:v>
      </x:c>
      <x:c r="L218" s="190" t="str">
        <x:v>BRANCO CARRARA</x:v>
      </x:c>
      <x:c r="M218" s="210" t="n">
        <x:v>9</x:v>
      </x:c>
      <x:c r="N218" s="210" t="n">
        <x:v>667</x:v>
      </x:c>
      <x:c r="O218" s="210" t="n">
        <x:v>80</x:v>
      </x:c>
      <x:c r="P218" s="210" t="n">
        <x:v>30</x:v>
      </x:c>
      <x:c r="Q218" s="211" t="n">
        <x:v>0.014</x:v>
      </x:c>
      <x:c r="R218" s="207" t="str"/>
      <x:c r="S218" s="207" t="str"/>
      <x:c r="T218" s="207" t="str"/>
      <x:c r="U218" s="207" t="n">
        <x:v>0</x:v>
      </x:c>
      <x:c r="V218" s="208" t="n">
        <x:f>MAX(0,M218-U218)</x:f>
        <x:v>9</x:v>
      </x:c>
      <x:c r="W218" s="209" t="n">
        <x:f>IFERROR(U218/M218,0)</x:f>
        <x:v>0</x:v>
      </x:c>
      <x:c r="X218" s="201" t="str">
        <x:f>IF(U218=0,"Não iniciado",IF(U218&gt;=M218,"Concluído","Parcial"))</x:f>
        <x:v>Não iniciado</x:v>
      </x:c>
      <x:c r="Y218" s="199" t="str"/>
      <x:c r="Z218" s="188" t="str">
        <x:v>Normal</x:v>
      </x:c>
    </x:row>
    <x:row r="219" ht="22" customHeight="1">
      <x:c r="A219" s="217" t="n">
        <x:v>215</x:v>
      </x:c>
      <x:c r="B219" s="218" t="str">
        <x:v>26792</x:v>
      </x:c>
      <x:c r="C219" s="218" t="str">
        <x:v>1</x:v>
      </x:c>
      <x:c r="D219" s="218" t="str">
        <x:v>609418</x:v>
      </x:c>
      <x:c r="E219" s="218" t="str">
        <x:v>2010600170</x:v>
      </x:c>
      <x:c r="F219" s="218" t="str">
        <x:v>BATENTE</x:v>
      </x:c>
      <x:c r="G219" s="184" t="str">
        <x:v>M T MDF STD PET TXT BCO 647X80X30 42X10</x:v>
      </x:c>
      <x:c r="H219" s="184" t="str"/>
      <x:c r="I219" s="184" t="str"/>
      <x:c r="J219" s="184" t="str"/>
      <x:c r="K219" s="184" t="str">
        <x:v>ESMALTE</x:v>
      </x:c>
      <x:c r="L219" s="184" t="str">
        <x:v>BRANCO CARRARA</x:v>
      </x:c>
      <x:c r="M219" s="205" t="n">
        <x:v>137</x:v>
      </x:c>
      <x:c r="N219" s="205" t="n">
        <x:v>647</x:v>
      </x:c>
      <x:c r="O219" s="205" t="n">
        <x:v>80</x:v>
      </x:c>
      <x:c r="P219" s="205" t="n">
        <x:v>30</x:v>
      </x:c>
      <x:c r="Q219" s="206" t="n">
        <x:v>0.213</x:v>
      </x:c>
      <x:c r="R219" s="207" t="str"/>
      <x:c r="S219" s="207" t="str"/>
      <x:c r="T219" s="207" t="str"/>
      <x:c r="U219" s="207" t="n">
        <x:v>0</x:v>
      </x:c>
      <x:c r="V219" s="208" t="n">
        <x:f>MAX(0,M219-U219)</x:f>
        <x:v>137</x:v>
      </x:c>
      <x:c r="W219" s="209" t="n">
        <x:f>IFERROR(U219/M219,0)</x:f>
        <x:v>0</x:v>
      </x:c>
      <x:c r="X219" s="201" t="str">
        <x:f>IF(U219=0,"Não iniciado",IF(U219&gt;=M219,"Concluído","Parcial"))</x:f>
        <x:v>Não iniciado</x:v>
      </x:c>
      <x:c r="Y219" s="199" t="str"/>
      <x:c r="Z219" s="188" t="str">
        <x:v>Normal</x:v>
      </x:c>
    </x:row>
    <x:row r="220" ht="22" customHeight="1">
      <x:c r="A220" s="219" t="n">
        <x:v>216</x:v>
      </x:c>
      <x:c r="B220" s="220" t="str">
        <x:v>26796</x:v>
      </x:c>
      <x:c r="C220" s="220" t="str">
        <x:v>1</x:v>
      </x:c>
      <x:c r="D220" s="220" t="str">
        <x:v>609289</x:v>
      </x:c>
      <x:c r="E220" s="220" t="str">
        <x:v>2010600170</x:v>
      </x:c>
      <x:c r="F220" s="220" t="str">
        <x:v>BATENTE</x:v>
      </x:c>
      <x:c r="G220" s="190" t="str">
        <x:v>M T MDF STD PET TXT BCO 647X80X30 42X10</x:v>
      </x:c>
      <x:c r="H220" s="190" t="str"/>
      <x:c r="I220" s="190" t="str"/>
      <x:c r="J220" s="190" t="str"/>
      <x:c r="K220" s="190" t="str">
        <x:v>ESMALTE</x:v>
      </x:c>
      <x:c r="L220" s="190" t="str">
        <x:v>BRANCO CARRARA</x:v>
      </x:c>
      <x:c r="M220" s="210" t="n">
        <x:v>216</x:v>
      </x:c>
      <x:c r="N220" s="210" t="n">
        <x:v>647</x:v>
      </x:c>
      <x:c r="O220" s="210" t="n">
        <x:v>80</x:v>
      </x:c>
      <x:c r="P220" s="210" t="n">
        <x:v>30</x:v>
      </x:c>
      <x:c r="Q220" s="211" t="n">
        <x:v>0.335</x:v>
      </x:c>
      <x:c r="R220" s="207" t="str"/>
      <x:c r="S220" s="207" t="str"/>
      <x:c r="T220" s="207" t="str"/>
      <x:c r="U220" s="207" t="n">
        <x:v>0</x:v>
      </x:c>
      <x:c r="V220" s="208" t="n">
        <x:f>MAX(0,M220-U220)</x:f>
        <x:v>216</x:v>
      </x:c>
      <x:c r="W220" s="209" t="n">
        <x:f>IFERROR(U220/M220,0)</x:f>
        <x:v>0</x:v>
      </x:c>
      <x:c r="X220" s="201" t="str">
        <x:f>IF(U220=0,"Não iniciado",IF(U220&gt;=M220,"Concluído","Parcial"))</x:f>
        <x:v>Não iniciado</x:v>
      </x:c>
      <x:c r="Y220" s="199" t="str"/>
      <x:c r="Z220" s="188" t="str">
        <x:v>Normal</x:v>
      </x:c>
    </x:row>
    <x:row r="221" ht="22" customHeight="1">
      <x:c r="A221" s="217" t="n">
        <x:v>217</x:v>
      </x:c>
      <x:c r="B221" s="218" t="str">
        <x:v>26799</x:v>
      </x:c>
      <x:c r="C221" s="218" t="str">
        <x:v>1</x:v>
      </x:c>
      <x:c r="D221" s="218" t="str">
        <x:v>609394</x:v>
      </x:c>
      <x:c r="E221" s="218" t="str">
        <x:v>2010600170</x:v>
      </x:c>
      <x:c r="F221" s="218" t="str">
        <x:v>BATENTE</x:v>
      </x:c>
      <x:c r="G221" s="184" t="str">
        <x:v>M T MDF STD PET TXT BCO 647X80X30 42X10</x:v>
      </x:c>
      <x:c r="H221" s="184" t="str"/>
      <x:c r="I221" s="184" t="str"/>
      <x:c r="J221" s="184" t="str"/>
      <x:c r="K221" s="184" t="str">
        <x:v>ESMALTE</x:v>
      </x:c>
      <x:c r="L221" s="184" t="str">
        <x:v>BRANCO CARRARA</x:v>
      </x:c>
      <x:c r="M221" s="205" t="n">
        <x:v>72</x:v>
      </x:c>
      <x:c r="N221" s="205" t="n">
        <x:v>647</x:v>
      </x:c>
      <x:c r="O221" s="205" t="n">
        <x:v>80</x:v>
      </x:c>
      <x:c r="P221" s="205" t="n">
        <x:v>30</x:v>
      </x:c>
      <x:c r="Q221" s="206" t="n">
        <x:v>0.112</x:v>
      </x:c>
      <x:c r="R221" s="207" t="str"/>
      <x:c r="S221" s="207" t="str"/>
      <x:c r="T221" s="207" t="str"/>
      <x:c r="U221" s="207" t="n">
        <x:v>0</x:v>
      </x:c>
      <x:c r="V221" s="208" t="n">
        <x:f>MAX(0,M221-U221)</x:f>
        <x:v>72</x:v>
      </x:c>
      <x:c r="W221" s="209" t="n">
        <x:f>IFERROR(U221/M221,0)</x:f>
        <x:v>0</x:v>
      </x:c>
      <x:c r="X221" s="201" t="str">
        <x:f>IF(U221=0,"Não iniciado",IF(U221&gt;=M221,"Concluído","Parcial"))</x:f>
        <x:v>Não iniciado</x:v>
      </x:c>
      <x:c r="Y221" s="199" t="str"/>
      <x:c r="Z221" s="188" t="str">
        <x:v>Normal</x:v>
      </x:c>
    </x:row>
    <x:row r="222" ht="22" customHeight="1">
      <x:c r="A222" s="219" t="n">
        <x:v>218</x:v>
      </x:c>
      <x:c r="B222" s="220" t="str">
        <x:v>26815</x:v>
      </x:c>
      <x:c r="C222" s="220" t="str">
        <x:v>1</x:v>
      </x:c>
      <x:c r="D222" s="220" t="str">
        <x:v>609487</x:v>
      </x:c>
      <x:c r="E222" s="220" t="str">
        <x:v>2010600170</x:v>
      </x:c>
      <x:c r="F222" s="220" t="str">
        <x:v>BATENTE</x:v>
      </x:c>
      <x:c r="G222" s="190" t="str">
        <x:v>M T MDF STD PET TXT BCO 647X80X30 42X10</x:v>
      </x:c>
      <x:c r="H222" s="190" t="str"/>
      <x:c r="I222" s="190" t="str"/>
      <x:c r="J222" s="190" t="str"/>
      <x:c r="K222" s="190" t="str">
        <x:v>ESMALTE</x:v>
      </x:c>
      <x:c r="L222" s="190" t="str">
        <x:v>BRANCO CARRARA</x:v>
      </x:c>
      <x:c r="M222" s="210" t="n">
        <x:v>154</x:v>
      </x:c>
      <x:c r="N222" s="210" t="n">
        <x:v>647</x:v>
      </x:c>
      <x:c r="O222" s="210" t="n">
        <x:v>80</x:v>
      </x:c>
      <x:c r="P222" s="210" t="n">
        <x:v>30</x:v>
      </x:c>
      <x:c r="Q222" s="211" t="n">
        <x:v>0.239</x:v>
      </x:c>
      <x:c r="R222" s="207" t="str"/>
      <x:c r="S222" s="207" t="str"/>
      <x:c r="T222" s="207" t="str"/>
      <x:c r="U222" s="207" t="n">
        <x:v>0</x:v>
      </x:c>
      <x:c r="V222" s="208" t="n">
        <x:f>MAX(0,M222-U222)</x:f>
        <x:v>154</x:v>
      </x:c>
      <x:c r="W222" s="209" t="n">
        <x:f>IFERROR(U222/M222,0)</x:f>
        <x:v>0</x:v>
      </x:c>
      <x:c r="X222" s="201" t="str">
        <x:f>IF(U222=0,"Não iniciado",IF(U222&gt;=M222,"Concluído","Parcial"))</x:f>
        <x:v>Não iniciado</x:v>
      </x:c>
      <x:c r="Y222" s="199" t="str"/>
      <x:c r="Z222" s="188" t="str">
        <x:v>Normal</x:v>
      </x:c>
    </x:row>
    <x:row r="223" ht="22" customHeight="1">
      <x:c r="A223" s="217" t="n">
        <x:v>219</x:v>
      </x:c>
      <x:c r="B223" s="218" t="str">
        <x:v>26824</x:v>
      </x:c>
      <x:c r="C223" s="218" t="str">
        <x:v>2</x:v>
      </x:c>
      <x:c r="D223" s="218" t="str">
        <x:v>609591</x:v>
      </x:c>
      <x:c r="E223" s="218" t="str">
        <x:v>2010600195</x:v>
      </x:c>
      <x:c r="F223" s="218" t="str">
        <x:v>BATENTE</x:v>
      </x:c>
      <x:c r="G223" s="184" t="str">
        <x:v>M P MDF STD PET TXT BCO 2110X70X30 42X10</x:v>
      </x:c>
      <x:c r="H223" s="184" t="str"/>
      <x:c r="I223" s="184" t="str"/>
      <x:c r="J223" s="184" t="str"/>
      <x:c r="K223" s="184" t="str">
        <x:v>ESMALTE</x:v>
      </x:c>
      <x:c r="L223" s="184" t="str">
        <x:v>BRANCO</x:v>
      </x:c>
      <x:c r="M223" s="205" t="n">
        <x:v>362</x:v>
      </x:c>
      <x:c r="N223" s="205" t="n">
        <x:v>2110</x:v>
      </x:c>
      <x:c r="O223" s="205" t="n">
        <x:v>70</x:v>
      </x:c>
      <x:c r="P223" s="205" t="n">
        <x:v>30</x:v>
      </x:c>
      <x:c r="Q223" s="206" t="n">
        <x:v>1.604</x:v>
      </x:c>
      <x:c r="R223" s="207" t="str"/>
      <x:c r="S223" s="207" t="str"/>
      <x:c r="T223" s="207" t="str"/>
      <x:c r="U223" s="207" t="n">
        <x:v>0</x:v>
      </x:c>
      <x:c r="V223" s="208" t="n">
        <x:f>MAX(0,M223-U223)</x:f>
        <x:v>362</x:v>
      </x:c>
      <x:c r="W223" s="209" t="n">
        <x:f>IFERROR(U223/M223,0)</x:f>
        <x:v>0</x:v>
      </x:c>
      <x:c r="X223" s="201" t="str">
        <x:f>IF(U223=0,"Não iniciado",IF(U223&gt;=M223,"Concluído","Parcial"))</x:f>
        <x:v>Não iniciado</x:v>
      </x:c>
      <x:c r="Y223" s="199" t="str"/>
      <x:c r="Z223" s="188" t="str">
        <x:v>Normal</x:v>
      </x:c>
    </x:row>
    <x:row r="224" ht="22" customHeight="1">
      <x:c r="A224" s="219" t="n">
        <x:v>220</x:v>
      </x:c>
      <x:c r="B224" s="220" t="str">
        <x:v>26520</x:v>
      </x:c>
      <x:c r="C224" s="220" t="str">
        <x:v>6</x:v>
      </x:c>
      <x:c r="D224" s="220" t="str">
        <x:v>610107</x:v>
      </x:c>
      <x:c r="E224" s="220" t="str">
        <x:v>2010700125</x:v>
      </x:c>
      <x:c r="F224" s="220" t="str">
        <x:v>BATENTE</x:v>
      </x:c>
      <x:c r="G224" s="190" t="str">
        <x:v>M P ULTRA PET CI VE 2110X70X30 42X10 R2L</x:v>
      </x:c>
      <x:c r="H224" s="190" t="str"/>
      <x:c r="I224" s="190" t="str"/>
      <x:c r="J224" s="190" t="str"/>
      <x:c r="K224" s="190" t="str">
        <x:v>RECOBERTO PET</x:v>
      </x:c>
      <x:c r="L224" s="190" t="str">
        <x:v>CINZA VERONA</x:v>
      </x:c>
      <x:c r="M224" s="210" t="n">
        <x:v>2</x:v>
      </x:c>
      <x:c r="N224" s="210" t="n">
        <x:v>2110</x:v>
      </x:c>
      <x:c r="O224" s="210" t="n">
        <x:v>70</x:v>
      </x:c>
      <x:c r="P224" s="210" t="n">
        <x:v>30</x:v>
      </x:c>
      <x:c r="Q224" s="211" t="n">
        <x:v>0.009</x:v>
      </x:c>
      <x:c r="R224" s="207" t="str"/>
      <x:c r="S224" s="207" t="str"/>
      <x:c r="T224" s="207" t="str"/>
      <x:c r="U224" s="207" t="n">
        <x:v>0</x:v>
      </x:c>
      <x:c r="V224" s="208" t="n">
        <x:f>MAX(0,M224-U224)</x:f>
        <x:v>2</x:v>
      </x:c>
      <x:c r="W224" s="209" t="n">
        <x:f>IFERROR(U224/M224,0)</x:f>
        <x:v>0</x:v>
      </x:c>
      <x:c r="X224" s="201" t="str">
        <x:f>IF(U224=0,"Não iniciado",IF(U224&gt;=M224,"Concluído","Parcial"))</x:f>
        <x:v>Não iniciado</x:v>
      </x:c>
      <x:c r="Y224" s="199" t="str"/>
      <x:c r="Z224" s="188" t="str">
        <x:v>Normal</x:v>
      </x:c>
    </x:row>
    <x:row r="225" ht="22" customHeight="1">
      <x:c r="A225" s="217" t="n">
        <x:v>221</x:v>
      </x:c>
      <x:c r="B225" s="218" t="str">
        <x:v>26809</x:v>
      </x:c>
      <x:c r="C225" s="218" t="str">
        <x:v>12</x:v>
      </x:c>
      <x:c r="D225" s="218" t="str">
        <x:v>609964</x:v>
      </x:c>
      <x:c r="E225" s="218" t="str">
        <x:v>2020700635</x:v>
      </x:c>
      <x:c r="F225" s="218" t="str">
        <x:v>OUTROS</x:v>
      </x:c>
      <x:c r="G225" s="184" t="str">
        <x:v>A ULTRA PET CAP M 1400X70X9 RG(55) RTO</x:v>
      </x:c>
      <x:c r="H225" s="184" t="str">
        <x:v>REG 2L(MAIOR 55MM)</x:v>
      </x:c>
      <x:c r="I225" s="184" t="str"/>
      <x:c r="J225" s="184" t="str"/>
      <x:c r="K225" s="184" t="str">
        <x:v>RECOBERTO PET</x:v>
      </x:c>
      <x:c r="L225" s="184" t="str">
        <x:v>CAPUCCINO MARCHE</x:v>
      </x:c>
      <x:c r="M225" s="205" t="n">
        <x:v>1</x:v>
      </x:c>
      <x:c r="N225" s="205" t="n">
        <x:v>1400</x:v>
      </x:c>
      <x:c r="O225" s="205" t="n">
        <x:v>70</x:v>
      </x:c>
      <x:c r="P225" s="205" t="n">
        <x:v>9</x:v>
      </x:c>
      <x:c r="Q225" s="206" t="n">
        <x:v>0</x:v>
      </x:c>
      <x:c r="R225" s="207" t="str"/>
      <x:c r="S225" s="207" t="str"/>
      <x:c r="T225" s="207" t="str"/>
      <x:c r="U225" s="207" t="n">
        <x:v>0</x:v>
      </x:c>
      <x:c r="V225" s="208" t="n">
        <x:f>MAX(0,M225-U225)</x:f>
        <x:v>1</x:v>
      </x:c>
      <x:c r="W225" s="209" t="n">
        <x:f>IFERROR(U225/M225,0)</x:f>
        <x:v>0</x:v>
      </x:c>
      <x:c r="X225" s="201" t="str">
        <x:f>IF(U225=0,"Não iniciado",IF(U225&gt;=M225,"Concluído","Parcial"))</x:f>
        <x:v>Não iniciado</x:v>
      </x:c>
      <x:c r="Y225" s="199" t="str"/>
      <x:c r="Z225" s="188" t="str">
        <x:v>Normal</x:v>
      </x:c>
    </x:row>
    <x:row r="226" ht="22" customHeight="1">
      <x:c r="A226" s="219" t="n">
        <x:v>222</x:v>
      </x:c>
      <x:c r="B226" s="220" t="str">
        <x:v>26809</x:v>
      </x:c>
      <x:c r="C226" s="220" t="str">
        <x:v>12</x:v>
      </x:c>
      <x:c r="D226" s="220" t="str">
        <x:v>609965</x:v>
      </x:c>
      <x:c r="E226" s="220" t="str">
        <x:v>2020700636</x:v>
      </x:c>
      <x:c r="F226" s="220" t="str">
        <x:v>OUTROS</x:v>
      </x:c>
      <x:c r="G226" s="190" t="str">
        <x:v>A ULTRA PET CAP M 1400X70X9 RG(ME) RTO</x:v>
      </x:c>
      <x:c r="H226" s="190" t="str">
        <x:v>REG 2L(MAIOR 55MM)</x:v>
      </x:c>
      <x:c r="I226" s="190" t="str"/>
      <x:c r="J226" s="190" t="str"/>
      <x:c r="K226" s="190" t="str">
        <x:v>RECOBERTO PET</x:v>
      </x:c>
      <x:c r="L226" s="190" t="str">
        <x:v>CAPUCCINO MARCHE</x:v>
      </x:c>
      <x:c r="M226" s="210" t="n">
        <x:v>1</x:v>
      </x:c>
      <x:c r="N226" s="210" t="n">
        <x:v>1400</x:v>
      </x:c>
      <x:c r="O226" s="210" t="n">
        <x:v>70</x:v>
      </x:c>
      <x:c r="P226" s="210" t="n">
        <x:v>9</x:v>
      </x:c>
      <x:c r="Q226" s="211" t="n">
        <x:v>0</x:v>
      </x:c>
      <x:c r="R226" s="207" t="str"/>
      <x:c r="S226" s="207" t="str"/>
      <x:c r="T226" s="207" t="str"/>
      <x:c r="U226" s="207" t="n">
        <x:v>0</x:v>
      </x:c>
      <x:c r="V226" s="208" t="n">
        <x:f>MAX(0,M226-U226)</x:f>
        <x:v>1</x:v>
      </x:c>
      <x:c r="W226" s="209" t="n">
        <x:f>IFERROR(U226/M226,0)</x:f>
        <x:v>0</x:v>
      </x:c>
      <x:c r="X226" s="201" t="str">
        <x:f>IF(U226=0,"Não iniciado",IF(U226&gt;=M226,"Concluído","Parcial"))</x:f>
        <x:v>Não iniciado</x:v>
      </x:c>
      <x:c r="Y226" s="199" t="str"/>
      <x:c r="Z226" s="188" t="str">
        <x:v>Normal</x:v>
      </x:c>
    </x:row>
    <x:row r="227" ht="22" customHeight="1">
      <x:c r="A227" s="217" t="n">
        <x:v>223</x:v>
      </x:c>
      <x:c r="B227" s="218" t="str">
        <x:v>26808</x:v>
      </x:c>
      <x:c r="C227" s="218" t="str">
        <x:v>11</x:v>
      </x:c>
      <x:c r="D227" s="218" t="str">
        <x:v>608977</x:v>
      </x:c>
      <x:c r="E227" s="218" t="str">
        <x:v>962769</x:v>
      </x:c>
      <x:c r="F227" s="218" t="str">
        <x:v>OUTROS</x:v>
      </x:c>
      <x:c r="G227" s="184" t="str">
        <x:v>TR AL 1200X70X9 RTO RL35 REC PET BCO (UL</x:v>
      </x:c>
      <x:c r="H227" s="184" t="str"/>
      <x:c r="I227" s="184" t="str"/>
      <x:c r="J227" s="184" t="str"/>
      <x:c r="K227" s="184" t="str">
        <x:v>ESMALTE</x:v>
      </x:c>
      <x:c r="L227" s="184" t="str">
        <x:v>BRANCO CARRARA</x:v>
      </x:c>
      <x:c r="M227" s="205" t="n">
        <x:v>1</x:v>
      </x:c>
      <x:c r="N227" s="205" t="n">
        <x:v>1200</x:v>
      </x:c>
      <x:c r="O227" s="205" t="n">
        <x:v>70</x:v>
      </x:c>
      <x:c r="P227" s="205" t="n">
        <x:v>9</x:v>
      </x:c>
      <x:c r="Q227" s="206" t="n">
        <x:v>0</x:v>
      </x:c>
      <x:c r="R227" s="207" t="str"/>
      <x:c r="S227" s="207" t="str"/>
      <x:c r="T227" s="207" t="str"/>
      <x:c r="U227" s="207" t="n">
        <x:v>0</x:v>
      </x:c>
      <x:c r="V227" s="208" t="n">
        <x:f>MAX(0,M227-U227)</x:f>
        <x:v>1</x:v>
      </x:c>
      <x:c r="W227" s="209" t="n">
        <x:f>IFERROR(U227/M227,0)</x:f>
        <x:v>0</x:v>
      </x:c>
      <x:c r="X227" s="201" t="str">
        <x:f>IF(U227=0,"Não iniciado",IF(U227&gt;=M227,"Concluído","Parcial"))</x:f>
        <x:v>Não iniciado</x:v>
      </x:c>
      <x:c r="Y227" s="199" t="str"/>
      <x:c r="Z227" s="188" t="str">
        <x:v>Normal</x:v>
      </x:c>
    </x:row>
    <x:row r="228" ht="22" customHeight="1">
      <x:c r="A228" s="219" t="n">
        <x:v>224</x:v>
      </x:c>
      <x:c r="B228" s="220" t="str">
        <x:v>26808</x:v>
      </x:c>
      <x:c r="C228" s="220" t="str">
        <x:v>11</x:v>
      </x:c>
      <x:c r="D228" s="220" t="str">
        <x:v>608978</x:v>
      </x:c>
      <x:c r="E228" s="220" t="str">
        <x:v>962770</x:v>
      </x:c>
      <x:c r="F228" s="220" t="str">
        <x:v>OUTROS</x:v>
      </x:c>
      <x:c r="G228" s="190" t="str">
        <x:v>TR ALI 1200X70X9 RTO LME REC PET BCO(ULT</x:v>
      </x:c>
      <x:c r="H228" s="190" t="str"/>
      <x:c r="I228" s="190" t="str"/>
      <x:c r="J228" s="190" t="str"/>
      <x:c r="K228" s="190" t="str">
        <x:v>ESMALTE</x:v>
      </x:c>
      <x:c r="L228" s="190" t="str">
        <x:v>BRANCO CARRARA</x:v>
      </x:c>
      <x:c r="M228" s="210" t="n">
        <x:v>1</x:v>
      </x:c>
      <x:c r="N228" s="210" t="n">
        <x:v>1200</x:v>
      </x:c>
      <x:c r="O228" s="210" t="n">
        <x:v>70</x:v>
      </x:c>
      <x:c r="P228" s="210" t="n">
        <x:v>9</x:v>
      </x:c>
      <x:c r="Q228" s="211" t="n">
        <x:v>0</x:v>
      </x:c>
      <x:c r="R228" s="207" t="str"/>
      <x:c r="S228" s="207" t="str"/>
      <x:c r="T228" s="207" t="str"/>
      <x:c r="U228" s="207" t="n">
        <x:v>0</x:v>
      </x:c>
      <x:c r="V228" s="208" t="n">
        <x:f>MAX(0,M228-U228)</x:f>
        <x:v>1</x:v>
      </x:c>
      <x:c r="W228" s="209" t="n">
        <x:f>IFERROR(U228/M228,0)</x:f>
        <x:v>0</x:v>
      </x:c>
      <x:c r="X228" s="201" t="str">
        <x:f>IF(U228=0,"Não iniciado",IF(U228&gt;=M228,"Concluído","Parcial"))</x:f>
        <x:v>Não iniciado</x:v>
      </x:c>
      <x:c r="Y228" s="199" t="str"/>
      <x:c r="Z228" s="188" t="str">
        <x:v>Normal</x:v>
      </x:c>
    </x:row>
    <x:row r="229" ht="22" customHeight="1">
      <x:c r="A229" s="217" t="n">
        <x:v>225</x:v>
      </x:c>
      <x:c r="B229" s="218" t="str">
        <x:v>26684</x:v>
      </x:c>
      <x:c r="C229" s="218" t="str">
        <x:v>1</x:v>
      </x:c>
      <x:c r="D229" s="218" t="str">
        <x:v>609114</x:v>
      </x:c>
      <x:c r="E229" s="218" t="str">
        <x:v>981166</x:v>
      </x:c>
      <x:c r="F229" s="218" t="str">
        <x:v>ALIZAR</x:v>
      </x:c>
      <x:c r="G229" s="184" t="str">
        <x:v>T A 1100X70X15 RTO RL55 REC PET BCO(STD)</x:v>
      </x:c>
      <x:c r="H229" s="184" t="str"/>
      <x:c r="I229" s="184" t="str"/>
      <x:c r="J229" s="184" t="str"/>
      <x:c r="K229" s="184" t="str">
        <x:v>ESMALTE</x:v>
      </x:c>
      <x:c r="L229" s="184" t="str">
        <x:v>BRANCO CARRARA</x:v>
      </x:c>
      <x:c r="M229" s="205" t="n">
        <x:v>1</x:v>
      </x:c>
      <x:c r="N229" s="205" t="n">
        <x:v>1100</x:v>
      </x:c>
      <x:c r="O229" s="205" t="n">
        <x:v>70</x:v>
      </x:c>
      <x:c r="P229" s="205" t="n">
        <x:v>15</x:v>
      </x:c>
      <x:c r="Q229" s="206" t="n">
        <x:v>0</x:v>
      </x:c>
      <x:c r="R229" s="207" t="str"/>
      <x:c r="S229" s="207" t="str"/>
      <x:c r="T229" s="207" t="str"/>
      <x:c r="U229" s="207" t="n">
        <x:v>0</x:v>
      </x:c>
      <x:c r="V229" s="208" t="n">
        <x:f>MAX(0,M229-U229)</x:f>
        <x:v>1</x:v>
      </x:c>
      <x:c r="W229" s="209" t="n">
        <x:f>IFERROR(U229/M229,0)</x:f>
        <x:v>0</x:v>
      </x:c>
      <x:c r="X229" s="201" t="str">
        <x:f>IF(U229=0,"Não iniciado",IF(U229&gt;=M229,"Concluído","Parcial"))</x:f>
        <x:v>Não iniciado</x:v>
      </x:c>
      <x:c r="Y229" s="199" t="str"/>
      <x:c r="Z229" s="188" t="str">
        <x:v>Normal</x:v>
      </x:c>
    </x:row>
    <x:row r="230" ht="22" customHeight="1">
      <x:c r="A230" s="219" t="n">
        <x:v>226</x:v>
      </x:c>
      <x:c r="B230" s="220" t="str">
        <x:v>26684</x:v>
      </x:c>
      <x:c r="C230" s="220" t="str">
        <x:v>1</x:v>
      </x:c>
      <x:c r="D230" s="220" t="str">
        <x:v>609115</x:v>
      </x:c>
      <x:c r="E230" s="220" t="str">
        <x:v>981556</x:v>
      </x:c>
      <x:c r="F230" s="220" t="str">
        <x:v>ALIZAR</x:v>
      </x:c>
      <x:c r="G230" s="190" t="str">
        <x:v>T A 1100X70X15 RTO LMN REC PET BCO(STD)</x:v>
      </x:c>
      <x:c r="H230" s="190" t="str"/>
      <x:c r="I230" s="190" t="str"/>
      <x:c r="J230" s="190" t="str"/>
      <x:c r="K230" s="190" t="str">
        <x:v>ESMALTE</x:v>
      </x:c>
      <x:c r="L230" s="190" t="str">
        <x:v>BRANCO CARRARA</x:v>
      </x:c>
      <x:c r="M230" s="210" t="n">
        <x:v>1</x:v>
      </x:c>
      <x:c r="N230" s="210" t="n">
        <x:v>1100</x:v>
      </x:c>
      <x:c r="O230" s="210" t="n">
        <x:v>70</x:v>
      </x:c>
      <x:c r="P230" s="210" t="n">
        <x:v>15</x:v>
      </x:c>
      <x:c r="Q230" s="211" t="n">
        <x:v>0</x:v>
      </x:c>
      <x:c r="R230" s="207" t="str"/>
      <x:c r="S230" s="207" t="str"/>
      <x:c r="T230" s="207" t="str"/>
      <x:c r="U230" s="207" t="n">
        <x:v>0</x:v>
      </x:c>
      <x:c r="V230" s="208" t="n">
        <x:f>MAX(0,M230-U230)</x:f>
        <x:v>1</x:v>
      </x:c>
      <x:c r="W230" s="209" t="n">
        <x:f>IFERROR(U230/M230,0)</x:f>
        <x:v>0</x:v>
      </x:c>
      <x:c r="X230" s="201" t="str">
        <x:f>IF(U230=0,"Não iniciado",IF(U230&gt;=M230,"Concluído","Parcial"))</x:f>
        <x:v>Não iniciado</x:v>
      </x:c>
      <x:c r="Y230" s="199" t="str"/>
      <x:c r="Z230" s="188" t="str">
        <x:v>Normal</x:v>
      </x:c>
    </x:row>
    <x:row r="231" ht="22" customHeight="1">
      <x:c r="A231" s="217" t="n">
        <x:v>227</x:v>
      </x:c>
      <x:c r="B231" s="218" t="str">
        <x:v>26684</x:v>
      </x:c>
      <x:c r="C231" s="218" t="str">
        <x:v>2</x:v>
      </x:c>
      <x:c r="D231" s="218" t="str">
        <x:v>609120</x:v>
      </x:c>
      <x:c r="E231" s="218" t="str">
        <x:v>981166</x:v>
      </x:c>
      <x:c r="F231" s="218" t="str">
        <x:v>ALIZAR</x:v>
      </x:c>
      <x:c r="G231" s="184" t="str">
        <x:v>T A 1100X70X15 RTO RL55 REC PET BCO(STD)</x:v>
      </x:c>
      <x:c r="H231" s="184" t="str"/>
      <x:c r="I231" s="184" t="str"/>
      <x:c r="J231" s="184" t="str"/>
      <x:c r="K231" s="184" t="str">
        <x:v>ESMALTE</x:v>
      </x:c>
      <x:c r="L231" s="184" t="str">
        <x:v>BRANCO CARRARA</x:v>
      </x:c>
      <x:c r="M231" s="205" t="n">
        <x:v>28</x:v>
      </x:c>
      <x:c r="N231" s="205" t="n">
        <x:v>1100</x:v>
      </x:c>
      <x:c r="O231" s="205" t="n">
        <x:v>70</x:v>
      </x:c>
      <x:c r="P231" s="205" t="n">
        <x:v>15</x:v>
      </x:c>
      <x:c r="Q231" s="206" t="n">
        <x:v>0</x:v>
      </x:c>
      <x:c r="R231" s="207" t="str"/>
      <x:c r="S231" s="207" t="str"/>
      <x:c r="T231" s="207" t="str"/>
      <x:c r="U231" s="207" t="n">
        <x:v>0</x:v>
      </x:c>
      <x:c r="V231" s="208" t="n">
        <x:f>MAX(0,M231-U231)</x:f>
        <x:v>28</x:v>
      </x:c>
      <x:c r="W231" s="209" t="n">
        <x:f>IFERROR(U231/M231,0)</x:f>
        <x:v>0</x:v>
      </x:c>
      <x:c r="X231" s="201" t="str">
        <x:f>IF(U231=0,"Não iniciado",IF(U231&gt;=M231,"Concluído","Parcial"))</x:f>
        <x:v>Não iniciado</x:v>
      </x:c>
      <x:c r="Y231" s="199" t="str"/>
      <x:c r="Z231" s="188" t="str">
        <x:v>Normal</x:v>
      </x:c>
    </x:row>
    <x:row r="232" ht="22" customHeight="1">
      <x:c r="A232" s="219" t="n">
        <x:v>228</x:v>
      </x:c>
      <x:c r="B232" s="220" t="str">
        <x:v>26684</x:v>
      </x:c>
      <x:c r="C232" s="220" t="str">
        <x:v>2</x:v>
      </x:c>
      <x:c r="D232" s="220" t="str">
        <x:v>609121</x:v>
      </x:c>
      <x:c r="E232" s="220" t="str">
        <x:v>981556</x:v>
      </x:c>
      <x:c r="F232" s="220" t="str">
        <x:v>ALIZAR</x:v>
      </x:c>
      <x:c r="G232" s="190" t="str">
        <x:v>T A 1100X70X15 RTO LMN REC PET BCO(STD)</x:v>
      </x:c>
      <x:c r="H232" s="190" t="str"/>
      <x:c r="I232" s="190" t="str"/>
      <x:c r="J232" s="190" t="str"/>
      <x:c r="K232" s="190" t="str">
        <x:v>ESMALTE</x:v>
      </x:c>
      <x:c r="L232" s="190" t="str">
        <x:v>BRANCO CARRARA</x:v>
      </x:c>
      <x:c r="M232" s="210" t="n">
        <x:v>28</x:v>
      </x:c>
      <x:c r="N232" s="210" t="n">
        <x:v>1100</x:v>
      </x:c>
      <x:c r="O232" s="210" t="n">
        <x:v>70</x:v>
      </x:c>
      <x:c r="P232" s="210" t="n">
        <x:v>15</x:v>
      </x:c>
      <x:c r="Q232" s="211" t="n">
        <x:v>0</x:v>
      </x:c>
      <x:c r="R232" s="207" t="str"/>
      <x:c r="S232" s="207" t="str"/>
      <x:c r="T232" s="207" t="str"/>
      <x:c r="U232" s="207" t="n">
        <x:v>0</x:v>
      </x:c>
      <x:c r="V232" s="208" t="n">
        <x:f>MAX(0,M232-U232)</x:f>
        <x:v>28</x:v>
      </x:c>
      <x:c r="W232" s="209" t="n">
        <x:f>IFERROR(U232/M232,0)</x:f>
        <x:v>0</x:v>
      </x:c>
      <x:c r="X232" s="201" t="str">
        <x:f>IF(U232=0,"Não iniciado",IF(U232&gt;=M232,"Concluído","Parcial"))</x:f>
        <x:v>Não iniciado</x:v>
      </x:c>
      <x:c r="Y232" s="199" t="str"/>
      <x:c r="Z232" s="188" t="str">
        <x:v>Normal</x:v>
      </x:c>
    </x:row>
    <x:row r="233" ht="22" customHeight="1">
      <x:c r="A233" s="217" t="n">
        <x:v>229</x:v>
      </x:c>
      <x:c r="B233" s="218" t="str">
        <x:v>26684</x:v>
      </x:c>
      <x:c r="C233" s="218" t="str">
        <x:v>3</x:v>
      </x:c>
      <x:c r="D233" s="218" t="str">
        <x:v>609130</x:v>
      </x:c>
      <x:c r="E233" s="218" t="str">
        <x:v>981166</x:v>
      </x:c>
      <x:c r="F233" s="218" t="str">
        <x:v>ALIZAR</x:v>
      </x:c>
      <x:c r="G233" s="184" t="str">
        <x:v>T A 1100X70X15 RTO RL55 REC PET BCO(STD)</x:v>
      </x:c>
      <x:c r="H233" s="184" t="str"/>
      <x:c r="I233" s="184" t="str"/>
      <x:c r="J233" s="184" t="str"/>
      <x:c r="K233" s="184" t="str">
        <x:v>ESMALTE</x:v>
      </x:c>
      <x:c r="L233" s="184" t="str">
        <x:v>BRANCO CARRARA</x:v>
      </x:c>
      <x:c r="M233" s="205" t="n">
        <x:v>3</x:v>
      </x:c>
      <x:c r="N233" s="205" t="n">
        <x:v>1100</x:v>
      </x:c>
      <x:c r="O233" s="205" t="n">
        <x:v>70</x:v>
      </x:c>
      <x:c r="P233" s="205" t="n">
        <x:v>15</x:v>
      </x:c>
      <x:c r="Q233" s="206" t="n">
        <x:v>0</x:v>
      </x:c>
      <x:c r="R233" s="207" t="str"/>
      <x:c r="S233" s="207" t="str"/>
      <x:c r="T233" s="207" t="str"/>
      <x:c r="U233" s="207" t="n">
        <x:v>0</x:v>
      </x:c>
      <x:c r="V233" s="208" t="n">
        <x:f>MAX(0,M233-U233)</x:f>
        <x:v>3</x:v>
      </x:c>
      <x:c r="W233" s="209" t="n">
        <x:f>IFERROR(U233/M233,0)</x:f>
        <x:v>0</x:v>
      </x:c>
      <x:c r="X233" s="201" t="str">
        <x:f>IF(U233=0,"Não iniciado",IF(U233&gt;=M233,"Concluído","Parcial"))</x:f>
        <x:v>Não iniciado</x:v>
      </x:c>
      <x:c r="Y233" s="199" t="str"/>
      <x:c r="Z233" s="188" t="str">
        <x:v>Normal</x:v>
      </x:c>
    </x:row>
    <x:row r="234" ht="22" customHeight="1">
      <x:c r="A234" s="219" t="n">
        <x:v>230</x:v>
      </x:c>
      <x:c r="B234" s="220" t="str">
        <x:v>26684</x:v>
      </x:c>
      <x:c r="C234" s="220" t="str">
        <x:v>3</x:v>
      </x:c>
      <x:c r="D234" s="220" t="str">
        <x:v>609131</x:v>
      </x:c>
      <x:c r="E234" s="220" t="str">
        <x:v>981556</x:v>
      </x:c>
      <x:c r="F234" s="220" t="str">
        <x:v>ALIZAR</x:v>
      </x:c>
      <x:c r="G234" s="190" t="str">
        <x:v>T A 1100X70X15 RTO LMN REC PET BCO(STD)</x:v>
      </x:c>
      <x:c r="H234" s="190" t="str"/>
      <x:c r="I234" s="190" t="str"/>
      <x:c r="J234" s="190" t="str"/>
      <x:c r="K234" s="190" t="str">
        <x:v>ESMALTE</x:v>
      </x:c>
      <x:c r="L234" s="190" t="str">
        <x:v>BRANCO CARRARA</x:v>
      </x:c>
      <x:c r="M234" s="210" t="n">
        <x:v>3</x:v>
      </x:c>
      <x:c r="N234" s="210" t="n">
        <x:v>1100</x:v>
      </x:c>
      <x:c r="O234" s="210" t="n">
        <x:v>70</x:v>
      </x:c>
      <x:c r="P234" s="210" t="n">
        <x:v>15</x:v>
      </x:c>
      <x:c r="Q234" s="211" t="n">
        <x:v>0</x:v>
      </x:c>
      <x:c r="R234" s="207" t="str"/>
      <x:c r="S234" s="207" t="str"/>
      <x:c r="T234" s="207" t="str"/>
      <x:c r="U234" s="207" t="n">
        <x:v>0</x:v>
      </x:c>
      <x:c r="V234" s="208" t="n">
        <x:f>MAX(0,M234-U234)</x:f>
        <x:v>3</x:v>
      </x:c>
      <x:c r="W234" s="209" t="n">
        <x:f>IFERROR(U234/M234,0)</x:f>
        <x:v>0</x:v>
      </x:c>
      <x:c r="X234" s="201" t="str">
        <x:f>IF(U234=0,"Não iniciado",IF(U234&gt;=M234,"Concluído","Parcial"))</x:f>
        <x:v>Não iniciado</x:v>
      </x:c>
      <x:c r="Y234" s="199" t="str"/>
      <x:c r="Z234" s="188" t="str">
        <x:v>Normal</x:v>
      </x:c>
    </x:row>
    <x:row r="235" ht="22" customHeight="1">
      <x:c r="A235" s="217" t="n">
        <x:v>231</x:v>
      </x:c>
      <x:c r="B235" s="218" t="str">
        <x:v>26684</x:v>
      </x:c>
      <x:c r="C235" s="218" t="str">
        <x:v>4</x:v>
      </x:c>
      <x:c r="D235" s="218" t="str">
        <x:v>609138</x:v>
      </x:c>
      <x:c r="E235" s="218" t="str">
        <x:v>981166</x:v>
      </x:c>
      <x:c r="F235" s="218" t="str">
        <x:v>ALIZAR</x:v>
      </x:c>
      <x:c r="G235" s="184" t="str">
        <x:v>T A 1100X70X15 RTO RL55 REC PET BCO(STD)</x:v>
      </x:c>
      <x:c r="H235" s="184" t="str"/>
      <x:c r="I235" s="184" t="str"/>
      <x:c r="J235" s="184" t="str"/>
      <x:c r="K235" s="184" t="str">
        <x:v>ESMALTE</x:v>
      </x:c>
      <x:c r="L235" s="184" t="str">
        <x:v>BRANCO CARRARA</x:v>
      </x:c>
      <x:c r="M235" s="205" t="n">
        <x:v>55</x:v>
      </x:c>
      <x:c r="N235" s="205" t="n">
        <x:v>1100</x:v>
      </x:c>
      <x:c r="O235" s="205" t="n">
        <x:v>70</x:v>
      </x:c>
      <x:c r="P235" s="205" t="n">
        <x:v>15</x:v>
      </x:c>
      <x:c r="Q235" s="206" t="n">
        <x:v>0</x:v>
      </x:c>
      <x:c r="R235" s="207" t="str"/>
      <x:c r="S235" s="207" t="str"/>
      <x:c r="T235" s="207" t="str"/>
      <x:c r="U235" s="207" t="n">
        <x:v>0</x:v>
      </x:c>
      <x:c r="V235" s="208" t="n">
        <x:f>MAX(0,M235-U235)</x:f>
        <x:v>55</x:v>
      </x:c>
      <x:c r="W235" s="209" t="n">
        <x:f>IFERROR(U235/M235,0)</x:f>
        <x:v>0</x:v>
      </x:c>
      <x:c r="X235" s="201" t="str">
        <x:f>IF(U235=0,"Não iniciado",IF(U235&gt;=M235,"Concluído","Parcial"))</x:f>
        <x:v>Não iniciado</x:v>
      </x:c>
      <x:c r="Y235" s="199" t="str"/>
      <x:c r="Z235" s="188" t="str">
        <x:v>Normal</x:v>
      </x:c>
    </x:row>
    <x:row r="236" ht="22" customHeight="1">
      <x:c r="A236" s="219" t="n">
        <x:v>232</x:v>
      </x:c>
      <x:c r="B236" s="220" t="str">
        <x:v>26684</x:v>
      </x:c>
      <x:c r="C236" s="220" t="str">
        <x:v>4</x:v>
      </x:c>
      <x:c r="D236" s="220" t="str">
        <x:v>609139</x:v>
      </x:c>
      <x:c r="E236" s="220" t="str">
        <x:v>981556</x:v>
      </x:c>
      <x:c r="F236" s="220" t="str">
        <x:v>ALIZAR</x:v>
      </x:c>
      <x:c r="G236" s="190" t="str">
        <x:v>T A 1100X70X15 RTO LMN REC PET BCO(STD)</x:v>
      </x:c>
      <x:c r="H236" s="190" t="str"/>
      <x:c r="I236" s="190" t="str"/>
      <x:c r="J236" s="190" t="str"/>
      <x:c r="K236" s="190" t="str">
        <x:v>ESMALTE</x:v>
      </x:c>
      <x:c r="L236" s="190" t="str">
        <x:v>BRANCO CARRARA</x:v>
      </x:c>
      <x:c r="M236" s="210" t="n">
        <x:v>55</x:v>
      </x:c>
      <x:c r="N236" s="210" t="n">
        <x:v>1100</x:v>
      </x:c>
      <x:c r="O236" s="210" t="n">
        <x:v>70</x:v>
      </x:c>
      <x:c r="P236" s="210" t="n">
        <x:v>15</x:v>
      </x:c>
      <x:c r="Q236" s="211" t="n">
        <x:v>0</x:v>
      </x:c>
      <x:c r="R236" s="207" t="str"/>
      <x:c r="S236" s="207" t="str"/>
      <x:c r="T236" s="207" t="str"/>
      <x:c r="U236" s="207" t="n">
        <x:v>0</x:v>
      </x:c>
      <x:c r="V236" s="208" t="n">
        <x:f>MAX(0,M236-U236)</x:f>
        <x:v>55</x:v>
      </x:c>
      <x:c r="W236" s="209" t="n">
        <x:f>IFERROR(U236/M236,0)</x:f>
        <x:v>0</x:v>
      </x:c>
      <x:c r="X236" s="201" t="str">
        <x:f>IF(U236=0,"Não iniciado",IF(U236&gt;=M236,"Concluído","Parcial"))</x:f>
        <x:v>Não iniciado</x:v>
      </x:c>
      <x:c r="Y236" s="199" t="str"/>
      <x:c r="Z236" s="188" t="str">
        <x:v>Normal</x:v>
      </x:c>
    </x:row>
    <x:row r="237" ht="22" customHeight="1">
      <x:c r="A237" s="217" t="n">
        <x:v>233</x:v>
      </x:c>
      <x:c r="B237" s="218" t="str">
        <x:v>26684</x:v>
      </x:c>
      <x:c r="C237" s="218" t="str">
        <x:v>5</x:v>
      </x:c>
      <x:c r="D237" s="218" t="str">
        <x:v>609146</x:v>
      </x:c>
      <x:c r="E237" s="218" t="str">
        <x:v>981166</x:v>
      </x:c>
      <x:c r="F237" s="218" t="str">
        <x:v>ALIZAR</x:v>
      </x:c>
      <x:c r="G237" s="184" t="str">
        <x:v>T A 1100X70X15 RTO RL55 REC PET BCO(STD)</x:v>
      </x:c>
      <x:c r="H237" s="184" t="str"/>
      <x:c r="I237" s="184" t="str"/>
      <x:c r="J237" s="184" t="str"/>
      <x:c r="K237" s="184" t="str">
        <x:v>ESMALTE</x:v>
      </x:c>
      <x:c r="L237" s="184" t="str">
        <x:v>BRANCO CARRARA</x:v>
      </x:c>
      <x:c r="M237" s="205" t="n">
        <x:v>6</x:v>
      </x:c>
      <x:c r="N237" s="205" t="n">
        <x:v>1100</x:v>
      </x:c>
      <x:c r="O237" s="205" t="n">
        <x:v>70</x:v>
      </x:c>
      <x:c r="P237" s="205" t="n">
        <x:v>15</x:v>
      </x:c>
      <x:c r="Q237" s="206" t="n">
        <x:v>0</x:v>
      </x:c>
      <x:c r="R237" s="207" t="str"/>
      <x:c r="S237" s="207" t="str"/>
      <x:c r="T237" s="207" t="str"/>
      <x:c r="U237" s="207" t="n">
        <x:v>0</x:v>
      </x:c>
      <x:c r="V237" s="208" t="n">
        <x:f>MAX(0,M237-U237)</x:f>
        <x:v>6</x:v>
      </x:c>
      <x:c r="W237" s="209" t="n">
        <x:f>IFERROR(U237/M237,0)</x:f>
        <x:v>0</x:v>
      </x:c>
      <x:c r="X237" s="201" t="str">
        <x:f>IF(U237=0,"Não iniciado",IF(U237&gt;=M237,"Concluído","Parcial"))</x:f>
        <x:v>Não iniciado</x:v>
      </x:c>
      <x:c r="Y237" s="199" t="str"/>
      <x:c r="Z237" s="188" t="str">
        <x:v>Normal</x:v>
      </x:c>
    </x:row>
    <x:row r="238" ht="22" customHeight="1">
      <x:c r="A238" s="219" t="n">
        <x:v>234</x:v>
      </x:c>
      <x:c r="B238" s="220" t="str">
        <x:v>26684</x:v>
      </x:c>
      <x:c r="C238" s="220" t="str">
        <x:v>5</x:v>
      </x:c>
      <x:c r="D238" s="220" t="str">
        <x:v>609147</x:v>
      </x:c>
      <x:c r="E238" s="220" t="str">
        <x:v>981556</x:v>
      </x:c>
      <x:c r="F238" s="220" t="str">
        <x:v>ALIZAR</x:v>
      </x:c>
      <x:c r="G238" s="190" t="str">
        <x:v>T A 1100X70X15 RTO LMN REC PET BCO(STD)</x:v>
      </x:c>
      <x:c r="H238" s="190" t="str"/>
      <x:c r="I238" s="190" t="str"/>
      <x:c r="J238" s="190" t="str"/>
      <x:c r="K238" s="190" t="str">
        <x:v>ESMALTE</x:v>
      </x:c>
      <x:c r="L238" s="190" t="str">
        <x:v>BRANCO CARRARA</x:v>
      </x:c>
      <x:c r="M238" s="210" t="n">
        <x:v>6</x:v>
      </x:c>
      <x:c r="N238" s="210" t="n">
        <x:v>1100</x:v>
      </x:c>
      <x:c r="O238" s="210" t="n">
        <x:v>70</x:v>
      </x:c>
      <x:c r="P238" s="210" t="n">
        <x:v>15</x:v>
      </x:c>
      <x:c r="Q238" s="211" t="n">
        <x:v>0</x:v>
      </x:c>
      <x:c r="R238" s="207" t="str"/>
      <x:c r="S238" s="207" t="str"/>
      <x:c r="T238" s="207" t="str"/>
      <x:c r="U238" s="207" t="n">
        <x:v>0</x:v>
      </x:c>
      <x:c r="V238" s="208" t="n">
        <x:f>MAX(0,M238-U238)</x:f>
        <x:v>6</x:v>
      </x:c>
      <x:c r="W238" s="209" t="n">
        <x:f>IFERROR(U238/M238,0)</x:f>
        <x:v>0</x:v>
      </x:c>
      <x:c r="X238" s="201" t="str">
        <x:f>IF(U238=0,"Não iniciado",IF(U238&gt;=M238,"Concluído","Parcial"))</x:f>
        <x:v>Não iniciado</x:v>
      </x:c>
      <x:c r="Y238" s="199" t="str"/>
      <x:c r="Z238" s="188" t="str">
        <x:v>Normal</x:v>
      </x:c>
    </x:row>
    <x:row r="239" ht="22" customHeight="1">
      <x:c r="A239" s="217" t="n">
        <x:v>235</x:v>
      </x:c>
      <x:c r="B239" s="218" t="str">
        <x:v>26684</x:v>
      </x:c>
      <x:c r="C239" s="218" t="str">
        <x:v>6</x:v>
      </x:c>
      <x:c r="D239" s="218" t="str">
        <x:v>609153</x:v>
      </x:c>
      <x:c r="E239" s="218" t="str">
        <x:v>981166</x:v>
      </x:c>
      <x:c r="F239" s="218" t="str">
        <x:v>ALIZAR</x:v>
      </x:c>
      <x:c r="G239" s="184" t="str">
        <x:v>T A 1100X70X15 RTO RL55 REC PET BCO(STD)</x:v>
      </x:c>
      <x:c r="H239" s="184" t="str"/>
      <x:c r="I239" s="184" t="str"/>
      <x:c r="J239" s="184" t="str"/>
      <x:c r="K239" s="184" t="str">
        <x:v>ESMALTE</x:v>
      </x:c>
      <x:c r="L239" s="184" t="str">
        <x:v>BRANCO CARRARA</x:v>
      </x:c>
      <x:c r="M239" s="205" t="n">
        <x:v>2</x:v>
      </x:c>
      <x:c r="N239" s="205" t="n">
        <x:v>1100</x:v>
      </x:c>
      <x:c r="O239" s="205" t="n">
        <x:v>70</x:v>
      </x:c>
      <x:c r="P239" s="205" t="n">
        <x:v>15</x:v>
      </x:c>
      <x:c r="Q239" s="206" t="n">
        <x:v>0</x:v>
      </x:c>
      <x:c r="R239" s="207" t="str"/>
      <x:c r="S239" s="207" t="str"/>
      <x:c r="T239" s="207" t="str"/>
      <x:c r="U239" s="207" t="n">
        <x:v>0</x:v>
      </x:c>
      <x:c r="V239" s="208" t="n">
        <x:f>MAX(0,M239-U239)</x:f>
        <x:v>2</x:v>
      </x:c>
      <x:c r="W239" s="209" t="n">
        <x:f>IFERROR(U239/M239,0)</x:f>
        <x:v>0</x:v>
      </x:c>
      <x:c r="X239" s="201" t="str">
        <x:f>IF(U239=0,"Não iniciado",IF(U239&gt;=M239,"Concluído","Parcial"))</x:f>
        <x:v>Não iniciado</x:v>
      </x:c>
      <x:c r="Y239" s="199" t="str"/>
      <x:c r="Z239" s="188" t="str">
        <x:v>Normal</x:v>
      </x:c>
    </x:row>
    <x:row r="240" ht="22" customHeight="1">
      <x:c r="A240" s="219" t="n">
        <x:v>236</x:v>
      </x:c>
      <x:c r="B240" s="220" t="str">
        <x:v>26684</x:v>
      </x:c>
      <x:c r="C240" s="220" t="str">
        <x:v>7</x:v>
      </x:c>
      <x:c r="D240" s="220" t="str">
        <x:v>609162</x:v>
      </x:c>
      <x:c r="E240" s="220" t="str">
        <x:v>981166</x:v>
      </x:c>
      <x:c r="F240" s="220" t="str">
        <x:v>ALIZAR</x:v>
      </x:c>
      <x:c r="G240" s="190" t="str">
        <x:v>T A 1100X70X15 RTO RL55 REC PET BCO(STD)</x:v>
      </x:c>
      <x:c r="H240" s="190" t="str"/>
      <x:c r="I240" s="190" t="str"/>
      <x:c r="J240" s="190" t="str"/>
      <x:c r="K240" s="190" t="str">
        <x:v>ESMALTE</x:v>
      </x:c>
      <x:c r="L240" s="190" t="str">
        <x:v>BRANCO CARRARA</x:v>
      </x:c>
      <x:c r="M240" s="210" t="n">
        <x:v>1</x:v>
      </x:c>
      <x:c r="N240" s="210" t="n">
        <x:v>1100</x:v>
      </x:c>
      <x:c r="O240" s="210" t="n">
        <x:v>70</x:v>
      </x:c>
      <x:c r="P240" s="210" t="n">
        <x:v>15</x:v>
      </x:c>
      <x:c r="Q240" s="211" t="n">
        <x:v>0</x:v>
      </x:c>
      <x:c r="R240" s="207" t="str"/>
      <x:c r="S240" s="207" t="str"/>
      <x:c r="T240" s="207" t="str"/>
      <x:c r="U240" s="207" t="n">
        <x:v>0</x:v>
      </x:c>
      <x:c r="V240" s="208" t="n">
        <x:f>MAX(0,M240-U240)</x:f>
        <x:v>1</x:v>
      </x:c>
      <x:c r="W240" s="209" t="n">
        <x:f>IFERROR(U240/M240,0)</x:f>
        <x:v>0</x:v>
      </x:c>
      <x:c r="X240" s="201" t="str">
        <x:f>IF(U240=0,"Não iniciado",IF(U240&gt;=M240,"Concluído","Parcial"))</x:f>
        <x:v>Não iniciado</x:v>
      </x:c>
      <x:c r="Y240" s="199" t="str"/>
      <x:c r="Z240" s="188" t="str">
        <x:v>Normal</x:v>
      </x:c>
    </x:row>
    <x:row r="241" ht="22" customHeight="1">
      <x:c r="A241" s="217" t="n">
        <x:v>237</x:v>
      </x:c>
      <x:c r="B241" s="218" t="str">
        <x:v>26684</x:v>
      </x:c>
      <x:c r="C241" s="218" t="str">
        <x:v>7</x:v>
      </x:c>
      <x:c r="D241" s="218" t="str">
        <x:v>609163</x:v>
      </x:c>
      <x:c r="E241" s="218" t="str">
        <x:v>981556</x:v>
      </x:c>
      <x:c r="F241" s="218" t="str">
        <x:v>ALIZAR</x:v>
      </x:c>
      <x:c r="G241" s="184" t="str">
        <x:v>T A 1100X70X15 RTO LMN REC PET BCO(STD)</x:v>
      </x:c>
      <x:c r="H241" s="184" t="str"/>
      <x:c r="I241" s="184" t="str"/>
      <x:c r="J241" s="184" t="str"/>
      <x:c r="K241" s="184" t="str">
        <x:v>ESMALTE</x:v>
      </x:c>
      <x:c r="L241" s="184" t="str">
        <x:v>BRANCO CARRARA</x:v>
      </x:c>
      <x:c r="M241" s="205" t="n">
        <x:v>1</x:v>
      </x:c>
      <x:c r="N241" s="205" t="n">
        <x:v>1100</x:v>
      </x:c>
      <x:c r="O241" s="205" t="n">
        <x:v>70</x:v>
      </x:c>
      <x:c r="P241" s="205" t="n">
        <x:v>15</x:v>
      </x:c>
      <x:c r="Q241" s="206" t="n">
        <x:v>0</x:v>
      </x:c>
      <x:c r="R241" s="207" t="str"/>
      <x:c r="S241" s="207" t="str"/>
      <x:c r="T241" s="207" t="str"/>
      <x:c r="U241" s="207" t="n">
        <x:v>0</x:v>
      </x:c>
      <x:c r="V241" s="208" t="n">
        <x:f>MAX(0,M241-U241)</x:f>
        <x:v>1</x:v>
      </x:c>
      <x:c r="W241" s="209" t="n">
        <x:f>IFERROR(U241/M241,0)</x:f>
        <x:v>0</x:v>
      </x:c>
      <x:c r="X241" s="201" t="str">
        <x:f>IF(U241=0,"Não iniciado",IF(U241&gt;=M241,"Concluído","Parcial"))</x:f>
        <x:v>Não iniciado</x:v>
      </x:c>
      <x:c r="Y241" s="199" t="str"/>
      <x:c r="Z241" s="188" t="str">
        <x:v>Normal</x:v>
      </x:c>
    </x:row>
    <x:row r="242" ht="22" customHeight="1">
      <x:c r="A242" s="219" t="n">
        <x:v>238</x:v>
      </x:c>
      <x:c r="B242" s="220" t="str">
        <x:v>26684</x:v>
      </x:c>
      <x:c r="C242" s="220" t="str">
        <x:v>8</x:v>
      </x:c>
      <x:c r="D242" s="220" t="str">
        <x:v>609170</x:v>
      </x:c>
      <x:c r="E242" s="220" t="str">
        <x:v>981166</x:v>
      </x:c>
      <x:c r="F242" s="220" t="str">
        <x:v>ALIZAR</x:v>
      </x:c>
      <x:c r="G242" s="190" t="str">
        <x:v>T A 1100X70X15 RTO RL55 REC PET BCO(STD)</x:v>
      </x:c>
      <x:c r="H242" s="190" t="str"/>
      <x:c r="I242" s="190" t="str"/>
      <x:c r="J242" s="190" t="str"/>
      <x:c r="K242" s="190" t="str">
        <x:v>ESMALTE</x:v>
      </x:c>
      <x:c r="L242" s="190" t="str">
        <x:v>BRANCO CARRARA</x:v>
      </x:c>
      <x:c r="M242" s="210" t="n">
        <x:v>5</x:v>
      </x:c>
      <x:c r="N242" s="210" t="n">
        <x:v>1100</x:v>
      </x:c>
      <x:c r="O242" s="210" t="n">
        <x:v>70</x:v>
      </x:c>
      <x:c r="P242" s="210" t="n">
        <x:v>15</x:v>
      </x:c>
      <x:c r="Q242" s="211" t="n">
        <x:v>0</x:v>
      </x:c>
      <x:c r="R242" s="207" t="str"/>
      <x:c r="S242" s="207" t="str"/>
      <x:c r="T242" s="207" t="str"/>
      <x:c r="U242" s="207" t="n">
        <x:v>0</x:v>
      </x:c>
      <x:c r="V242" s="208" t="n">
        <x:f>MAX(0,M242-U242)</x:f>
        <x:v>5</x:v>
      </x:c>
      <x:c r="W242" s="209" t="n">
        <x:f>IFERROR(U242/M242,0)</x:f>
        <x:v>0</x:v>
      </x:c>
      <x:c r="X242" s="201" t="str">
        <x:f>IF(U242=0,"Não iniciado",IF(U242&gt;=M242,"Concluído","Parcial"))</x:f>
        <x:v>Não iniciado</x:v>
      </x:c>
      <x:c r="Y242" s="199" t="str"/>
      <x:c r="Z242" s="188" t="str">
        <x:v>Normal</x:v>
      </x:c>
    </x:row>
    <x:row r="243" ht="22" customHeight="1">
      <x:c r="A243" s="217" t="n">
        <x:v>239</x:v>
      </x:c>
      <x:c r="B243" s="218" t="str">
        <x:v>26684</x:v>
      </x:c>
      <x:c r="C243" s="218" t="str">
        <x:v>8</x:v>
      </x:c>
      <x:c r="D243" s="218" t="str">
        <x:v>609171</x:v>
      </x:c>
      <x:c r="E243" s="218" t="str">
        <x:v>981556</x:v>
      </x:c>
      <x:c r="F243" s="218" t="str">
        <x:v>ALIZAR</x:v>
      </x:c>
      <x:c r="G243" s="184" t="str">
        <x:v>T A 1100X70X15 RTO LMN REC PET BCO(STD)</x:v>
      </x:c>
      <x:c r="H243" s="184" t="str"/>
      <x:c r="I243" s="184" t="str"/>
      <x:c r="J243" s="184" t="str"/>
      <x:c r="K243" s="184" t="str">
        <x:v>ESMALTE</x:v>
      </x:c>
      <x:c r="L243" s="184" t="str">
        <x:v>BRANCO CARRARA</x:v>
      </x:c>
      <x:c r="M243" s="205" t="n">
        <x:v>5</x:v>
      </x:c>
      <x:c r="N243" s="205" t="n">
        <x:v>1100</x:v>
      </x:c>
      <x:c r="O243" s="205" t="n">
        <x:v>70</x:v>
      </x:c>
      <x:c r="P243" s="205" t="n">
        <x:v>15</x:v>
      </x:c>
      <x:c r="Q243" s="206" t="n">
        <x:v>0</x:v>
      </x:c>
      <x:c r="R243" s="207" t="str"/>
      <x:c r="S243" s="207" t="str"/>
      <x:c r="T243" s="207" t="str"/>
      <x:c r="U243" s="207" t="n">
        <x:v>0</x:v>
      </x:c>
      <x:c r="V243" s="208" t="n">
        <x:f>MAX(0,M243-U243)</x:f>
        <x:v>5</x:v>
      </x:c>
      <x:c r="W243" s="209" t="n">
        <x:f>IFERROR(U243/M243,0)</x:f>
        <x:v>0</x:v>
      </x:c>
      <x:c r="X243" s="201" t="str">
        <x:f>IF(U243=0,"Não iniciado",IF(U243&gt;=M243,"Concluído","Parcial"))</x:f>
        <x:v>Não iniciado</x:v>
      </x:c>
      <x:c r="Y243" s="199" t="str"/>
      <x:c r="Z243" s="188" t="str">
        <x:v>Normal</x:v>
      </x:c>
    </x:row>
    <x:row r="244" ht="22" customHeight="1">
      <x:c r="A244" s="219" t="n">
        <x:v>240</x:v>
      </x:c>
      <x:c r="B244" s="220" t="str">
        <x:v>26684</x:v>
      </x:c>
      <x:c r="C244" s="220" t="str">
        <x:v>9</x:v>
      </x:c>
      <x:c r="D244" s="220" t="str">
        <x:v>609178</x:v>
      </x:c>
      <x:c r="E244" s="220" t="str">
        <x:v>981166</x:v>
      </x:c>
      <x:c r="F244" s="220" t="str">
        <x:v>ALIZAR</x:v>
      </x:c>
      <x:c r="G244" s="190" t="str">
        <x:v>T A 1100X70X15 RTO RL55 REC PET BCO(STD)</x:v>
      </x:c>
      <x:c r="H244" s="190" t="str"/>
      <x:c r="I244" s="190" t="str"/>
      <x:c r="J244" s="190" t="str"/>
      <x:c r="K244" s="190" t="str">
        <x:v>ESMALTE</x:v>
      </x:c>
      <x:c r="L244" s="190" t="str">
        <x:v>BRANCO CARRARA</x:v>
      </x:c>
      <x:c r="M244" s="210" t="n">
        <x:v>57</x:v>
      </x:c>
      <x:c r="N244" s="210" t="n">
        <x:v>1100</x:v>
      </x:c>
      <x:c r="O244" s="210" t="n">
        <x:v>70</x:v>
      </x:c>
      <x:c r="P244" s="210" t="n">
        <x:v>15</x:v>
      </x:c>
      <x:c r="Q244" s="211" t="n">
        <x:v>0</x:v>
      </x:c>
      <x:c r="R244" s="207" t="str"/>
      <x:c r="S244" s="207" t="str"/>
      <x:c r="T244" s="207" t="str"/>
      <x:c r="U244" s="207" t="n">
        <x:v>0</x:v>
      </x:c>
      <x:c r="V244" s="208" t="n">
        <x:f>MAX(0,M244-U244)</x:f>
        <x:v>57</x:v>
      </x:c>
      <x:c r="W244" s="209" t="n">
        <x:f>IFERROR(U244/M244,0)</x:f>
        <x:v>0</x:v>
      </x:c>
      <x:c r="X244" s="201" t="str">
        <x:f>IF(U244=0,"Não iniciado",IF(U244&gt;=M244,"Concluído","Parcial"))</x:f>
        <x:v>Não iniciado</x:v>
      </x:c>
      <x:c r="Y244" s="199" t="str"/>
      <x:c r="Z244" s="188" t="str">
        <x:v>Normal</x:v>
      </x:c>
    </x:row>
    <x:row r="245" ht="22" customHeight="1">
      <x:c r="A245" s="217" t="n">
        <x:v>241</x:v>
      </x:c>
      <x:c r="B245" s="218" t="str">
        <x:v>26684</x:v>
      </x:c>
      <x:c r="C245" s="218" t="str">
        <x:v>9</x:v>
      </x:c>
      <x:c r="D245" s="218" t="str">
        <x:v>609179</x:v>
      </x:c>
      <x:c r="E245" s="218" t="str">
        <x:v>981556</x:v>
      </x:c>
      <x:c r="F245" s="218" t="str">
        <x:v>ALIZAR</x:v>
      </x:c>
      <x:c r="G245" s="184" t="str">
        <x:v>T A 1100X70X15 RTO LMN REC PET BCO(STD)</x:v>
      </x:c>
      <x:c r="H245" s="184" t="str"/>
      <x:c r="I245" s="184" t="str"/>
      <x:c r="J245" s="184" t="str"/>
      <x:c r="K245" s="184" t="str">
        <x:v>ESMALTE</x:v>
      </x:c>
      <x:c r="L245" s="184" t="str">
        <x:v>BRANCO CARRARA</x:v>
      </x:c>
      <x:c r="M245" s="205" t="n">
        <x:v>57</x:v>
      </x:c>
      <x:c r="N245" s="205" t="n">
        <x:v>1100</x:v>
      </x:c>
      <x:c r="O245" s="205" t="n">
        <x:v>70</x:v>
      </x:c>
      <x:c r="P245" s="205" t="n">
        <x:v>15</x:v>
      </x:c>
      <x:c r="Q245" s="206" t="n">
        <x:v>0</x:v>
      </x:c>
      <x:c r="R245" s="207" t="str"/>
      <x:c r="S245" s="207" t="str"/>
      <x:c r="T245" s="207" t="str"/>
      <x:c r="U245" s="207" t="n">
        <x:v>0</x:v>
      </x:c>
      <x:c r="V245" s="208" t="n">
        <x:f>MAX(0,M245-U245)</x:f>
        <x:v>57</x:v>
      </x:c>
      <x:c r="W245" s="209" t="n">
        <x:f>IFERROR(U245/M245,0)</x:f>
        <x:v>0</x:v>
      </x:c>
      <x:c r="X245" s="201" t="str">
        <x:f>IF(U245=0,"Não iniciado",IF(U245&gt;=M245,"Concluído","Parcial"))</x:f>
        <x:v>Não iniciado</x:v>
      </x:c>
      <x:c r="Y245" s="199" t="str"/>
      <x:c r="Z245" s="188" t="str">
        <x:v>Normal</x:v>
      </x:c>
    </x:row>
    <x:row r="246" ht="22" customHeight="1">
      <x:c r="A246" s="219" t="n">
        <x:v>242</x:v>
      </x:c>
      <x:c r="B246" s="220" t="str">
        <x:v>26684</x:v>
      </x:c>
      <x:c r="C246" s="220" t="str">
        <x:v>10</x:v>
      </x:c>
      <x:c r="D246" s="220" t="str">
        <x:v>609185</x:v>
      </x:c>
      <x:c r="E246" s="220" t="str">
        <x:v>981166</x:v>
      </x:c>
      <x:c r="F246" s="220" t="str">
        <x:v>ALIZAR</x:v>
      </x:c>
      <x:c r="G246" s="190" t="str">
        <x:v>T A 1100X70X15 RTO RL55 REC PET BCO(STD)</x:v>
      </x:c>
      <x:c r="H246" s="190" t="str"/>
      <x:c r="I246" s="190" t="str"/>
      <x:c r="J246" s="190" t="str"/>
      <x:c r="K246" s="190" t="str">
        <x:v>ESMALTE</x:v>
      </x:c>
      <x:c r="L246" s="190" t="str">
        <x:v>BRANCO CARRARA</x:v>
      </x:c>
      <x:c r="M246" s="210" t="n">
        <x:v>2</x:v>
      </x:c>
      <x:c r="N246" s="210" t="n">
        <x:v>1100</x:v>
      </x:c>
      <x:c r="O246" s="210" t="n">
        <x:v>70</x:v>
      </x:c>
      <x:c r="P246" s="210" t="n">
        <x:v>15</x:v>
      </x:c>
      <x:c r="Q246" s="211" t="n">
        <x:v>0</x:v>
      </x:c>
      <x:c r="R246" s="207" t="str"/>
      <x:c r="S246" s="207" t="str"/>
      <x:c r="T246" s="207" t="str"/>
      <x:c r="U246" s="207" t="n">
        <x:v>0</x:v>
      </x:c>
      <x:c r="V246" s="208" t="n">
        <x:f>MAX(0,M246-U246)</x:f>
        <x:v>2</x:v>
      </x:c>
      <x:c r="W246" s="209" t="n">
        <x:f>IFERROR(U246/M246,0)</x:f>
        <x:v>0</x:v>
      </x:c>
      <x:c r="X246" s="201" t="str">
        <x:f>IF(U246=0,"Não iniciado",IF(U246&gt;=M246,"Concluído","Parcial"))</x:f>
        <x:v>Não iniciado</x:v>
      </x:c>
      <x:c r="Y246" s="199" t="str"/>
      <x:c r="Z246" s="188" t="str">
        <x:v>Normal</x:v>
      </x:c>
    </x:row>
    <x:row r="247" ht="22" customHeight="1">
      <x:c r="A247" s="217" t="n">
        <x:v>243</x:v>
      </x:c>
      <x:c r="B247" s="218" t="str">
        <x:v>26689</x:v>
      </x:c>
      <x:c r="C247" s="218" t="str">
        <x:v>1</x:v>
      </x:c>
      <x:c r="D247" s="218" t="str">
        <x:v>609079</x:v>
      </x:c>
      <x:c r="E247" s="218" t="str">
        <x:v>981166</x:v>
      </x:c>
      <x:c r="F247" s="218" t="str">
        <x:v>ALIZAR</x:v>
      </x:c>
      <x:c r="G247" s="184" t="str">
        <x:v>T A 1100X70X15 RTO RL55 REC PET BCO(STD)</x:v>
      </x:c>
      <x:c r="H247" s="184" t="str"/>
      <x:c r="I247" s="184" t="str"/>
      <x:c r="J247" s="184" t="str"/>
      <x:c r="K247" s="184" t="str">
        <x:v>ESMALTE</x:v>
      </x:c>
      <x:c r="L247" s="184" t="str">
        <x:v>BRANCO CARRARA</x:v>
      </x:c>
      <x:c r="M247" s="205" t="n">
        <x:v>32</x:v>
      </x:c>
      <x:c r="N247" s="205" t="n">
        <x:v>1100</x:v>
      </x:c>
      <x:c r="O247" s="205" t="n">
        <x:v>70</x:v>
      </x:c>
      <x:c r="P247" s="205" t="n">
        <x:v>15</x:v>
      </x:c>
      <x:c r="Q247" s="206" t="n">
        <x:v>0</x:v>
      </x:c>
      <x:c r="R247" s="207" t="str"/>
      <x:c r="S247" s="207" t="str"/>
      <x:c r="T247" s="207" t="str"/>
      <x:c r="U247" s="207" t="n">
        <x:v>0</x:v>
      </x:c>
      <x:c r="V247" s="208" t="n">
        <x:f>MAX(0,M247-U247)</x:f>
        <x:v>32</x:v>
      </x:c>
      <x:c r="W247" s="209" t="n">
        <x:f>IFERROR(U247/M247,0)</x:f>
        <x:v>0</x:v>
      </x:c>
      <x:c r="X247" s="201" t="str">
        <x:f>IF(U247=0,"Não iniciado",IF(U247&gt;=M247,"Concluído","Parcial"))</x:f>
        <x:v>Não iniciado</x:v>
      </x:c>
      <x:c r="Y247" s="199" t="str"/>
      <x:c r="Z247" s="188" t="str">
        <x:v>Normal</x:v>
      </x:c>
    </x:row>
    <x:row r="248" ht="22" customHeight="1">
      <x:c r="A248" s="219" t="n">
        <x:v>244</x:v>
      </x:c>
      <x:c r="B248" s="220" t="str">
        <x:v>26689</x:v>
      </x:c>
      <x:c r="C248" s="220" t="str">
        <x:v>1</x:v>
      </x:c>
      <x:c r="D248" s="220" t="str">
        <x:v>609080</x:v>
      </x:c>
      <x:c r="E248" s="220" t="str">
        <x:v>981556</x:v>
      </x:c>
      <x:c r="F248" s="220" t="str">
        <x:v>ALIZAR</x:v>
      </x:c>
      <x:c r="G248" s="190" t="str">
        <x:v>T A 1100X70X15 RTO LMN REC PET BCO(STD)</x:v>
      </x:c>
      <x:c r="H248" s="190" t="str"/>
      <x:c r="I248" s="190" t="str"/>
      <x:c r="J248" s="190" t="str"/>
      <x:c r="K248" s="190" t="str">
        <x:v>ESMALTE</x:v>
      </x:c>
      <x:c r="L248" s="190" t="str">
        <x:v>BRANCO CARRARA</x:v>
      </x:c>
      <x:c r="M248" s="210" t="n">
        <x:v>32</x:v>
      </x:c>
      <x:c r="N248" s="210" t="n">
        <x:v>1100</x:v>
      </x:c>
      <x:c r="O248" s="210" t="n">
        <x:v>70</x:v>
      </x:c>
      <x:c r="P248" s="210" t="n">
        <x:v>15</x:v>
      </x:c>
      <x:c r="Q248" s="211" t="n">
        <x:v>0</x:v>
      </x:c>
      <x:c r="R248" s="207" t="str"/>
      <x:c r="S248" s="207" t="str"/>
      <x:c r="T248" s="207" t="str"/>
      <x:c r="U248" s="207" t="n">
        <x:v>0</x:v>
      </x:c>
      <x:c r="V248" s="208" t="n">
        <x:f>MAX(0,M248-U248)</x:f>
        <x:v>32</x:v>
      </x:c>
      <x:c r="W248" s="209" t="n">
        <x:f>IFERROR(U248/M248,0)</x:f>
        <x:v>0</x:v>
      </x:c>
      <x:c r="X248" s="201" t="str">
        <x:f>IF(U248=0,"Não iniciado",IF(U248&gt;=M248,"Concluído","Parcial"))</x:f>
        <x:v>Não iniciado</x:v>
      </x:c>
      <x:c r="Y248" s="199" t="str"/>
      <x:c r="Z248" s="188" t="str">
        <x:v>Normal</x:v>
      </x:c>
    </x:row>
    <x:row r="249" ht="22" customHeight="1">
      <x:c r="A249" s="217" t="n">
        <x:v>245</x:v>
      </x:c>
      <x:c r="B249" s="218" t="str">
        <x:v>26689</x:v>
      </x:c>
      <x:c r="C249" s="218" t="str">
        <x:v>2</x:v>
      </x:c>
      <x:c r="D249" s="218" t="str">
        <x:v>609089</x:v>
      </x:c>
      <x:c r="E249" s="218" t="str">
        <x:v>981166</x:v>
      </x:c>
      <x:c r="F249" s="218" t="str">
        <x:v>ALIZAR</x:v>
      </x:c>
      <x:c r="G249" s="184" t="str">
        <x:v>T A 1100X70X15 RTO RL55 REC PET BCO(STD)</x:v>
      </x:c>
      <x:c r="H249" s="184" t="str"/>
      <x:c r="I249" s="184" t="str"/>
      <x:c r="J249" s="184" t="str"/>
      <x:c r="K249" s="184" t="str">
        <x:v>ESMALTE</x:v>
      </x:c>
      <x:c r="L249" s="184" t="str">
        <x:v>BRANCO CARRARA</x:v>
      </x:c>
      <x:c r="M249" s="205" t="n">
        <x:v>64</x:v>
      </x:c>
      <x:c r="N249" s="205" t="n">
        <x:v>1100</x:v>
      </x:c>
      <x:c r="O249" s="205" t="n">
        <x:v>70</x:v>
      </x:c>
      <x:c r="P249" s="205" t="n">
        <x:v>15</x:v>
      </x:c>
      <x:c r="Q249" s="206" t="n">
        <x:v>0</x:v>
      </x:c>
      <x:c r="R249" s="207" t="str"/>
      <x:c r="S249" s="207" t="str"/>
      <x:c r="T249" s="207" t="str"/>
      <x:c r="U249" s="207" t="n">
        <x:v>0</x:v>
      </x:c>
      <x:c r="V249" s="208" t="n">
        <x:f>MAX(0,M249-U249)</x:f>
        <x:v>64</x:v>
      </x:c>
      <x:c r="W249" s="209" t="n">
        <x:f>IFERROR(U249/M249,0)</x:f>
        <x:v>0</x:v>
      </x:c>
      <x:c r="X249" s="201" t="str">
        <x:f>IF(U249=0,"Não iniciado",IF(U249&gt;=M249,"Concluído","Parcial"))</x:f>
        <x:v>Não iniciado</x:v>
      </x:c>
      <x:c r="Y249" s="199" t="str"/>
      <x:c r="Z249" s="188" t="str">
        <x:v>Normal</x:v>
      </x:c>
    </x:row>
    <x:row r="250" ht="22" customHeight="1">
      <x:c r="A250" s="219" t="n">
        <x:v>246</x:v>
      </x:c>
      <x:c r="B250" s="220" t="str">
        <x:v>26689</x:v>
      </x:c>
      <x:c r="C250" s="220" t="str">
        <x:v>2</x:v>
      </x:c>
      <x:c r="D250" s="220" t="str">
        <x:v>609090</x:v>
      </x:c>
      <x:c r="E250" s="220" t="str">
        <x:v>981556</x:v>
      </x:c>
      <x:c r="F250" s="220" t="str">
        <x:v>ALIZAR</x:v>
      </x:c>
      <x:c r="G250" s="190" t="str">
        <x:v>T A 1100X70X15 RTO LMN REC PET BCO(STD)</x:v>
      </x:c>
      <x:c r="H250" s="190" t="str"/>
      <x:c r="I250" s="190" t="str"/>
      <x:c r="J250" s="190" t="str"/>
      <x:c r="K250" s="190" t="str">
        <x:v>ESMALTE</x:v>
      </x:c>
      <x:c r="L250" s="190" t="str">
        <x:v>BRANCO CARRARA</x:v>
      </x:c>
      <x:c r="M250" s="210" t="n">
        <x:v>64</x:v>
      </x:c>
      <x:c r="N250" s="210" t="n">
        <x:v>1100</x:v>
      </x:c>
      <x:c r="O250" s="210" t="n">
        <x:v>70</x:v>
      </x:c>
      <x:c r="P250" s="210" t="n">
        <x:v>15</x:v>
      </x:c>
      <x:c r="Q250" s="211" t="n">
        <x:v>0</x:v>
      </x:c>
      <x:c r="R250" s="207" t="str"/>
      <x:c r="S250" s="207" t="str"/>
      <x:c r="T250" s="207" t="str"/>
      <x:c r="U250" s="207" t="n">
        <x:v>0</x:v>
      </x:c>
      <x:c r="V250" s="208" t="n">
        <x:f>MAX(0,M250-U250)</x:f>
        <x:v>64</x:v>
      </x:c>
      <x:c r="W250" s="209" t="n">
        <x:f>IFERROR(U250/M250,0)</x:f>
        <x:v>0</x:v>
      </x:c>
      <x:c r="X250" s="201" t="str">
        <x:f>IF(U250=0,"Não iniciado",IF(U250&gt;=M250,"Concluído","Parcial"))</x:f>
        <x:v>Não iniciado</x:v>
      </x:c>
      <x:c r="Y250" s="199" t="str"/>
      <x:c r="Z250" s="188" t="str">
        <x:v>Normal</x:v>
      </x:c>
    </x:row>
    <x:row r="251" ht="22" customHeight="1">
      <x:c r="A251" s="217" t="n">
        <x:v>247</x:v>
      </x:c>
      <x:c r="B251" s="218" t="str">
        <x:v>26689</x:v>
      </x:c>
      <x:c r="C251" s="218" t="str">
        <x:v>3</x:v>
      </x:c>
      <x:c r="D251" s="218" t="str">
        <x:v>609097</x:v>
      </x:c>
      <x:c r="E251" s="218" t="str">
        <x:v>981166</x:v>
      </x:c>
      <x:c r="F251" s="218" t="str">
        <x:v>ALIZAR</x:v>
      </x:c>
      <x:c r="G251" s="184" t="str">
        <x:v>T A 1100X70X15 RTO RL55 REC PET BCO(STD)</x:v>
      </x:c>
      <x:c r="H251" s="184" t="str"/>
      <x:c r="I251" s="184" t="str"/>
      <x:c r="J251" s="184" t="str"/>
      <x:c r="K251" s="184" t="str">
        <x:v>ESMALTE</x:v>
      </x:c>
      <x:c r="L251" s="184" t="str">
        <x:v>BRANCO CARRARA</x:v>
      </x:c>
      <x:c r="M251" s="205" t="n">
        <x:v>61</x:v>
      </x:c>
      <x:c r="N251" s="205" t="n">
        <x:v>1100</x:v>
      </x:c>
      <x:c r="O251" s="205" t="n">
        <x:v>70</x:v>
      </x:c>
      <x:c r="P251" s="205" t="n">
        <x:v>15</x:v>
      </x:c>
      <x:c r="Q251" s="206" t="n">
        <x:v>0</x:v>
      </x:c>
      <x:c r="R251" s="207" t="str"/>
      <x:c r="S251" s="207" t="str"/>
      <x:c r="T251" s="207" t="str"/>
      <x:c r="U251" s="207" t="n">
        <x:v>0</x:v>
      </x:c>
      <x:c r="V251" s="208" t="n">
        <x:f>MAX(0,M251-U251)</x:f>
        <x:v>61</x:v>
      </x:c>
      <x:c r="W251" s="209" t="n">
        <x:f>IFERROR(U251/M251,0)</x:f>
        <x:v>0</x:v>
      </x:c>
      <x:c r="X251" s="201" t="str">
        <x:f>IF(U251=0,"Não iniciado",IF(U251&gt;=M251,"Concluído","Parcial"))</x:f>
        <x:v>Não iniciado</x:v>
      </x:c>
      <x:c r="Y251" s="199" t="str"/>
      <x:c r="Z251" s="188" t="str">
        <x:v>Normal</x:v>
      </x:c>
    </x:row>
    <x:row r="252" ht="22" customHeight="1">
      <x:c r="A252" s="219" t="n">
        <x:v>248</x:v>
      </x:c>
      <x:c r="B252" s="220" t="str">
        <x:v>26689</x:v>
      </x:c>
      <x:c r="C252" s="220" t="str">
        <x:v>3</x:v>
      </x:c>
      <x:c r="D252" s="220" t="str">
        <x:v>609098</x:v>
      </x:c>
      <x:c r="E252" s="220" t="str">
        <x:v>981556</x:v>
      </x:c>
      <x:c r="F252" s="220" t="str">
        <x:v>ALIZAR</x:v>
      </x:c>
      <x:c r="G252" s="190" t="str">
        <x:v>T A 1100X70X15 RTO LMN REC PET BCO(STD)</x:v>
      </x:c>
      <x:c r="H252" s="190" t="str"/>
      <x:c r="I252" s="190" t="str"/>
      <x:c r="J252" s="190" t="str"/>
      <x:c r="K252" s="190" t="str">
        <x:v>ESMALTE</x:v>
      </x:c>
      <x:c r="L252" s="190" t="str">
        <x:v>BRANCO CARRARA</x:v>
      </x:c>
      <x:c r="M252" s="210" t="n">
        <x:v>61</x:v>
      </x:c>
      <x:c r="N252" s="210" t="n">
        <x:v>1100</x:v>
      </x:c>
      <x:c r="O252" s="210" t="n">
        <x:v>70</x:v>
      </x:c>
      <x:c r="P252" s="210" t="n">
        <x:v>15</x:v>
      </x:c>
      <x:c r="Q252" s="211" t="n">
        <x:v>0</x:v>
      </x:c>
      <x:c r="R252" s="207" t="str"/>
      <x:c r="S252" s="207" t="str"/>
      <x:c r="T252" s="207" t="str"/>
      <x:c r="U252" s="207" t="n">
        <x:v>0</x:v>
      </x:c>
      <x:c r="V252" s="208" t="n">
        <x:f>MAX(0,M252-U252)</x:f>
        <x:v>61</x:v>
      </x:c>
      <x:c r="W252" s="209" t="n">
        <x:f>IFERROR(U252/M252,0)</x:f>
        <x:v>0</x:v>
      </x:c>
      <x:c r="X252" s="201" t="str">
        <x:f>IF(U252=0,"Não iniciado",IF(U252&gt;=M252,"Concluído","Parcial"))</x:f>
        <x:v>Não iniciado</x:v>
      </x:c>
      <x:c r="Y252" s="199" t="str"/>
      <x:c r="Z252" s="188" t="str">
        <x:v>Normal</x:v>
      </x:c>
    </x:row>
    <x:row r="253" ht="22" customHeight="1">
      <x:c r="A253" s="217" t="n">
        <x:v>249</x:v>
      </x:c>
      <x:c r="B253" s="218" t="str">
        <x:v>26689</x:v>
      </x:c>
      <x:c r="C253" s="218" t="str">
        <x:v>4</x:v>
      </x:c>
      <x:c r="D253" s="218" t="str">
        <x:v>609104</x:v>
      </x:c>
      <x:c r="E253" s="218" t="str">
        <x:v>981166</x:v>
      </x:c>
      <x:c r="F253" s="218" t="str">
        <x:v>ALIZAR</x:v>
      </x:c>
      <x:c r="G253" s="184" t="str">
        <x:v>T A 1100X70X15 RTO RL55 REC PET BCO(STD)</x:v>
      </x:c>
      <x:c r="H253" s="184" t="str"/>
      <x:c r="I253" s="184" t="str"/>
      <x:c r="J253" s="184" t="str"/>
      <x:c r="K253" s="184" t="str">
        <x:v>ESMALTE</x:v>
      </x:c>
      <x:c r="L253" s="184" t="str">
        <x:v>BRANCO CARRARA</x:v>
      </x:c>
      <x:c r="M253" s="205" t="n">
        <x:v>3</x:v>
      </x:c>
      <x:c r="N253" s="205" t="n">
        <x:v>1100</x:v>
      </x:c>
      <x:c r="O253" s="205" t="n">
        <x:v>70</x:v>
      </x:c>
      <x:c r="P253" s="205" t="n">
        <x:v>15</x:v>
      </x:c>
      <x:c r="Q253" s="206" t="n">
        <x:v>0</x:v>
      </x:c>
      <x:c r="R253" s="207" t="str"/>
      <x:c r="S253" s="207" t="str"/>
      <x:c r="T253" s="207" t="str"/>
      <x:c r="U253" s="207" t="n">
        <x:v>0</x:v>
      </x:c>
      <x:c r="V253" s="208" t="n">
        <x:f>MAX(0,M253-U253)</x:f>
        <x:v>3</x:v>
      </x:c>
      <x:c r="W253" s="209" t="n">
        <x:f>IFERROR(U253/M253,0)</x:f>
        <x:v>0</x:v>
      </x:c>
      <x:c r="X253" s="201" t="str">
        <x:f>IF(U253=0,"Não iniciado",IF(U253&gt;=M253,"Concluído","Parcial"))</x:f>
        <x:v>Não iniciado</x:v>
      </x:c>
      <x:c r="Y253" s="199" t="str"/>
      <x:c r="Z253" s="188" t="str">
        <x:v>Normal</x:v>
      </x:c>
    </x:row>
    <x:row r="254" ht="22" customHeight="1">
      <x:c r="A254" s="219" t="n">
        <x:v>250</x:v>
      </x:c>
      <x:c r="B254" s="220" t="str">
        <x:v>26809</x:v>
      </x:c>
      <x:c r="C254" s="220" t="str">
        <x:v>11</x:v>
      </x:c>
      <x:c r="D254" s="220" t="str">
        <x:v>609958</x:v>
      </x:c>
      <x:c r="E254" s="220" t="str">
        <x:v>968526</x:v>
      </x:c>
      <x:c r="F254" s="220" t="str">
        <x:v>ALIZAR</x:v>
      </x:c>
      <x:c r="G254" s="190" t="str">
        <x:v>T A 1100X70X09 RTO RL55 RC PET CAPUC ULT</x:v>
      </x:c>
      <x:c r="H254" s="190" t="str">
        <x:v>REG 2L(MAIOR 55MM)</x:v>
      </x:c>
      <x:c r="I254" s="190" t="str"/>
      <x:c r="J254" s="190" t="str"/>
      <x:c r="K254" s="190" t="str">
        <x:v>RECOBERTO PET</x:v>
      </x:c>
      <x:c r="L254" s="190" t="str">
        <x:v>CAPUCCINO MARCHE</x:v>
      </x:c>
      <x:c r="M254" s="210" t="n">
        <x:v>12</x:v>
      </x:c>
      <x:c r="N254" s="210" t="n">
        <x:v>1100</x:v>
      </x:c>
      <x:c r="O254" s="210" t="n">
        <x:v>70</x:v>
      </x:c>
      <x:c r="P254" s="210" t="n">
        <x:v>9</x:v>
      </x:c>
      <x:c r="Q254" s="211" t="n">
        <x:v>0.008</x:v>
      </x:c>
      <x:c r="R254" s="207" t="str"/>
      <x:c r="S254" s="207" t="str"/>
      <x:c r="T254" s="207" t="str"/>
      <x:c r="U254" s="207" t="n">
        <x:v>0</x:v>
      </x:c>
      <x:c r="V254" s="208" t="n">
        <x:f>MAX(0,M254-U254)</x:f>
        <x:v>12</x:v>
      </x:c>
      <x:c r="W254" s="209" t="n">
        <x:f>IFERROR(U254/M254,0)</x:f>
        <x:v>0</x:v>
      </x:c>
      <x:c r="X254" s="201" t="str">
        <x:f>IF(U254=0,"Não iniciado",IF(U254&gt;=M254,"Concluído","Parcial"))</x:f>
        <x:v>Não iniciado</x:v>
      </x:c>
      <x:c r="Y254" s="199" t="str"/>
      <x:c r="Z254" s="188" t="str">
        <x:v>Normal</x:v>
      </x:c>
    </x:row>
    <x:row r="255" ht="22" customHeight="1">
      <x:c r="A255" s="217" t="n">
        <x:v>251</x:v>
      </x:c>
      <x:c r="B255" s="218" t="str">
        <x:v>26809</x:v>
      </x:c>
      <x:c r="C255" s="218" t="str">
        <x:v>11</x:v>
      </x:c>
      <x:c r="D255" s="218" t="str">
        <x:v>609960</x:v>
      </x:c>
      <x:c r="E255" s="218" t="str">
        <x:v>968528</x:v>
      </x:c>
      <x:c r="F255" s="218" t="str">
        <x:v>ALIZAR</x:v>
      </x:c>
      <x:c r="G255" s="184" t="str">
        <x:v>T A 1100X70X09 RTO LME RC PET CAPUCC (UL</x:v>
      </x:c>
      <x:c r="H255" s="184" t="str">
        <x:v>REG 2L(MAIOR 55MM)</x:v>
      </x:c>
      <x:c r="I255" s="184" t="str"/>
      <x:c r="J255" s="184" t="str"/>
      <x:c r="K255" s="184" t="str">
        <x:v>RECOBERTO PET</x:v>
      </x:c>
      <x:c r="L255" s="184" t="str">
        <x:v>CAPUCCINO MARCHE</x:v>
      </x:c>
      <x:c r="M255" s="205" t="n">
        <x:v>12</x:v>
      </x:c>
      <x:c r="N255" s="205" t="n">
        <x:v>1100</x:v>
      </x:c>
      <x:c r="O255" s="205" t="n">
        <x:v>70</x:v>
      </x:c>
      <x:c r="P255" s="205" t="n">
        <x:v>9</x:v>
      </x:c>
      <x:c r="Q255" s="206" t="n">
        <x:v>0.008</x:v>
      </x:c>
      <x:c r="R255" s="207" t="str"/>
      <x:c r="S255" s="207" t="str"/>
      <x:c r="T255" s="207" t="str"/>
      <x:c r="U255" s="207" t="n">
        <x:v>0</x:v>
      </x:c>
      <x:c r="V255" s="208" t="n">
        <x:f>MAX(0,M255-U255)</x:f>
        <x:v>12</x:v>
      </x:c>
      <x:c r="W255" s="209" t="n">
        <x:f>IFERROR(U255/M255,0)</x:f>
        <x:v>0</x:v>
      </x:c>
      <x:c r="X255" s="201" t="str">
        <x:f>IF(U255=0,"Não iniciado",IF(U255&gt;=M255,"Concluído","Parcial"))</x:f>
        <x:v>Não iniciado</x:v>
      </x:c>
      <x:c r="Y255" s="199" t="str"/>
      <x:c r="Z255" s="188" t="str">
        <x:v>Normal</x:v>
      </x:c>
    </x:row>
    <x:row r="256" ht="22" customHeight="1">
      <x:c r="A256" s="219" t="n">
        <x:v>252</x:v>
      </x:c>
      <x:c r="B256" s="220" t="str">
        <x:v>26520</x:v>
      </x:c>
      <x:c r="C256" s="220" t="str">
        <x:v>1</x:v>
      </x:c>
      <x:c r="D256" s="220" t="str">
        <x:v>610066</x:v>
      </x:c>
      <x:c r="E256" s="220" t="str">
        <x:v>976441</x:v>
      </x:c>
      <x:c r="F256" s="220" t="str">
        <x:v>ALIZAR</x:v>
      </x:c>
      <x:c r="G256" s="190" t="str">
        <x:v>T A 1100X70X09 RTO RL55 PET CNZ VE ULT</x:v>
      </x:c>
      <x:c r="H256" s="190" t="str"/>
      <x:c r="I256" s="190" t="str"/>
      <x:c r="J256" s="190" t="str"/>
      <x:c r="K256" s="190" t="str">
        <x:v>RECOBERTO PET</x:v>
      </x:c>
      <x:c r="L256" s="190" t="str">
        <x:v>CINZA VERONA</x:v>
      </x:c>
      <x:c r="M256" s="210" t="n">
        <x:v>2</x:v>
      </x:c>
      <x:c r="N256" s="210" t="n">
        <x:v>1100</x:v>
      </x:c>
      <x:c r="O256" s="210" t="n">
        <x:v>70</x:v>
      </x:c>
      <x:c r="P256" s="210" t="n">
        <x:v>9</x:v>
      </x:c>
      <x:c r="Q256" s="211" t="n">
        <x:v>0.001</x:v>
      </x:c>
      <x:c r="R256" s="207" t="str"/>
      <x:c r="S256" s="207" t="str"/>
      <x:c r="T256" s="207" t="str"/>
      <x:c r="U256" s="207" t="n">
        <x:v>0</x:v>
      </x:c>
      <x:c r="V256" s="208" t="n">
        <x:f>MAX(0,M256-U256)</x:f>
        <x:v>2</x:v>
      </x:c>
      <x:c r="W256" s="209" t="n">
        <x:f>IFERROR(U256/M256,0)</x:f>
        <x:v>0</x:v>
      </x:c>
      <x:c r="X256" s="201" t="str">
        <x:f>IF(U256=0,"Não iniciado",IF(U256&gt;=M256,"Concluído","Parcial"))</x:f>
        <x:v>Não iniciado</x:v>
      </x:c>
      <x:c r="Y256" s="199" t="str"/>
      <x:c r="Z256" s="188" t="str">
        <x:v>Normal</x:v>
      </x:c>
    </x:row>
    <x:row r="257" ht="22" customHeight="1">
      <x:c r="A257" s="217" t="n">
        <x:v>253</x:v>
      </x:c>
      <x:c r="B257" s="218" t="str">
        <x:v>26520</x:v>
      </x:c>
      <x:c r="C257" s="218" t="str">
        <x:v>1</x:v>
      </x:c>
      <x:c r="D257" s="218" t="str">
        <x:v>610067</x:v>
      </x:c>
      <x:c r="E257" s="218" t="str">
        <x:v>976443</x:v>
      </x:c>
      <x:c r="F257" s="218" t="str">
        <x:v>ALIZAR</x:v>
      </x:c>
      <x:c r="G257" s="184" t="str">
        <x:v>T A 1100X70X09 RTO LME PET CNZ VE (UL</x:v>
      </x:c>
      <x:c r="H257" s="184" t="str"/>
      <x:c r="I257" s="184" t="str"/>
      <x:c r="J257" s="184" t="str"/>
      <x:c r="K257" s="184" t="str">
        <x:v>RECOBERTO PET</x:v>
      </x:c>
      <x:c r="L257" s="184" t="str">
        <x:v>CINZA VERONA</x:v>
      </x:c>
      <x:c r="M257" s="205" t="n">
        <x:v>2</x:v>
      </x:c>
      <x:c r="N257" s="205" t="n">
        <x:v>1100</x:v>
      </x:c>
      <x:c r="O257" s="205" t="n">
        <x:v>70</x:v>
      </x:c>
      <x:c r="P257" s="205" t="n">
        <x:v>9</x:v>
      </x:c>
      <x:c r="Q257" s="206" t="n">
        <x:v>0.001</x:v>
      </x:c>
      <x:c r="R257" s="207" t="str"/>
      <x:c r="S257" s="207" t="str"/>
      <x:c r="T257" s="207" t="str"/>
      <x:c r="U257" s="207" t="n">
        <x:v>0</x:v>
      </x:c>
      <x:c r="V257" s="208" t="n">
        <x:f>MAX(0,M257-U257)</x:f>
        <x:v>2</x:v>
      </x:c>
      <x:c r="W257" s="209" t="n">
        <x:f>IFERROR(U257/M257,0)</x:f>
        <x:v>0</x:v>
      </x:c>
      <x:c r="X257" s="201" t="str">
        <x:f>IF(U257=0,"Não iniciado",IF(U257&gt;=M257,"Concluído","Parcial"))</x:f>
        <x:v>Não iniciado</x:v>
      </x:c>
      <x:c r="Y257" s="199" t="str"/>
      <x:c r="Z257" s="188" t="str">
        <x:v>Normal</x:v>
      </x:c>
    </x:row>
    <x:row r="258" ht="22" customHeight="1">
      <x:c r="A258" s="219" t="n">
        <x:v>254</x:v>
      </x:c>
      <x:c r="B258" s="220" t="str">
        <x:v>26520</x:v>
      </x:c>
      <x:c r="C258" s="220" t="str">
        <x:v>2</x:v>
      </x:c>
      <x:c r="D258" s="220" t="str">
        <x:v>610074</x:v>
      </x:c>
      <x:c r="E258" s="220" t="str">
        <x:v>976441</x:v>
      </x:c>
      <x:c r="F258" s="220" t="str">
        <x:v>ALIZAR</x:v>
      </x:c>
      <x:c r="G258" s="190" t="str">
        <x:v>T A 1100X70X09 RTO RL55 PET CNZ VE ULT</x:v>
      </x:c>
      <x:c r="H258" s="190" t="str"/>
      <x:c r="I258" s="190" t="str"/>
      <x:c r="J258" s="190" t="str"/>
      <x:c r="K258" s="190" t="str">
        <x:v>RECOBERTO PET</x:v>
      </x:c>
      <x:c r="L258" s="190" t="str">
        <x:v>CINZA VERONA</x:v>
      </x:c>
      <x:c r="M258" s="210" t="n">
        <x:v>6</x:v>
      </x:c>
      <x:c r="N258" s="210" t="n">
        <x:v>1100</x:v>
      </x:c>
      <x:c r="O258" s="210" t="n">
        <x:v>70</x:v>
      </x:c>
      <x:c r="P258" s="210" t="n">
        <x:v>9</x:v>
      </x:c>
      <x:c r="Q258" s="211" t="n">
        <x:v>0.004</x:v>
      </x:c>
      <x:c r="R258" s="207" t="str"/>
      <x:c r="S258" s="207" t="str"/>
      <x:c r="T258" s="207" t="str"/>
      <x:c r="U258" s="207" t="n">
        <x:v>0</x:v>
      </x:c>
      <x:c r="V258" s="208" t="n">
        <x:f>MAX(0,M258-U258)</x:f>
        <x:v>6</x:v>
      </x:c>
      <x:c r="W258" s="209" t="n">
        <x:f>IFERROR(U258/M258,0)</x:f>
        <x:v>0</x:v>
      </x:c>
      <x:c r="X258" s="201" t="str">
        <x:f>IF(U258=0,"Não iniciado",IF(U258&gt;=M258,"Concluído","Parcial"))</x:f>
        <x:v>Não iniciado</x:v>
      </x:c>
      <x:c r="Y258" s="199" t="str"/>
      <x:c r="Z258" s="188" t="str">
        <x:v>Normal</x:v>
      </x:c>
    </x:row>
    <x:row r="259" ht="22" customHeight="1">
      <x:c r="A259" s="217" t="n">
        <x:v>255</x:v>
      </x:c>
      <x:c r="B259" s="218" t="str">
        <x:v>26520</x:v>
      </x:c>
      <x:c r="C259" s="218" t="str">
        <x:v>2</x:v>
      </x:c>
      <x:c r="D259" s="218" t="str">
        <x:v>610075</x:v>
      </x:c>
      <x:c r="E259" s="218" t="str">
        <x:v>976443</x:v>
      </x:c>
      <x:c r="F259" s="218" t="str">
        <x:v>ALIZAR</x:v>
      </x:c>
      <x:c r="G259" s="184" t="str">
        <x:v>T A 1100X70X09 RTO LME PET CNZ VE (UL</x:v>
      </x:c>
      <x:c r="H259" s="184" t="str"/>
      <x:c r="I259" s="184" t="str"/>
      <x:c r="J259" s="184" t="str"/>
      <x:c r="K259" s="184" t="str">
        <x:v>RECOBERTO PET</x:v>
      </x:c>
      <x:c r="L259" s="184" t="str">
        <x:v>CINZA VERONA</x:v>
      </x:c>
      <x:c r="M259" s="205" t="n">
        <x:v>6</x:v>
      </x:c>
      <x:c r="N259" s="205" t="n">
        <x:v>1100</x:v>
      </x:c>
      <x:c r="O259" s="205" t="n">
        <x:v>70</x:v>
      </x:c>
      <x:c r="P259" s="205" t="n">
        <x:v>9</x:v>
      </x:c>
      <x:c r="Q259" s="206" t="n">
        <x:v>0.004</x:v>
      </x:c>
      <x:c r="R259" s="207" t="str"/>
      <x:c r="S259" s="207" t="str"/>
      <x:c r="T259" s="207" t="str"/>
      <x:c r="U259" s="207" t="n">
        <x:v>0</x:v>
      </x:c>
      <x:c r="V259" s="208" t="n">
        <x:f>MAX(0,M259-U259)</x:f>
        <x:v>6</x:v>
      </x:c>
      <x:c r="W259" s="209" t="n">
        <x:f>IFERROR(U259/M259,0)</x:f>
        <x:v>0</x:v>
      </x:c>
      <x:c r="X259" s="201" t="str">
        <x:f>IF(U259=0,"Não iniciado",IF(U259&gt;=M259,"Concluído","Parcial"))</x:f>
        <x:v>Não iniciado</x:v>
      </x:c>
      <x:c r="Y259" s="199" t="str"/>
      <x:c r="Z259" s="188" t="str">
        <x:v>Normal</x:v>
      </x:c>
    </x:row>
    <x:row r="260" ht="22" customHeight="1">
      <x:c r="A260" s="219" t="n">
        <x:v>256</x:v>
      </x:c>
      <x:c r="B260" s="220" t="str">
        <x:v>26808</x:v>
      </x:c>
      <x:c r="C260" s="220" t="str">
        <x:v>1</x:v>
      </x:c>
      <x:c r="D260" s="220" t="str">
        <x:v>608898</x:v>
      </x:c>
      <x:c r="E260" s="220" t="str">
        <x:v>962391</x:v>
      </x:c>
      <x:c r="F260" s="220" t="str">
        <x:v>OUTROS</x:v>
      </x:c>
      <x:c r="G260" s="190" t="str">
        <x:v>TR ALI 1100X70X9 RTO LME REC PET BCO(ULT</x:v>
      </x:c>
      <x:c r="H260" s="190" t="str"/>
      <x:c r="I260" s="190" t="str"/>
      <x:c r="J260" s="190" t="str"/>
      <x:c r="K260" s="190" t="str">
        <x:v>ESMALTE</x:v>
      </x:c>
      <x:c r="L260" s="190" t="str">
        <x:v>BRANCO CARRARA</x:v>
      </x:c>
      <x:c r="M260" s="210" t="n">
        <x:v>144</x:v>
      </x:c>
      <x:c r="N260" s="210" t="n">
        <x:v>1100</x:v>
      </x:c>
      <x:c r="O260" s="210" t="n">
        <x:v>70</x:v>
      </x:c>
      <x:c r="P260" s="210" t="n">
        <x:v>9</x:v>
      </x:c>
      <x:c r="Q260" s="211" t="n">
        <x:v>0</x:v>
      </x:c>
      <x:c r="R260" s="207" t="str"/>
      <x:c r="S260" s="207" t="str"/>
      <x:c r="T260" s="207" t="str"/>
      <x:c r="U260" s="207" t="n">
        <x:v>0</x:v>
      </x:c>
      <x:c r="V260" s="208" t="n">
        <x:f>MAX(0,M260-U260)</x:f>
        <x:v>144</x:v>
      </x:c>
      <x:c r="W260" s="209" t="n">
        <x:f>IFERROR(U260/M260,0)</x:f>
        <x:v>0</x:v>
      </x:c>
      <x:c r="X260" s="201" t="str">
        <x:f>IF(U260=0,"Não iniciado",IF(U260&gt;=M260,"Concluído","Parcial"))</x:f>
        <x:v>Não iniciado</x:v>
      </x:c>
      <x:c r="Y260" s="199" t="str"/>
      <x:c r="Z260" s="188" t="str">
        <x:v>Normal</x:v>
      </x:c>
    </x:row>
    <x:row r="261" ht="22" customHeight="1">
      <x:c r="A261" s="217" t="n">
        <x:v>257</x:v>
      </x:c>
      <x:c r="B261" s="218" t="str">
        <x:v>26808</x:v>
      </x:c>
      <x:c r="C261" s="218" t="str">
        <x:v>1</x:v>
      </x:c>
      <x:c r="D261" s="218" t="str">
        <x:v>608900</x:v>
      </x:c>
      <x:c r="E261" s="218" t="str">
        <x:v>962969</x:v>
      </x:c>
      <x:c r="F261" s="218" t="str">
        <x:v>OUTROS</x:v>
      </x:c>
      <x:c r="G261" s="184" t="str">
        <x:v>TR AL 1100X70X9 RTO RL35 REC PET BCO (UL</x:v>
      </x:c>
      <x:c r="H261" s="184" t="str"/>
      <x:c r="I261" s="184" t="str"/>
      <x:c r="J261" s="184" t="str"/>
      <x:c r="K261" s="184" t="str">
        <x:v>ESMALTE</x:v>
      </x:c>
      <x:c r="L261" s="184" t="str">
        <x:v>BRANCO CARRARA</x:v>
      </x:c>
      <x:c r="M261" s="205" t="n">
        <x:v>144</x:v>
      </x:c>
      <x:c r="N261" s="205" t="n">
        <x:v>1100</x:v>
      </x:c>
      <x:c r="O261" s="205" t="n">
        <x:v>70</x:v>
      </x:c>
      <x:c r="P261" s="205" t="n">
        <x:v>9</x:v>
      </x:c>
      <x:c r="Q261" s="206" t="n">
        <x:v>0</x:v>
      </x:c>
      <x:c r="R261" s="207" t="str"/>
      <x:c r="S261" s="207" t="str"/>
      <x:c r="T261" s="207" t="str"/>
      <x:c r="U261" s="207" t="n">
        <x:v>0</x:v>
      </x:c>
      <x:c r="V261" s="208" t="n">
        <x:f>MAX(0,M261-U261)</x:f>
        <x:v>144</x:v>
      </x:c>
      <x:c r="W261" s="209" t="n">
        <x:f>IFERROR(U261/M261,0)</x:f>
        <x:v>0</x:v>
      </x:c>
      <x:c r="X261" s="201" t="str">
        <x:f>IF(U261=0,"Não iniciado",IF(U261&gt;=M261,"Concluído","Parcial"))</x:f>
        <x:v>Não iniciado</x:v>
      </x:c>
      <x:c r="Y261" s="199" t="str"/>
      <x:c r="Z261" s="188" t="str">
        <x:v>Normal</x:v>
      </x:c>
    </x:row>
    <x:row r="262" ht="22" customHeight="1">
      <x:c r="A262" s="219" t="n">
        <x:v>258</x:v>
      </x:c>
      <x:c r="B262" s="220" t="str">
        <x:v>26808</x:v>
      </x:c>
      <x:c r="C262" s="220" t="str">
        <x:v>2</x:v>
      </x:c>
      <x:c r="D262" s="220" t="str">
        <x:v>608906</x:v>
      </x:c>
      <x:c r="E262" s="220" t="str">
        <x:v>962391</x:v>
      </x:c>
      <x:c r="F262" s="220" t="str">
        <x:v>OUTROS</x:v>
      </x:c>
      <x:c r="G262" s="190" t="str">
        <x:v>TR ALI 1100X70X9 RTO LME REC PET BCO(ULT</x:v>
      </x:c>
      <x:c r="H262" s="190" t="str"/>
      <x:c r="I262" s="190" t="str"/>
      <x:c r="J262" s="190" t="str"/>
      <x:c r="K262" s="190" t="str">
        <x:v>ESMALTE</x:v>
      </x:c>
      <x:c r="L262" s="190" t="str">
        <x:v>BRANCO CARRARA</x:v>
      </x:c>
      <x:c r="M262" s="210" t="n">
        <x:v>16</x:v>
      </x:c>
      <x:c r="N262" s="210" t="n">
        <x:v>1100</x:v>
      </x:c>
      <x:c r="O262" s="210" t="n">
        <x:v>70</x:v>
      </x:c>
      <x:c r="P262" s="210" t="n">
        <x:v>9</x:v>
      </x:c>
      <x:c r="Q262" s="211" t="n">
        <x:v>0</x:v>
      </x:c>
      <x:c r="R262" s="207" t="str"/>
      <x:c r="S262" s="207" t="str"/>
      <x:c r="T262" s="207" t="str"/>
      <x:c r="U262" s="207" t="n">
        <x:v>0</x:v>
      </x:c>
      <x:c r="V262" s="208" t="n">
        <x:f>MAX(0,M262-U262)</x:f>
        <x:v>16</x:v>
      </x:c>
      <x:c r="W262" s="209" t="n">
        <x:f>IFERROR(U262/M262,0)</x:f>
        <x:v>0</x:v>
      </x:c>
      <x:c r="X262" s="201" t="str">
        <x:f>IF(U262=0,"Não iniciado",IF(U262&gt;=M262,"Concluído","Parcial"))</x:f>
        <x:v>Não iniciado</x:v>
      </x:c>
      <x:c r="Y262" s="199" t="str"/>
      <x:c r="Z262" s="188" t="str">
        <x:v>Normal</x:v>
      </x:c>
    </x:row>
    <x:row r="263" ht="22" customHeight="1">
      <x:c r="A263" s="217" t="n">
        <x:v>259</x:v>
      </x:c>
      <x:c r="B263" s="218" t="str">
        <x:v>26808</x:v>
      </x:c>
      <x:c r="C263" s="218" t="str">
        <x:v>2</x:v>
      </x:c>
      <x:c r="D263" s="218" t="str">
        <x:v>608908</x:v>
      </x:c>
      <x:c r="E263" s="218" t="str">
        <x:v>962969</x:v>
      </x:c>
      <x:c r="F263" s="218" t="str">
        <x:v>OUTROS</x:v>
      </x:c>
      <x:c r="G263" s="184" t="str">
        <x:v>TR AL 1100X70X9 RTO RL35 REC PET BCO (UL</x:v>
      </x:c>
      <x:c r="H263" s="184" t="str"/>
      <x:c r="I263" s="184" t="str"/>
      <x:c r="J263" s="184" t="str"/>
      <x:c r="K263" s="184" t="str">
        <x:v>ESMALTE</x:v>
      </x:c>
      <x:c r="L263" s="184" t="str">
        <x:v>BRANCO CARRARA</x:v>
      </x:c>
      <x:c r="M263" s="205" t="n">
        <x:v>16</x:v>
      </x:c>
      <x:c r="N263" s="205" t="n">
        <x:v>1100</x:v>
      </x:c>
      <x:c r="O263" s="205" t="n">
        <x:v>70</x:v>
      </x:c>
      <x:c r="P263" s="205" t="n">
        <x:v>9</x:v>
      </x:c>
      <x:c r="Q263" s="206" t="n">
        <x:v>0</x:v>
      </x:c>
      <x:c r="R263" s="207" t="str"/>
      <x:c r="S263" s="207" t="str"/>
      <x:c r="T263" s="207" t="str"/>
      <x:c r="U263" s="207" t="n">
        <x:v>0</x:v>
      </x:c>
      <x:c r="V263" s="208" t="n">
        <x:f>MAX(0,M263-U263)</x:f>
        <x:v>16</x:v>
      </x:c>
      <x:c r="W263" s="209" t="n">
        <x:f>IFERROR(U263/M263,0)</x:f>
        <x:v>0</x:v>
      </x:c>
      <x:c r="X263" s="201" t="str">
        <x:f>IF(U263=0,"Não iniciado",IF(U263&gt;=M263,"Concluído","Parcial"))</x:f>
        <x:v>Não iniciado</x:v>
      </x:c>
      <x:c r="Y263" s="199" t="str"/>
      <x:c r="Z263" s="188" t="str">
        <x:v>Normal</x:v>
      </x:c>
    </x:row>
    <x:row r="264" ht="22" customHeight="1">
      <x:c r="A264" s="219" t="n">
        <x:v>260</x:v>
      </x:c>
      <x:c r="B264" s="220" t="str">
        <x:v>26808</x:v>
      </x:c>
      <x:c r="C264" s="220" t="str">
        <x:v>3</x:v>
      </x:c>
      <x:c r="D264" s="220" t="str">
        <x:v>608914</x:v>
      </x:c>
      <x:c r="E264" s="220" t="str">
        <x:v>962391</x:v>
      </x:c>
      <x:c r="F264" s="220" t="str">
        <x:v>OUTROS</x:v>
      </x:c>
      <x:c r="G264" s="190" t="str">
        <x:v>TR ALI 1100X70X9 RTO LME REC PET BCO(ULT</x:v>
      </x:c>
      <x:c r="H264" s="190" t="str"/>
      <x:c r="I264" s="190" t="str"/>
      <x:c r="J264" s="190" t="str"/>
      <x:c r="K264" s="190" t="str">
        <x:v>ESMALTE</x:v>
      </x:c>
      <x:c r="L264" s="190" t="str">
        <x:v>BRANCO CARRARA</x:v>
      </x:c>
      <x:c r="M264" s="210" t="n">
        <x:v>60</x:v>
      </x:c>
      <x:c r="N264" s="210" t="n">
        <x:v>1100</x:v>
      </x:c>
      <x:c r="O264" s="210" t="n">
        <x:v>70</x:v>
      </x:c>
      <x:c r="P264" s="210" t="n">
        <x:v>9</x:v>
      </x:c>
      <x:c r="Q264" s="211" t="n">
        <x:v>0</x:v>
      </x:c>
      <x:c r="R264" s="207" t="str"/>
      <x:c r="S264" s="207" t="str"/>
      <x:c r="T264" s="207" t="str"/>
      <x:c r="U264" s="207" t="n">
        <x:v>0</x:v>
      </x:c>
      <x:c r="V264" s="208" t="n">
        <x:f>MAX(0,M264-U264)</x:f>
        <x:v>60</x:v>
      </x:c>
      <x:c r="W264" s="209" t="n">
        <x:f>IFERROR(U264/M264,0)</x:f>
        <x:v>0</x:v>
      </x:c>
      <x:c r="X264" s="201" t="str">
        <x:f>IF(U264=0,"Não iniciado",IF(U264&gt;=M264,"Concluído","Parcial"))</x:f>
        <x:v>Não iniciado</x:v>
      </x:c>
      <x:c r="Y264" s="199" t="str"/>
      <x:c r="Z264" s="188" t="str">
        <x:v>Normal</x:v>
      </x:c>
    </x:row>
    <x:row r="265" ht="22" customHeight="1">
      <x:c r="A265" s="217" t="n">
        <x:v>261</x:v>
      </x:c>
      <x:c r="B265" s="218" t="str">
        <x:v>26808</x:v>
      </x:c>
      <x:c r="C265" s="218" t="str">
        <x:v>3</x:v>
      </x:c>
      <x:c r="D265" s="218" t="str">
        <x:v>608916</x:v>
      </x:c>
      <x:c r="E265" s="218" t="str">
        <x:v>962969</x:v>
      </x:c>
      <x:c r="F265" s="218" t="str">
        <x:v>OUTROS</x:v>
      </x:c>
      <x:c r="G265" s="184" t="str">
        <x:v>TR AL 1100X70X9 RTO RL35 REC PET BCO (UL</x:v>
      </x:c>
      <x:c r="H265" s="184" t="str"/>
      <x:c r="I265" s="184" t="str"/>
      <x:c r="J265" s="184" t="str"/>
      <x:c r="K265" s="184" t="str">
        <x:v>ESMALTE</x:v>
      </x:c>
      <x:c r="L265" s="184" t="str">
        <x:v>BRANCO CARRARA</x:v>
      </x:c>
      <x:c r="M265" s="205" t="n">
        <x:v>60</x:v>
      </x:c>
      <x:c r="N265" s="205" t="n">
        <x:v>1100</x:v>
      </x:c>
      <x:c r="O265" s="205" t="n">
        <x:v>70</x:v>
      </x:c>
      <x:c r="P265" s="205" t="n">
        <x:v>9</x:v>
      </x:c>
      <x:c r="Q265" s="206" t="n">
        <x:v>0</x:v>
      </x:c>
      <x:c r="R265" s="207" t="str"/>
      <x:c r="S265" s="207" t="str"/>
      <x:c r="T265" s="207" t="str"/>
      <x:c r="U265" s="207" t="n">
        <x:v>0</x:v>
      </x:c>
      <x:c r="V265" s="208" t="n">
        <x:f>MAX(0,M265-U265)</x:f>
        <x:v>60</x:v>
      </x:c>
      <x:c r="W265" s="209" t="n">
        <x:f>IFERROR(U265/M265,0)</x:f>
        <x:v>0</x:v>
      </x:c>
      <x:c r="X265" s="201" t="str">
        <x:f>IF(U265=0,"Não iniciado",IF(U265&gt;=M265,"Concluído","Parcial"))</x:f>
        <x:v>Não iniciado</x:v>
      </x:c>
      <x:c r="Y265" s="199" t="str"/>
      <x:c r="Z265" s="188" t="str">
        <x:v>Normal</x:v>
      </x:c>
    </x:row>
    <x:row r="266" ht="22" customHeight="1">
      <x:c r="A266" s="219" t="n">
        <x:v>262</x:v>
      </x:c>
      <x:c r="B266" s="220" t="str">
        <x:v>26808</x:v>
      </x:c>
      <x:c r="C266" s="220" t="str">
        <x:v>4</x:v>
      </x:c>
      <x:c r="D266" s="220" t="str">
        <x:v>608922</x:v>
      </x:c>
      <x:c r="E266" s="220" t="str">
        <x:v>962391</x:v>
      </x:c>
      <x:c r="F266" s="220" t="str">
        <x:v>OUTROS</x:v>
      </x:c>
      <x:c r="G266" s="190" t="str">
        <x:v>TR ALI 1100X70X9 RTO LME REC PET BCO(ULT</x:v>
      </x:c>
      <x:c r="H266" s="190" t="str"/>
      <x:c r="I266" s="190" t="str"/>
      <x:c r="J266" s="190" t="str"/>
      <x:c r="K266" s="190" t="str">
        <x:v>ESMALTE</x:v>
      </x:c>
      <x:c r="L266" s="190" t="str">
        <x:v>BRANCO CARRARA</x:v>
      </x:c>
      <x:c r="M266" s="210" t="n">
        <x:v>63</x:v>
      </x:c>
      <x:c r="N266" s="210" t="n">
        <x:v>1100</x:v>
      </x:c>
      <x:c r="O266" s="210" t="n">
        <x:v>70</x:v>
      </x:c>
      <x:c r="P266" s="210" t="n">
        <x:v>9</x:v>
      </x:c>
      <x:c r="Q266" s="211" t="n">
        <x:v>0</x:v>
      </x:c>
      <x:c r="R266" s="207" t="str"/>
      <x:c r="S266" s="207" t="str"/>
      <x:c r="T266" s="207" t="str"/>
      <x:c r="U266" s="207" t="n">
        <x:v>0</x:v>
      </x:c>
      <x:c r="V266" s="208" t="n">
        <x:f>MAX(0,M266-U266)</x:f>
        <x:v>63</x:v>
      </x:c>
      <x:c r="W266" s="209" t="n">
        <x:f>IFERROR(U266/M266,0)</x:f>
        <x:v>0</x:v>
      </x:c>
      <x:c r="X266" s="201" t="str">
        <x:f>IF(U266=0,"Não iniciado",IF(U266&gt;=M266,"Concluído","Parcial"))</x:f>
        <x:v>Não iniciado</x:v>
      </x:c>
      <x:c r="Y266" s="199" t="str"/>
      <x:c r="Z266" s="188" t="str">
        <x:v>Normal</x:v>
      </x:c>
    </x:row>
    <x:row r="267" ht="22" customHeight="1">
      <x:c r="A267" s="217" t="n">
        <x:v>263</x:v>
      </x:c>
      <x:c r="B267" s="218" t="str">
        <x:v>26808</x:v>
      </x:c>
      <x:c r="C267" s="218" t="str">
        <x:v>4</x:v>
      </x:c>
      <x:c r="D267" s="218" t="str">
        <x:v>608924</x:v>
      </x:c>
      <x:c r="E267" s="218" t="str">
        <x:v>962969</x:v>
      </x:c>
      <x:c r="F267" s="218" t="str">
        <x:v>OUTROS</x:v>
      </x:c>
      <x:c r="G267" s="184" t="str">
        <x:v>TR AL 1100X70X9 RTO RL35 REC PET BCO (UL</x:v>
      </x:c>
      <x:c r="H267" s="184" t="str"/>
      <x:c r="I267" s="184" t="str"/>
      <x:c r="J267" s="184" t="str"/>
      <x:c r="K267" s="184" t="str">
        <x:v>ESMALTE</x:v>
      </x:c>
      <x:c r="L267" s="184" t="str">
        <x:v>BRANCO CARRARA</x:v>
      </x:c>
      <x:c r="M267" s="205" t="n">
        <x:v>63</x:v>
      </x:c>
      <x:c r="N267" s="205" t="n">
        <x:v>1100</x:v>
      </x:c>
      <x:c r="O267" s="205" t="n">
        <x:v>70</x:v>
      </x:c>
      <x:c r="P267" s="205" t="n">
        <x:v>9</x:v>
      </x:c>
      <x:c r="Q267" s="206" t="n">
        <x:v>0</x:v>
      </x:c>
      <x:c r="R267" s="207" t="str"/>
      <x:c r="S267" s="207" t="str"/>
      <x:c r="T267" s="207" t="str"/>
      <x:c r="U267" s="207" t="n">
        <x:v>0</x:v>
      </x:c>
      <x:c r="V267" s="208" t="n">
        <x:f>MAX(0,M267-U267)</x:f>
        <x:v>63</x:v>
      </x:c>
      <x:c r="W267" s="209" t="n">
        <x:f>IFERROR(U267/M267,0)</x:f>
        <x:v>0</x:v>
      </x:c>
      <x:c r="X267" s="201" t="str">
        <x:f>IF(U267=0,"Não iniciado",IF(U267&gt;=M267,"Concluído","Parcial"))</x:f>
        <x:v>Não iniciado</x:v>
      </x:c>
      <x:c r="Y267" s="199" t="str"/>
      <x:c r="Z267" s="188" t="str">
        <x:v>Normal</x:v>
      </x:c>
    </x:row>
    <x:row r="268" ht="22" customHeight="1">
      <x:c r="A268" s="219" t="n">
        <x:v>264</x:v>
      </x:c>
      <x:c r="B268" s="220" t="str">
        <x:v>26808</x:v>
      </x:c>
      <x:c r="C268" s="220" t="str">
        <x:v>5</x:v>
      </x:c>
      <x:c r="D268" s="220" t="str">
        <x:v>608930</x:v>
      </x:c>
      <x:c r="E268" s="220" t="str">
        <x:v>962391</x:v>
      </x:c>
      <x:c r="F268" s="220" t="str">
        <x:v>OUTROS</x:v>
      </x:c>
      <x:c r="G268" s="190" t="str">
        <x:v>TR ALI 1100X70X9 RTO LME REC PET BCO(ULT</x:v>
      </x:c>
      <x:c r="H268" s="190" t="str"/>
      <x:c r="I268" s="190" t="str"/>
      <x:c r="J268" s="190" t="str"/>
      <x:c r="K268" s="190" t="str">
        <x:v>ESMALTE</x:v>
      </x:c>
      <x:c r="L268" s="190" t="str">
        <x:v>BRANCO CARRARA</x:v>
      </x:c>
      <x:c r="M268" s="210" t="n">
        <x:v>1</x:v>
      </x:c>
      <x:c r="N268" s="210" t="n">
        <x:v>1100</x:v>
      </x:c>
      <x:c r="O268" s="210" t="n">
        <x:v>70</x:v>
      </x:c>
      <x:c r="P268" s="210" t="n">
        <x:v>9</x:v>
      </x:c>
      <x:c r="Q268" s="211" t="n">
        <x:v>0</x:v>
      </x:c>
      <x:c r="R268" s="207" t="str"/>
      <x:c r="S268" s="207" t="str"/>
      <x:c r="T268" s="207" t="str"/>
      <x:c r="U268" s="207" t="n">
        <x:v>0</x:v>
      </x:c>
      <x:c r="V268" s="208" t="n">
        <x:f>MAX(0,M268-U268)</x:f>
        <x:v>1</x:v>
      </x:c>
      <x:c r="W268" s="209" t="n">
        <x:f>IFERROR(U268/M268,0)</x:f>
        <x:v>0</x:v>
      </x:c>
      <x:c r="X268" s="201" t="str">
        <x:f>IF(U268=0,"Não iniciado",IF(U268&gt;=M268,"Concluído","Parcial"))</x:f>
        <x:v>Não iniciado</x:v>
      </x:c>
      <x:c r="Y268" s="199" t="str"/>
      <x:c r="Z268" s="188" t="str">
        <x:v>Normal</x:v>
      </x:c>
    </x:row>
    <x:row r="269" ht="22" customHeight="1">
      <x:c r="A269" s="217" t="n">
        <x:v>265</x:v>
      </x:c>
      <x:c r="B269" s="218" t="str">
        <x:v>26808</x:v>
      </x:c>
      <x:c r="C269" s="218" t="str">
        <x:v>5</x:v>
      </x:c>
      <x:c r="D269" s="218" t="str">
        <x:v>608932</x:v>
      </x:c>
      <x:c r="E269" s="218" t="str">
        <x:v>962969</x:v>
      </x:c>
      <x:c r="F269" s="218" t="str">
        <x:v>OUTROS</x:v>
      </x:c>
      <x:c r="G269" s="184" t="str">
        <x:v>TR AL 1100X70X9 RTO RL35 REC PET BCO (UL</x:v>
      </x:c>
      <x:c r="H269" s="184" t="str"/>
      <x:c r="I269" s="184" t="str"/>
      <x:c r="J269" s="184" t="str"/>
      <x:c r="K269" s="184" t="str">
        <x:v>ESMALTE</x:v>
      </x:c>
      <x:c r="L269" s="184" t="str">
        <x:v>BRANCO CARRARA</x:v>
      </x:c>
      <x:c r="M269" s="205" t="n">
        <x:v>1</x:v>
      </x:c>
      <x:c r="N269" s="205" t="n">
        <x:v>1100</x:v>
      </x:c>
      <x:c r="O269" s="205" t="n">
        <x:v>70</x:v>
      </x:c>
      <x:c r="P269" s="205" t="n">
        <x:v>9</x:v>
      </x:c>
      <x:c r="Q269" s="206" t="n">
        <x:v>0</x:v>
      </x:c>
      <x:c r="R269" s="207" t="str"/>
      <x:c r="S269" s="207" t="str"/>
      <x:c r="T269" s="207" t="str"/>
      <x:c r="U269" s="207" t="n">
        <x:v>0</x:v>
      </x:c>
      <x:c r="V269" s="208" t="n">
        <x:f>MAX(0,M269-U269)</x:f>
        <x:v>1</x:v>
      </x:c>
      <x:c r="W269" s="209" t="n">
        <x:f>IFERROR(U269/M269,0)</x:f>
        <x:v>0</x:v>
      </x:c>
      <x:c r="X269" s="201" t="str">
        <x:f>IF(U269=0,"Não iniciado",IF(U269&gt;=M269,"Concluído","Parcial"))</x:f>
        <x:v>Não iniciado</x:v>
      </x:c>
      <x:c r="Y269" s="199" t="str"/>
      <x:c r="Z269" s="188" t="str">
        <x:v>Normal</x:v>
      </x:c>
    </x:row>
    <x:row r="270" ht="22" customHeight="1">
      <x:c r="A270" s="219" t="n">
        <x:v>266</x:v>
      </x:c>
      <x:c r="B270" s="220" t="str">
        <x:v>26808</x:v>
      </x:c>
      <x:c r="C270" s="220" t="str">
        <x:v>6</x:v>
      </x:c>
      <x:c r="D270" s="220" t="str">
        <x:v>608936</x:v>
      </x:c>
      <x:c r="E270" s="220" t="str">
        <x:v>962391</x:v>
      </x:c>
      <x:c r="F270" s="220" t="str">
        <x:v>OUTROS</x:v>
      </x:c>
      <x:c r="G270" s="190" t="str">
        <x:v>TR ALI 1100X70X9 RTO LME REC PET BCO(ULT</x:v>
      </x:c>
      <x:c r="H270" s="190" t="str"/>
      <x:c r="I270" s="190" t="str"/>
      <x:c r="J270" s="190" t="str"/>
      <x:c r="K270" s="190" t="str">
        <x:v>ESMALTE</x:v>
      </x:c>
      <x:c r="L270" s="190" t="str">
        <x:v>BRANCO CARRARA</x:v>
      </x:c>
      <x:c r="M270" s="210" t="n">
        <x:v>6</x:v>
      </x:c>
      <x:c r="N270" s="210" t="n">
        <x:v>1100</x:v>
      </x:c>
      <x:c r="O270" s="210" t="n">
        <x:v>70</x:v>
      </x:c>
      <x:c r="P270" s="210" t="n">
        <x:v>9</x:v>
      </x:c>
      <x:c r="Q270" s="211" t="n">
        <x:v>0</x:v>
      </x:c>
      <x:c r="R270" s="207" t="str"/>
      <x:c r="S270" s="207" t="str"/>
      <x:c r="T270" s="207" t="str"/>
      <x:c r="U270" s="207" t="n">
        <x:v>0</x:v>
      </x:c>
      <x:c r="V270" s="208" t="n">
        <x:f>MAX(0,M270-U270)</x:f>
        <x:v>6</x:v>
      </x:c>
      <x:c r="W270" s="209" t="n">
        <x:f>IFERROR(U270/M270,0)</x:f>
        <x:v>0</x:v>
      </x:c>
      <x:c r="X270" s="201" t="str">
        <x:f>IF(U270=0,"Não iniciado",IF(U270&gt;=M270,"Concluído","Parcial"))</x:f>
        <x:v>Não iniciado</x:v>
      </x:c>
      <x:c r="Y270" s="199" t="str"/>
      <x:c r="Z270" s="188" t="str">
        <x:v>Normal</x:v>
      </x:c>
    </x:row>
    <x:row r="271" ht="22" customHeight="1">
      <x:c r="A271" s="217" t="n">
        <x:v>267</x:v>
      </x:c>
      <x:c r="B271" s="218" t="str">
        <x:v>26808</x:v>
      </x:c>
      <x:c r="C271" s="218" t="str">
        <x:v>6</x:v>
      </x:c>
      <x:c r="D271" s="218" t="str">
        <x:v>608938</x:v>
      </x:c>
      <x:c r="E271" s="218" t="str">
        <x:v>962969</x:v>
      </x:c>
      <x:c r="F271" s="218" t="str">
        <x:v>OUTROS</x:v>
      </x:c>
      <x:c r="G271" s="184" t="str">
        <x:v>TR AL 1100X70X9 RTO RL35 REC PET BCO (UL</x:v>
      </x:c>
      <x:c r="H271" s="184" t="str"/>
      <x:c r="I271" s="184" t="str"/>
      <x:c r="J271" s="184" t="str"/>
      <x:c r="K271" s="184" t="str">
        <x:v>ESMALTE</x:v>
      </x:c>
      <x:c r="L271" s="184" t="str">
        <x:v>BRANCO CARRARA</x:v>
      </x:c>
      <x:c r="M271" s="205" t="n">
        <x:v>6</x:v>
      </x:c>
      <x:c r="N271" s="205" t="n">
        <x:v>1100</x:v>
      </x:c>
      <x:c r="O271" s="205" t="n">
        <x:v>70</x:v>
      </x:c>
      <x:c r="P271" s="205" t="n">
        <x:v>9</x:v>
      </x:c>
      <x:c r="Q271" s="206" t="n">
        <x:v>0</x:v>
      </x:c>
      <x:c r="R271" s="207" t="str"/>
      <x:c r="S271" s="207" t="str"/>
      <x:c r="T271" s="207" t="str"/>
      <x:c r="U271" s="207" t="n">
        <x:v>0</x:v>
      </x:c>
      <x:c r="V271" s="208" t="n">
        <x:f>MAX(0,M271-U271)</x:f>
        <x:v>6</x:v>
      </x:c>
      <x:c r="W271" s="209" t="n">
        <x:f>IFERROR(U271/M271,0)</x:f>
        <x:v>0</x:v>
      </x:c>
      <x:c r="X271" s="201" t="str">
        <x:f>IF(U271=0,"Não iniciado",IF(U271&gt;=M271,"Concluído","Parcial"))</x:f>
        <x:v>Não iniciado</x:v>
      </x:c>
      <x:c r="Y271" s="199" t="str"/>
      <x:c r="Z271" s="188" t="str">
        <x:v>Normal</x:v>
      </x:c>
    </x:row>
    <x:row r="272" ht="22" customHeight="1">
      <x:c r="A272" s="219" t="n">
        <x:v>268</x:v>
      </x:c>
      <x:c r="B272" s="220" t="str">
        <x:v>26808</x:v>
      </x:c>
      <x:c r="C272" s="220" t="str">
        <x:v>7</x:v>
      </x:c>
      <x:c r="D272" s="220" t="str">
        <x:v>608946</x:v>
      </x:c>
      <x:c r="E272" s="220" t="str">
        <x:v>962391</x:v>
      </x:c>
      <x:c r="F272" s="220" t="str">
        <x:v>OUTROS</x:v>
      </x:c>
      <x:c r="G272" s="190" t="str">
        <x:v>TR ALI 1100X70X9 RTO LME REC PET BCO(ULT</x:v>
      </x:c>
      <x:c r="H272" s="190" t="str"/>
      <x:c r="I272" s="190" t="str"/>
      <x:c r="J272" s="190" t="str"/>
      <x:c r="K272" s="190" t="str">
        <x:v>ESMALTE</x:v>
      </x:c>
      <x:c r="L272" s="190" t="str">
        <x:v>BRANCO CARRARA</x:v>
      </x:c>
      <x:c r="M272" s="210" t="n">
        <x:v>4</x:v>
      </x:c>
      <x:c r="N272" s="210" t="n">
        <x:v>1100</x:v>
      </x:c>
      <x:c r="O272" s="210" t="n">
        <x:v>70</x:v>
      </x:c>
      <x:c r="P272" s="210" t="n">
        <x:v>9</x:v>
      </x:c>
      <x:c r="Q272" s="211" t="n">
        <x:v>0</x:v>
      </x:c>
      <x:c r="R272" s="207" t="str"/>
      <x:c r="S272" s="207" t="str"/>
      <x:c r="T272" s="207" t="str"/>
      <x:c r="U272" s="207" t="n">
        <x:v>0</x:v>
      </x:c>
      <x:c r="V272" s="208" t="n">
        <x:f>MAX(0,M272-U272)</x:f>
        <x:v>4</x:v>
      </x:c>
      <x:c r="W272" s="209" t="n">
        <x:f>IFERROR(U272/M272,0)</x:f>
        <x:v>0</x:v>
      </x:c>
      <x:c r="X272" s="201" t="str">
        <x:f>IF(U272=0,"Não iniciado",IF(U272&gt;=M272,"Concluído","Parcial"))</x:f>
        <x:v>Não iniciado</x:v>
      </x:c>
      <x:c r="Y272" s="199" t="str"/>
      <x:c r="Z272" s="188" t="str">
        <x:v>Normal</x:v>
      </x:c>
    </x:row>
    <x:row r="273" ht="22" customHeight="1">
      <x:c r="A273" s="217" t="n">
        <x:v>269</x:v>
      </x:c>
      <x:c r="B273" s="218" t="str">
        <x:v>26808</x:v>
      </x:c>
      <x:c r="C273" s="218" t="str">
        <x:v>7</x:v>
      </x:c>
      <x:c r="D273" s="218" t="str">
        <x:v>608948</x:v>
      </x:c>
      <x:c r="E273" s="218" t="str">
        <x:v>962969</x:v>
      </x:c>
      <x:c r="F273" s="218" t="str">
        <x:v>OUTROS</x:v>
      </x:c>
      <x:c r="G273" s="184" t="str">
        <x:v>TR AL 1100X70X9 RTO RL35 REC PET BCO (UL</x:v>
      </x:c>
      <x:c r="H273" s="184" t="str"/>
      <x:c r="I273" s="184" t="str"/>
      <x:c r="J273" s="184" t="str"/>
      <x:c r="K273" s="184" t="str">
        <x:v>ESMALTE</x:v>
      </x:c>
      <x:c r="L273" s="184" t="str">
        <x:v>BRANCO CARRARA</x:v>
      </x:c>
      <x:c r="M273" s="205" t="n">
        <x:v>4</x:v>
      </x:c>
      <x:c r="N273" s="205" t="n">
        <x:v>1100</x:v>
      </x:c>
      <x:c r="O273" s="205" t="n">
        <x:v>70</x:v>
      </x:c>
      <x:c r="P273" s="205" t="n">
        <x:v>9</x:v>
      </x:c>
      <x:c r="Q273" s="206" t="n">
        <x:v>0</x:v>
      </x:c>
      <x:c r="R273" s="207" t="str"/>
      <x:c r="S273" s="207" t="str"/>
      <x:c r="T273" s="207" t="str"/>
      <x:c r="U273" s="207" t="n">
        <x:v>0</x:v>
      </x:c>
      <x:c r="V273" s="208" t="n">
        <x:f>MAX(0,M273-U273)</x:f>
        <x:v>4</x:v>
      </x:c>
      <x:c r="W273" s="209" t="n">
        <x:f>IFERROR(U273/M273,0)</x:f>
        <x:v>0</x:v>
      </x:c>
      <x:c r="X273" s="201" t="str">
        <x:f>IF(U273=0,"Não iniciado",IF(U273&gt;=M273,"Concluído","Parcial"))</x:f>
        <x:v>Não iniciado</x:v>
      </x:c>
      <x:c r="Y273" s="199" t="str"/>
      <x:c r="Z273" s="188" t="str">
        <x:v>Normal</x:v>
      </x:c>
    </x:row>
    <x:row r="274" ht="22" customHeight="1">
      <x:c r="A274" s="219" t="n">
        <x:v>270</x:v>
      </x:c>
      <x:c r="B274" s="220" t="str">
        <x:v>26808</x:v>
      </x:c>
      <x:c r="C274" s="220" t="str">
        <x:v>8</x:v>
      </x:c>
      <x:c r="D274" s="220" t="str">
        <x:v>608954</x:v>
      </x:c>
      <x:c r="E274" s="220" t="str">
        <x:v>962391</x:v>
      </x:c>
      <x:c r="F274" s="220" t="str">
        <x:v>OUTROS</x:v>
      </x:c>
      <x:c r="G274" s="190" t="str">
        <x:v>TR ALI 1100X70X9 RTO LME REC PET BCO(ULT</x:v>
      </x:c>
      <x:c r="H274" s="190" t="str"/>
      <x:c r="I274" s="190" t="str"/>
      <x:c r="J274" s="190" t="str"/>
      <x:c r="K274" s="190" t="str">
        <x:v>ESMALTE</x:v>
      </x:c>
      <x:c r="L274" s="190" t="str">
        <x:v>BRANCO CARRARA</x:v>
      </x:c>
      <x:c r="M274" s="210" t="n">
        <x:v>22</x:v>
      </x:c>
      <x:c r="N274" s="210" t="n">
        <x:v>1100</x:v>
      </x:c>
      <x:c r="O274" s="210" t="n">
        <x:v>70</x:v>
      </x:c>
      <x:c r="P274" s="210" t="n">
        <x:v>9</x:v>
      </x:c>
      <x:c r="Q274" s="211" t="n">
        <x:v>0</x:v>
      </x:c>
      <x:c r="R274" s="207" t="str"/>
      <x:c r="S274" s="207" t="str"/>
      <x:c r="T274" s="207" t="str"/>
      <x:c r="U274" s="207" t="n">
        <x:v>0</x:v>
      </x:c>
      <x:c r="V274" s="208" t="n">
        <x:f>MAX(0,M274-U274)</x:f>
        <x:v>22</x:v>
      </x:c>
      <x:c r="W274" s="209" t="n">
        <x:f>IFERROR(U274/M274,0)</x:f>
        <x:v>0</x:v>
      </x:c>
      <x:c r="X274" s="201" t="str">
        <x:f>IF(U274=0,"Não iniciado",IF(U274&gt;=M274,"Concluído","Parcial"))</x:f>
        <x:v>Não iniciado</x:v>
      </x:c>
      <x:c r="Y274" s="199" t="str"/>
      <x:c r="Z274" s="188" t="str">
        <x:v>Normal</x:v>
      </x:c>
    </x:row>
    <x:row r="275" ht="22" customHeight="1">
      <x:c r="A275" s="217" t="n">
        <x:v>271</x:v>
      </x:c>
      <x:c r="B275" s="218" t="str">
        <x:v>26808</x:v>
      </x:c>
      <x:c r="C275" s="218" t="str">
        <x:v>8</x:v>
      </x:c>
      <x:c r="D275" s="218" t="str">
        <x:v>608956</x:v>
      </x:c>
      <x:c r="E275" s="218" t="str">
        <x:v>962969</x:v>
      </x:c>
      <x:c r="F275" s="218" t="str">
        <x:v>OUTROS</x:v>
      </x:c>
      <x:c r="G275" s="184" t="str">
        <x:v>TR AL 1100X70X9 RTO RL35 REC PET BCO (UL</x:v>
      </x:c>
      <x:c r="H275" s="184" t="str"/>
      <x:c r="I275" s="184" t="str"/>
      <x:c r="J275" s="184" t="str"/>
      <x:c r="K275" s="184" t="str">
        <x:v>ESMALTE</x:v>
      </x:c>
      <x:c r="L275" s="184" t="str">
        <x:v>BRANCO CARRARA</x:v>
      </x:c>
      <x:c r="M275" s="205" t="n">
        <x:v>22</x:v>
      </x:c>
      <x:c r="N275" s="205" t="n">
        <x:v>1100</x:v>
      </x:c>
      <x:c r="O275" s="205" t="n">
        <x:v>70</x:v>
      </x:c>
      <x:c r="P275" s="205" t="n">
        <x:v>9</x:v>
      </x:c>
      <x:c r="Q275" s="206" t="n">
        <x:v>0</x:v>
      </x:c>
      <x:c r="R275" s="207" t="str"/>
      <x:c r="S275" s="207" t="str"/>
      <x:c r="T275" s="207" t="str"/>
      <x:c r="U275" s="207" t="n">
        <x:v>0</x:v>
      </x:c>
      <x:c r="V275" s="208" t="n">
        <x:f>MAX(0,M275-U275)</x:f>
        <x:v>22</x:v>
      </x:c>
      <x:c r="W275" s="209" t="n">
        <x:f>IFERROR(U275/M275,0)</x:f>
        <x:v>0</x:v>
      </x:c>
      <x:c r="X275" s="201" t="str">
        <x:f>IF(U275=0,"Não iniciado",IF(U275&gt;=M275,"Concluído","Parcial"))</x:f>
        <x:v>Não iniciado</x:v>
      </x:c>
      <x:c r="Y275" s="199" t="str"/>
      <x:c r="Z275" s="188" t="str">
        <x:v>Normal</x:v>
      </x:c>
    </x:row>
    <x:row r="276" ht="22" customHeight="1">
      <x:c r="A276" s="219" t="n">
        <x:v>272</x:v>
      </x:c>
      <x:c r="B276" s="220" t="str">
        <x:v>26808</x:v>
      </x:c>
      <x:c r="C276" s="220" t="str">
        <x:v>9</x:v>
      </x:c>
      <x:c r="D276" s="220" t="str">
        <x:v>608962</x:v>
      </x:c>
      <x:c r="E276" s="220" t="str">
        <x:v>962391</x:v>
      </x:c>
      <x:c r="F276" s="220" t="str">
        <x:v>OUTROS</x:v>
      </x:c>
      <x:c r="G276" s="190" t="str">
        <x:v>TR ALI 1100X70X9 RTO LME REC PET BCO(ULT</x:v>
      </x:c>
      <x:c r="H276" s="190" t="str"/>
      <x:c r="I276" s="190" t="str"/>
      <x:c r="J276" s="190" t="str"/>
      <x:c r="K276" s="190" t="str">
        <x:v>ESMALTE</x:v>
      </x:c>
      <x:c r="L276" s="190" t="str">
        <x:v>BRANCO CARRARA</x:v>
      </x:c>
      <x:c r="M276" s="210" t="n">
        <x:v>71</x:v>
      </x:c>
      <x:c r="N276" s="210" t="n">
        <x:v>1100</x:v>
      </x:c>
      <x:c r="O276" s="210" t="n">
        <x:v>70</x:v>
      </x:c>
      <x:c r="P276" s="210" t="n">
        <x:v>9</x:v>
      </x:c>
      <x:c r="Q276" s="211" t="n">
        <x:v>0</x:v>
      </x:c>
      <x:c r="R276" s="207" t="str"/>
      <x:c r="S276" s="207" t="str"/>
      <x:c r="T276" s="207" t="str"/>
      <x:c r="U276" s="207" t="n">
        <x:v>0</x:v>
      </x:c>
      <x:c r="V276" s="208" t="n">
        <x:f>MAX(0,M276-U276)</x:f>
        <x:v>71</x:v>
      </x:c>
      <x:c r="W276" s="209" t="n">
        <x:f>IFERROR(U276/M276,0)</x:f>
        <x:v>0</x:v>
      </x:c>
      <x:c r="X276" s="201" t="str">
        <x:f>IF(U276=0,"Não iniciado",IF(U276&gt;=M276,"Concluído","Parcial"))</x:f>
        <x:v>Não iniciado</x:v>
      </x:c>
      <x:c r="Y276" s="199" t="str"/>
      <x:c r="Z276" s="188" t="str">
        <x:v>Normal</x:v>
      </x:c>
    </x:row>
    <x:row r="277" ht="22" customHeight="1">
      <x:c r="A277" s="217" t="n">
        <x:v>273</x:v>
      </x:c>
      <x:c r="B277" s="218" t="str">
        <x:v>26808</x:v>
      </x:c>
      <x:c r="C277" s="218" t="str">
        <x:v>9</x:v>
      </x:c>
      <x:c r="D277" s="218" t="str">
        <x:v>608964</x:v>
      </x:c>
      <x:c r="E277" s="218" t="str">
        <x:v>962969</x:v>
      </x:c>
      <x:c r="F277" s="218" t="str">
        <x:v>OUTROS</x:v>
      </x:c>
      <x:c r="G277" s="184" t="str">
        <x:v>TR AL 1100X70X9 RTO RL35 REC PET BCO (UL</x:v>
      </x:c>
      <x:c r="H277" s="184" t="str"/>
      <x:c r="I277" s="184" t="str"/>
      <x:c r="J277" s="184" t="str"/>
      <x:c r="K277" s="184" t="str">
        <x:v>ESMALTE</x:v>
      </x:c>
      <x:c r="L277" s="184" t="str">
        <x:v>BRANCO CARRARA</x:v>
      </x:c>
      <x:c r="M277" s="205" t="n">
        <x:v>71</x:v>
      </x:c>
      <x:c r="N277" s="205" t="n">
        <x:v>1100</x:v>
      </x:c>
      <x:c r="O277" s="205" t="n">
        <x:v>70</x:v>
      </x:c>
      <x:c r="P277" s="205" t="n">
        <x:v>9</x:v>
      </x:c>
      <x:c r="Q277" s="206" t="n">
        <x:v>0</x:v>
      </x:c>
      <x:c r="R277" s="207" t="str"/>
      <x:c r="S277" s="207" t="str"/>
      <x:c r="T277" s="207" t="str"/>
      <x:c r="U277" s="207" t="n">
        <x:v>0</x:v>
      </x:c>
      <x:c r="V277" s="208" t="n">
        <x:f>MAX(0,M277-U277)</x:f>
        <x:v>71</x:v>
      </x:c>
      <x:c r="W277" s="209" t="n">
        <x:f>IFERROR(U277/M277,0)</x:f>
        <x:v>0</x:v>
      </x:c>
      <x:c r="X277" s="201" t="str">
        <x:f>IF(U277=0,"Não iniciado",IF(U277&gt;=M277,"Concluído","Parcial"))</x:f>
        <x:v>Não iniciado</x:v>
      </x:c>
      <x:c r="Y277" s="199" t="str"/>
      <x:c r="Z277" s="188" t="str">
        <x:v>Normal</x:v>
      </x:c>
    </x:row>
    <x:row r="278" ht="22" customHeight="1">
      <x:c r="A278" s="219" t="n">
        <x:v>274</x:v>
      </x:c>
      <x:c r="B278" s="220" t="str">
        <x:v>26808</x:v>
      </x:c>
      <x:c r="C278" s="220" t="str">
        <x:v>10</x:v>
      </x:c>
      <x:c r="D278" s="220" t="str">
        <x:v>608970</x:v>
      </x:c>
      <x:c r="E278" s="220" t="str">
        <x:v>962391</x:v>
      </x:c>
      <x:c r="F278" s="220" t="str">
        <x:v>OUTROS</x:v>
      </x:c>
      <x:c r="G278" s="190" t="str">
        <x:v>TR ALI 1100X70X9 RTO LME REC PET BCO(ULT</x:v>
      </x:c>
      <x:c r="H278" s="190" t="str"/>
      <x:c r="I278" s="190" t="str"/>
      <x:c r="J278" s="190" t="str"/>
      <x:c r="K278" s="190" t="str">
        <x:v>ESMALTE</x:v>
      </x:c>
      <x:c r="L278" s="190" t="str">
        <x:v>BRANCO CARRARA</x:v>
      </x:c>
      <x:c r="M278" s="210" t="n">
        <x:v>1</x:v>
      </x:c>
      <x:c r="N278" s="210" t="n">
        <x:v>1100</x:v>
      </x:c>
      <x:c r="O278" s="210" t="n">
        <x:v>70</x:v>
      </x:c>
      <x:c r="P278" s="210" t="n">
        <x:v>9</x:v>
      </x:c>
      <x:c r="Q278" s="211" t="n">
        <x:v>0</x:v>
      </x:c>
      <x:c r="R278" s="207" t="str"/>
      <x:c r="S278" s="207" t="str"/>
      <x:c r="T278" s="207" t="str"/>
      <x:c r="U278" s="207" t="n">
        <x:v>0</x:v>
      </x:c>
      <x:c r="V278" s="208" t="n">
        <x:f>MAX(0,M278-U278)</x:f>
        <x:v>1</x:v>
      </x:c>
      <x:c r="W278" s="209" t="n">
        <x:f>IFERROR(U278/M278,0)</x:f>
        <x:v>0</x:v>
      </x:c>
      <x:c r="X278" s="201" t="str">
        <x:f>IF(U278=0,"Não iniciado",IF(U278&gt;=M278,"Concluído","Parcial"))</x:f>
        <x:v>Não iniciado</x:v>
      </x:c>
      <x:c r="Y278" s="199" t="str"/>
      <x:c r="Z278" s="188" t="str">
        <x:v>Normal</x:v>
      </x:c>
    </x:row>
    <x:row r="279" ht="22" customHeight="1">
      <x:c r="A279" s="217" t="n">
        <x:v>275</x:v>
      </x:c>
      <x:c r="B279" s="218" t="str">
        <x:v>26808</x:v>
      </x:c>
      <x:c r="C279" s="218" t="str">
        <x:v>10</x:v>
      </x:c>
      <x:c r="D279" s="218" t="str">
        <x:v>608972</x:v>
      </x:c>
      <x:c r="E279" s="218" t="str">
        <x:v>962969</x:v>
      </x:c>
      <x:c r="F279" s="218" t="str">
        <x:v>OUTROS</x:v>
      </x:c>
      <x:c r="G279" s="184" t="str">
        <x:v>TR AL 1100X70X9 RTO RL35 REC PET BCO (UL</x:v>
      </x:c>
      <x:c r="H279" s="184" t="str"/>
      <x:c r="I279" s="184" t="str"/>
      <x:c r="J279" s="184" t="str"/>
      <x:c r="K279" s="184" t="str">
        <x:v>ESMALTE</x:v>
      </x:c>
      <x:c r="L279" s="184" t="str">
        <x:v>BRANCO CARRARA</x:v>
      </x:c>
      <x:c r="M279" s="205" t="n">
        <x:v>1</x:v>
      </x:c>
      <x:c r="N279" s="205" t="n">
        <x:v>1100</x:v>
      </x:c>
      <x:c r="O279" s="205" t="n">
        <x:v>70</x:v>
      </x:c>
      <x:c r="P279" s="205" t="n">
        <x:v>9</x:v>
      </x:c>
      <x:c r="Q279" s="206" t="n">
        <x:v>0</x:v>
      </x:c>
      <x:c r="R279" s="207" t="str"/>
      <x:c r="S279" s="207" t="str"/>
      <x:c r="T279" s="207" t="str"/>
      <x:c r="U279" s="207" t="n">
        <x:v>0</x:v>
      </x:c>
      <x:c r="V279" s="208" t="n">
        <x:f>MAX(0,M279-U279)</x:f>
        <x:v>1</x:v>
      </x:c>
      <x:c r="W279" s="209" t="n">
        <x:f>IFERROR(U279/M279,0)</x:f>
        <x:v>0</x:v>
      </x:c>
      <x:c r="X279" s="201" t="str">
        <x:f>IF(U279=0,"Não iniciado",IF(U279&gt;=M279,"Concluído","Parcial"))</x:f>
        <x:v>Não iniciado</x:v>
      </x:c>
      <x:c r="Y279" s="199" t="str"/>
      <x:c r="Z279" s="188" t="str">
        <x:v>Normal</x:v>
      </x:c>
    </x:row>
    <x:row r="280" ht="22" customHeight="1">
      <x:c r="A280" s="219" t="n">
        <x:v>276</x:v>
      </x:c>
      <x:c r="B280" s="220" t="str">
        <x:v>26800</x:v>
      </x:c>
      <x:c r="C280" s="220" t="str">
        <x:v>5</x:v>
      </x:c>
      <x:c r="D280" s="220" t="str">
        <x:v>609980</x:v>
      </x:c>
      <x:c r="E280" s="220" t="str">
        <x:v>979739</x:v>
      </x:c>
      <x:c r="F280" s="220" t="str">
        <x:v>OUTROS</x:v>
      </x:c>
      <x:c r="G280" s="190" t="str">
        <x:v>TR ALI 1100X70X9 RTO RL55 PET MALVA (UL</x:v>
      </x:c>
      <x:c r="H280" s="190" t="str">
        <x:v>REG 2L(MAIOR 55MM)</x:v>
      </x:c>
      <x:c r="I280" s="190" t="str"/>
      <x:c r="J280" s="190" t="str"/>
      <x:c r="K280" s="190" t="str">
        <x:v>RECOBERTO PET</x:v>
      </x:c>
      <x:c r="L280" s="190" t="str">
        <x:v>CARVALHO MALVA</x:v>
      </x:c>
      <x:c r="M280" s="210" t="n">
        <x:v>6</x:v>
      </x:c>
      <x:c r="N280" s="210" t="n">
        <x:v>1100</x:v>
      </x:c>
      <x:c r="O280" s="210" t="n">
        <x:v>70</x:v>
      </x:c>
      <x:c r="P280" s="210" t="n">
        <x:v>9</x:v>
      </x:c>
      <x:c r="Q280" s="211" t="n">
        <x:v>0</x:v>
      </x:c>
      <x:c r="R280" s="207" t="str"/>
      <x:c r="S280" s="207" t="str"/>
      <x:c r="T280" s="207" t="str"/>
      <x:c r="U280" s="207" t="n">
        <x:v>0</x:v>
      </x:c>
      <x:c r="V280" s="208" t="n">
        <x:f>MAX(0,M280-U280)</x:f>
        <x:v>6</x:v>
      </x:c>
      <x:c r="W280" s="209" t="n">
        <x:f>IFERROR(U280/M280,0)</x:f>
        <x:v>0</x:v>
      </x:c>
      <x:c r="X280" s="201" t="str">
        <x:f>IF(U280=0,"Não iniciado",IF(U280&gt;=M280,"Concluído","Parcial"))</x:f>
        <x:v>Não iniciado</x:v>
      </x:c>
      <x:c r="Y280" s="199" t="str"/>
      <x:c r="Z280" s="188" t="str">
        <x:v>Normal</x:v>
      </x:c>
    </x:row>
    <x:row r="281" ht="22" customHeight="1">
      <x:c r="A281" s="217" t="n">
        <x:v>277</x:v>
      </x:c>
      <x:c r="B281" s="218" t="str">
        <x:v>26800</x:v>
      </x:c>
      <x:c r="C281" s="218" t="str">
        <x:v>5</x:v>
      </x:c>
      <x:c r="D281" s="218" t="str">
        <x:v>609982</x:v>
      </x:c>
      <x:c r="E281" s="218" t="str">
        <x:v>979741</x:v>
      </x:c>
      <x:c r="F281" s="218" t="str">
        <x:v>OUTROS</x:v>
      </x:c>
      <x:c r="G281" s="184" t="str">
        <x:v>TR ALI 1100X70X9 RTO LME PET MALVA (ULT</x:v>
      </x:c>
      <x:c r="H281" s="184" t="str">
        <x:v>REG 2L(MAIOR 55MM)</x:v>
      </x:c>
      <x:c r="I281" s="184" t="str"/>
      <x:c r="J281" s="184" t="str"/>
      <x:c r="K281" s="184" t="str">
        <x:v>RECOBERTO PET</x:v>
      </x:c>
      <x:c r="L281" s="184" t="str">
        <x:v>CARVALHO MALVA</x:v>
      </x:c>
      <x:c r="M281" s="205" t="n">
        <x:v>6</x:v>
      </x:c>
      <x:c r="N281" s="205" t="n">
        <x:v>1100</x:v>
      </x:c>
      <x:c r="O281" s="205" t="n">
        <x:v>70</x:v>
      </x:c>
      <x:c r="P281" s="205" t="n">
        <x:v>9</x:v>
      </x:c>
      <x:c r="Q281" s="206" t="n">
        <x:v>0</x:v>
      </x:c>
      <x:c r="R281" s="207" t="str"/>
      <x:c r="S281" s="207" t="str"/>
      <x:c r="T281" s="207" t="str"/>
      <x:c r="U281" s="207" t="n">
        <x:v>0</x:v>
      </x:c>
      <x:c r="V281" s="208" t="n">
        <x:f>MAX(0,M281-U281)</x:f>
        <x:v>6</x:v>
      </x:c>
      <x:c r="W281" s="209" t="n">
        <x:f>IFERROR(U281/M281,0)</x:f>
        <x:v>0</x:v>
      </x:c>
      <x:c r="X281" s="201" t="str">
        <x:f>IF(U281=0,"Não iniciado",IF(U281&gt;=M281,"Concluído","Parcial"))</x:f>
        <x:v>Não iniciado</x:v>
      </x:c>
      <x:c r="Y281" s="199" t="str"/>
      <x:c r="Z281" s="188" t="str">
        <x:v>Normal</x:v>
      </x:c>
    </x:row>
    <x:row r="282" ht="22" customHeight="1">
      <x:c r="A282" s="219" t="n">
        <x:v>278</x:v>
      </x:c>
      <x:c r="B282" s="220" t="str">
        <x:v>26684</x:v>
      </x:c>
      <x:c r="C282" s="220" t="str">
        <x:v>6</x:v>
      </x:c>
      <x:c r="D282" s="220" t="str">
        <x:v>609155</x:v>
      </x:c>
      <x:c r="E282" s="220" t="str">
        <x:v>981168</x:v>
      </x:c>
      <x:c r="F282" s="220" t="str">
        <x:v>ALIZAR</x:v>
      </x:c>
      <x:c r="G282" s="190" t="str">
        <x:v>T A 1000X70X15 RTO LMN REC PET BCO(STD)</x:v>
      </x:c>
      <x:c r="H282" s="190" t="str"/>
      <x:c r="I282" s="190" t="str"/>
      <x:c r="J282" s="190" t="str"/>
      <x:c r="K282" s="190" t="str">
        <x:v>ESMALTE</x:v>
      </x:c>
      <x:c r="L282" s="190" t="str">
        <x:v>BRANCO CARRARA</x:v>
      </x:c>
      <x:c r="M282" s="210" t="n">
        <x:v>2</x:v>
      </x:c>
      <x:c r="N282" s="210" t="n">
        <x:v>1000</x:v>
      </x:c>
      <x:c r="O282" s="210" t="n">
        <x:v>70</x:v>
      </x:c>
      <x:c r="P282" s="210" t="n">
        <x:v>15</x:v>
      </x:c>
      <x:c r="Q282" s="211" t="n">
        <x:v>0</x:v>
      </x:c>
      <x:c r="R282" s="207" t="str"/>
      <x:c r="S282" s="207" t="str"/>
      <x:c r="T282" s="207" t="str"/>
      <x:c r="U282" s="207" t="n">
        <x:v>0</x:v>
      </x:c>
      <x:c r="V282" s="208" t="n">
        <x:f>MAX(0,M282-U282)</x:f>
        <x:v>2</x:v>
      </x:c>
      <x:c r="W282" s="209" t="n">
        <x:f>IFERROR(U282/M282,0)</x:f>
        <x:v>0</x:v>
      </x:c>
      <x:c r="X282" s="201" t="str">
        <x:f>IF(U282=0,"Não iniciado",IF(U282&gt;=M282,"Concluído","Parcial"))</x:f>
        <x:v>Não iniciado</x:v>
      </x:c>
      <x:c r="Y282" s="199" t="str"/>
      <x:c r="Z282" s="188" t="str">
        <x:v>Normal</x:v>
      </x:c>
    </x:row>
    <x:row r="283" ht="22" customHeight="1">
      <x:c r="A283" s="217" t="n">
        <x:v>279</x:v>
      </x:c>
      <x:c r="B283" s="218" t="str">
        <x:v>26684</x:v>
      </x:c>
      <x:c r="C283" s="218" t="str">
        <x:v>10</x:v>
      </x:c>
      <x:c r="D283" s="218" t="str">
        <x:v>609187</x:v>
      </x:c>
      <x:c r="E283" s="218" t="str">
        <x:v>981168</x:v>
      </x:c>
      <x:c r="F283" s="218" t="str">
        <x:v>ALIZAR</x:v>
      </x:c>
      <x:c r="G283" s="184" t="str">
        <x:v>T A 1000X70X15 RTO LMN REC PET BCO(STD)</x:v>
      </x:c>
      <x:c r="H283" s="184" t="str"/>
      <x:c r="I283" s="184" t="str"/>
      <x:c r="J283" s="184" t="str"/>
      <x:c r="K283" s="184" t="str">
        <x:v>ESMALTE</x:v>
      </x:c>
      <x:c r="L283" s="184" t="str">
        <x:v>BRANCO CARRARA</x:v>
      </x:c>
      <x:c r="M283" s="205" t="n">
        <x:v>2</x:v>
      </x:c>
      <x:c r="N283" s="205" t="n">
        <x:v>1000</x:v>
      </x:c>
      <x:c r="O283" s="205" t="n">
        <x:v>70</x:v>
      </x:c>
      <x:c r="P283" s="205" t="n">
        <x:v>15</x:v>
      </x:c>
      <x:c r="Q283" s="206" t="n">
        <x:v>0</x:v>
      </x:c>
      <x:c r="R283" s="207" t="str"/>
      <x:c r="S283" s="207" t="str"/>
      <x:c r="T283" s="207" t="str"/>
      <x:c r="U283" s="207" t="n">
        <x:v>0</x:v>
      </x:c>
      <x:c r="V283" s="208" t="n">
        <x:f>MAX(0,M283-U283)</x:f>
        <x:v>2</x:v>
      </x:c>
      <x:c r="W283" s="209" t="n">
        <x:f>IFERROR(U283/M283,0)</x:f>
        <x:v>0</x:v>
      </x:c>
      <x:c r="X283" s="201" t="str">
        <x:f>IF(U283=0,"Não iniciado",IF(U283&gt;=M283,"Concluído","Parcial"))</x:f>
        <x:v>Não iniciado</x:v>
      </x:c>
      <x:c r="Y283" s="199" t="str"/>
      <x:c r="Z283" s="188" t="str">
        <x:v>Normal</x:v>
      </x:c>
    </x:row>
    <x:row r="284" ht="22" customHeight="1">
      <x:c r="A284" s="219" t="n">
        <x:v>280</x:v>
      </x:c>
      <x:c r="B284" s="220" t="str">
        <x:v>26689</x:v>
      </x:c>
      <x:c r="C284" s="220" t="str">
        <x:v>4</x:v>
      </x:c>
      <x:c r="D284" s="220" t="str">
        <x:v>609106</x:v>
      </x:c>
      <x:c r="E284" s="220" t="str">
        <x:v>981168</x:v>
      </x:c>
      <x:c r="F284" s="220" t="str">
        <x:v>ALIZAR</x:v>
      </x:c>
      <x:c r="G284" s="190" t="str">
        <x:v>T A 1000X70X15 RTO LMN REC PET BCO(STD)</x:v>
      </x:c>
      <x:c r="H284" s="190" t="str"/>
      <x:c r="I284" s="190" t="str"/>
      <x:c r="J284" s="190" t="str"/>
      <x:c r="K284" s="190" t="str">
        <x:v>ESMALTE</x:v>
      </x:c>
      <x:c r="L284" s="190" t="str">
        <x:v>BRANCO CARRARA</x:v>
      </x:c>
      <x:c r="M284" s="210" t="n">
        <x:v>3</x:v>
      </x:c>
      <x:c r="N284" s="210" t="n">
        <x:v>1000</x:v>
      </x:c>
      <x:c r="O284" s="210" t="n">
        <x:v>70</x:v>
      </x:c>
      <x:c r="P284" s="210" t="n">
        <x:v>15</x:v>
      </x:c>
      <x:c r="Q284" s="211" t="n">
        <x:v>0</x:v>
      </x:c>
      <x:c r="R284" s="207" t="str"/>
      <x:c r="S284" s="207" t="str"/>
      <x:c r="T284" s="207" t="str"/>
      <x:c r="U284" s="207" t="n">
        <x:v>0</x:v>
      </x:c>
      <x:c r="V284" s="208" t="n">
        <x:f>MAX(0,M284-U284)</x:f>
        <x:v>3</x:v>
      </x:c>
      <x:c r="W284" s="209" t="n">
        <x:f>IFERROR(U284/M284,0)</x:f>
        <x:v>0</x:v>
      </x:c>
      <x:c r="X284" s="201" t="str">
        <x:f>IF(U284=0,"Não iniciado",IF(U284&gt;=M284,"Concluído","Parcial"))</x:f>
        <x:v>Não iniciado</x:v>
      </x:c>
      <x:c r="Y284" s="199" t="str"/>
      <x:c r="Z284" s="188" t="str">
        <x:v>Normal</x:v>
      </x:c>
    </x:row>
    <x:row r="285" ht="22" customHeight="1">
      <x:c r="A285" s="217" t="n">
        <x:v>281</x:v>
      </x:c>
      <x:c r="B285" s="218" t="str">
        <x:v>26826</x:v>
      </x:c>
      <x:c r="C285" s="218" t="str">
        <x:v>4</x:v>
      </x:c>
      <x:c r="D285" s="218" t="str">
        <x:v>609064</x:v>
      </x:c>
      <x:c r="E285" s="218" t="str">
        <x:v>2010600536</x:v>
      </x:c>
      <x:c r="F285" s="218" t="str">
        <x:v>BATENTE</x:v>
      </x:c>
      <x:c r="G285" s="184" t="str">
        <x:v>M STD PET TXT BCO 1000X70X30 S/REB RG 1</x:v>
      </x:c>
      <x:c r="H285" s="184" t="str">
        <x:v>MDF STD</x:v>
      </x:c>
      <x:c r="I285" s="184" t="str">
        <x:v>S/CANAL</x:v>
      </x:c>
      <x:c r="J285" s="184" t="str">
        <x:v>S/REB</x:v>
      </x:c>
      <x:c r="K285" s="184" t="str">
        <x:v>RECOBERTO PET TXT</x:v>
      </x:c>
      <x:c r="L285" s="184" t="str">
        <x:v>BRANCO</x:v>
      </x:c>
      <x:c r="M285" s="205" t="n">
        <x:v>53</x:v>
      </x:c>
      <x:c r="N285" s="205" t="n">
        <x:v>1000</x:v>
      </x:c>
      <x:c r="O285" s="205" t="n">
        <x:v>70</x:v>
      </x:c>
      <x:c r="P285" s="205" t="n">
        <x:v>30</x:v>
      </x:c>
      <x:c r="Q285" s="206" t="n">
        <x:v>0.111</x:v>
      </x:c>
      <x:c r="R285" s="207" t="str"/>
      <x:c r="S285" s="207" t="str"/>
      <x:c r="T285" s="207" t="str"/>
      <x:c r="U285" s="207" t="n">
        <x:v>0</x:v>
      </x:c>
      <x:c r="V285" s="208" t="n">
        <x:f>MAX(0,M285-U285)</x:f>
        <x:v>53</x:v>
      </x:c>
      <x:c r="W285" s="209" t="n">
        <x:f>IFERROR(U285/M285,0)</x:f>
        <x:v>0</x:v>
      </x:c>
      <x:c r="X285" s="201" t="str">
        <x:f>IF(U285=0,"Não iniciado",IF(U285&gt;=M285,"Concluído","Parcial"))</x:f>
        <x:v>Não iniciado</x:v>
      </x:c>
      <x:c r="Y285" s="199" t="str"/>
      <x:c r="Z285" s="188" t="str">
        <x:v>Normal</x:v>
      </x:c>
    </x:row>
    <x:row r="286" ht="22" customHeight="1">
      <x:c r="A286" s="219" t="n">
        <x:v>282</x:v>
      </x:c>
      <x:c r="B286" s="220" t="str">
        <x:v>26747</x:v>
      </x:c>
      <x:c r="C286" s="220" t="str">
        <x:v>3</x:v>
      </x:c>
      <x:c r="D286" s="220" t="str">
        <x:v>609004</x:v>
      </x:c>
      <x:c r="E286" s="220" t="str">
        <x:v>980487</x:v>
      </x:c>
      <x:c r="F286" s="220" t="str">
        <x:v>OUTROS</x:v>
      </x:c>
      <x:c r="G286" s="190" t="str">
        <x:v>TRA ALI 1000X70X12 RT LME RC PET BCO(ULT</x:v>
      </x:c>
      <x:c r="H286" s="190" t="str">
        <x:v>REG 2L(MAIOR 55MM)</x:v>
      </x:c>
      <x:c r="I286" s="190" t="str"/>
      <x:c r="J286" s="190" t="str"/>
      <x:c r="K286" s="190" t="str">
        <x:v>RECOBERTO PET</x:v>
      </x:c>
      <x:c r="L286" s="190" t="str">
        <x:v>BRANCO CARRARA</x:v>
      </x:c>
      <x:c r="M286" s="210" t="n">
        <x:v>9</x:v>
      </x:c>
      <x:c r="N286" s="210" t="n">
        <x:v>1000</x:v>
      </x:c>
      <x:c r="O286" s="210" t="n">
        <x:v>70</x:v>
      </x:c>
      <x:c r="P286" s="210" t="n">
        <x:v>12</x:v>
      </x:c>
      <x:c r="Q286" s="211" t="n">
        <x:v>0</x:v>
      </x:c>
      <x:c r="R286" s="207" t="str"/>
      <x:c r="S286" s="207" t="str"/>
      <x:c r="T286" s="207" t="str"/>
      <x:c r="U286" s="207" t="n">
        <x:v>0</x:v>
      </x:c>
      <x:c r="V286" s="208" t="n">
        <x:f>MAX(0,M286-U286)</x:f>
        <x:v>9</x:v>
      </x:c>
      <x:c r="W286" s="209" t="n">
        <x:f>IFERROR(U286/M286,0)</x:f>
        <x:v>0</x:v>
      </x:c>
      <x:c r="X286" s="201" t="str">
        <x:f>IF(U286=0,"Não iniciado",IF(U286&gt;=M286,"Concluído","Parcial"))</x:f>
        <x:v>Não iniciado</x:v>
      </x:c>
      <x:c r="Y286" s="199" t="str"/>
      <x:c r="Z286" s="188" t="str">
        <x:v>Normal</x:v>
      </x:c>
    </x:row>
    <x:row r="287" ht="22" customHeight="1">
      <x:c r="A287" s="217" t="n">
        <x:v>283</x:v>
      </x:c>
      <x:c r="B287" s="218" t="str">
        <x:v>26747</x:v>
      </x:c>
      <x:c r="C287" s="218" t="str">
        <x:v>3</x:v>
      </x:c>
      <x:c r="D287" s="218" t="str">
        <x:v>609005</x:v>
      </x:c>
      <x:c r="E287" s="218" t="str">
        <x:v>980492</x:v>
      </x:c>
      <x:c r="F287" s="218" t="str">
        <x:v>OUTROS</x:v>
      </x:c>
      <x:c r="G287" s="184" t="str">
        <x:v>TRA ALI 1000X70X12 RT RL55 RC PET BCO(UL</x:v>
      </x:c>
      <x:c r="H287" s="184" t="str">
        <x:v>REG 2L(MAIOR 55MM)</x:v>
      </x:c>
      <x:c r="I287" s="184" t="str"/>
      <x:c r="J287" s="184" t="str"/>
      <x:c r="K287" s="184" t="str">
        <x:v>RECOBERTO PET</x:v>
      </x:c>
      <x:c r="L287" s="184" t="str">
        <x:v>BRANCO CARRARA</x:v>
      </x:c>
      <x:c r="M287" s="205" t="n">
        <x:v>9</x:v>
      </x:c>
      <x:c r="N287" s="205" t="n">
        <x:v>1000</x:v>
      </x:c>
      <x:c r="O287" s="205" t="n">
        <x:v>70</x:v>
      </x:c>
      <x:c r="P287" s="205" t="n">
        <x:v>12</x:v>
      </x:c>
      <x:c r="Q287" s="206" t="n">
        <x:v>0</x:v>
      </x:c>
      <x:c r="R287" s="207" t="str"/>
      <x:c r="S287" s="207" t="str"/>
      <x:c r="T287" s="207" t="str"/>
      <x:c r="U287" s="207" t="n">
        <x:v>0</x:v>
      </x:c>
      <x:c r="V287" s="208" t="n">
        <x:f>MAX(0,M287-U287)</x:f>
        <x:v>9</x:v>
      </x:c>
      <x:c r="W287" s="209" t="n">
        <x:f>IFERROR(U287/M287,0)</x:f>
        <x:v>0</x:v>
      </x:c>
      <x:c r="X287" s="201" t="str">
        <x:f>IF(U287=0,"Não iniciado",IF(U287&gt;=M287,"Concluído","Parcial"))</x:f>
        <x:v>Não iniciado</x:v>
      </x:c>
      <x:c r="Y287" s="199" t="str"/>
      <x:c r="Z287" s="188" t="str">
        <x:v>Normal</x:v>
      </x:c>
    </x:row>
    <x:row r="288" ht="22" customHeight="1">
      <x:c r="A288" s="219" t="n">
        <x:v>284</x:v>
      </x:c>
      <x:c r="B288" s="220" t="str">
        <x:v>26824</x:v>
      </x:c>
      <x:c r="C288" s="220" t="str">
        <x:v>2</x:v>
      </x:c>
      <x:c r="D288" s="220" t="str">
        <x:v>609592</x:v>
      </x:c>
      <x:c r="E288" s="220" t="str">
        <x:v>2010600196</x:v>
      </x:c>
      <x:c r="F288" s="220" t="str">
        <x:v>BATENTE</x:v>
      </x:c>
      <x:c r="G288" s="190" t="str">
        <x:v>M T MDF STD PET TXT BCO 747X70X30 42X10</x:v>
      </x:c>
      <x:c r="H288" s="190" t="str"/>
      <x:c r="I288" s="190" t="str"/>
      <x:c r="J288" s="190" t="str"/>
      <x:c r="K288" s="190" t="str">
        <x:v>ESMALTE</x:v>
      </x:c>
      <x:c r="L288" s="190" t="str">
        <x:v>BRANCO</x:v>
      </x:c>
      <x:c r="M288" s="210" t="n">
        <x:v>181</x:v>
      </x:c>
      <x:c r="N288" s="210" t="n">
        <x:v>747</x:v>
      </x:c>
      <x:c r="O288" s="210" t="n">
        <x:v>70</x:v>
      </x:c>
      <x:c r="P288" s="210" t="n">
        <x:v>30</x:v>
      </x:c>
      <x:c r="Q288" s="211" t="n">
        <x:v>0.284</x:v>
      </x:c>
      <x:c r="R288" s="207" t="str"/>
      <x:c r="S288" s="207" t="str"/>
      <x:c r="T288" s="207" t="str"/>
      <x:c r="U288" s="207" t="n">
        <x:v>0</x:v>
      </x:c>
      <x:c r="V288" s="208" t="n">
        <x:f>MAX(0,M288-U288)</x:f>
        <x:v>181</x:v>
      </x:c>
      <x:c r="W288" s="209" t="n">
        <x:f>IFERROR(U288/M288,0)</x:f>
        <x:v>0</x:v>
      </x:c>
      <x:c r="X288" s="201" t="str">
        <x:f>IF(U288=0,"Não iniciado",IF(U288&gt;=M288,"Concluído","Parcial"))</x:f>
        <x:v>Não iniciado</x:v>
      </x:c>
      <x:c r="Y288" s="199" t="str"/>
      <x:c r="Z288" s="188" t="str">
        <x:v>Normal</x:v>
      </x:c>
    </x:row>
    <x:row r="289" ht="22" customHeight="1">
      <x:c r="A289" s="217" t="n">
        <x:v>285</x:v>
      </x:c>
      <x:c r="B289" s="218" t="str">
        <x:v>26520</x:v>
      </x:c>
      <x:c r="C289" s="218" t="str">
        <x:v>6</x:v>
      </x:c>
      <x:c r="D289" s="218" t="str">
        <x:v>610108</x:v>
      </x:c>
      <x:c r="E289" s="218" t="str">
        <x:v>2010701217</x:v>
      </x:c>
      <x:c r="F289" s="218" t="str">
        <x:v>BATENTE</x:v>
      </x:c>
      <x:c r="G289" s="184" t="str">
        <x:v>M ULTRA PET CI VE 647X70X30 42X10 R2L ME</x:v>
      </x:c>
      <x:c r="H289" s="184" t="str"/>
      <x:c r="I289" s="184" t="str"/>
      <x:c r="J289" s="184" t="str"/>
      <x:c r="K289" s="184" t="str">
        <x:v>RECOBERTO PET</x:v>
      </x:c>
      <x:c r="L289" s="184" t="str">
        <x:v>CINZA VERONA</x:v>
      </x:c>
      <x:c r="M289" s="205" t="n">
        <x:v>1</x:v>
      </x:c>
      <x:c r="N289" s="205" t="n">
        <x:v>647</x:v>
      </x:c>
      <x:c r="O289" s="205" t="n">
        <x:v>70</x:v>
      </x:c>
      <x:c r="P289" s="205" t="n">
        <x:v>30</x:v>
      </x:c>
      <x:c r="Q289" s="206" t="n">
        <x:v>0.001</x:v>
      </x:c>
      <x:c r="R289" s="207" t="str"/>
      <x:c r="S289" s="207" t="str"/>
      <x:c r="T289" s="207" t="str"/>
      <x:c r="U289" s="207" t="n">
        <x:v>0</x:v>
      </x:c>
      <x:c r="V289" s="208" t="n">
        <x:f>MAX(0,M289-U289)</x:f>
        <x:v>1</x:v>
      </x:c>
      <x:c r="W289" s="209" t="n">
        <x:f>IFERROR(U289/M289,0)</x:f>
        <x:v>0</x:v>
      </x:c>
      <x:c r="X289" s="201" t="str">
        <x:f>IF(U289=0,"Não iniciado",IF(U289&gt;=M289,"Concluído","Parcial"))</x:f>
        <x:v>Não iniciado</x:v>
      </x:c>
      <x:c r="Y289" s="199" t="str"/>
      <x:c r="Z289" s="188" t="str">
        <x:v>Normal</x:v>
      </x:c>
    </x:row>
    <x:row r="290" ht="22" customHeight="1">
      <x:c r="A290" s="219" t="n">
        <x:v>286</x:v>
      </x:c>
      <x:c r="B290" s="220" t="str">
        <x:v>26825</x:v>
      </x:c>
      <x:c r="C290" s="220" t="str">
        <x:v>4</x:v>
      </x:c>
      <x:c r="D290" s="220" t="str">
        <x:v>609055</x:v>
      </x:c>
      <x:c r="E290" s="220" t="str">
        <x:v>2020700647</x:v>
      </x:c>
      <x:c r="F290" s="220" t="str">
        <x:v>OUTROS</x:v>
      </x:c>
      <x:c r="G290" s="190" t="str">
        <x:v>A ULTRA PET BCO CAR 1200X60X9 RG(55) RTO</x:v>
      </x:c>
      <x:c r="H290" s="190" t="str">
        <x:v>REG 2L(MAIOR 55MM)</x:v>
      </x:c>
      <x:c r="I290" s="190" t="str"/>
      <x:c r="J290" s="190" t="str"/>
      <x:c r="K290" s="190" t="str">
        <x:v>RECOBERTO PET</x:v>
      </x:c>
      <x:c r="L290" s="190" t="str">
        <x:v>BRANCO CARRARA</x:v>
      </x:c>
      <x:c r="M290" s="210" t="n">
        <x:v>32</x:v>
      </x:c>
      <x:c r="N290" s="210" t="n">
        <x:v>1200</x:v>
      </x:c>
      <x:c r="O290" s="210" t="n">
        <x:v>60</x:v>
      </x:c>
      <x:c r="P290" s="210" t="n">
        <x:v>9</x:v>
      </x:c>
      <x:c r="Q290" s="211" t="n">
        <x:v>0</x:v>
      </x:c>
      <x:c r="R290" s="207" t="str"/>
      <x:c r="S290" s="207" t="str"/>
      <x:c r="T290" s="207" t="str"/>
      <x:c r="U290" s="207" t="n">
        <x:v>0</x:v>
      </x:c>
      <x:c r="V290" s="208" t="n">
        <x:f>MAX(0,M290-U290)</x:f>
        <x:v>32</x:v>
      </x:c>
      <x:c r="W290" s="209" t="n">
        <x:f>IFERROR(U290/M290,0)</x:f>
        <x:v>0</x:v>
      </x:c>
      <x:c r="X290" s="201" t="str">
        <x:f>IF(U290=0,"Não iniciado",IF(U290&gt;=M290,"Concluído","Parcial"))</x:f>
        <x:v>Não iniciado</x:v>
      </x:c>
      <x:c r="Y290" s="199" t="str"/>
      <x:c r="Z290" s="188" t="str">
        <x:v>Normal</x:v>
      </x:c>
    </x:row>
    <x:row r="291" ht="22" customHeight="1">
      <x:c r="A291" s="217" t="n">
        <x:v>287</x:v>
      </x:c>
      <x:c r="B291" s="218" t="str">
        <x:v>26825</x:v>
      </x:c>
      <x:c r="C291" s="218" t="str">
        <x:v>4</x:v>
      </x:c>
      <x:c r="D291" s="218" t="str">
        <x:v>609056</x:v>
      </x:c>
      <x:c r="E291" s="218" t="str">
        <x:v>2020700648</x:v>
      </x:c>
      <x:c r="F291" s="218" t="str">
        <x:v>OUTROS</x:v>
      </x:c>
      <x:c r="G291" s="184" t="str">
        <x:v>A ULTRA PET BCO CAR 1200X60X9 RG(ME) RTO</x:v>
      </x:c>
      <x:c r="H291" s="184" t="str">
        <x:v>REG 2L(MAIOR 55MM)</x:v>
      </x:c>
      <x:c r="I291" s="184" t="str"/>
      <x:c r="J291" s="184" t="str"/>
      <x:c r="K291" s="184" t="str">
        <x:v>RECOBERTO PET</x:v>
      </x:c>
      <x:c r="L291" s="184" t="str">
        <x:v>BRANCO CARRARA</x:v>
      </x:c>
      <x:c r="M291" s="205" t="n">
        <x:v>32</x:v>
      </x:c>
      <x:c r="N291" s="205" t="n">
        <x:v>1200</x:v>
      </x:c>
      <x:c r="O291" s="205" t="n">
        <x:v>60</x:v>
      </x:c>
      <x:c r="P291" s="205" t="n">
        <x:v>9</x:v>
      </x:c>
      <x:c r="Q291" s="206" t="n">
        <x:v>0</x:v>
      </x:c>
      <x:c r="R291" s="207" t="str"/>
      <x:c r="S291" s="207" t="str"/>
      <x:c r="T291" s="207" t="str"/>
      <x:c r="U291" s="207" t="n">
        <x:v>0</x:v>
      </x:c>
      <x:c r="V291" s="208" t="n">
        <x:f>MAX(0,M291-U291)</x:f>
        <x:v>32</x:v>
      </x:c>
      <x:c r="W291" s="209" t="n">
        <x:f>IFERROR(U291/M291,0)</x:f>
        <x:v>0</x:v>
      </x:c>
      <x:c r="X291" s="201" t="str">
        <x:f>IF(U291=0,"Não iniciado",IF(U291&gt;=M291,"Concluído","Parcial"))</x:f>
        <x:v>Não iniciado</x:v>
      </x:c>
      <x:c r="Y291" s="199" t="str"/>
      <x:c r="Z291" s="188" t="str">
        <x:v>Normal</x:v>
      </x:c>
    </x:row>
    <x:row r="292" ht="22" customHeight="1">
      <x:c r="A292" s="219" t="n">
        <x:v>288</x:v>
      </x:c>
      <x:c r="B292" s="220" t="str">
        <x:v>26792</x:v>
      </x:c>
      <x:c r="C292" s="220" t="str">
        <x:v>4</x:v>
      </x:c>
      <x:c r="D292" s="220" t="str">
        <x:v>609446</x:v>
      </x:c>
      <x:c r="E292" s="220" t="str">
        <x:v>2020600206</x:v>
      </x:c>
      <x:c r="F292" s="220" t="str">
        <x:v>OUTROS</x:v>
      </x:c>
      <x:c r="G292" s="190" t="str">
        <x:v>A STD PET TXT BCO 1100X60X9 RG(ME) RTO</x:v>
      </x:c>
      <x:c r="H292" s="190" t="str"/>
      <x:c r="I292" s="190" t="str"/>
      <x:c r="J292" s="190" t="str"/>
      <x:c r="K292" s="190" t="str">
        <x:v>ESMALTE</x:v>
      </x:c>
      <x:c r="L292" s="190" t="str">
        <x:v>BRANCO</x:v>
      </x:c>
      <x:c r="M292" s="210" t="n">
        <x:v>144</x:v>
      </x:c>
      <x:c r="N292" s="210" t="n">
        <x:v>1100</x:v>
      </x:c>
      <x:c r="O292" s="210" t="n">
        <x:v>60</x:v>
      </x:c>
      <x:c r="P292" s="210" t="n">
        <x:v>9</x:v>
      </x:c>
      <x:c r="Q292" s="211" t="n">
        <x:v>0</x:v>
      </x:c>
      <x:c r="R292" s="207" t="str"/>
      <x:c r="S292" s="207" t="str"/>
      <x:c r="T292" s="207" t="str"/>
      <x:c r="U292" s="207" t="n">
        <x:v>0</x:v>
      </x:c>
      <x:c r="V292" s="208" t="n">
        <x:f>MAX(0,M292-U292)</x:f>
        <x:v>144</x:v>
      </x:c>
      <x:c r="W292" s="209" t="n">
        <x:f>IFERROR(U292/M292,0)</x:f>
        <x:v>0</x:v>
      </x:c>
      <x:c r="X292" s="201" t="str">
        <x:f>IF(U292=0,"Não iniciado",IF(U292&gt;=M292,"Concluído","Parcial"))</x:f>
        <x:v>Não iniciado</x:v>
      </x:c>
      <x:c r="Y292" s="199" t="str"/>
      <x:c r="Z292" s="188" t="str">
        <x:v>Normal</x:v>
      </x:c>
    </x:row>
    <x:row r="293" ht="22" customHeight="1">
      <x:c r="A293" s="217" t="n">
        <x:v>289</x:v>
      </x:c>
      <x:c r="B293" s="218" t="str">
        <x:v>26815</x:v>
      </x:c>
      <x:c r="C293" s="218" t="str">
        <x:v>3</x:v>
      </x:c>
      <x:c r="D293" s="218" t="str">
        <x:v>609507</x:v>
      </x:c>
      <x:c r="E293" s="218" t="str">
        <x:v>2020600206</x:v>
      </x:c>
      <x:c r="F293" s="218" t="str">
        <x:v>OUTROS</x:v>
      </x:c>
      <x:c r="G293" s="184" t="str">
        <x:v>A STD PET TXT BCO 1100X60X9 RG(ME) RTO</x:v>
      </x:c>
      <x:c r="H293" s="184" t="str"/>
      <x:c r="I293" s="184" t="str"/>
      <x:c r="J293" s="184" t="str"/>
      <x:c r="K293" s="184" t="str">
        <x:v>ESMALTE</x:v>
      </x:c>
      <x:c r="L293" s="184" t="str">
        <x:v>BRANCO</x:v>
      </x:c>
      <x:c r="M293" s="205" t="n">
        <x:v>92</x:v>
      </x:c>
      <x:c r="N293" s="205" t="n">
        <x:v>1100</x:v>
      </x:c>
      <x:c r="O293" s="205" t="n">
        <x:v>60</x:v>
      </x:c>
      <x:c r="P293" s="205" t="n">
        <x:v>9</x:v>
      </x:c>
      <x:c r="Q293" s="206" t="n">
        <x:v>0</x:v>
      </x:c>
      <x:c r="R293" s="207" t="str"/>
      <x:c r="S293" s="207" t="str"/>
      <x:c r="T293" s="207" t="str"/>
      <x:c r="U293" s="207" t="n">
        <x:v>0</x:v>
      </x:c>
      <x:c r="V293" s="208" t="n">
        <x:f>MAX(0,M293-U293)</x:f>
        <x:v>92</x:v>
      </x:c>
      <x:c r="W293" s="209" t="n">
        <x:f>IFERROR(U293/M293,0)</x:f>
        <x:v>0</x:v>
      </x:c>
      <x:c r="X293" s="201" t="str">
        <x:f>IF(U293=0,"Não iniciado",IF(U293&gt;=M293,"Concluído","Parcial"))</x:f>
        <x:v>Não iniciado</x:v>
      </x:c>
      <x:c r="Y293" s="199" t="str"/>
      <x:c r="Z293" s="188" t="str">
        <x:v>Normal</x:v>
      </x:c>
    </x:row>
    <x:row r="294" ht="22" customHeight="1">
      <x:c r="A294" s="219" t="n">
        <x:v>290</x:v>
      </x:c>
      <x:c r="B294" s="220" t="str">
        <x:v>26792</x:v>
      </x:c>
      <x:c r="C294" s="220" t="str">
        <x:v>1</x:v>
      </x:c>
      <x:c r="D294" s="220" t="str">
        <x:v>609421</x:v>
      </x:c>
      <x:c r="E294" s="220" t="str">
        <x:v>2020600234</x:v>
      </x:c>
      <x:c r="F294" s="220" t="str">
        <x:v>OUTROS</x:v>
      </x:c>
      <x:c r="G294" s="190" t="str">
        <x:v>A STD PET TXT BCO 1100X60X9 RG(55) RTO</x:v>
      </x:c>
      <x:c r="H294" s="190" t="str"/>
      <x:c r="I294" s="190" t="str"/>
      <x:c r="J294" s="190" t="str"/>
      <x:c r="K294" s="190" t="str">
        <x:v>ESMALTE</x:v>
      </x:c>
      <x:c r="L294" s="190" t="str">
        <x:v>BRANCO CARRARA</x:v>
      </x:c>
      <x:c r="M294" s="210" t="n">
        <x:v>137</x:v>
      </x:c>
      <x:c r="N294" s="210" t="n">
        <x:v>1100</x:v>
      </x:c>
      <x:c r="O294" s="210" t="n">
        <x:v>60</x:v>
      </x:c>
      <x:c r="P294" s="210" t="n">
        <x:v>9</x:v>
      </x:c>
      <x:c r="Q294" s="211" t="n">
        <x:v>0</x:v>
      </x:c>
      <x:c r="R294" s="207" t="str"/>
      <x:c r="S294" s="207" t="str"/>
      <x:c r="T294" s="207" t="str"/>
      <x:c r="U294" s="207" t="n">
        <x:v>0</x:v>
      </x:c>
      <x:c r="V294" s="208" t="n">
        <x:f>MAX(0,M294-U294)</x:f>
        <x:v>137</x:v>
      </x:c>
      <x:c r="W294" s="209" t="n">
        <x:f>IFERROR(U294/M294,0)</x:f>
        <x:v>0</x:v>
      </x:c>
      <x:c r="X294" s="201" t="str">
        <x:f>IF(U294=0,"Não iniciado",IF(U294&gt;=M294,"Concluído","Parcial"))</x:f>
        <x:v>Não iniciado</x:v>
      </x:c>
      <x:c r="Y294" s="199" t="str"/>
      <x:c r="Z294" s="188" t="str">
        <x:v>Normal</x:v>
      </x:c>
    </x:row>
    <x:row r="295" ht="22" customHeight="1">
      <x:c r="A295" s="217" t="n">
        <x:v>291</x:v>
      </x:c>
      <x:c r="B295" s="218" t="str">
        <x:v>26792</x:v>
      </x:c>
      <x:c r="C295" s="218" t="str">
        <x:v>1</x:v>
      </x:c>
      <x:c r="D295" s="218" t="str">
        <x:v>609422</x:v>
      </x:c>
      <x:c r="E295" s="218" t="str">
        <x:v>2020600235</x:v>
      </x:c>
      <x:c r="F295" s="218" t="str">
        <x:v>OUTROS</x:v>
      </x:c>
      <x:c r="G295" s="184" t="str">
        <x:v>A STD PET TXT BCO 1100X60X9 RG(ME) RTO</x:v>
      </x:c>
      <x:c r="H295" s="184" t="str"/>
      <x:c r="I295" s="184" t="str"/>
      <x:c r="J295" s="184" t="str"/>
      <x:c r="K295" s="184" t="str">
        <x:v>ESMALTE</x:v>
      </x:c>
      <x:c r="L295" s="184" t="str">
        <x:v>BRANCO CARRARA</x:v>
      </x:c>
      <x:c r="M295" s="205" t="n">
        <x:v>137</x:v>
      </x:c>
      <x:c r="N295" s="205" t="n">
        <x:v>1100</x:v>
      </x:c>
      <x:c r="O295" s="205" t="n">
        <x:v>60</x:v>
      </x:c>
      <x:c r="P295" s="205" t="n">
        <x:v>9</x:v>
      </x:c>
      <x:c r="Q295" s="206" t="n">
        <x:v>0</x:v>
      </x:c>
      <x:c r="R295" s="207" t="str"/>
      <x:c r="S295" s="207" t="str"/>
      <x:c r="T295" s="207" t="str"/>
      <x:c r="U295" s="207" t="n">
        <x:v>0</x:v>
      </x:c>
      <x:c r="V295" s="208" t="n">
        <x:f>MAX(0,M295-U295)</x:f>
        <x:v>137</x:v>
      </x:c>
      <x:c r="W295" s="209" t="n">
        <x:f>IFERROR(U295/M295,0)</x:f>
        <x:v>0</x:v>
      </x:c>
      <x:c r="X295" s="201" t="str">
        <x:f>IF(U295=0,"Não iniciado",IF(U295&gt;=M295,"Concluído","Parcial"))</x:f>
        <x:v>Não iniciado</x:v>
      </x:c>
      <x:c r="Y295" s="199" t="str"/>
      <x:c r="Z295" s="188" t="str">
        <x:v>Normal</x:v>
      </x:c>
    </x:row>
    <x:row r="296" ht="22" customHeight="1">
      <x:c r="A296" s="219" t="n">
        <x:v>292</x:v>
      </x:c>
      <x:c r="B296" s="220" t="str">
        <x:v>26792</x:v>
      </x:c>
      <x:c r="C296" s="220" t="str">
        <x:v>2</x:v>
      </x:c>
      <x:c r="D296" s="220" t="str">
        <x:v>609429</x:v>
      </x:c>
      <x:c r="E296" s="220" t="str">
        <x:v>2020600234</x:v>
      </x:c>
      <x:c r="F296" s="220" t="str">
        <x:v>OUTROS</x:v>
      </x:c>
      <x:c r="G296" s="190" t="str">
        <x:v>A STD PET TXT BCO 1100X60X9 RG(55) RTO</x:v>
      </x:c>
      <x:c r="H296" s="190" t="str"/>
      <x:c r="I296" s="190" t="str"/>
      <x:c r="J296" s="190" t="str"/>
      <x:c r="K296" s="190" t="str">
        <x:v>ESMALTE</x:v>
      </x:c>
      <x:c r="L296" s="190" t="str">
        <x:v>BRANCO CARRARA</x:v>
      </x:c>
      <x:c r="M296" s="210" t="n">
        <x:v>17</x:v>
      </x:c>
      <x:c r="N296" s="210" t="n">
        <x:v>1100</x:v>
      </x:c>
      <x:c r="O296" s="210" t="n">
        <x:v>60</x:v>
      </x:c>
      <x:c r="P296" s="210" t="n">
        <x:v>9</x:v>
      </x:c>
      <x:c r="Q296" s="211" t="n">
        <x:v>0</x:v>
      </x:c>
      <x:c r="R296" s="207" t="str"/>
      <x:c r="S296" s="207" t="str"/>
      <x:c r="T296" s="207" t="str"/>
      <x:c r="U296" s="207" t="n">
        <x:v>0</x:v>
      </x:c>
      <x:c r="V296" s="208" t="n">
        <x:f>MAX(0,M296-U296)</x:f>
        <x:v>17</x:v>
      </x:c>
      <x:c r="W296" s="209" t="n">
        <x:f>IFERROR(U296/M296,0)</x:f>
        <x:v>0</x:v>
      </x:c>
      <x:c r="X296" s="201" t="str">
        <x:f>IF(U296=0,"Não iniciado",IF(U296&gt;=M296,"Concluído","Parcial"))</x:f>
        <x:v>Não iniciado</x:v>
      </x:c>
      <x:c r="Y296" s="199" t="str"/>
      <x:c r="Z296" s="188" t="str">
        <x:v>Normal</x:v>
      </x:c>
    </x:row>
    <x:row r="297" ht="22" customHeight="1">
      <x:c r="A297" s="217" t="n">
        <x:v>293</x:v>
      </x:c>
      <x:c r="B297" s="218" t="str">
        <x:v>26792</x:v>
      </x:c>
      <x:c r="C297" s="218" t="str">
        <x:v>2</x:v>
      </x:c>
      <x:c r="D297" s="218" t="str">
        <x:v>609430</x:v>
      </x:c>
      <x:c r="E297" s="218" t="str">
        <x:v>2020600235</x:v>
      </x:c>
      <x:c r="F297" s="218" t="str">
        <x:v>OUTROS</x:v>
      </x:c>
      <x:c r="G297" s="184" t="str">
        <x:v>A STD PET TXT BCO 1100X60X9 RG(ME) RTO</x:v>
      </x:c>
      <x:c r="H297" s="184" t="str"/>
      <x:c r="I297" s="184" t="str"/>
      <x:c r="J297" s="184" t="str"/>
      <x:c r="K297" s="184" t="str">
        <x:v>ESMALTE</x:v>
      </x:c>
      <x:c r="L297" s="184" t="str">
        <x:v>BRANCO CARRARA</x:v>
      </x:c>
      <x:c r="M297" s="205" t="n">
        <x:v>17</x:v>
      </x:c>
      <x:c r="N297" s="205" t="n">
        <x:v>1100</x:v>
      </x:c>
      <x:c r="O297" s="205" t="n">
        <x:v>60</x:v>
      </x:c>
      <x:c r="P297" s="205" t="n">
        <x:v>9</x:v>
      </x:c>
      <x:c r="Q297" s="206" t="n">
        <x:v>0</x:v>
      </x:c>
      <x:c r="R297" s="207" t="str"/>
      <x:c r="S297" s="207" t="str"/>
      <x:c r="T297" s="207" t="str"/>
      <x:c r="U297" s="207" t="n">
        <x:v>0</x:v>
      </x:c>
      <x:c r="V297" s="208" t="n">
        <x:f>MAX(0,M297-U297)</x:f>
        <x:v>17</x:v>
      </x:c>
      <x:c r="W297" s="209" t="n">
        <x:f>IFERROR(U297/M297,0)</x:f>
        <x:v>0</x:v>
      </x:c>
      <x:c r="X297" s="201" t="str">
        <x:f>IF(U297=0,"Não iniciado",IF(U297&gt;=M297,"Concluído","Parcial"))</x:f>
        <x:v>Não iniciado</x:v>
      </x:c>
      <x:c r="Y297" s="199" t="str"/>
      <x:c r="Z297" s="188" t="str">
        <x:v>Normal</x:v>
      </x:c>
    </x:row>
    <x:row r="298" ht="22" customHeight="1">
      <x:c r="A298" s="219" t="n">
        <x:v>294</x:v>
      </x:c>
      <x:c r="B298" s="220" t="str">
        <x:v>26792</x:v>
      </x:c>
      <x:c r="C298" s="220" t="str">
        <x:v>3</x:v>
      </x:c>
      <x:c r="D298" s="220" t="str">
        <x:v>609437</x:v>
      </x:c>
      <x:c r="E298" s="220" t="str">
        <x:v>2020600238</x:v>
      </x:c>
      <x:c r="F298" s="220" t="str">
        <x:v>OUTROS</x:v>
      </x:c>
      <x:c r="G298" s="190" t="str">
        <x:v>A STD PET TXT BCO 1100X60X9 RG(ME) RTO</x:v>
      </x:c>
      <x:c r="H298" s="190" t="str"/>
      <x:c r="I298" s="190" t="str"/>
      <x:c r="J298" s="190" t="str"/>
      <x:c r="K298" s="190" t="str">
        <x:v>ESMALTE</x:v>
      </x:c>
      <x:c r="L298" s="190" t="str">
        <x:v>BRANCO CARRARA</x:v>
      </x:c>
      <x:c r="M298" s="210" t="n">
        <x:v>1</x:v>
      </x:c>
      <x:c r="N298" s="210" t="n">
        <x:v>1100</x:v>
      </x:c>
      <x:c r="O298" s="210" t="n">
        <x:v>60</x:v>
      </x:c>
      <x:c r="P298" s="210" t="n">
        <x:v>9</x:v>
      </x:c>
      <x:c r="Q298" s="211" t="n">
        <x:v>0</x:v>
      </x:c>
      <x:c r="R298" s="207" t="str"/>
      <x:c r="S298" s="207" t="str"/>
      <x:c r="T298" s="207" t="str"/>
      <x:c r="U298" s="207" t="n">
        <x:v>0</x:v>
      </x:c>
      <x:c r="V298" s="208" t="n">
        <x:f>MAX(0,M298-U298)</x:f>
        <x:v>1</x:v>
      </x:c>
      <x:c r="W298" s="209" t="n">
        <x:f>IFERROR(U298/M298,0)</x:f>
        <x:v>0</x:v>
      </x:c>
      <x:c r="X298" s="201" t="str">
        <x:f>IF(U298=0,"Não iniciado",IF(U298&gt;=M298,"Concluído","Parcial"))</x:f>
        <x:v>Não iniciado</x:v>
      </x:c>
      <x:c r="Y298" s="199" t="str"/>
      <x:c r="Z298" s="188" t="str">
        <x:v>Normal</x:v>
      </x:c>
    </x:row>
    <x:row r="299" ht="22" customHeight="1">
      <x:c r="A299" s="217" t="n">
        <x:v>295</x:v>
      </x:c>
      <x:c r="B299" s="218" t="str">
        <x:v>26792</x:v>
      </x:c>
      <x:c r="C299" s="218" t="str">
        <x:v>3</x:v>
      </x:c>
      <x:c r="D299" s="218" t="str">
        <x:v>609438</x:v>
      </x:c>
      <x:c r="E299" s="218" t="str">
        <x:v>2020600239</x:v>
      </x:c>
      <x:c r="F299" s="218" t="str">
        <x:v>OUTROS</x:v>
      </x:c>
      <x:c r="G299" s="184" t="str">
        <x:v>A STD PET TXT BCO 1100X60X9 RG(80) RTO</x:v>
      </x:c>
      <x:c r="H299" s="184" t="str"/>
      <x:c r="I299" s="184" t="str"/>
      <x:c r="J299" s="184" t="str"/>
      <x:c r="K299" s="184" t="str">
        <x:v>ESMALTE</x:v>
      </x:c>
      <x:c r="L299" s="184" t="str">
        <x:v>BRANCO CARRARA</x:v>
      </x:c>
      <x:c r="M299" s="205" t="n">
        <x:v>1</x:v>
      </x:c>
      <x:c r="N299" s="205" t="n">
        <x:v>1100</x:v>
      </x:c>
      <x:c r="O299" s="205" t="n">
        <x:v>60</x:v>
      </x:c>
      <x:c r="P299" s="205" t="n">
        <x:v>9</x:v>
      </x:c>
      <x:c r="Q299" s="206" t="n">
        <x:v>0</x:v>
      </x:c>
      <x:c r="R299" s="207" t="str"/>
      <x:c r="S299" s="207" t="str"/>
      <x:c r="T299" s="207" t="str"/>
      <x:c r="U299" s="207" t="n">
        <x:v>0</x:v>
      </x:c>
      <x:c r="V299" s="208" t="n">
        <x:f>MAX(0,M299-U299)</x:f>
        <x:v>1</x:v>
      </x:c>
      <x:c r="W299" s="209" t="n">
        <x:f>IFERROR(U299/M299,0)</x:f>
        <x:v>0</x:v>
      </x:c>
      <x:c r="X299" s="201" t="str">
        <x:f>IF(U299=0,"Não iniciado",IF(U299&gt;=M299,"Concluído","Parcial"))</x:f>
        <x:v>Não iniciado</x:v>
      </x:c>
      <x:c r="Y299" s="199" t="str"/>
      <x:c r="Z299" s="188" t="str">
        <x:v>Normal</x:v>
      </x:c>
    </x:row>
    <x:row r="300" ht="22" customHeight="1">
      <x:c r="A300" s="219" t="n">
        <x:v>296</x:v>
      </x:c>
      <x:c r="B300" s="220" t="str">
        <x:v>26792</x:v>
      </x:c>
      <x:c r="C300" s="220" t="str">
        <x:v>5</x:v>
      </x:c>
      <x:c r="D300" s="220" t="str">
        <x:v>609458</x:v>
      </x:c>
      <x:c r="E300" s="220" t="str">
        <x:v>2020600241</x:v>
      </x:c>
      <x:c r="F300" s="220" t="str">
        <x:v>OUTROS</x:v>
      </x:c>
      <x:c r="G300" s="190" t="str">
        <x:v>A STD PET TXT BCO 1100X60X12 RG(ME) RTO</x:v>
      </x:c>
      <x:c r="H300" s="190" t="str"/>
      <x:c r="I300" s="190" t="str"/>
      <x:c r="J300" s="190" t="str"/>
      <x:c r="K300" s="190" t="str">
        <x:v>ESMALTE</x:v>
      </x:c>
      <x:c r="L300" s="190" t="str">
        <x:v>BRANCO CARRARA</x:v>
      </x:c>
      <x:c r="M300" s="210" t="n">
        <x:v>54</x:v>
      </x:c>
      <x:c r="N300" s="210" t="n">
        <x:v>1100</x:v>
      </x:c>
      <x:c r="O300" s="210" t="n">
        <x:v>60</x:v>
      </x:c>
      <x:c r="P300" s="210" t="n">
        <x:v>12</x:v>
      </x:c>
      <x:c r="Q300" s="211" t="n">
        <x:v>0</x:v>
      </x:c>
      <x:c r="R300" s="207" t="str"/>
      <x:c r="S300" s="207" t="str"/>
      <x:c r="T300" s="207" t="str"/>
      <x:c r="U300" s="207" t="n">
        <x:v>0</x:v>
      </x:c>
      <x:c r="V300" s="208" t="n">
        <x:f>MAX(0,M300-U300)</x:f>
        <x:v>54</x:v>
      </x:c>
      <x:c r="W300" s="209" t="n">
        <x:f>IFERROR(U300/M300,0)</x:f>
        <x:v>0</x:v>
      </x:c>
      <x:c r="X300" s="201" t="str">
        <x:f>IF(U300=0,"Não iniciado",IF(U300&gt;=M300,"Concluído","Parcial"))</x:f>
        <x:v>Não iniciado</x:v>
      </x:c>
      <x:c r="Y300" s="199" t="str"/>
      <x:c r="Z300" s="188" t="str">
        <x:v>Normal</x:v>
      </x:c>
    </x:row>
    <x:row r="301" ht="22" customHeight="1">
      <x:c r="A301" s="217" t="n">
        <x:v>297</x:v>
      </x:c>
      <x:c r="B301" s="218" t="str">
        <x:v>26792</x:v>
      </x:c>
      <x:c r="C301" s="218" t="str">
        <x:v>6</x:v>
      </x:c>
      <x:c r="D301" s="218" t="str">
        <x:v>609475</x:v>
      </x:c>
      <x:c r="E301" s="218" t="str">
        <x:v>2020600241</x:v>
      </x:c>
      <x:c r="F301" s="218" t="str">
        <x:v>OUTROS</x:v>
      </x:c>
      <x:c r="G301" s="184" t="str">
        <x:v>A STD PET TXT BCO 1100X60X12 RG(ME) RTO</x:v>
      </x:c>
      <x:c r="H301" s="184" t="str"/>
      <x:c r="I301" s="184" t="str"/>
      <x:c r="J301" s="184" t="str"/>
      <x:c r="K301" s="184" t="str">
        <x:v>ESMALTE</x:v>
      </x:c>
      <x:c r="L301" s="184" t="str">
        <x:v>BRANCO CARRARA</x:v>
      </x:c>
      <x:c r="M301" s="205" t="n">
        <x:v>10</x:v>
      </x:c>
      <x:c r="N301" s="205" t="n">
        <x:v>1100</x:v>
      </x:c>
      <x:c r="O301" s="205" t="n">
        <x:v>60</x:v>
      </x:c>
      <x:c r="P301" s="205" t="n">
        <x:v>12</x:v>
      </x:c>
      <x:c r="Q301" s="206" t="n">
        <x:v>0</x:v>
      </x:c>
      <x:c r="R301" s="207" t="str"/>
      <x:c r="S301" s="207" t="str"/>
      <x:c r="T301" s="207" t="str"/>
      <x:c r="U301" s="207" t="n">
        <x:v>0</x:v>
      </x:c>
      <x:c r="V301" s="208" t="n">
        <x:f>MAX(0,M301-U301)</x:f>
        <x:v>10</x:v>
      </x:c>
      <x:c r="W301" s="209" t="n">
        <x:f>IFERROR(U301/M301,0)</x:f>
        <x:v>0</x:v>
      </x:c>
      <x:c r="X301" s="201" t="str">
        <x:f>IF(U301=0,"Não iniciado",IF(U301&gt;=M301,"Concluído","Parcial"))</x:f>
        <x:v>Não iniciado</x:v>
      </x:c>
      <x:c r="Y301" s="199" t="str"/>
      <x:c r="Z301" s="188" t="str">
        <x:v>Normal</x:v>
      </x:c>
    </x:row>
    <x:row r="302" ht="22" customHeight="1">
      <x:c r="A302" s="219" t="n">
        <x:v>298</x:v>
      </x:c>
      <x:c r="B302" s="220" t="str">
        <x:v>26815</x:v>
      </x:c>
      <x:c r="C302" s="220" t="str">
        <x:v>1</x:v>
      </x:c>
      <x:c r="D302" s="220" t="str">
        <x:v>609490</x:v>
      </x:c>
      <x:c r="E302" s="220" t="str">
        <x:v>2020600234</x:v>
      </x:c>
      <x:c r="F302" s="220" t="str">
        <x:v>OUTROS</x:v>
      </x:c>
      <x:c r="G302" s="190" t="str">
        <x:v>A STD PET TXT BCO 1100X60X9 RG(55) RTO</x:v>
      </x:c>
      <x:c r="H302" s="190" t="str"/>
      <x:c r="I302" s="190" t="str"/>
      <x:c r="J302" s="190" t="str"/>
      <x:c r="K302" s="190" t="str">
        <x:v>ESMALTE</x:v>
      </x:c>
      <x:c r="L302" s="190" t="str">
        <x:v>BRANCO CARRARA</x:v>
      </x:c>
      <x:c r="M302" s="210" t="n">
        <x:v>154</x:v>
      </x:c>
      <x:c r="N302" s="210" t="n">
        <x:v>1100</x:v>
      </x:c>
      <x:c r="O302" s="210" t="n">
        <x:v>60</x:v>
      </x:c>
      <x:c r="P302" s="210" t="n">
        <x:v>9</x:v>
      </x:c>
      <x:c r="Q302" s="211" t="n">
        <x:v>0</x:v>
      </x:c>
      <x:c r="R302" s="207" t="str"/>
      <x:c r="S302" s="207" t="str"/>
      <x:c r="T302" s="207" t="str"/>
      <x:c r="U302" s="207" t="n">
        <x:v>0</x:v>
      </x:c>
      <x:c r="V302" s="208" t="n">
        <x:f>MAX(0,M302-U302)</x:f>
        <x:v>154</x:v>
      </x:c>
      <x:c r="W302" s="209" t="n">
        <x:f>IFERROR(U302/M302,0)</x:f>
        <x:v>0</x:v>
      </x:c>
      <x:c r="X302" s="201" t="str">
        <x:f>IF(U302=0,"Não iniciado",IF(U302&gt;=M302,"Concluído","Parcial"))</x:f>
        <x:v>Não iniciado</x:v>
      </x:c>
      <x:c r="Y302" s="199" t="str"/>
      <x:c r="Z302" s="188" t="str">
        <x:v>Normal</x:v>
      </x:c>
    </x:row>
    <x:row r="303" ht="22" customHeight="1">
      <x:c r="A303" s="217" t="n">
        <x:v>299</x:v>
      </x:c>
      <x:c r="B303" s="218" t="str">
        <x:v>26815</x:v>
      </x:c>
      <x:c r="C303" s="218" t="str">
        <x:v>1</x:v>
      </x:c>
      <x:c r="D303" s="218" t="str">
        <x:v>609491</x:v>
      </x:c>
      <x:c r="E303" s="218" t="str">
        <x:v>2020600235</x:v>
      </x:c>
      <x:c r="F303" s="218" t="str">
        <x:v>OUTROS</x:v>
      </x:c>
      <x:c r="G303" s="184" t="str">
        <x:v>A STD PET TXT BCO 1100X60X9 RG(ME) RTO</x:v>
      </x:c>
      <x:c r="H303" s="184" t="str"/>
      <x:c r="I303" s="184" t="str"/>
      <x:c r="J303" s="184" t="str"/>
      <x:c r="K303" s="184" t="str">
        <x:v>ESMALTE</x:v>
      </x:c>
      <x:c r="L303" s="184" t="str">
        <x:v>BRANCO CARRARA</x:v>
      </x:c>
      <x:c r="M303" s="205" t="n">
        <x:v>154</x:v>
      </x:c>
      <x:c r="N303" s="205" t="n">
        <x:v>1100</x:v>
      </x:c>
      <x:c r="O303" s="205" t="n">
        <x:v>60</x:v>
      </x:c>
      <x:c r="P303" s="205" t="n">
        <x:v>9</x:v>
      </x:c>
      <x:c r="Q303" s="206" t="n">
        <x:v>0</x:v>
      </x:c>
      <x:c r="R303" s="207" t="str"/>
      <x:c r="S303" s="207" t="str"/>
      <x:c r="T303" s="207" t="str"/>
      <x:c r="U303" s="207" t="n">
        <x:v>0</x:v>
      </x:c>
      <x:c r="V303" s="208" t="n">
        <x:f>MAX(0,M303-U303)</x:f>
        <x:v>154</x:v>
      </x:c>
      <x:c r="W303" s="209" t="n">
        <x:f>IFERROR(U303/M303,0)</x:f>
        <x:v>0</x:v>
      </x:c>
      <x:c r="X303" s="201" t="str">
        <x:f>IF(U303=0,"Não iniciado",IF(U303&gt;=M303,"Concluído","Parcial"))</x:f>
        <x:v>Não iniciado</x:v>
      </x:c>
      <x:c r="Y303" s="199" t="str"/>
      <x:c r="Z303" s="188" t="str">
        <x:v>Normal</x:v>
      </x:c>
    </x:row>
    <x:row r="304" ht="22" customHeight="1">
      <x:c r="A304" s="219" t="n">
        <x:v>300</x:v>
      </x:c>
      <x:c r="B304" s="220" t="str">
        <x:v>26815</x:v>
      </x:c>
      <x:c r="C304" s="220" t="str">
        <x:v>2</x:v>
      </x:c>
      <x:c r="D304" s="220" t="str">
        <x:v>609498</x:v>
      </x:c>
      <x:c r="E304" s="220" t="str">
        <x:v>2020600234</x:v>
      </x:c>
      <x:c r="F304" s="220" t="str">
        <x:v>OUTROS</x:v>
      </x:c>
      <x:c r="G304" s="190" t="str">
        <x:v>A STD PET TXT BCO 1100X60X9 RG(55) RTO</x:v>
      </x:c>
      <x:c r="H304" s="190" t="str"/>
      <x:c r="I304" s="190" t="str"/>
      <x:c r="J304" s="190" t="str"/>
      <x:c r="K304" s="190" t="str">
        <x:v>ESMALTE</x:v>
      </x:c>
      <x:c r="L304" s="190" t="str">
        <x:v>BRANCO CARRARA</x:v>
      </x:c>
      <x:c r="M304" s="210" t="n">
        <x:v>10</x:v>
      </x:c>
      <x:c r="N304" s="210" t="n">
        <x:v>1100</x:v>
      </x:c>
      <x:c r="O304" s="210" t="n">
        <x:v>60</x:v>
      </x:c>
      <x:c r="P304" s="210" t="n">
        <x:v>9</x:v>
      </x:c>
      <x:c r="Q304" s="211" t="n">
        <x:v>0</x:v>
      </x:c>
      <x:c r="R304" s="207" t="str"/>
      <x:c r="S304" s="207" t="str"/>
      <x:c r="T304" s="207" t="str"/>
      <x:c r="U304" s="207" t="n">
        <x:v>0</x:v>
      </x:c>
      <x:c r="V304" s="208" t="n">
        <x:f>MAX(0,M304-U304)</x:f>
        <x:v>10</x:v>
      </x:c>
      <x:c r="W304" s="209" t="n">
        <x:f>IFERROR(U304/M304,0)</x:f>
        <x:v>0</x:v>
      </x:c>
      <x:c r="X304" s="201" t="str">
        <x:f>IF(U304=0,"Não iniciado",IF(U304&gt;=M304,"Concluído","Parcial"))</x:f>
        <x:v>Não iniciado</x:v>
      </x:c>
      <x:c r="Y304" s="199" t="str"/>
      <x:c r="Z304" s="188" t="str">
        <x:v>Normal</x:v>
      </x:c>
    </x:row>
    <x:row r="305" ht="22" customHeight="1">
      <x:c r="A305" s="217" t="n">
        <x:v>301</x:v>
      </x:c>
      <x:c r="B305" s="218" t="str">
        <x:v>26815</x:v>
      </x:c>
      <x:c r="C305" s="218" t="str">
        <x:v>2</x:v>
      </x:c>
      <x:c r="D305" s="218" t="str">
        <x:v>609499</x:v>
      </x:c>
      <x:c r="E305" s="218" t="str">
        <x:v>2020600235</x:v>
      </x:c>
      <x:c r="F305" s="218" t="str">
        <x:v>OUTROS</x:v>
      </x:c>
      <x:c r="G305" s="184" t="str">
        <x:v>A STD PET TXT BCO 1100X60X9 RG(ME) RTO</x:v>
      </x:c>
      <x:c r="H305" s="184" t="str"/>
      <x:c r="I305" s="184" t="str"/>
      <x:c r="J305" s="184" t="str"/>
      <x:c r="K305" s="184" t="str">
        <x:v>ESMALTE</x:v>
      </x:c>
      <x:c r="L305" s="184" t="str">
        <x:v>BRANCO CARRARA</x:v>
      </x:c>
      <x:c r="M305" s="205" t="n">
        <x:v>10</x:v>
      </x:c>
      <x:c r="N305" s="205" t="n">
        <x:v>1100</x:v>
      </x:c>
      <x:c r="O305" s="205" t="n">
        <x:v>60</x:v>
      </x:c>
      <x:c r="P305" s="205" t="n">
        <x:v>9</x:v>
      </x:c>
      <x:c r="Q305" s="206" t="n">
        <x:v>0</x:v>
      </x:c>
      <x:c r="R305" s="207" t="str"/>
      <x:c r="S305" s="207" t="str"/>
      <x:c r="T305" s="207" t="str"/>
      <x:c r="U305" s="207" t="n">
        <x:v>0</x:v>
      </x:c>
      <x:c r="V305" s="208" t="n">
        <x:f>MAX(0,M305-U305)</x:f>
        <x:v>10</x:v>
      </x:c>
      <x:c r="W305" s="209" t="n">
        <x:f>IFERROR(U305/M305,0)</x:f>
        <x:v>0</x:v>
      </x:c>
      <x:c r="X305" s="201" t="str">
        <x:f>IF(U305=0,"Não iniciado",IF(U305&gt;=M305,"Concluído","Parcial"))</x:f>
        <x:v>Não iniciado</x:v>
      </x:c>
      <x:c r="Y305" s="199" t="str"/>
      <x:c r="Z305" s="188" t="str">
        <x:v>Normal</x:v>
      </x:c>
    </x:row>
    <x:row r="306" ht="22" customHeight="1">
      <x:c r="A306" s="219" t="n">
        <x:v>302</x:v>
      </x:c>
      <x:c r="B306" s="220" t="str">
        <x:v>26815</x:v>
      </x:c>
      <x:c r="C306" s="220" t="str">
        <x:v>4</x:v>
      </x:c>
      <x:c r="D306" s="220" t="str">
        <x:v>609519</x:v>
      </x:c>
      <x:c r="E306" s="220" t="str">
        <x:v>2020600241</x:v>
      </x:c>
      <x:c r="F306" s="220" t="str">
        <x:v>OUTROS</x:v>
      </x:c>
      <x:c r="G306" s="190" t="str">
        <x:v>A STD PET TXT BCO 1100X60X12 RG(ME) RTO</x:v>
      </x:c>
      <x:c r="H306" s="190" t="str"/>
      <x:c r="I306" s="190" t="str"/>
      <x:c r="J306" s="190" t="str"/>
      <x:c r="K306" s="190" t="str">
        <x:v>ESMALTE</x:v>
      </x:c>
      <x:c r="L306" s="190" t="str">
        <x:v>BRANCO CARRARA</x:v>
      </x:c>
      <x:c r="M306" s="210" t="n">
        <x:v>67</x:v>
      </x:c>
      <x:c r="N306" s="210" t="n">
        <x:v>1100</x:v>
      </x:c>
      <x:c r="O306" s="210" t="n">
        <x:v>60</x:v>
      </x:c>
      <x:c r="P306" s="210" t="n">
        <x:v>12</x:v>
      </x:c>
      <x:c r="Q306" s="211" t="n">
        <x:v>0</x:v>
      </x:c>
      <x:c r="R306" s="207" t="str"/>
      <x:c r="S306" s="207" t="str"/>
      <x:c r="T306" s="207" t="str"/>
      <x:c r="U306" s="207" t="n">
        <x:v>0</x:v>
      </x:c>
      <x:c r="V306" s="208" t="n">
        <x:f>MAX(0,M306-U306)</x:f>
        <x:v>67</x:v>
      </x:c>
      <x:c r="W306" s="209" t="n">
        <x:f>IFERROR(U306/M306,0)</x:f>
        <x:v>0</x:v>
      </x:c>
      <x:c r="X306" s="201" t="str">
        <x:f>IF(U306=0,"Não iniciado",IF(U306&gt;=M306,"Concluído","Parcial"))</x:f>
        <x:v>Não iniciado</x:v>
      </x:c>
      <x:c r="Y306" s="199" t="str"/>
      <x:c r="Z306" s="188" t="str">
        <x:v>Normal</x:v>
      </x:c>
    </x:row>
    <x:row r="307" ht="22" customHeight="1">
      <x:c r="A307" s="217" t="n">
        <x:v>303</x:v>
      </x:c>
      <x:c r="B307" s="218" t="str">
        <x:v>26815</x:v>
      </x:c>
      <x:c r="C307" s="218" t="str">
        <x:v>5</x:v>
      </x:c>
      <x:c r="D307" s="218" t="str">
        <x:v>609536</x:v>
      </x:c>
      <x:c r="E307" s="218" t="str">
        <x:v>2020600241</x:v>
      </x:c>
      <x:c r="F307" s="218" t="str">
        <x:v>OUTROS</x:v>
      </x:c>
      <x:c r="G307" s="184" t="str">
        <x:v>A STD PET TXT BCO 1100X60X12 RG(ME) RTO</x:v>
      </x:c>
      <x:c r="H307" s="184" t="str"/>
      <x:c r="I307" s="184" t="str"/>
      <x:c r="J307" s="184" t="str"/>
      <x:c r="K307" s="184" t="str">
        <x:v>ESMALTE</x:v>
      </x:c>
      <x:c r="L307" s="184" t="str">
        <x:v>BRANCO CARRARA</x:v>
      </x:c>
      <x:c r="M307" s="205" t="n">
        <x:v>8</x:v>
      </x:c>
      <x:c r="N307" s="205" t="n">
        <x:v>1100</x:v>
      </x:c>
      <x:c r="O307" s="205" t="n">
        <x:v>60</x:v>
      </x:c>
      <x:c r="P307" s="205" t="n">
        <x:v>12</x:v>
      </x:c>
      <x:c r="Q307" s="206" t="n">
        <x:v>0</x:v>
      </x:c>
      <x:c r="R307" s="207" t="str"/>
      <x:c r="S307" s="207" t="str"/>
      <x:c r="T307" s="207" t="str"/>
      <x:c r="U307" s="207" t="n">
        <x:v>0</x:v>
      </x:c>
      <x:c r="V307" s="208" t="n">
        <x:f>MAX(0,M307-U307)</x:f>
        <x:v>8</x:v>
      </x:c>
      <x:c r="W307" s="209" t="n">
        <x:f>IFERROR(U307/M307,0)</x:f>
        <x:v>0</x:v>
      </x:c>
      <x:c r="X307" s="201" t="str">
        <x:f>IF(U307=0,"Não iniciado",IF(U307&gt;=M307,"Concluído","Parcial"))</x:f>
        <x:v>Não iniciado</x:v>
      </x:c>
      <x:c r="Y307" s="199" t="str"/>
      <x:c r="Z307" s="188" t="str">
        <x:v>Normal</x:v>
      </x:c>
    </x:row>
    <x:row r="308" ht="22" customHeight="1">
      <x:c r="A308" s="219" t="n">
        <x:v>304</x:v>
      </x:c>
      <x:c r="B308" s="220" t="str">
        <x:v>26815</x:v>
      </x:c>
      <x:c r="C308" s="220" t="str">
        <x:v>6</x:v>
      </x:c>
      <x:c r="D308" s="220" t="str">
        <x:v>609553</x:v>
      </x:c>
      <x:c r="E308" s="220" t="str">
        <x:v>2020600241</x:v>
      </x:c>
      <x:c r="F308" s="220" t="str">
        <x:v>OUTROS</x:v>
      </x:c>
      <x:c r="G308" s="190" t="str">
        <x:v>A STD PET TXT BCO 1100X60X12 RG(ME) RTO</x:v>
      </x:c>
      <x:c r="H308" s="190" t="str"/>
      <x:c r="I308" s="190" t="str"/>
      <x:c r="J308" s="190" t="str"/>
      <x:c r="K308" s="190" t="str">
        <x:v>ESMALTE</x:v>
      </x:c>
      <x:c r="L308" s="190" t="str">
        <x:v>BRANCO CARRARA</x:v>
      </x:c>
      <x:c r="M308" s="210" t="n">
        <x:v>27</x:v>
      </x:c>
      <x:c r="N308" s="210" t="n">
        <x:v>1100</x:v>
      </x:c>
      <x:c r="O308" s="210" t="n">
        <x:v>60</x:v>
      </x:c>
      <x:c r="P308" s="210" t="n">
        <x:v>12</x:v>
      </x:c>
      <x:c r="Q308" s="211" t="n">
        <x:v>0</x:v>
      </x:c>
      <x:c r="R308" s="207" t="str"/>
      <x:c r="S308" s="207" t="str"/>
      <x:c r="T308" s="207" t="str"/>
      <x:c r="U308" s="207" t="n">
        <x:v>0</x:v>
      </x:c>
      <x:c r="V308" s="208" t="n">
        <x:f>MAX(0,M308-U308)</x:f>
        <x:v>27</x:v>
      </x:c>
      <x:c r="W308" s="209" t="n">
        <x:f>IFERROR(U308/M308,0)</x:f>
        <x:v>0</x:v>
      </x:c>
      <x:c r="X308" s="201" t="str">
        <x:f>IF(U308=0,"Não iniciado",IF(U308&gt;=M308,"Concluído","Parcial"))</x:f>
        <x:v>Não iniciado</x:v>
      </x:c>
      <x:c r="Y308" s="199" t="str"/>
      <x:c r="Z308" s="188" t="str">
        <x:v>Normal</x:v>
      </x:c>
    </x:row>
    <x:row r="309" ht="22" customHeight="1">
      <x:c r="A309" s="217" t="n">
        <x:v>305</x:v>
      </x:c>
      <x:c r="B309" s="218" t="str">
        <x:v>26815</x:v>
      </x:c>
      <x:c r="C309" s="218" t="str">
        <x:v>7</x:v>
      </x:c>
      <x:c r="D309" s="218" t="str">
        <x:v>609570</x:v>
      </x:c>
      <x:c r="E309" s="218" t="str">
        <x:v>2020600241</x:v>
      </x:c>
      <x:c r="F309" s="218" t="str">
        <x:v>OUTROS</x:v>
      </x:c>
      <x:c r="G309" s="184" t="str">
        <x:v>A STD PET TXT BCO 1100X60X12 RG(ME) RTO</x:v>
      </x:c>
      <x:c r="H309" s="184" t="str"/>
      <x:c r="I309" s="184" t="str"/>
      <x:c r="J309" s="184" t="str"/>
      <x:c r="K309" s="184" t="str">
        <x:v>ESMALTE</x:v>
      </x:c>
      <x:c r="L309" s="184" t="str">
        <x:v>BRANCO CARRARA</x:v>
      </x:c>
      <x:c r="M309" s="205" t="n">
        <x:v>5</x:v>
      </x:c>
      <x:c r="N309" s="205" t="n">
        <x:v>1100</x:v>
      </x:c>
      <x:c r="O309" s="205" t="n">
        <x:v>60</x:v>
      </x:c>
      <x:c r="P309" s="205" t="n">
        <x:v>12</x:v>
      </x:c>
      <x:c r="Q309" s="206" t="n">
        <x:v>0</x:v>
      </x:c>
      <x:c r="R309" s="207" t="str"/>
      <x:c r="S309" s="207" t="str"/>
      <x:c r="T309" s="207" t="str"/>
      <x:c r="U309" s="207" t="n">
        <x:v>0</x:v>
      </x:c>
      <x:c r="V309" s="208" t="n">
        <x:f>MAX(0,M309-U309)</x:f>
        <x:v>5</x:v>
      </x:c>
      <x:c r="W309" s="209" t="n">
        <x:f>IFERROR(U309/M309,0)</x:f>
        <x:v>0</x:v>
      </x:c>
      <x:c r="X309" s="201" t="str">
        <x:f>IF(U309=0,"Não iniciado",IF(U309&gt;=M309,"Concluído","Parcial"))</x:f>
        <x:v>Não iniciado</x:v>
      </x:c>
      <x:c r="Y309" s="199" t="str"/>
      <x:c r="Z309" s="188" t="str">
        <x:v>Normal</x:v>
      </x:c>
    </x:row>
    <x:row r="310" ht="22" customHeight="1">
      <x:c r="A310" s="219" t="n">
        <x:v>306</x:v>
      </x:c>
      <x:c r="B310" s="220" t="str">
        <x:v>26739</x:v>
      </x:c>
      <x:c r="C310" s="220" t="str">
        <x:v>4</x:v>
      </x:c>
      <x:c r="D310" s="220" t="str">
        <x:v>609634</x:v>
      </x:c>
      <x:c r="E310" s="220" t="str">
        <x:v>2020700629</x:v>
      </x:c>
      <x:c r="F310" s="220" t="str">
        <x:v>OUTROS</x:v>
      </x:c>
      <x:c r="G310" s="190" t="str">
        <x:v>A ULTRA PVC R BCO 1200X50X9 RG(ME) RTO</x:v>
      </x:c>
      <x:c r="H310" s="190" t="str">
        <x:v>REG 1L(MENOR)</x:v>
      </x:c>
      <x:c r="I310" s="190" t="str"/>
      <x:c r="J310" s="190" t="str"/>
      <x:c r="K310" s="190" t="str">
        <x:v>RECOBERTO PVC RENOLIT</x:v>
      </x:c>
      <x:c r="L310" s="190" t="str">
        <x:v>BRANCO</x:v>
      </x:c>
      <x:c r="M310" s="210" t="n">
        <x:v>16</x:v>
      </x:c>
      <x:c r="N310" s="210" t="n">
        <x:v>1200</x:v>
      </x:c>
      <x:c r="O310" s="210" t="n">
        <x:v>50</x:v>
      </x:c>
      <x:c r="P310" s="210" t="n">
        <x:v>9</x:v>
      </x:c>
      <x:c r="Q310" s="211" t="n">
        <x:v>0</x:v>
      </x:c>
      <x:c r="R310" s="207" t="str"/>
      <x:c r="S310" s="207" t="str"/>
      <x:c r="T310" s="207" t="str"/>
      <x:c r="U310" s="207" t="n">
        <x:v>0</x:v>
      </x:c>
      <x:c r="V310" s="208" t="n">
        <x:f>MAX(0,M310-U310)</x:f>
        <x:v>16</x:v>
      </x:c>
      <x:c r="W310" s="209" t="n">
        <x:f>IFERROR(U310/M310,0)</x:f>
        <x:v>0</x:v>
      </x:c>
      <x:c r="X310" s="201" t="str">
        <x:f>IF(U310=0,"Não iniciado",IF(U310&gt;=M310,"Concluído","Parcial"))</x:f>
        <x:v>Não iniciado</x:v>
      </x:c>
      <x:c r="Y310" s="199" t="str"/>
      <x:c r="Z310" s="188" t="str">
        <x:v>Normal</x:v>
      </x:c>
    </x:row>
    <x:row r="311" ht="22" customHeight="1">
      <x:c r="A311" s="217" t="n">
        <x:v>307</x:v>
      </x:c>
      <x:c r="B311" s="218" t="str">
        <x:v>26750</x:v>
      </x:c>
      <x:c r="C311" s="218" t="str">
        <x:v>5</x:v>
      </x:c>
      <x:c r="D311" s="218" t="str">
        <x:v>609797</x:v>
      </x:c>
      <x:c r="E311" s="218" t="str">
        <x:v>2020700629</x:v>
      </x:c>
      <x:c r="F311" s="218" t="str">
        <x:v>OUTROS</x:v>
      </x:c>
      <x:c r="G311" s="184" t="str">
        <x:v>A ULTRA PVC R BCO 1200X50X9 RG(ME) RTO</x:v>
      </x:c>
      <x:c r="H311" s="184" t="str">
        <x:v>REG 1L(MENOR)</x:v>
      </x:c>
      <x:c r="I311" s="184" t="str"/>
      <x:c r="J311" s="184" t="str"/>
      <x:c r="K311" s="184" t="str">
        <x:v>RECOBERTO PVC RENOLIT</x:v>
      </x:c>
      <x:c r="L311" s="184" t="str">
        <x:v>BRANCO</x:v>
      </x:c>
      <x:c r="M311" s="205" t="n">
        <x:v>11</x:v>
      </x:c>
      <x:c r="N311" s="205" t="n">
        <x:v>1200</x:v>
      </x:c>
      <x:c r="O311" s="205" t="n">
        <x:v>50</x:v>
      </x:c>
      <x:c r="P311" s="205" t="n">
        <x:v>9</x:v>
      </x:c>
      <x:c r="Q311" s="206" t="n">
        <x:v>0</x:v>
      </x:c>
      <x:c r="R311" s="207" t="str"/>
      <x:c r="S311" s="207" t="str"/>
      <x:c r="T311" s="207" t="str"/>
      <x:c r="U311" s="207" t="n">
        <x:v>0</x:v>
      </x:c>
      <x:c r="V311" s="208" t="n">
        <x:f>MAX(0,M311-U311)</x:f>
        <x:v>11</x:v>
      </x:c>
      <x:c r="W311" s="209" t="n">
        <x:f>IFERROR(U311/M311,0)</x:f>
        <x:v>0</x:v>
      </x:c>
      <x:c r="X311" s="201" t="str">
        <x:f>IF(U311=0,"Não iniciado",IF(U311&gt;=M311,"Concluído","Parcial"))</x:f>
        <x:v>Não iniciado</x:v>
      </x:c>
      <x:c r="Y311" s="199" t="str"/>
      <x:c r="Z311" s="188" t="str">
        <x:v>Normal</x:v>
      </x:c>
    </x:row>
    <x:row r="312" ht="22" customHeight="1">
      <x:c r="A312" s="219" t="n">
        <x:v>308</x:v>
      </x:c>
      <x:c r="B312" s="220" t="str">
        <x:v>26796</x:v>
      </x:c>
      <x:c r="C312" s="220" t="str">
        <x:v>2</x:v>
      </x:c>
      <x:c r="D312" s="220" t="str">
        <x:v>609293</x:v>
      </x:c>
      <x:c r="E312" s="220" t="str">
        <x:v>985577</x:v>
      </x:c>
      <x:c r="F312" s="220" t="str">
        <x:v>ALIZAR</x:v>
      </x:c>
      <x:c r="G312" s="190" t="str">
        <x:v>T A 1100X50X9 RTO LME PET BCO TXT (STD)</x:v>
      </x:c>
      <x:c r="H312" s="190" t="str"/>
      <x:c r="I312" s="190" t="str"/>
      <x:c r="J312" s="190" t="str"/>
      <x:c r="K312" s="190" t="str">
        <x:v>ESMALTE</x:v>
      </x:c>
      <x:c r="L312" s="190" t="str">
        <x:v>BRANCO</x:v>
      </x:c>
      <x:c r="M312" s="210" t="n">
        <x:v>48</x:v>
      </x:c>
      <x:c r="N312" s="210" t="n">
        <x:v>1100</x:v>
      </x:c>
      <x:c r="O312" s="210" t="n">
        <x:v>50</x:v>
      </x:c>
      <x:c r="P312" s="210" t="n">
        <x:v>9</x:v>
      </x:c>
      <x:c r="Q312" s="211" t="n">
        <x:v>0</x:v>
      </x:c>
      <x:c r="R312" s="207" t="str"/>
      <x:c r="S312" s="207" t="str"/>
      <x:c r="T312" s="207" t="str"/>
      <x:c r="U312" s="207" t="n">
        <x:v>0</x:v>
      </x:c>
      <x:c r="V312" s="208" t="n">
        <x:f>MAX(0,M312-U312)</x:f>
        <x:v>48</x:v>
      </x:c>
      <x:c r="W312" s="209" t="n">
        <x:f>IFERROR(U312/M312,0)</x:f>
        <x:v>0</x:v>
      </x:c>
      <x:c r="X312" s="201" t="str">
        <x:f>IF(U312=0,"Não iniciado",IF(U312&gt;=M312,"Concluído","Parcial"))</x:f>
        <x:v>Não iniciado</x:v>
      </x:c>
      <x:c r="Y312" s="199" t="str"/>
      <x:c r="Z312" s="188" t="str">
        <x:v>Normal</x:v>
      </x:c>
    </x:row>
    <x:row r="313" ht="22" customHeight="1">
      <x:c r="A313" s="217" t="n">
        <x:v>309</x:v>
      </x:c>
      <x:c r="B313" s="218" t="str">
        <x:v>26799</x:v>
      </x:c>
      <x:c r="C313" s="218" t="str">
        <x:v>2</x:v>
      </x:c>
      <x:c r="D313" s="218" t="str">
        <x:v>609398</x:v>
      </x:c>
      <x:c r="E313" s="218" t="str">
        <x:v>985577</x:v>
      </x:c>
      <x:c r="F313" s="218" t="str">
        <x:v>ALIZAR</x:v>
      </x:c>
      <x:c r="G313" s="184" t="str">
        <x:v>T A 1100X50X9 RTO LME PET BCO TXT (STD)</x:v>
      </x:c>
      <x:c r="H313" s="184" t="str"/>
      <x:c r="I313" s="184" t="str"/>
      <x:c r="J313" s="184" t="str"/>
      <x:c r="K313" s="184" t="str">
        <x:v>ESMALTE</x:v>
      </x:c>
      <x:c r="L313" s="184" t="str">
        <x:v>BRANCO</x:v>
      </x:c>
      <x:c r="M313" s="205" t="n">
        <x:v>16</x:v>
      </x:c>
      <x:c r="N313" s="205" t="n">
        <x:v>1100</x:v>
      </x:c>
      <x:c r="O313" s="205" t="n">
        <x:v>50</x:v>
      </x:c>
      <x:c r="P313" s="205" t="n">
        <x:v>9</x:v>
      </x:c>
      <x:c r="Q313" s="206" t="n">
        <x:v>0</x:v>
      </x:c>
      <x:c r="R313" s="207" t="str"/>
      <x:c r="S313" s="207" t="str"/>
      <x:c r="T313" s="207" t="str"/>
      <x:c r="U313" s="207" t="n">
        <x:v>0</x:v>
      </x:c>
      <x:c r="V313" s="208" t="n">
        <x:f>MAX(0,M313-U313)</x:f>
        <x:v>16</x:v>
      </x:c>
      <x:c r="W313" s="209" t="n">
        <x:f>IFERROR(U313/M313,0)</x:f>
        <x:v>0</x:v>
      </x:c>
      <x:c r="X313" s="201" t="str">
        <x:f>IF(U313=0,"Não iniciado",IF(U313&gt;=M313,"Concluído","Parcial"))</x:f>
        <x:v>Não iniciado</x:v>
      </x:c>
      <x:c r="Y313" s="199" t="str"/>
      <x:c r="Z313" s="188" t="str">
        <x:v>Normal</x:v>
      </x:c>
    </x:row>
    <x:row r="314" ht="22" customHeight="1">
      <x:c r="A314" s="219" t="n">
        <x:v>310</x:v>
      </x:c>
      <x:c r="B314" s="220" t="str">
        <x:v>26824</x:v>
      </x:c>
      <x:c r="C314" s="220" t="str">
        <x:v>2</x:v>
      </x:c>
      <x:c r="D314" s="220" t="str">
        <x:v>609589</x:v>
      </x:c>
      <x:c r="E314" s="220" t="str">
        <x:v>985577</x:v>
      </x:c>
      <x:c r="F314" s="220" t="str">
        <x:v>ALIZAR</x:v>
      </x:c>
      <x:c r="G314" s="190" t="str">
        <x:v>T A 1100X50X9 RTO LME PET BCO TXT (STD)</x:v>
      </x:c>
      <x:c r="H314" s="190" t="str"/>
      <x:c r="I314" s="190" t="str"/>
      <x:c r="J314" s="190" t="str"/>
      <x:c r="K314" s="190" t="str">
        <x:v>ESMALTE</x:v>
      </x:c>
      <x:c r="L314" s="190" t="str">
        <x:v>BRANCO</x:v>
      </x:c>
      <x:c r="M314" s="210" t="n">
        <x:v>181</x:v>
      </x:c>
      <x:c r="N314" s="210" t="n">
        <x:v>1100</x:v>
      </x:c>
      <x:c r="O314" s="210" t="n">
        <x:v>50</x:v>
      </x:c>
      <x:c r="P314" s="210" t="n">
        <x:v>9</x:v>
      </x:c>
      <x:c r="Q314" s="211" t="n">
        <x:v>0</x:v>
      </x:c>
      <x:c r="R314" s="207" t="str"/>
      <x:c r="S314" s="207" t="str"/>
      <x:c r="T314" s="207" t="str"/>
      <x:c r="U314" s="207" t="n">
        <x:v>0</x:v>
      </x:c>
      <x:c r="V314" s="208" t="n">
        <x:f>MAX(0,M314-U314)</x:f>
        <x:v>181</x:v>
      </x:c>
      <x:c r="W314" s="209" t="n">
        <x:f>IFERROR(U314/M314,0)</x:f>
        <x:v>0</x:v>
      </x:c>
      <x:c r="X314" s="201" t="str">
        <x:f>IF(U314=0,"Não iniciado",IF(U314&gt;=M314,"Concluído","Parcial"))</x:f>
        <x:v>Não iniciado</x:v>
      </x:c>
      <x:c r="Y314" s="199" t="str"/>
      <x:c r="Z314" s="188" t="str">
        <x:v>Normal</x:v>
      </x:c>
    </x:row>
    <x:row r="315" ht="22" customHeight="1">
      <x:c r="A315" s="217" t="n">
        <x:v>311</x:v>
      </x:c>
      <x:c r="B315" s="218" t="str">
        <x:v>26824</x:v>
      </x:c>
      <x:c r="C315" s="218" t="str">
        <x:v>2</x:v>
      </x:c>
      <x:c r="D315" s="218" t="str">
        <x:v>609590</x:v>
      </x:c>
      <x:c r="E315" s="218" t="str">
        <x:v>986505</x:v>
      </x:c>
      <x:c r="F315" s="218" t="str">
        <x:v>ALIZAR</x:v>
      </x:c>
      <x:c r="G315" s="184" t="str">
        <x:v>T A 1100X50X9 RT RL55 PET BCO TXT (STD)</x:v>
      </x:c>
      <x:c r="H315" s="184" t="str"/>
      <x:c r="I315" s="184" t="str"/>
      <x:c r="J315" s="184" t="str"/>
      <x:c r="K315" s="184" t="str">
        <x:v>ESMALTE</x:v>
      </x:c>
      <x:c r="L315" s="184" t="str">
        <x:v>BRANCO</x:v>
      </x:c>
      <x:c r="M315" s="205" t="n">
        <x:v>181</x:v>
      </x:c>
      <x:c r="N315" s="205" t="n">
        <x:v>1100</x:v>
      </x:c>
      <x:c r="O315" s="205" t="n">
        <x:v>50</x:v>
      </x:c>
      <x:c r="P315" s="205" t="n">
        <x:v>9</x:v>
      </x:c>
      <x:c r="Q315" s="206" t="n">
        <x:v>0</x:v>
      </x:c>
      <x:c r="R315" s="207" t="str"/>
      <x:c r="S315" s="207" t="str"/>
      <x:c r="T315" s="207" t="str"/>
      <x:c r="U315" s="207" t="n">
        <x:v>0</x:v>
      </x:c>
      <x:c r="V315" s="208" t="n">
        <x:f>MAX(0,M315-U315)</x:f>
        <x:v>181</x:v>
      </x:c>
      <x:c r="W315" s="209" t="n">
        <x:f>IFERROR(U315/M315,0)</x:f>
        <x:v>0</x:v>
      </x:c>
      <x:c r="X315" s="201" t="str">
        <x:f>IF(U315=0,"Não iniciado",IF(U315&gt;=M315,"Concluído","Parcial"))</x:f>
        <x:v>Não iniciado</x:v>
      </x:c>
      <x:c r="Y315" s="199" t="str"/>
      <x:c r="Z315" s="188" t="str">
        <x:v>Normal</x:v>
      </x:c>
    </x:row>
    <x:row r="316" ht="22" customHeight="1">
      <x:c r="A316" s="219" t="n">
        <x:v>312</x:v>
      </x:c>
      <x:c r="B316" s="220" t="str">
        <x:v>26824</x:v>
      </x:c>
      <x:c r="C316" s="220" t="str">
        <x:v>4</x:v>
      </x:c>
      <x:c r="D316" s="220" t="str">
        <x:v>609605</x:v>
      </x:c>
      <x:c r="E316" s="220" t="str">
        <x:v>985576</x:v>
      </x:c>
      <x:c r="F316" s="220" t="str">
        <x:v>ALIZAR</x:v>
      </x:c>
      <x:c r="G316" s="190" t="str">
        <x:v>T A 1100X50X9 RT RL80 PET BCO TXT (STD)</x:v>
      </x:c>
      <x:c r="H316" s="190" t="str"/>
      <x:c r="I316" s="190" t="str"/>
      <x:c r="J316" s="190" t="str"/>
      <x:c r="K316" s="190" t="str">
        <x:v>ESMALTE</x:v>
      </x:c>
      <x:c r="L316" s="190" t="str">
        <x:v>BRANCO</x:v>
      </x:c>
      <x:c r="M316" s="210" t="n">
        <x:v>42</x:v>
      </x:c>
      <x:c r="N316" s="210" t="n">
        <x:v>1100</x:v>
      </x:c>
      <x:c r="O316" s="210" t="n">
        <x:v>50</x:v>
      </x:c>
      <x:c r="P316" s="210" t="n">
        <x:v>9</x:v>
      </x:c>
      <x:c r="Q316" s="211" t="n">
        <x:v>0</x:v>
      </x:c>
      <x:c r="R316" s="207" t="str"/>
      <x:c r="S316" s="207" t="str"/>
      <x:c r="T316" s="207" t="str"/>
      <x:c r="U316" s="207" t="n">
        <x:v>0</x:v>
      </x:c>
      <x:c r="V316" s="208" t="n">
        <x:f>MAX(0,M316-U316)</x:f>
        <x:v>42</x:v>
      </x:c>
      <x:c r="W316" s="209" t="n">
        <x:f>IFERROR(U316/M316,0)</x:f>
        <x:v>0</x:v>
      </x:c>
      <x:c r="X316" s="201" t="str">
        <x:f>IF(U316=0,"Não iniciado",IF(U316&gt;=M316,"Concluído","Parcial"))</x:f>
        <x:v>Não iniciado</x:v>
      </x:c>
      <x:c r="Y316" s="199" t="str"/>
      <x:c r="Z316" s="188" t="str">
        <x:v>Normal</x:v>
      </x:c>
    </x:row>
    <x:row r="317" ht="22" customHeight="1">
      <x:c r="A317" s="217" t="n">
        <x:v>313</x:v>
      </x:c>
      <x:c r="B317" s="218" t="str">
        <x:v>26824</x:v>
      </x:c>
      <x:c r="C317" s="218" t="str">
        <x:v>4</x:v>
      </x:c>
      <x:c r="D317" s="218" t="str">
        <x:v>609606</x:v>
      </x:c>
      <x:c r="E317" s="218" t="str">
        <x:v>985577</x:v>
      </x:c>
      <x:c r="F317" s="218" t="str">
        <x:v>ALIZAR</x:v>
      </x:c>
      <x:c r="G317" s="184" t="str">
        <x:v>T A 1100X50X9 RTO LME PET BCO TXT (STD)</x:v>
      </x:c>
      <x:c r="H317" s="184" t="str"/>
      <x:c r="I317" s="184" t="str"/>
      <x:c r="J317" s="184" t="str"/>
      <x:c r="K317" s="184" t="str">
        <x:v>ESMALTE</x:v>
      </x:c>
      <x:c r="L317" s="184" t="str">
        <x:v>BRANCO</x:v>
      </x:c>
      <x:c r="M317" s="205" t="n">
        <x:v>42</x:v>
      </x:c>
      <x:c r="N317" s="205" t="n">
        <x:v>1100</x:v>
      </x:c>
      <x:c r="O317" s="205" t="n">
        <x:v>50</x:v>
      </x:c>
      <x:c r="P317" s="205" t="n">
        <x:v>9</x:v>
      </x:c>
      <x:c r="Q317" s="206" t="n">
        <x:v>0</x:v>
      </x:c>
      <x:c r="R317" s="207" t="str"/>
      <x:c r="S317" s="207" t="str"/>
      <x:c r="T317" s="207" t="str"/>
      <x:c r="U317" s="207" t="n">
        <x:v>0</x:v>
      </x:c>
      <x:c r="V317" s="208" t="n">
        <x:f>MAX(0,M317-U317)</x:f>
        <x:v>42</x:v>
      </x:c>
      <x:c r="W317" s="209" t="n">
        <x:f>IFERROR(U317/M317,0)</x:f>
        <x:v>0</x:v>
      </x:c>
      <x:c r="X317" s="201" t="str">
        <x:f>IF(U317=0,"Não iniciado",IF(U317&gt;=M317,"Concluído","Parcial"))</x:f>
        <x:v>Não iniciado</x:v>
      </x:c>
      <x:c r="Y317" s="199" t="str"/>
      <x:c r="Z317" s="188" t="str">
        <x:v>Normal</x:v>
      </x:c>
    </x:row>
    <x:row r="318" ht="22" customHeight="1">
      <x:c r="A318" s="219" t="n">
        <x:v>314</x:v>
      </x:c>
      <x:c r="B318" s="220" t="str">
        <x:v>26824</x:v>
      </x:c>
      <x:c r="C318" s="220" t="str">
        <x:v>5</x:v>
      </x:c>
      <x:c r="D318" s="220" t="str">
        <x:v>609613</x:v>
      </x:c>
      <x:c r="E318" s="220" t="str">
        <x:v>985577</x:v>
      </x:c>
      <x:c r="F318" s="220" t="str">
        <x:v>ALIZAR</x:v>
      </x:c>
      <x:c r="G318" s="190" t="str">
        <x:v>T A 1100X50X9 RTO LME PET BCO TXT (STD)</x:v>
      </x:c>
      <x:c r="H318" s="190" t="str"/>
      <x:c r="I318" s="190" t="str"/>
      <x:c r="J318" s="190" t="str"/>
      <x:c r="K318" s="190" t="str">
        <x:v>ESMALTE</x:v>
      </x:c>
      <x:c r="L318" s="190" t="str">
        <x:v>BRANCO</x:v>
      </x:c>
      <x:c r="M318" s="210" t="n">
        <x:v>21</x:v>
      </x:c>
      <x:c r="N318" s="210" t="n">
        <x:v>1100</x:v>
      </x:c>
      <x:c r="O318" s="210" t="n">
        <x:v>50</x:v>
      </x:c>
      <x:c r="P318" s="210" t="n">
        <x:v>9</x:v>
      </x:c>
      <x:c r="Q318" s="211" t="n">
        <x:v>0</x:v>
      </x:c>
      <x:c r="R318" s="207" t="str"/>
      <x:c r="S318" s="207" t="str"/>
      <x:c r="T318" s="207" t="str"/>
      <x:c r="U318" s="207" t="n">
        <x:v>0</x:v>
      </x:c>
      <x:c r="V318" s="208" t="n">
        <x:f>MAX(0,M318-U318)</x:f>
        <x:v>21</x:v>
      </x:c>
      <x:c r="W318" s="209" t="n">
        <x:f>IFERROR(U318/M318,0)</x:f>
        <x:v>0</x:v>
      </x:c>
      <x:c r="X318" s="201" t="str">
        <x:f>IF(U318=0,"Não iniciado",IF(U318&gt;=M318,"Concluído","Parcial"))</x:f>
        <x:v>Não iniciado</x:v>
      </x:c>
      <x:c r="Y318" s="199" t="str"/>
      <x:c r="Z318" s="188" t="str">
        <x:v>Normal</x:v>
      </x:c>
    </x:row>
    <x:row r="319" ht="22" customHeight="1">
      <x:c r="A319" s="217" t="n">
        <x:v>315</x:v>
      </x:c>
      <x:c r="B319" s="218" t="str">
        <x:v>26824</x:v>
      </x:c>
      <x:c r="C319" s="218" t="str">
        <x:v>5</x:v>
      </x:c>
      <x:c r="D319" s="218" t="str">
        <x:v>609614</x:v>
      </x:c>
      <x:c r="E319" s="218" t="str">
        <x:v>986505</x:v>
      </x:c>
      <x:c r="F319" s="218" t="str">
        <x:v>ALIZAR</x:v>
      </x:c>
      <x:c r="G319" s="184" t="str">
        <x:v>T A 1100X50X9 RT RL55 PET BCO TXT (STD)</x:v>
      </x:c>
      <x:c r="H319" s="184" t="str"/>
      <x:c r="I319" s="184" t="str"/>
      <x:c r="J319" s="184" t="str"/>
      <x:c r="K319" s="184" t="str">
        <x:v>ESMALTE</x:v>
      </x:c>
      <x:c r="L319" s="184" t="str">
        <x:v>BRANCO</x:v>
      </x:c>
      <x:c r="M319" s="205" t="n">
        <x:v>21</x:v>
      </x:c>
      <x:c r="N319" s="205" t="n">
        <x:v>1100</x:v>
      </x:c>
      <x:c r="O319" s="205" t="n">
        <x:v>50</x:v>
      </x:c>
      <x:c r="P319" s="205" t="n">
        <x:v>9</x:v>
      </x:c>
      <x:c r="Q319" s="206" t="n">
        <x:v>0</x:v>
      </x:c>
      <x:c r="R319" s="207" t="str"/>
      <x:c r="S319" s="207" t="str"/>
      <x:c r="T319" s="207" t="str"/>
      <x:c r="U319" s="207" t="n">
        <x:v>0</x:v>
      </x:c>
      <x:c r="V319" s="208" t="n">
        <x:f>MAX(0,M319-U319)</x:f>
        <x:v>21</x:v>
      </x:c>
      <x:c r="W319" s="209" t="n">
        <x:f>IFERROR(U319/M319,0)</x:f>
        <x:v>0</x:v>
      </x:c>
      <x:c r="X319" s="201" t="str">
        <x:f>IF(U319=0,"Não iniciado",IF(U319&gt;=M319,"Concluído","Parcial"))</x:f>
        <x:v>Não iniciado</x:v>
      </x:c>
      <x:c r="Y319" s="199" t="str"/>
      <x:c r="Z319" s="188" t="str">
        <x:v>Normal</x:v>
      </x:c>
    </x:row>
    <x:row r="320" ht="22" customHeight="1">
      <x:c r="A320" s="219" t="n">
        <x:v>316</x:v>
      </x:c>
      <x:c r="B320" s="220" t="str">
        <x:v>26824</x:v>
      </x:c>
      <x:c r="C320" s="220" t="str">
        <x:v>6</x:v>
      </x:c>
      <x:c r="D320" s="220" t="str">
        <x:v>609621</x:v>
      </x:c>
      <x:c r="E320" s="220" t="str">
        <x:v>985576</x:v>
      </x:c>
      <x:c r="F320" s="220" t="str">
        <x:v>ALIZAR</x:v>
      </x:c>
      <x:c r="G320" s="190" t="str">
        <x:v>T A 1100X50X9 RT RL80 PET BCO TXT (STD)</x:v>
      </x:c>
      <x:c r="H320" s="190" t="str"/>
      <x:c r="I320" s="190" t="str"/>
      <x:c r="J320" s="190" t="str"/>
      <x:c r="K320" s="190" t="str">
        <x:v>ESMALTE</x:v>
      </x:c>
      <x:c r="L320" s="190" t="str">
        <x:v>BRANCO</x:v>
      </x:c>
      <x:c r="M320" s="210" t="n">
        <x:v>2</x:v>
      </x:c>
      <x:c r="N320" s="210" t="n">
        <x:v>1100</x:v>
      </x:c>
      <x:c r="O320" s="210" t="n">
        <x:v>50</x:v>
      </x:c>
      <x:c r="P320" s="210" t="n">
        <x:v>9</x:v>
      </x:c>
      <x:c r="Q320" s="211" t="n">
        <x:v>0</x:v>
      </x:c>
      <x:c r="R320" s="207" t="str"/>
      <x:c r="S320" s="207" t="str"/>
      <x:c r="T320" s="207" t="str"/>
      <x:c r="U320" s="207" t="n">
        <x:v>0</x:v>
      </x:c>
      <x:c r="V320" s="208" t="n">
        <x:f>MAX(0,M320-U320)</x:f>
        <x:v>2</x:v>
      </x:c>
      <x:c r="W320" s="209" t="n">
        <x:f>IFERROR(U320/M320,0)</x:f>
        <x:v>0</x:v>
      </x:c>
      <x:c r="X320" s="201" t="str">
        <x:f>IF(U320=0,"Não iniciado",IF(U320&gt;=M320,"Concluído","Parcial"))</x:f>
        <x:v>Não iniciado</x:v>
      </x:c>
      <x:c r="Y320" s="199" t="str"/>
      <x:c r="Z320" s="188" t="str">
        <x:v>Normal</x:v>
      </x:c>
    </x:row>
    <x:row r="321" ht="22" customHeight="1">
      <x:c r="A321" s="217" t="n">
        <x:v>317</x:v>
      </x:c>
      <x:c r="B321" s="218" t="str">
        <x:v>26824</x:v>
      </x:c>
      <x:c r="C321" s="218" t="str">
        <x:v>6</x:v>
      </x:c>
      <x:c r="D321" s="218" t="str">
        <x:v>609622</x:v>
      </x:c>
      <x:c r="E321" s="218" t="str">
        <x:v>985577</x:v>
      </x:c>
      <x:c r="F321" s="218" t="str">
        <x:v>ALIZAR</x:v>
      </x:c>
      <x:c r="G321" s="184" t="str">
        <x:v>T A 1100X50X9 RTO LME PET BCO TXT (STD)</x:v>
      </x:c>
      <x:c r="H321" s="184" t="str"/>
      <x:c r="I321" s="184" t="str"/>
      <x:c r="J321" s="184" t="str"/>
      <x:c r="K321" s="184" t="str">
        <x:v>ESMALTE</x:v>
      </x:c>
      <x:c r="L321" s="184" t="str">
        <x:v>BRANCO</x:v>
      </x:c>
      <x:c r="M321" s="205" t="n">
        <x:v>2</x:v>
      </x:c>
      <x:c r="N321" s="205" t="n">
        <x:v>1100</x:v>
      </x:c>
      <x:c r="O321" s="205" t="n">
        <x:v>50</x:v>
      </x:c>
      <x:c r="P321" s="205" t="n">
        <x:v>9</x:v>
      </x:c>
      <x:c r="Q321" s="206" t="n">
        <x:v>0</x:v>
      </x:c>
      <x:c r="R321" s="207" t="str"/>
      <x:c r="S321" s="207" t="str"/>
      <x:c r="T321" s="207" t="str"/>
      <x:c r="U321" s="207" t="n">
        <x:v>0</x:v>
      </x:c>
      <x:c r="V321" s="208" t="n">
        <x:f>MAX(0,M321-U321)</x:f>
        <x:v>2</x:v>
      </x:c>
      <x:c r="W321" s="209" t="n">
        <x:f>IFERROR(U321/M321,0)</x:f>
        <x:v>0</x:v>
      </x:c>
      <x:c r="X321" s="201" t="str">
        <x:f>IF(U321=0,"Não iniciado",IF(U321&gt;=M321,"Concluído","Parcial"))</x:f>
        <x:v>Não iniciado</x:v>
      </x:c>
      <x:c r="Y321" s="199" t="str"/>
      <x:c r="Z321" s="188" t="str">
        <x:v>Normal</x:v>
      </x:c>
    </x:row>
    <x:row r="322" ht="22" customHeight="1">
      <x:c r="A322" s="219" t="n">
        <x:v>318</x:v>
      </x:c>
      <x:c r="B322" s="220" t="str">
        <x:v>26826</x:v>
      </x:c>
      <x:c r="C322" s="220" t="str">
        <x:v>6</x:v>
      </x:c>
      <x:c r="D322" s="220" t="str">
        <x:v>609074</x:v>
      </x:c>
      <x:c r="E322" s="220" t="str">
        <x:v>985577</x:v>
      </x:c>
      <x:c r="F322" s="220" t="str">
        <x:v>ALIZAR</x:v>
      </x:c>
      <x:c r="G322" s="190" t="str">
        <x:v>T A 1100X50X9 RTO LME PET BCO TXT (STD)</x:v>
      </x:c>
      <x:c r="H322" s="190" t="str">
        <x:v>REG 2L(MAIOR 55MM)</x:v>
      </x:c>
      <x:c r="I322" s="190" t="str"/>
      <x:c r="J322" s="190" t="str"/>
      <x:c r="K322" s="190" t="str">
        <x:v>RECOBERTO PET TXT</x:v>
      </x:c>
      <x:c r="L322" s="190" t="str">
        <x:v>BRANCO</x:v>
      </x:c>
      <x:c r="M322" s="210" t="n">
        <x:v>115</x:v>
      </x:c>
      <x:c r="N322" s="210" t="n">
        <x:v>1100</x:v>
      </x:c>
      <x:c r="O322" s="210" t="n">
        <x:v>50</x:v>
      </x:c>
      <x:c r="P322" s="210" t="n">
        <x:v>9</x:v>
      </x:c>
      <x:c r="Q322" s="211" t="n">
        <x:v>0</x:v>
      </x:c>
      <x:c r="R322" s="207" t="str"/>
      <x:c r="S322" s="207" t="str"/>
      <x:c r="T322" s="207" t="str"/>
      <x:c r="U322" s="207" t="n">
        <x:v>0</x:v>
      </x:c>
      <x:c r="V322" s="208" t="n">
        <x:f>MAX(0,M322-U322)</x:f>
        <x:v>115</x:v>
      </x:c>
      <x:c r="W322" s="209" t="n">
        <x:f>IFERROR(U322/M322,0)</x:f>
        <x:v>0</x:v>
      </x:c>
      <x:c r="X322" s="201" t="str">
        <x:f>IF(U322=0,"Não iniciado",IF(U322&gt;=M322,"Concluído","Parcial"))</x:f>
        <x:v>Não iniciado</x:v>
      </x:c>
      <x:c r="Y322" s="199" t="str"/>
      <x:c r="Z322" s="188" t="str">
        <x:v>Normal</x:v>
      </x:c>
    </x:row>
    <x:row r="323" ht="22" customHeight="1">
      <x:c r="A323" s="217" t="n">
        <x:v>319</x:v>
      </x:c>
      <x:c r="B323" s="218" t="str">
        <x:v>26826</x:v>
      </x:c>
      <x:c r="C323" s="218" t="str">
        <x:v>6</x:v>
      </x:c>
      <x:c r="D323" s="218" t="str">
        <x:v>609075</x:v>
      </x:c>
      <x:c r="E323" s="218" t="str">
        <x:v>986505</x:v>
      </x:c>
      <x:c r="F323" s="218" t="str">
        <x:v>ALIZAR</x:v>
      </x:c>
      <x:c r="G323" s="184" t="str">
        <x:v>T A 1100X50X9 RT RL55 PET BCO TXT (STD)</x:v>
      </x:c>
      <x:c r="H323" s="184" t="str">
        <x:v>REG 2L(MAIOR 55MM)</x:v>
      </x:c>
      <x:c r="I323" s="184" t="str"/>
      <x:c r="J323" s="184" t="str"/>
      <x:c r="K323" s="184" t="str">
        <x:v>RECOBERTO PET TXT</x:v>
      </x:c>
      <x:c r="L323" s="184" t="str">
        <x:v>BRANCO</x:v>
      </x:c>
      <x:c r="M323" s="205" t="n">
        <x:v>115</x:v>
      </x:c>
      <x:c r="N323" s="205" t="n">
        <x:v>1100</x:v>
      </x:c>
      <x:c r="O323" s="205" t="n">
        <x:v>50</x:v>
      </x:c>
      <x:c r="P323" s="205" t="n">
        <x:v>9</x:v>
      </x:c>
      <x:c r="Q323" s="206" t="n">
        <x:v>0</x:v>
      </x:c>
      <x:c r="R323" s="207" t="str"/>
      <x:c r="S323" s="207" t="str"/>
      <x:c r="T323" s="207" t="str"/>
      <x:c r="U323" s="207" t="n">
        <x:v>0</x:v>
      </x:c>
      <x:c r="V323" s="208" t="n">
        <x:f>MAX(0,M323-U323)</x:f>
        <x:v>115</x:v>
      </x:c>
      <x:c r="W323" s="209" t="n">
        <x:f>IFERROR(U323/M323,0)</x:f>
        <x:v>0</x:v>
      </x:c>
      <x:c r="X323" s="201" t="str">
        <x:f>IF(U323=0,"Não iniciado",IF(U323&gt;=M323,"Concluído","Parcial"))</x:f>
        <x:v>Não iniciado</x:v>
      </x:c>
      <x:c r="Y323" s="199" t="str"/>
      <x:c r="Z323" s="188" t="str">
        <x:v>Normal</x:v>
      </x:c>
    </x:row>
    <x:row r="324" ht="22" customHeight="1">
      <x:c r="A324" s="219" t="n">
        <x:v>320</x:v>
      </x:c>
      <x:c r="B324" s="220" t="str">
        <x:v>26796</x:v>
      </x:c>
      <x:c r="C324" s="220" t="str">
        <x:v>1</x:v>
      </x:c>
      <x:c r="D324" s="220" t="str">
        <x:v>609285</x:v>
      </x:c>
      <x:c r="E324" s="220" t="str">
        <x:v>985577</x:v>
      </x:c>
      <x:c r="F324" s="220" t="str">
        <x:v>ALIZAR</x:v>
      </x:c>
      <x:c r="G324" s="190" t="str">
        <x:v>T A 1100X50X9 RTO LME PET BCO TXT (STD)</x:v>
      </x:c>
      <x:c r="H324" s="190" t="str"/>
      <x:c r="I324" s="190" t="str"/>
      <x:c r="J324" s="190" t="str"/>
      <x:c r="K324" s="190" t="str">
        <x:v>ESMALTE</x:v>
      </x:c>
      <x:c r="L324" s="190" t="str">
        <x:v>BRANCO CARRARA</x:v>
      </x:c>
      <x:c r="M324" s="210" t="n">
        <x:v>216</x:v>
      </x:c>
      <x:c r="N324" s="210" t="n">
        <x:v>1100</x:v>
      </x:c>
      <x:c r="O324" s="210" t="n">
        <x:v>50</x:v>
      </x:c>
      <x:c r="P324" s="210" t="n">
        <x:v>9</x:v>
      </x:c>
      <x:c r="Q324" s="211" t="n">
        <x:v>0</x:v>
      </x:c>
      <x:c r="R324" s="207" t="str"/>
      <x:c r="S324" s="207" t="str"/>
      <x:c r="T324" s="207" t="str"/>
      <x:c r="U324" s="207" t="n">
        <x:v>0</x:v>
      </x:c>
      <x:c r="V324" s="208" t="n">
        <x:f>MAX(0,M324-U324)</x:f>
        <x:v>216</x:v>
      </x:c>
      <x:c r="W324" s="209" t="n">
        <x:f>IFERROR(U324/M324,0)</x:f>
        <x:v>0</x:v>
      </x:c>
      <x:c r="X324" s="201" t="str">
        <x:f>IF(U324=0,"Não iniciado",IF(U324&gt;=M324,"Concluído","Parcial"))</x:f>
        <x:v>Não iniciado</x:v>
      </x:c>
      <x:c r="Y324" s="199" t="str"/>
      <x:c r="Z324" s="188" t="str">
        <x:v>Normal</x:v>
      </x:c>
    </x:row>
    <x:row r="325" ht="22" customHeight="1">
      <x:c r="A325" s="217" t="n">
        <x:v>321</x:v>
      </x:c>
      <x:c r="B325" s="218" t="str">
        <x:v>26796</x:v>
      </x:c>
      <x:c r="C325" s="218" t="str">
        <x:v>3</x:v>
      </x:c>
      <x:c r="D325" s="218" t="str">
        <x:v>609301</x:v>
      </x:c>
      <x:c r="E325" s="218" t="str">
        <x:v>985577</x:v>
      </x:c>
      <x:c r="F325" s="218" t="str">
        <x:v>ALIZAR</x:v>
      </x:c>
      <x:c r="G325" s="184" t="str">
        <x:v>T A 1100X50X9 RTO LME PET BCO TXT (STD)</x:v>
      </x:c>
      <x:c r="H325" s="184" t="str"/>
      <x:c r="I325" s="184" t="str"/>
      <x:c r="J325" s="184" t="str"/>
      <x:c r="K325" s="184" t="str">
        <x:v>ESMALTE</x:v>
      </x:c>
      <x:c r="L325" s="184" t="str">
        <x:v>BRANCO CARRARA</x:v>
      </x:c>
      <x:c r="M325" s="205" t="n">
        <x:v>192</x:v>
      </x:c>
      <x:c r="N325" s="205" t="n">
        <x:v>1100</x:v>
      </x:c>
      <x:c r="O325" s="205" t="n">
        <x:v>50</x:v>
      </x:c>
      <x:c r="P325" s="205" t="n">
        <x:v>9</x:v>
      </x:c>
      <x:c r="Q325" s="206" t="n">
        <x:v>0</x:v>
      </x:c>
      <x:c r="R325" s="207" t="str"/>
      <x:c r="S325" s="207" t="str"/>
      <x:c r="T325" s="207" t="str"/>
      <x:c r="U325" s="207" t="n">
        <x:v>0</x:v>
      </x:c>
      <x:c r="V325" s="208" t="n">
        <x:f>MAX(0,M325-U325)</x:f>
        <x:v>192</x:v>
      </x:c>
      <x:c r="W325" s="209" t="n">
        <x:f>IFERROR(U325/M325,0)</x:f>
        <x:v>0</x:v>
      </x:c>
      <x:c r="X325" s="201" t="str">
        <x:f>IF(U325=0,"Não iniciado",IF(U325&gt;=M325,"Concluído","Parcial"))</x:f>
        <x:v>Não iniciado</x:v>
      </x:c>
      <x:c r="Y325" s="199" t="str"/>
      <x:c r="Z325" s="188" t="str">
        <x:v>Normal</x:v>
      </x:c>
    </x:row>
    <x:row r="326" ht="22" customHeight="1">
      <x:c r="A326" s="219" t="n">
        <x:v>322</x:v>
      </x:c>
      <x:c r="B326" s="220" t="str">
        <x:v>26799</x:v>
      </x:c>
      <x:c r="C326" s="220" t="str">
        <x:v>1</x:v>
      </x:c>
      <x:c r="D326" s="220" t="str">
        <x:v>609390</x:v>
      </x:c>
      <x:c r="E326" s="220" t="str">
        <x:v>985577</x:v>
      </x:c>
      <x:c r="F326" s="220" t="str">
        <x:v>ALIZAR</x:v>
      </x:c>
      <x:c r="G326" s="190" t="str">
        <x:v>T A 1100X50X9 RTO LME PET BCO TXT (STD)</x:v>
      </x:c>
      <x:c r="H326" s="190" t="str"/>
      <x:c r="I326" s="190" t="str"/>
      <x:c r="J326" s="190" t="str"/>
      <x:c r="K326" s="190" t="str">
        <x:v>ESMALTE</x:v>
      </x:c>
      <x:c r="L326" s="190" t="str">
        <x:v>BRANCO CARRARA</x:v>
      </x:c>
      <x:c r="M326" s="210" t="n">
        <x:v>72</x:v>
      </x:c>
      <x:c r="N326" s="210" t="n">
        <x:v>1100</x:v>
      </x:c>
      <x:c r="O326" s="210" t="n">
        <x:v>50</x:v>
      </x:c>
      <x:c r="P326" s="210" t="n">
        <x:v>9</x:v>
      </x:c>
      <x:c r="Q326" s="211" t="n">
        <x:v>0</x:v>
      </x:c>
      <x:c r="R326" s="207" t="str"/>
      <x:c r="S326" s="207" t="str"/>
      <x:c r="T326" s="207" t="str"/>
      <x:c r="U326" s="207" t="n">
        <x:v>0</x:v>
      </x:c>
      <x:c r="V326" s="208" t="n">
        <x:f>MAX(0,M326-U326)</x:f>
        <x:v>72</x:v>
      </x:c>
      <x:c r="W326" s="209" t="n">
        <x:f>IFERROR(U326/M326,0)</x:f>
        <x:v>0</x:v>
      </x:c>
      <x:c r="X326" s="201" t="str">
        <x:f>IF(U326=0,"Não iniciado",IF(U326&gt;=M326,"Concluído","Parcial"))</x:f>
        <x:v>Não iniciado</x:v>
      </x:c>
      <x:c r="Y326" s="199" t="str"/>
      <x:c r="Z326" s="188" t="str">
        <x:v>Normal</x:v>
      </x:c>
    </x:row>
    <x:row r="327" ht="22" customHeight="1">
      <x:c r="A327" s="217" t="n">
        <x:v>323</x:v>
      </x:c>
      <x:c r="B327" s="218" t="str">
        <x:v>26799</x:v>
      </x:c>
      <x:c r="C327" s="218" t="str">
        <x:v>3</x:v>
      </x:c>
      <x:c r="D327" s="218" t="str">
        <x:v>609406</x:v>
      </x:c>
      <x:c r="E327" s="218" t="str">
        <x:v>985577</x:v>
      </x:c>
      <x:c r="F327" s="218" t="str">
        <x:v>ALIZAR</x:v>
      </x:c>
      <x:c r="G327" s="184" t="str">
        <x:v>T A 1100X50X9 RTO LME PET BCO TXT (STD)</x:v>
      </x:c>
      <x:c r="H327" s="184" t="str"/>
      <x:c r="I327" s="184" t="str"/>
      <x:c r="J327" s="184" t="str"/>
      <x:c r="K327" s="184" t="str">
        <x:v>ESMALTE</x:v>
      </x:c>
      <x:c r="L327" s="184" t="str">
        <x:v>BRANCO CARRARA</x:v>
      </x:c>
      <x:c r="M327" s="205" t="n">
        <x:v>64</x:v>
      </x:c>
      <x:c r="N327" s="205" t="n">
        <x:v>1100</x:v>
      </x:c>
      <x:c r="O327" s="205" t="n">
        <x:v>50</x:v>
      </x:c>
      <x:c r="P327" s="205" t="n">
        <x:v>9</x:v>
      </x:c>
      <x:c r="Q327" s="206" t="n">
        <x:v>0</x:v>
      </x:c>
      <x:c r="R327" s="207" t="str"/>
      <x:c r="S327" s="207" t="str"/>
      <x:c r="T327" s="207" t="str"/>
      <x:c r="U327" s="207" t="n">
        <x:v>0</x:v>
      </x:c>
      <x:c r="V327" s="208" t="n">
        <x:f>MAX(0,M327-U327)</x:f>
        <x:v>64</x:v>
      </x:c>
      <x:c r="W327" s="209" t="n">
        <x:f>IFERROR(U327/M327,0)</x:f>
        <x:v>0</x:v>
      </x:c>
      <x:c r="X327" s="201" t="str">
        <x:f>IF(U327=0,"Não iniciado",IF(U327&gt;=M327,"Concluído","Parcial"))</x:f>
        <x:v>Não iniciado</x:v>
      </x:c>
      <x:c r="Y327" s="199" t="str"/>
      <x:c r="Z327" s="188" t="str">
        <x:v>Normal</x:v>
      </x:c>
    </x:row>
    <x:row r="328" ht="22" customHeight="1">
      <x:c r="A328" s="219" t="n">
        <x:v>324</x:v>
      </x:c>
      <x:c r="B328" s="220" t="str">
        <x:v>26824</x:v>
      </x:c>
      <x:c r="C328" s="220" t="str">
        <x:v>1</x:v>
      </x:c>
      <x:c r="D328" s="220" t="str">
        <x:v>609581</x:v>
      </x:c>
      <x:c r="E328" s="220" t="str">
        <x:v>985577</x:v>
      </x:c>
      <x:c r="F328" s="220" t="str">
        <x:v>ALIZAR</x:v>
      </x:c>
      <x:c r="G328" s="190" t="str">
        <x:v>T A 1100X50X9 RTO LME PET BCO TXT (STD)</x:v>
      </x:c>
      <x:c r="H328" s="190" t="str"/>
      <x:c r="I328" s="190" t="str"/>
      <x:c r="J328" s="190" t="str"/>
      <x:c r="K328" s="190" t="str">
        <x:v>ESMALTE</x:v>
      </x:c>
      <x:c r="L328" s="190" t="str">
        <x:v>BRANCO CARRARA</x:v>
      </x:c>
      <x:c r="M328" s="210" t="n">
        <x:v>123</x:v>
      </x:c>
      <x:c r="N328" s="210" t="n">
        <x:v>1100</x:v>
      </x:c>
      <x:c r="O328" s="210" t="n">
        <x:v>50</x:v>
      </x:c>
      <x:c r="P328" s="210" t="n">
        <x:v>9</x:v>
      </x:c>
      <x:c r="Q328" s="211" t="n">
        <x:v>0</x:v>
      </x:c>
      <x:c r="R328" s="207" t="str"/>
      <x:c r="S328" s="207" t="str"/>
      <x:c r="T328" s="207" t="str"/>
      <x:c r="U328" s="207" t="n">
        <x:v>0</x:v>
      </x:c>
      <x:c r="V328" s="208" t="n">
        <x:f>MAX(0,M328-U328)</x:f>
        <x:v>123</x:v>
      </x:c>
      <x:c r="W328" s="209" t="n">
        <x:f>IFERROR(U328/M328,0)</x:f>
        <x:v>0</x:v>
      </x:c>
      <x:c r="X328" s="201" t="str">
        <x:f>IF(U328=0,"Não iniciado",IF(U328&gt;=M328,"Concluído","Parcial"))</x:f>
        <x:v>Não iniciado</x:v>
      </x:c>
      <x:c r="Y328" s="199" t="str"/>
      <x:c r="Z328" s="188" t="str">
        <x:v>Normal</x:v>
      </x:c>
    </x:row>
    <x:row r="329" ht="22" customHeight="1">
      <x:c r="A329" s="217" t="n">
        <x:v>325</x:v>
      </x:c>
      <x:c r="B329" s="218" t="str">
        <x:v>26824</x:v>
      </x:c>
      <x:c r="C329" s="218" t="str">
        <x:v>1</x:v>
      </x:c>
      <x:c r="D329" s="218" t="str">
        <x:v>609582</x:v>
      </x:c>
      <x:c r="E329" s="218" t="str">
        <x:v>986505</x:v>
      </x:c>
      <x:c r="F329" s="218" t="str">
        <x:v>ALIZAR</x:v>
      </x:c>
      <x:c r="G329" s="184" t="str">
        <x:v>T A 1100X50X9 RT RL55 PET BCO TXT (STD)</x:v>
      </x:c>
      <x:c r="H329" s="184" t="str"/>
      <x:c r="I329" s="184" t="str"/>
      <x:c r="J329" s="184" t="str"/>
      <x:c r="K329" s="184" t="str">
        <x:v>ESMALTE</x:v>
      </x:c>
      <x:c r="L329" s="184" t="str">
        <x:v>BRANCO CARRARA</x:v>
      </x:c>
      <x:c r="M329" s="205" t="n">
        <x:v>123</x:v>
      </x:c>
      <x:c r="N329" s="205" t="n">
        <x:v>1100</x:v>
      </x:c>
      <x:c r="O329" s="205" t="n">
        <x:v>50</x:v>
      </x:c>
      <x:c r="P329" s="205" t="n">
        <x:v>9</x:v>
      </x:c>
      <x:c r="Q329" s="206" t="n">
        <x:v>0</x:v>
      </x:c>
      <x:c r="R329" s="207" t="str"/>
      <x:c r="S329" s="207" t="str"/>
      <x:c r="T329" s="207" t="str"/>
      <x:c r="U329" s="207" t="n">
        <x:v>0</x:v>
      </x:c>
      <x:c r="V329" s="208" t="n">
        <x:f>MAX(0,M329-U329)</x:f>
        <x:v>123</x:v>
      </x:c>
      <x:c r="W329" s="209" t="n">
        <x:f>IFERROR(U329/M329,0)</x:f>
        <x:v>0</x:v>
      </x:c>
      <x:c r="X329" s="201" t="str">
        <x:f>IF(U329=0,"Não iniciado",IF(U329&gt;=M329,"Concluído","Parcial"))</x:f>
        <x:v>Não iniciado</x:v>
      </x:c>
      <x:c r="Y329" s="199" t="str"/>
      <x:c r="Z329" s="188" t="str">
        <x:v>Normal</x:v>
      </x:c>
    </x:row>
    <x:row r="330" ht="22" customHeight="1">
      <x:c r="A330" s="219" t="n">
        <x:v>326</x:v>
      </x:c>
      <x:c r="B330" s="220" t="str">
        <x:v>26824</x:v>
      </x:c>
      <x:c r="C330" s="220" t="str">
        <x:v>3</x:v>
      </x:c>
      <x:c r="D330" s="220" t="str">
        <x:v>609597</x:v>
      </x:c>
      <x:c r="E330" s="220" t="str">
        <x:v>985576</x:v>
      </x:c>
      <x:c r="F330" s="220" t="str">
        <x:v>ALIZAR</x:v>
      </x:c>
      <x:c r="G330" s="190" t="str">
        <x:v>T A 1100X50X9 RT RL80 PET BCO TXT (STD)</x:v>
      </x:c>
      <x:c r="H330" s="190" t="str"/>
      <x:c r="I330" s="190" t="str"/>
      <x:c r="J330" s="190" t="str"/>
      <x:c r="K330" s="190" t="str">
        <x:v>ESMALTE</x:v>
      </x:c>
      <x:c r="L330" s="190" t="str">
        <x:v>BRANCO CARRARA</x:v>
      </x:c>
      <x:c r="M330" s="210" t="n">
        <x:v>5</x:v>
      </x:c>
      <x:c r="N330" s="210" t="n">
        <x:v>1100</x:v>
      </x:c>
      <x:c r="O330" s="210" t="n">
        <x:v>50</x:v>
      </x:c>
      <x:c r="P330" s="210" t="n">
        <x:v>9</x:v>
      </x:c>
      <x:c r="Q330" s="211" t="n">
        <x:v>0</x:v>
      </x:c>
      <x:c r="R330" s="207" t="str"/>
      <x:c r="S330" s="207" t="str"/>
      <x:c r="T330" s="207" t="str"/>
      <x:c r="U330" s="207" t="n">
        <x:v>0</x:v>
      </x:c>
      <x:c r="V330" s="208" t="n">
        <x:f>MAX(0,M330-U330)</x:f>
        <x:v>5</x:v>
      </x:c>
      <x:c r="W330" s="209" t="n">
        <x:f>IFERROR(U330/M330,0)</x:f>
        <x:v>0</x:v>
      </x:c>
      <x:c r="X330" s="201" t="str">
        <x:f>IF(U330=0,"Não iniciado",IF(U330&gt;=M330,"Concluído","Parcial"))</x:f>
        <x:v>Não iniciado</x:v>
      </x:c>
      <x:c r="Y330" s="199" t="str"/>
      <x:c r="Z330" s="188" t="str">
        <x:v>Normal</x:v>
      </x:c>
    </x:row>
    <x:row r="331" ht="22" customHeight="1">
      <x:c r="A331" s="217" t="n">
        <x:v>327</x:v>
      </x:c>
      <x:c r="B331" s="218" t="str">
        <x:v>26824</x:v>
      </x:c>
      <x:c r="C331" s="218" t="str">
        <x:v>3</x:v>
      </x:c>
      <x:c r="D331" s="218" t="str">
        <x:v>609598</x:v>
      </x:c>
      <x:c r="E331" s="218" t="str">
        <x:v>985577</x:v>
      </x:c>
      <x:c r="F331" s="218" t="str">
        <x:v>ALIZAR</x:v>
      </x:c>
      <x:c r="G331" s="184" t="str">
        <x:v>T A 1100X50X9 RTO LME PET BCO TXT (STD)</x:v>
      </x:c>
      <x:c r="H331" s="184" t="str"/>
      <x:c r="I331" s="184" t="str"/>
      <x:c r="J331" s="184" t="str"/>
      <x:c r="K331" s="184" t="str">
        <x:v>ESMALTE</x:v>
      </x:c>
      <x:c r="L331" s="184" t="str">
        <x:v>BRANCO CARRARA</x:v>
      </x:c>
      <x:c r="M331" s="205" t="n">
        <x:v>5</x:v>
      </x:c>
      <x:c r="N331" s="205" t="n">
        <x:v>1100</x:v>
      </x:c>
      <x:c r="O331" s="205" t="n">
        <x:v>50</x:v>
      </x:c>
      <x:c r="P331" s="205" t="n">
        <x:v>9</x:v>
      </x:c>
      <x:c r="Q331" s="206" t="n">
        <x:v>0</x:v>
      </x:c>
      <x:c r="R331" s="207" t="str"/>
      <x:c r="S331" s="207" t="str"/>
      <x:c r="T331" s="207" t="str"/>
      <x:c r="U331" s="207" t="n">
        <x:v>0</x:v>
      </x:c>
      <x:c r="V331" s="208" t="n">
        <x:f>MAX(0,M331-U331)</x:f>
        <x:v>5</x:v>
      </x:c>
      <x:c r="W331" s="209" t="n">
        <x:f>IFERROR(U331/M331,0)</x:f>
        <x:v>0</x:v>
      </x:c>
      <x:c r="X331" s="201" t="str">
        <x:f>IF(U331=0,"Não iniciado",IF(U331&gt;=M331,"Concluído","Parcial"))</x:f>
        <x:v>Não iniciado</x:v>
      </x:c>
      <x:c r="Y331" s="199" t="str"/>
      <x:c r="Z331" s="188" t="str">
        <x:v>Normal</x:v>
      </x:c>
    </x:row>
    <x:row r="332" ht="22" customHeight="1">
      <x:c r="A332" s="219" t="n">
        <x:v>328</x:v>
      </x:c>
      <x:c r="B332" s="220" t="str">
        <x:v>26739</x:v>
      </x:c>
      <x:c r="C332" s="220" t="str">
        <x:v>8</x:v>
      </x:c>
      <x:c r="D332" s="220" t="str">
        <x:v>609639</x:v>
      </x:c>
      <x:c r="E332" s="220" t="str">
        <x:v>919640</x:v>
      </x:c>
      <x:c r="F332" s="220" t="str">
        <x:v>OUTROS</x:v>
      </x:c>
      <x:c r="G332" s="190" t="str">
        <x:v>TR AL 1100X50X9 RTO LME REC PET BCO (ULT</x:v>
      </x:c>
      <x:c r="H332" s="190" t="str"/>
      <x:c r="I332" s="190" t="str"/>
      <x:c r="J332" s="190" t="str"/>
      <x:c r="K332" s="190" t="str">
        <x:v>ESMALTE</x:v>
      </x:c>
      <x:c r="L332" s="190" t="str">
        <x:v>BRANCO CARRARA</x:v>
      </x:c>
      <x:c r="M332" s="210" t="n">
        <x:v>18</x:v>
      </x:c>
      <x:c r="N332" s="210" t="n">
        <x:v>1100</x:v>
      </x:c>
      <x:c r="O332" s="210" t="n">
        <x:v>50</x:v>
      </x:c>
      <x:c r="P332" s="210" t="n">
        <x:v>9</x:v>
      </x:c>
      <x:c r="Q332" s="211" t="n">
        <x:v>0</x:v>
      </x:c>
      <x:c r="R332" s="207" t="str"/>
      <x:c r="S332" s="207" t="str"/>
      <x:c r="T332" s="207" t="str"/>
      <x:c r="U332" s="207" t="n">
        <x:v>0</x:v>
      </x:c>
      <x:c r="V332" s="208" t="n">
        <x:f>MAX(0,M332-U332)</x:f>
        <x:v>18</x:v>
      </x:c>
      <x:c r="W332" s="209" t="n">
        <x:f>IFERROR(U332/M332,0)</x:f>
        <x:v>0</x:v>
      </x:c>
      <x:c r="X332" s="201" t="str">
        <x:f>IF(U332=0,"Não iniciado",IF(U332&gt;=M332,"Concluído","Parcial"))</x:f>
        <x:v>Não iniciado</x:v>
      </x:c>
      <x:c r="Y332" s="199" t="str"/>
      <x:c r="Z332" s="188" t="str">
        <x:v>Normal</x:v>
      </x:c>
    </x:row>
    <x:row r="333" ht="22" customHeight="1">
      <x:c r="A333" s="217" t="n">
        <x:v>329</x:v>
      </x:c>
      <x:c r="B333" s="218" t="str">
        <x:v>26739</x:v>
      </x:c>
      <x:c r="C333" s="218" t="str">
        <x:v>8</x:v>
      </x:c>
      <x:c r="D333" s="218" t="str">
        <x:v>609641</x:v>
      </x:c>
      <x:c r="E333" s="218" t="str">
        <x:v>966149</x:v>
      </x:c>
      <x:c r="F333" s="218" t="str">
        <x:v>OUTROS</x:v>
      </x:c>
      <x:c r="G333" s="184" t="str">
        <x:v>TR AL 1100X50X9 RTO RL80 REC PET BCO (UL</x:v>
      </x:c>
      <x:c r="H333" s="184" t="str"/>
      <x:c r="I333" s="184" t="str"/>
      <x:c r="J333" s="184" t="str"/>
      <x:c r="K333" s="184" t="str">
        <x:v>ESMALTE</x:v>
      </x:c>
      <x:c r="L333" s="184" t="str">
        <x:v>BRANCO CARRARA</x:v>
      </x:c>
      <x:c r="M333" s="205" t="n">
        <x:v>18</x:v>
      </x:c>
      <x:c r="N333" s="205" t="n">
        <x:v>1100</x:v>
      </x:c>
      <x:c r="O333" s="205" t="n">
        <x:v>50</x:v>
      </x:c>
      <x:c r="P333" s="205" t="n">
        <x:v>9</x:v>
      </x:c>
      <x:c r="Q333" s="206" t="n">
        <x:v>0</x:v>
      </x:c>
      <x:c r="R333" s="207" t="str"/>
      <x:c r="S333" s="207" t="str"/>
      <x:c r="T333" s="207" t="str"/>
      <x:c r="U333" s="207" t="n">
        <x:v>0</x:v>
      </x:c>
      <x:c r="V333" s="208" t="n">
        <x:f>MAX(0,M333-U333)</x:f>
        <x:v>18</x:v>
      </x:c>
      <x:c r="W333" s="209" t="n">
        <x:f>IFERROR(U333/M333,0)</x:f>
        <x:v>0</x:v>
      </x:c>
      <x:c r="X333" s="201" t="str">
        <x:f>IF(U333=0,"Não iniciado",IF(U333&gt;=M333,"Concluído","Parcial"))</x:f>
        <x:v>Não iniciado</x:v>
      </x:c>
      <x:c r="Y333" s="199" t="str"/>
      <x:c r="Z333" s="188" t="str">
        <x:v>Normal</x:v>
      </x:c>
    </x:row>
    <x:row r="334" ht="22" customHeight="1">
      <x:c r="A334" s="219" t="n">
        <x:v>330</x:v>
      </x:c>
      <x:c r="B334" s="220" t="str">
        <x:v>26739</x:v>
      </x:c>
      <x:c r="C334" s="220" t="str">
        <x:v>9</x:v>
      </x:c>
      <x:c r="D334" s="220" t="str">
        <x:v>609648</x:v>
      </x:c>
      <x:c r="E334" s="220" t="str">
        <x:v>919640</x:v>
      </x:c>
      <x:c r="F334" s="220" t="str">
        <x:v>OUTROS</x:v>
      </x:c>
      <x:c r="G334" s="190" t="str">
        <x:v>TR AL 1100X50X9 RTO LME REC PET BCO (ULT</x:v>
      </x:c>
      <x:c r="H334" s="190" t="str"/>
      <x:c r="I334" s="190" t="str"/>
      <x:c r="J334" s="190" t="str"/>
      <x:c r="K334" s="190" t="str">
        <x:v>ESMALTE</x:v>
      </x:c>
      <x:c r="L334" s="190" t="str">
        <x:v>BRANCO CARRARA</x:v>
      </x:c>
      <x:c r="M334" s="210" t="n">
        <x:v>6</x:v>
      </x:c>
      <x:c r="N334" s="210" t="n">
        <x:v>1100</x:v>
      </x:c>
      <x:c r="O334" s="210" t="n">
        <x:v>50</x:v>
      </x:c>
      <x:c r="P334" s="210" t="n">
        <x:v>9</x:v>
      </x:c>
      <x:c r="Q334" s="211" t="n">
        <x:v>0</x:v>
      </x:c>
      <x:c r="R334" s="207" t="str"/>
      <x:c r="S334" s="207" t="str"/>
      <x:c r="T334" s="207" t="str"/>
      <x:c r="U334" s="207" t="n">
        <x:v>0</x:v>
      </x:c>
      <x:c r="V334" s="208" t="n">
        <x:f>MAX(0,M334-U334)</x:f>
        <x:v>6</x:v>
      </x:c>
      <x:c r="W334" s="209" t="n">
        <x:f>IFERROR(U334/M334,0)</x:f>
        <x:v>0</x:v>
      </x:c>
      <x:c r="X334" s="201" t="str">
        <x:f>IF(U334=0,"Não iniciado",IF(U334&gt;=M334,"Concluído","Parcial"))</x:f>
        <x:v>Não iniciado</x:v>
      </x:c>
      <x:c r="Y334" s="199" t="str"/>
      <x:c r="Z334" s="188" t="str">
        <x:v>Normal</x:v>
      </x:c>
    </x:row>
    <x:row r="335" ht="22" customHeight="1">
      <x:c r="A335" s="217" t="n">
        <x:v>331</x:v>
      </x:c>
      <x:c r="B335" s="218" t="str">
        <x:v>26739</x:v>
      </x:c>
      <x:c r="C335" s="218" t="str">
        <x:v>9</x:v>
      </x:c>
      <x:c r="D335" s="218" t="str">
        <x:v>609650</x:v>
      </x:c>
      <x:c r="E335" s="218" t="str">
        <x:v>966149</x:v>
      </x:c>
      <x:c r="F335" s="218" t="str">
        <x:v>OUTROS</x:v>
      </x:c>
      <x:c r="G335" s="184" t="str">
        <x:v>TR AL 1100X50X9 RTO RL80 REC PET BCO (UL</x:v>
      </x:c>
      <x:c r="H335" s="184" t="str"/>
      <x:c r="I335" s="184" t="str"/>
      <x:c r="J335" s="184" t="str"/>
      <x:c r="K335" s="184" t="str">
        <x:v>ESMALTE</x:v>
      </x:c>
      <x:c r="L335" s="184" t="str">
        <x:v>BRANCO CARRARA</x:v>
      </x:c>
      <x:c r="M335" s="205" t="n">
        <x:v>6</x:v>
      </x:c>
      <x:c r="N335" s="205" t="n">
        <x:v>1100</x:v>
      </x:c>
      <x:c r="O335" s="205" t="n">
        <x:v>50</x:v>
      </x:c>
      <x:c r="P335" s="205" t="n">
        <x:v>9</x:v>
      </x:c>
      <x:c r="Q335" s="206" t="n">
        <x:v>0</x:v>
      </x:c>
      <x:c r="R335" s="207" t="str"/>
      <x:c r="S335" s="207" t="str"/>
      <x:c r="T335" s="207" t="str"/>
      <x:c r="U335" s="207" t="n">
        <x:v>0</x:v>
      </x:c>
      <x:c r="V335" s="208" t="n">
        <x:f>MAX(0,M335-U335)</x:f>
        <x:v>6</x:v>
      </x:c>
      <x:c r="W335" s="209" t="n">
        <x:f>IFERROR(U335/M335,0)</x:f>
        <x:v>0</x:v>
      </x:c>
      <x:c r="X335" s="201" t="str">
        <x:f>IF(U335=0,"Não iniciado",IF(U335&gt;=M335,"Concluído","Parcial"))</x:f>
        <x:v>Não iniciado</x:v>
      </x:c>
      <x:c r="Y335" s="199" t="str"/>
      <x:c r="Z335" s="188" t="str">
        <x:v>Normal</x:v>
      </x:c>
    </x:row>
    <x:row r="336" ht="22" customHeight="1">
      <x:c r="A336" s="219" t="n">
        <x:v>332</x:v>
      </x:c>
      <x:c r="B336" s="220" t="str">
        <x:v>26739</x:v>
      </x:c>
      <x:c r="C336" s="220" t="str">
        <x:v>10</x:v>
      </x:c>
      <x:c r="D336" s="220" t="str">
        <x:v>609655</x:v>
      </x:c>
      <x:c r="E336" s="220" t="str">
        <x:v>919640</x:v>
      </x:c>
      <x:c r="F336" s="220" t="str">
        <x:v>OUTROS</x:v>
      </x:c>
      <x:c r="G336" s="190" t="str">
        <x:v>TR AL 1100X50X9 RTO LME REC PET BCO (ULT</x:v>
      </x:c>
      <x:c r="H336" s="190" t="str"/>
      <x:c r="I336" s="190" t="str"/>
      <x:c r="J336" s="190" t="str"/>
      <x:c r="K336" s="190" t="str">
        <x:v>ESMALTE</x:v>
      </x:c>
      <x:c r="L336" s="190" t="str">
        <x:v>BRANCO CARRARA</x:v>
      </x:c>
      <x:c r="M336" s="210" t="n">
        <x:v>22</x:v>
      </x:c>
      <x:c r="N336" s="210" t="n">
        <x:v>1100</x:v>
      </x:c>
      <x:c r="O336" s="210" t="n">
        <x:v>50</x:v>
      </x:c>
      <x:c r="P336" s="210" t="n">
        <x:v>9</x:v>
      </x:c>
      <x:c r="Q336" s="211" t="n">
        <x:v>0</x:v>
      </x:c>
      <x:c r="R336" s="207" t="str"/>
      <x:c r="S336" s="207" t="str"/>
      <x:c r="T336" s="207" t="str"/>
      <x:c r="U336" s="207" t="n">
        <x:v>0</x:v>
      </x:c>
      <x:c r="V336" s="208" t="n">
        <x:f>MAX(0,M336-U336)</x:f>
        <x:v>22</x:v>
      </x:c>
      <x:c r="W336" s="209" t="n">
        <x:f>IFERROR(U336/M336,0)</x:f>
        <x:v>0</x:v>
      </x:c>
      <x:c r="X336" s="201" t="str">
        <x:f>IF(U336=0,"Não iniciado",IF(U336&gt;=M336,"Concluído","Parcial"))</x:f>
        <x:v>Não iniciado</x:v>
      </x:c>
      <x:c r="Y336" s="199" t="str"/>
      <x:c r="Z336" s="188" t="str">
        <x:v>Normal</x:v>
      </x:c>
    </x:row>
    <x:row r="337" ht="22" customHeight="1">
      <x:c r="A337" s="217" t="n">
        <x:v>333</x:v>
      </x:c>
      <x:c r="B337" s="218" t="str">
        <x:v>26739</x:v>
      </x:c>
      <x:c r="C337" s="218" t="str">
        <x:v>10</x:v>
      </x:c>
      <x:c r="D337" s="218" t="str">
        <x:v>609657</x:v>
      </x:c>
      <x:c r="E337" s="218" t="str">
        <x:v>966149</x:v>
      </x:c>
      <x:c r="F337" s="218" t="str">
        <x:v>OUTROS</x:v>
      </x:c>
      <x:c r="G337" s="184" t="str">
        <x:v>TR AL 1100X50X9 RTO RL80 REC PET BCO (UL</x:v>
      </x:c>
      <x:c r="H337" s="184" t="str"/>
      <x:c r="I337" s="184" t="str"/>
      <x:c r="J337" s="184" t="str"/>
      <x:c r="K337" s="184" t="str">
        <x:v>ESMALTE</x:v>
      </x:c>
      <x:c r="L337" s="184" t="str">
        <x:v>BRANCO CARRARA</x:v>
      </x:c>
      <x:c r="M337" s="205" t="n">
        <x:v>22</x:v>
      </x:c>
      <x:c r="N337" s="205" t="n">
        <x:v>1100</x:v>
      </x:c>
      <x:c r="O337" s="205" t="n">
        <x:v>50</x:v>
      </x:c>
      <x:c r="P337" s="205" t="n">
        <x:v>9</x:v>
      </x:c>
      <x:c r="Q337" s="206" t="n">
        <x:v>0</x:v>
      </x:c>
      <x:c r="R337" s="207" t="str"/>
      <x:c r="S337" s="207" t="str"/>
      <x:c r="T337" s="207" t="str"/>
      <x:c r="U337" s="207" t="n">
        <x:v>0</x:v>
      </x:c>
      <x:c r="V337" s="208" t="n">
        <x:f>MAX(0,M337-U337)</x:f>
        <x:v>22</x:v>
      </x:c>
      <x:c r="W337" s="209" t="n">
        <x:f>IFERROR(U337/M337,0)</x:f>
        <x:v>0</x:v>
      </x:c>
      <x:c r="X337" s="201" t="str">
        <x:f>IF(U337=0,"Não iniciado",IF(U337&gt;=M337,"Concluído","Parcial"))</x:f>
        <x:v>Não iniciado</x:v>
      </x:c>
      <x:c r="Y337" s="199" t="str"/>
      <x:c r="Z337" s="188" t="str">
        <x:v>Normal</x:v>
      </x:c>
    </x:row>
    <x:row r="338" ht="22" customHeight="1">
      <x:c r="A338" s="219" t="n">
        <x:v>334</x:v>
      </x:c>
      <x:c r="B338" s="220" t="str">
        <x:v>26739</x:v>
      </x:c>
      <x:c r="C338" s="220" t="str">
        <x:v>11</x:v>
      </x:c>
      <x:c r="D338" s="220" t="str">
        <x:v>609663</x:v>
      </x:c>
      <x:c r="E338" s="220" t="str">
        <x:v>919640</x:v>
      </x:c>
      <x:c r="F338" s="220" t="str">
        <x:v>OUTROS</x:v>
      </x:c>
      <x:c r="G338" s="190" t="str">
        <x:v>TR AL 1100X50X9 RTO LME REC PET BCO (ULT</x:v>
      </x:c>
      <x:c r="H338" s="190" t="str"/>
      <x:c r="I338" s="190" t="str"/>
      <x:c r="J338" s="190" t="str"/>
      <x:c r="K338" s="190" t="str">
        <x:v>ESMALTE</x:v>
      </x:c>
      <x:c r="L338" s="190" t="str">
        <x:v>BRANCO CARRARA</x:v>
      </x:c>
      <x:c r="M338" s="210" t="n">
        <x:v>16</x:v>
      </x:c>
      <x:c r="N338" s="210" t="n">
        <x:v>1100</x:v>
      </x:c>
      <x:c r="O338" s="210" t="n">
        <x:v>50</x:v>
      </x:c>
      <x:c r="P338" s="210" t="n">
        <x:v>9</x:v>
      </x:c>
      <x:c r="Q338" s="211" t="n">
        <x:v>0</x:v>
      </x:c>
      <x:c r="R338" s="207" t="str"/>
      <x:c r="S338" s="207" t="str"/>
      <x:c r="T338" s="207" t="str"/>
      <x:c r="U338" s="207" t="n">
        <x:v>0</x:v>
      </x:c>
      <x:c r="V338" s="208" t="n">
        <x:f>MAX(0,M338-U338)</x:f>
        <x:v>16</x:v>
      </x:c>
      <x:c r="W338" s="209" t="n">
        <x:f>IFERROR(U338/M338,0)</x:f>
        <x:v>0</x:v>
      </x:c>
      <x:c r="X338" s="201" t="str">
        <x:f>IF(U338=0,"Não iniciado",IF(U338&gt;=M338,"Concluído","Parcial"))</x:f>
        <x:v>Não iniciado</x:v>
      </x:c>
      <x:c r="Y338" s="199" t="str"/>
      <x:c r="Z338" s="188" t="str">
        <x:v>Normal</x:v>
      </x:c>
    </x:row>
    <x:row r="339" ht="22" customHeight="1">
      <x:c r="A339" s="217" t="n">
        <x:v>335</x:v>
      </x:c>
      <x:c r="B339" s="218" t="str">
        <x:v>26739</x:v>
      </x:c>
      <x:c r="C339" s="218" t="str">
        <x:v>11</x:v>
      </x:c>
      <x:c r="D339" s="218" t="str">
        <x:v>609667</x:v>
      </x:c>
      <x:c r="E339" s="218" t="str">
        <x:v>966149</x:v>
      </x:c>
      <x:c r="F339" s="218" t="str">
        <x:v>OUTROS</x:v>
      </x:c>
      <x:c r="G339" s="184" t="str">
        <x:v>TR AL 1100X50X9 RTO RL80 REC PET BCO (UL</x:v>
      </x:c>
      <x:c r="H339" s="184" t="str"/>
      <x:c r="I339" s="184" t="str"/>
      <x:c r="J339" s="184" t="str"/>
      <x:c r="K339" s="184" t="str">
        <x:v>ESMALTE</x:v>
      </x:c>
      <x:c r="L339" s="184" t="str">
        <x:v>BRANCO CARRARA</x:v>
      </x:c>
      <x:c r="M339" s="205" t="n">
        <x:v>16</x:v>
      </x:c>
      <x:c r="N339" s="205" t="n">
        <x:v>1100</x:v>
      </x:c>
      <x:c r="O339" s="205" t="n">
        <x:v>50</x:v>
      </x:c>
      <x:c r="P339" s="205" t="n">
        <x:v>9</x:v>
      </x:c>
      <x:c r="Q339" s="206" t="n">
        <x:v>0</x:v>
      </x:c>
      <x:c r="R339" s="207" t="str"/>
      <x:c r="S339" s="207" t="str"/>
      <x:c r="T339" s="207" t="str"/>
      <x:c r="U339" s="207" t="n">
        <x:v>0</x:v>
      </x:c>
      <x:c r="V339" s="208" t="n">
        <x:f>MAX(0,M339-U339)</x:f>
        <x:v>16</x:v>
      </x:c>
      <x:c r="W339" s="209" t="n">
        <x:f>IFERROR(U339/M339,0)</x:f>
        <x:v>0</x:v>
      </x:c>
      <x:c r="X339" s="201" t="str">
        <x:f>IF(U339=0,"Não iniciado",IF(U339&gt;=M339,"Concluído","Parcial"))</x:f>
        <x:v>Não iniciado</x:v>
      </x:c>
      <x:c r="Y339" s="199" t="str"/>
      <x:c r="Z339" s="188" t="str">
        <x:v>Normal</x:v>
      </x:c>
    </x:row>
    <x:row r="340" ht="22" customHeight="1">
      <x:c r="A340" s="219" t="n">
        <x:v>336</x:v>
      </x:c>
      <x:c r="B340" s="220" t="str">
        <x:v>26739</x:v>
      </x:c>
      <x:c r="C340" s="220" t="str">
        <x:v>12</x:v>
      </x:c>
      <x:c r="D340" s="220" t="str">
        <x:v>609672</x:v>
      </x:c>
      <x:c r="E340" s="220" t="str">
        <x:v>919640</x:v>
      </x:c>
      <x:c r="F340" s="220" t="str">
        <x:v>OUTROS</x:v>
      </x:c>
      <x:c r="G340" s="190" t="str">
        <x:v>TR AL 1100X50X9 RTO LME REC PET BCO (ULT</x:v>
      </x:c>
      <x:c r="H340" s="190" t="str"/>
      <x:c r="I340" s="190" t="str"/>
      <x:c r="J340" s="190" t="str"/>
      <x:c r="K340" s="190" t="str">
        <x:v>ESMALTE</x:v>
      </x:c>
      <x:c r="L340" s="190" t="str">
        <x:v>BRANCO CARRARA</x:v>
      </x:c>
      <x:c r="M340" s="210" t="n">
        <x:v>1</x:v>
      </x:c>
      <x:c r="N340" s="210" t="n">
        <x:v>1100</x:v>
      </x:c>
      <x:c r="O340" s="210" t="n">
        <x:v>50</x:v>
      </x:c>
      <x:c r="P340" s="210" t="n">
        <x:v>9</x:v>
      </x:c>
      <x:c r="Q340" s="211" t="n">
        <x:v>0</x:v>
      </x:c>
      <x:c r="R340" s="207" t="str"/>
      <x:c r="S340" s="207" t="str"/>
      <x:c r="T340" s="207" t="str"/>
      <x:c r="U340" s="207" t="n">
        <x:v>0</x:v>
      </x:c>
      <x:c r="V340" s="208" t="n">
        <x:f>MAX(0,M340-U340)</x:f>
        <x:v>1</x:v>
      </x:c>
      <x:c r="W340" s="209" t="n">
        <x:f>IFERROR(U340/M340,0)</x:f>
        <x:v>0</x:v>
      </x:c>
      <x:c r="X340" s="201" t="str">
        <x:f>IF(U340=0,"Não iniciado",IF(U340&gt;=M340,"Concluído","Parcial"))</x:f>
        <x:v>Não iniciado</x:v>
      </x:c>
      <x:c r="Y340" s="199" t="str"/>
      <x:c r="Z340" s="188" t="str">
        <x:v>Normal</x:v>
      </x:c>
    </x:row>
    <x:row r="341" ht="22" customHeight="1">
      <x:c r="A341" s="217" t="n">
        <x:v>337</x:v>
      </x:c>
      <x:c r="B341" s="218" t="str">
        <x:v>26739</x:v>
      </x:c>
      <x:c r="C341" s="218" t="str">
        <x:v>12</x:v>
      </x:c>
      <x:c r="D341" s="218" t="str">
        <x:v>609674</x:v>
      </x:c>
      <x:c r="E341" s="218" t="str">
        <x:v>966149</x:v>
      </x:c>
      <x:c r="F341" s="218" t="str">
        <x:v>OUTROS</x:v>
      </x:c>
      <x:c r="G341" s="184" t="str">
        <x:v>TR AL 1100X50X9 RTO RL80 REC PET BCO (UL</x:v>
      </x:c>
      <x:c r="H341" s="184" t="str"/>
      <x:c r="I341" s="184" t="str"/>
      <x:c r="J341" s="184" t="str"/>
      <x:c r="K341" s="184" t="str">
        <x:v>ESMALTE</x:v>
      </x:c>
      <x:c r="L341" s="184" t="str">
        <x:v>BRANCO CARRARA</x:v>
      </x:c>
      <x:c r="M341" s="205" t="n">
        <x:v>1</x:v>
      </x:c>
      <x:c r="N341" s="205" t="n">
        <x:v>1100</x:v>
      </x:c>
      <x:c r="O341" s="205" t="n">
        <x:v>50</x:v>
      </x:c>
      <x:c r="P341" s="205" t="n">
        <x:v>9</x:v>
      </x:c>
      <x:c r="Q341" s="206" t="n">
        <x:v>0</x:v>
      </x:c>
      <x:c r="R341" s="207" t="str"/>
      <x:c r="S341" s="207" t="str"/>
      <x:c r="T341" s="207" t="str"/>
      <x:c r="U341" s="207" t="n">
        <x:v>0</x:v>
      </x:c>
      <x:c r="V341" s="208" t="n">
        <x:f>MAX(0,M341-U341)</x:f>
        <x:v>1</x:v>
      </x:c>
      <x:c r="W341" s="209" t="n">
        <x:f>IFERROR(U341/M341,0)</x:f>
        <x:v>0</x:v>
      </x:c>
      <x:c r="X341" s="201" t="str">
        <x:f>IF(U341=0,"Não iniciado",IF(U341&gt;=M341,"Concluído","Parcial"))</x:f>
        <x:v>Não iniciado</x:v>
      </x:c>
      <x:c r="Y341" s="199" t="str"/>
      <x:c r="Z341" s="188" t="str">
        <x:v>Normal</x:v>
      </x:c>
    </x:row>
    <x:row r="342" ht="22" customHeight="1">
      <x:c r="A342" s="219" t="n">
        <x:v>338</x:v>
      </x:c>
      <x:c r="B342" s="220" t="str">
        <x:v>26739</x:v>
      </x:c>
      <x:c r="C342" s="220" t="str">
        <x:v>15</x:v>
      </x:c>
      <x:c r="D342" s="220" t="str">
        <x:v>609683</x:v>
      </x:c>
      <x:c r="E342" s="220" t="str">
        <x:v>919640</x:v>
      </x:c>
      <x:c r="F342" s="220" t="str">
        <x:v>OUTROS</x:v>
      </x:c>
      <x:c r="G342" s="190" t="str">
        <x:v>TR AL 1100X50X9 RTO LME REC PET BCO (ULT</x:v>
      </x:c>
      <x:c r="H342" s="190" t="str">
        <x:v>REG 2L(MAIOR 80MM)</x:v>
      </x:c>
      <x:c r="I342" s="190" t="str"/>
      <x:c r="J342" s="190" t="str"/>
      <x:c r="K342" s="190" t="str">
        <x:v>RECOBERTO PET</x:v>
      </x:c>
      <x:c r="L342" s="190" t="str">
        <x:v>BRANCO CARRARA</x:v>
      </x:c>
      <x:c r="M342" s="210" t="n">
        <x:v>7</x:v>
      </x:c>
      <x:c r="N342" s="210" t="n">
        <x:v>1100</x:v>
      </x:c>
      <x:c r="O342" s="210" t="n">
        <x:v>50</x:v>
      </x:c>
      <x:c r="P342" s="210" t="n">
        <x:v>9</x:v>
      </x:c>
      <x:c r="Q342" s="211" t="n">
        <x:v>0</x:v>
      </x:c>
      <x:c r="R342" s="207" t="str"/>
      <x:c r="S342" s="207" t="str"/>
      <x:c r="T342" s="207" t="str"/>
      <x:c r="U342" s="207" t="n">
        <x:v>0</x:v>
      </x:c>
      <x:c r="V342" s="208" t="n">
        <x:f>MAX(0,M342-U342)</x:f>
        <x:v>7</x:v>
      </x:c>
      <x:c r="W342" s="209" t="n">
        <x:f>IFERROR(U342/M342,0)</x:f>
        <x:v>0</x:v>
      </x:c>
      <x:c r="X342" s="201" t="str">
        <x:f>IF(U342=0,"Não iniciado",IF(U342&gt;=M342,"Concluído","Parcial"))</x:f>
        <x:v>Não iniciado</x:v>
      </x:c>
      <x:c r="Y342" s="199" t="str"/>
      <x:c r="Z342" s="188" t="str">
        <x:v>Normal</x:v>
      </x:c>
    </x:row>
    <x:row r="343" ht="22" customHeight="1">
      <x:c r="A343" s="217" t="n">
        <x:v>339</x:v>
      </x:c>
      <x:c r="B343" s="218" t="str">
        <x:v>26739</x:v>
      </x:c>
      <x:c r="C343" s="218" t="str">
        <x:v>15</x:v>
      </x:c>
      <x:c r="D343" s="218" t="str">
        <x:v>609685</x:v>
      </x:c>
      <x:c r="E343" s="218" t="str">
        <x:v>966149</x:v>
      </x:c>
      <x:c r="F343" s="218" t="str">
        <x:v>OUTROS</x:v>
      </x:c>
      <x:c r="G343" s="184" t="str">
        <x:v>TR AL 1100X50X9 RTO RL80 REC PET BCO (UL</x:v>
      </x:c>
      <x:c r="H343" s="184" t="str">
        <x:v>REG 2L(MAIOR 80MM)</x:v>
      </x:c>
      <x:c r="I343" s="184" t="str"/>
      <x:c r="J343" s="184" t="str"/>
      <x:c r="K343" s="184" t="str">
        <x:v>RECOBERTO PET</x:v>
      </x:c>
      <x:c r="L343" s="184" t="str">
        <x:v>BRANCO CARRARA</x:v>
      </x:c>
      <x:c r="M343" s="205" t="n">
        <x:v>7</x:v>
      </x:c>
      <x:c r="N343" s="205" t="n">
        <x:v>1100</x:v>
      </x:c>
      <x:c r="O343" s="205" t="n">
        <x:v>50</x:v>
      </x:c>
      <x:c r="P343" s="205" t="n">
        <x:v>9</x:v>
      </x:c>
      <x:c r="Q343" s="206" t="n">
        <x:v>0</x:v>
      </x:c>
      <x:c r="R343" s="207" t="str"/>
      <x:c r="S343" s="207" t="str"/>
      <x:c r="T343" s="207" t="str"/>
      <x:c r="U343" s="207" t="n">
        <x:v>0</x:v>
      </x:c>
      <x:c r="V343" s="208" t="n">
        <x:f>MAX(0,M343-U343)</x:f>
        <x:v>7</x:v>
      </x:c>
      <x:c r="W343" s="209" t="n">
        <x:f>IFERROR(U343/M343,0)</x:f>
        <x:v>0</x:v>
      </x:c>
      <x:c r="X343" s="201" t="str">
        <x:f>IF(U343=0,"Não iniciado",IF(U343&gt;=M343,"Concluído","Parcial"))</x:f>
        <x:v>Não iniciado</x:v>
      </x:c>
      <x:c r="Y343" s="199" t="str"/>
      <x:c r="Z343" s="188" t="str">
        <x:v>Normal</x:v>
      </x:c>
    </x:row>
    <x:row r="344" ht="22" customHeight="1">
      <x:c r="A344" s="219" t="n">
        <x:v>340</x:v>
      </x:c>
      <x:c r="B344" s="220" t="str">
        <x:v>26739</x:v>
      </x:c>
      <x:c r="C344" s="220" t="str">
        <x:v>17</x:v>
      </x:c>
      <x:c r="D344" s="220" t="str">
        <x:v>609694</x:v>
      </x:c>
      <x:c r="E344" s="220" t="str">
        <x:v>919640</x:v>
      </x:c>
      <x:c r="F344" s="220" t="str">
        <x:v>OUTROS</x:v>
      </x:c>
      <x:c r="G344" s="190" t="str">
        <x:v>TR AL 1100X50X9 RTO LME REC PET BCO (ULT</x:v>
      </x:c>
      <x:c r="H344" s="190" t="str"/>
      <x:c r="I344" s="190" t="str"/>
      <x:c r="J344" s="190" t="str"/>
      <x:c r="K344" s="190" t="str">
        <x:v>ESMALTE</x:v>
      </x:c>
      <x:c r="L344" s="190" t="str">
        <x:v>BRANCO CARRARA</x:v>
      </x:c>
      <x:c r="M344" s="210" t="n">
        <x:v>9</x:v>
      </x:c>
      <x:c r="N344" s="210" t="n">
        <x:v>1100</x:v>
      </x:c>
      <x:c r="O344" s="210" t="n">
        <x:v>50</x:v>
      </x:c>
      <x:c r="P344" s="210" t="n">
        <x:v>9</x:v>
      </x:c>
      <x:c r="Q344" s="211" t="n">
        <x:v>0</x:v>
      </x:c>
      <x:c r="R344" s="207" t="str"/>
      <x:c r="S344" s="207" t="str"/>
      <x:c r="T344" s="207" t="str"/>
      <x:c r="U344" s="207" t="n">
        <x:v>0</x:v>
      </x:c>
      <x:c r="V344" s="208" t="n">
        <x:f>MAX(0,M344-U344)</x:f>
        <x:v>9</x:v>
      </x:c>
      <x:c r="W344" s="209" t="n">
        <x:f>IFERROR(U344/M344,0)</x:f>
        <x:v>0</x:v>
      </x:c>
      <x:c r="X344" s="201" t="str">
        <x:f>IF(U344=0,"Não iniciado",IF(U344&gt;=M344,"Concluído","Parcial"))</x:f>
        <x:v>Não iniciado</x:v>
      </x:c>
      <x:c r="Y344" s="199" t="str"/>
      <x:c r="Z344" s="188" t="str">
        <x:v>Normal</x:v>
      </x:c>
    </x:row>
    <x:row r="345" ht="22" customHeight="1">
      <x:c r="A345" s="217" t="n">
        <x:v>341</x:v>
      </x:c>
      <x:c r="B345" s="218" t="str">
        <x:v>26739</x:v>
      </x:c>
      <x:c r="C345" s="218" t="str">
        <x:v>17</x:v>
      </x:c>
      <x:c r="D345" s="218" t="str">
        <x:v>609696</x:v>
      </x:c>
      <x:c r="E345" s="218" t="str">
        <x:v>966149</x:v>
      </x:c>
      <x:c r="F345" s="218" t="str">
        <x:v>OUTROS</x:v>
      </x:c>
      <x:c r="G345" s="184" t="str">
        <x:v>TR AL 1100X50X9 RTO RL80 REC PET BCO (UL</x:v>
      </x:c>
      <x:c r="H345" s="184" t="str"/>
      <x:c r="I345" s="184" t="str"/>
      <x:c r="J345" s="184" t="str"/>
      <x:c r="K345" s="184" t="str">
        <x:v>ESMALTE</x:v>
      </x:c>
      <x:c r="L345" s="184" t="str">
        <x:v>BRANCO CARRARA</x:v>
      </x:c>
      <x:c r="M345" s="205" t="n">
        <x:v>9</x:v>
      </x:c>
      <x:c r="N345" s="205" t="n">
        <x:v>1100</x:v>
      </x:c>
      <x:c r="O345" s="205" t="n">
        <x:v>50</x:v>
      </x:c>
      <x:c r="P345" s="205" t="n">
        <x:v>9</x:v>
      </x:c>
      <x:c r="Q345" s="206" t="n">
        <x:v>0</x:v>
      </x:c>
      <x:c r="R345" s="207" t="str"/>
      <x:c r="S345" s="207" t="str"/>
      <x:c r="T345" s="207" t="str"/>
      <x:c r="U345" s="207" t="n">
        <x:v>0</x:v>
      </x:c>
      <x:c r="V345" s="208" t="n">
        <x:f>MAX(0,M345-U345)</x:f>
        <x:v>9</x:v>
      </x:c>
      <x:c r="W345" s="209" t="n">
        <x:f>IFERROR(U345/M345,0)</x:f>
        <x:v>0</x:v>
      </x:c>
      <x:c r="X345" s="201" t="str">
        <x:f>IF(U345=0,"Não iniciado",IF(U345&gt;=M345,"Concluído","Parcial"))</x:f>
        <x:v>Não iniciado</x:v>
      </x:c>
      <x:c r="Y345" s="199" t="str"/>
      <x:c r="Z345" s="188" t="str">
        <x:v>Normal</x:v>
      </x:c>
    </x:row>
    <x:row r="346" ht="22" customHeight="1">
      <x:c r="A346" s="219" t="n">
        <x:v>342</x:v>
      </x:c>
      <x:c r="B346" s="220" t="str">
        <x:v>26739</x:v>
      </x:c>
      <x:c r="C346" s="220" t="str">
        <x:v>18</x:v>
      </x:c>
      <x:c r="D346" s="220" t="str">
        <x:v>609702</x:v>
      </x:c>
      <x:c r="E346" s="220" t="str">
        <x:v>919640</x:v>
      </x:c>
      <x:c r="F346" s="220" t="str">
        <x:v>OUTROS</x:v>
      </x:c>
      <x:c r="G346" s="190" t="str">
        <x:v>TR AL 1100X50X9 RTO LME REC PET BCO (ULT</x:v>
      </x:c>
      <x:c r="H346" s="190" t="str"/>
      <x:c r="I346" s="190" t="str"/>
      <x:c r="J346" s="190" t="str"/>
      <x:c r="K346" s="190" t="str">
        <x:v>ESMALTE</x:v>
      </x:c>
      <x:c r="L346" s="190" t="str">
        <x:v>BRANCO CARRARA</x:v>
      </x:c>
      <x:c r="M346" s="210" t="n">
        <x:v>5</x:v>
      </x:c>
      <x:c r="N346" s="210" t="n">
        <x:v>1100</x:v>
      </x:c>
      <x:c r="O346" s="210" t="n">
        <x:v>50</x:v>
      </x:c>
      <x:c r="P346" s="210" t="n">
        <x:v>9</x:v>
      </x:c>
      <x:c r="Q346" s="211" t="n">
        <x:v>0</x:v>
      </x:c>
      <x:c r="R346" s="207" t="str"/>
      <x:c r="S346" s="207" t="str"/>
      <x:c r="T346" s="207" t="str"/>
      <x:c r="U346" s="207" t="n">
        <x:v>0</x:v>
      </x:c>
      <x:c r="V346" s="208" t="n">
        <x:f>MAX(0,M346-U346)</x:f>
        <x:v>5</x:v>
      </x:c>
      <x:c r="W346" s="209" t="n">
        <x:f>IFERROR(U346/M346,0)</x:f>
        <x:v>0</x:v>
      </x:c>
      <x:c r="X346" s="201" t="str">
        <x:f>IF(U346=0,"Não iniciado",IF(U346&gt;=M346,"Concluído","Parcial"))</x:f>
        <x:v>Não iniciado</x:v>
      </x:c>
      <x:c r="Y346" s="199" t="str"/>
      <x:c r="Z346" s="188" t="str">
        <x:v>Normal</x:v>
      </x:c>
    </x:row>
    <x:row r="347" ht="22" customHeight="1">
      <x:c r="A347" s="217" t="n">
        <x:v>343</x:v>
      </x:c>
      <x:c r="B347" s="218" t="str">
        <x:v>26739</x:v>
      </x:c>
      <x:c r="C347" s="218" t="str">
        <x:v>18</x:v>
      </x:c>
      <x:c r="D347" s="218" t="str">
        <x:v>609704</x:v>
      </x:c>
      <x:c r="E347" s="218" t="str">
        <x:v>966149</x:v>
      </x:c>
      <x:c r="F347" s="218" t="str">
        <x:v>OUTROS</x:v>
      </x:c>
      <x:c r="G347" s="184" t="str">
        <x:v>TR AL 1100X50X9 RTO RL80 REC PET BCO (UL</x:v>
      </x:c>
      <x:c r="H347" s="184" t="str"/>
      <x:c r="I347" s="184" t="str"/>
      <x:c r="J347" s="184" t="str"/>
      <x:c r="K347" s="184" t="str">
        <x:v>ESMALTE</x:v>
      </x:c>
      <x:c r="L347" s="184" t="str">
        <x:v>BRANCO CARRARA</x:v>
      </x:c>
      <x:c r="M347" s="205" t="n">
        <x:v>5</x:v>
      </x:c>
      <x:c r="N347" s="205" t="n">
        <x:v>1100</x:v>
      </x:c>
      <x:c r="O347" s="205" t="n">
        <x:v>50</x:v>
      </x:c>
      <x:c r="P347" s="205" t="n">
        <x:v>9</x:v>
      </x:c>
      <x:c r="Q347" s="206" t="n">
        <x:v>0</x:v>
      </x:c>
      <x:c r="R347" s="207" t="str"/>
      <x:c r="S347" s="207" t="str"/>
      <x:c r="T347" s="207" t="str"/>
      <x:c r="U347" s="207" t="n">
        <x:v>0</x:v>
      </x:c>
      <x:c r="V347" s="208" t="n">
        <x:f>MAX(0,M347-U347)</x:f>
        <x:v>5</x:v>
      </x:c>
      <x:c r="W347" s="209" t="n">
        <x:f>IFERROR(U347/M347,0)</x:f>
        <x:v>0</x:v>
      </x:c>
      <x:c r="X347" s="201" t="str">
        <x:f>IF(U347=0,"Não iniciado",IF(U347&gt;=M347,"Concluído","Parcial"))</x:f>
        <x:v>Não iniciado</x:v>
      </x:c>
      <x:c r="Y347" s="199" t="str"/>
      <x:c r="Z347" s="188" t="str">
        <x:v>Normal</x:v>
      </x:c>
    </x:row>
    <x:row r="348" ht="22" customHeight="1">
      <x:c r="A348" s="219" t="n">
        <x:v>344</x:v>
      </x:c>
      <x:c r="B348" s="220" t="str">
        <x:v>26739</x:v>
      </x:c>
      <x:c r="C348" s="220" t="str">
        <x:v>19</x:v>
      </x:c>
      <x:c r="D348" s="220" t="str">
        <x:v>609710</x:v>
      </x:c>
      <x:c r="E348" s="220" t="str">
        <x:v>919640</x:v>
      </x:c>
      <x:c r="F348" s="220" t="str">
        <x:v>OUTROS</x:v>
      </x:c>
      <x:c r="G348" s="190" t="str">
        <x:v>TR AL 1100X50X9 RTO LME REC PET BCO (ULT</x:v>
      </x:c>
      <x:c r="H348" s="190" t="str"/>
      <x:c r="I348" s="190" t="str"/>
      <x:c r="J348" s="190" t="str"/>
      <x:c r="K348" s="190" t="str">
        <x:v>ESMALTE</x:v>
      </x:c>
      <x:c r="L348" s="190" t="str">
        <x:v>BRANCO CARRARA</x:v>
      </x:c>
      <x:c r="M348" s="210" t="n">
        <x:v>27</x:v>
      </x:c>
      <x:c r="N348" s="210" t="n">
        <x:v>1100</x:v>
      </x:c>
      <x:c r="O348" s="210" t="n">
        <x:v>50</x:v>
      </x:c>
      <x:c r="P348" s="210" t="n">
        <x:v>9</x:v>
      </x:c>
      <x:c r="Q348" s="211" t="n">
        <x:v>0</x:v>
      </x:c>
      <x:c r="R348" s="207" t="str"/>
      <x:c r="S348" s="207" t="str"/>
      <x:c r="T348" s="207" t="str"/>
      <x:c r="U348" s="207" t="n">
        <x:v>0</x:v>
      </x:c>
      <x:c r="V348" s="208" t="n">
        <x:f>MAX(0,M348-U348)</x:f>
        <x:v>27</x:v>
      </x:c>
      <x:c r="W348" s="209" t="n">
        <x:f>IFERROR(U348/M348,0)</x:f>
        <x:v>0</x:v>
      </x:c>
      <x:c r="X348" s="201" t="str">
        <x:f>IF(U348=0,"Não iniciado",IF(U348&gt;=M348,"Concluído","Parcial"))</x:f>
        <x:v>Não iniciado</x:v>
      </x:c>
      <x:c r="Y348" s="199" t="str"/>
      <x:c r="Z348" s="188" t="str">
        <x:v>Normal</x:v>
      </x:c>
    </x:row>
    <x:row r="349" ht="22" customHeight="1">
      <x:c r="A349" s="217" t="n">
        <x:v>345</x:v>
      </x:c>
      <x:c r="B349" s="218" t="str">
        <x:v>26739</x:v>
      </x:c>
      <x:c r="C349" s="218" t="str">
        <x:v>19</x:v>
      </x:c>
      <x:c r="D349" s="218" t="str">
        <x:v>609713</x:v>
      </x:c>
      <x:c r="E349" s="218" t="str">
        <x:v>966149</x:v>
      </x:c>
      <x:c r="F349" s="218" t="str">
        <x:v>OUTROS</x:v>
      </x:c>
      <x:c r="G349" s="184" t="str">
        <x:v>TR AL 1100X50X9 RTO RL80 REC PET BCO (UL</x:v>
      </x:c>
      <x:c r="H349" s="184" t="str"/>
      <x:c r="I349" s="184" t="str"/>
      <x:c r="J349" s="184" t="str"/>
      <x:c r="K349" s="184" t="str">
        <x:v>ESMALTE</x:v>
      </x:c>
      <x:c r="L349" s="184" t="str">
        <x:v>BRANCO CARRARA</x:v>
      </x:c>
      <x:c r="M349" s="205" t="n">
        <x:v>27</x:v>
      </x:c>
      <x:c r="N349" s="205" t="n">
        <x:v>1100</x:v>
      </x:c>
      <x:c r="O349" s="205" t="n">
        <x:v>50</x:v>
      </x:c>
      <x:c r="P349" s="205" t="n">
        <x:v>9</x:v>
      </x:c>
      <x:c r="Q349" s="206" t="n">
        <x:v>0</x:v>
      </x:c>
      <x:c r="R349" s="207" t="str"/>
      <x:c r="S349" s="207" t="str"/>
      <x:c r="T349" s="207" t="str"/>
      <x:c r="U349" s="207" t="n">
        <x:v>0</x:v>
      </x:c>
      <x:c r="V349" s="208" t="n">
        <x:f>MAX(0,M349-U349)</x:f>
        <x:v>27</x:v>
      </x:c>
      <x:c r="W349" s="209" t="n">
        <x:f>IFERROR(U349/M349,0)</x:f>
        <x:v>0</x:v>
      </x:c>
      <x:c r="X349" s="201" t="str">
        <x:f>IF(U349=0,"Não iniciado",IF(U349&gt;=M349,"Concluído","Parcial"))</x:f>
        <x:v>Não iniciado</x:v>
      </x:c>
      <x:c r="Y349" s="199" t="str"/>
      <x:c r="Z349" s="188" t="str">
        <x:v>Normal</x:v>
      </x:c>
    </x:row>
    <x:row r="350" ht="22" customHeight="1">
      <x:c r="A350" s="219" t="n">
        <x:v>346</x:v>
      </x:c>
      <x:c r="B350" s="220" t="str">
        <x:v>26739</x:v>
      </x:c>
      <x:c r="C350" s="220" t="str">
        <x:v>20</x:v>
      </x:c>
      <x:c r="D350" s="220" t="str">
        <x:v>609718</x:v>
      </x:c>
      <x:c r="E350" s="220" t="str">
        <x:v>919640</x:v>
      </x:c>
      <x:c r="F350" s="220" t="str">
        <x:v>OUTROS</x:v>
      </x:c>
      <x:c r="G350" s="190" t="str">
        <x:v>TR AL 1100X50X9 RTO LME REC PET BCO (ULT</x:v>
      </x:c>
      <x:c r="H350" s="190" t="str"/>
      <x:c r="I350" s="190" t="str"/>
      <x:c r="J350" s="190" t="str"/>
      <x:c r="K350" s="190" t="str">
        <x:v>ESMALTE</x:v>
      </x:c>
      <x:c r="L350" s="190" t="str">
        <x:v>BRANCO CARRARA</x:v>
      </x:c>
      <x:c r="M350" s="210" t="n">
        <x:v>3</x:v>
      </x:c>
      <x:c r="N350" s="210" t="n">
        <x:v>1100</x:v>
      </x:c>
      <x:c r="O350" s="210" t="n">
        <x:v>50</x:v>
      </x:c>
      <x:c r="P350" s="210" t="n">
        <x:v>9</x:v>
      </x:c>
      <x:c r="Q350" s="211" t="n">
        <x:v>0</x:v>
      </x:c>
      <x:c r="R350" s="207" t="str"/>
      <x:c r="S350" s="207" t="str"/>
      <x:c r="T350" s="207" t="str"/>
      <x:c r="U350" s="207" t="n">
        <x:v>0</x:v>
      </x:c>
      <x:c r="V350" s="208" t="n">
        <x:f>MAX(0,M350-U350)</x:f>
        <x:v>3</x:v>
      </x:c>
      <x:c r="W350" s="209" t="n">
        <x:f>IFERROR(U350/M350,0)</x:f>
        <x:v>0</x:v>
      </x:c>
      <x:c r="X350" s="201" t="str">
        <x:f>IF(U350=0,"Não iniciado",IF(U350&gt;=M350,"Concluído","Parcial"))</x:f>
        <x:v>Não iniciado</x:v>
      </x:c>
      <x:c r="Y350" s="199" t="str"/>
      <x:c r="Z350" s="188" t="str">
        <x:v>Normal</x:v>
      </x:c>
    </x:row>
    <x:row r="351" ht="22" customHeight="1">
      <x:c r="A351" s="217" t="n">
        <x:v>347</x:v>
      </x:c>
      <x:c r="B351" s="218" t="str">
        <x:v>26739</x:v>
      </x:c>
      <x:c r="C351" s="218" t="str">
        <x:v>20</x:v>
      </x:c>
      <x:c r="D351" s="218" t="str">
        <x:v>609721</x:v>
      </x:c>
      <x:c r="E351" s="218" t="str">
        <x:v>966149</x:v>
      </x:c>
      <x:c r="F351" s="218" t="str">
        <x:v>OUTROS</x:v>
      </x:c>
      <x:c r="G351" s="184" t="str">
        <x:v>TR AL 1100X50X9 RTO RL80 REC PET BCO (UL</x:v>
      </x:c>
      <x:c r="H351" s="184" t="str"/>
      <x:c r="I351" s="184" t="str"/>
      <x:c r="J351" s="184" t="str"/>
      <x:c r="K351" s="184" t="str">
        <x:v>ESMALTE</x:v>
      </x:c>
      <x:c r="L351" s="184" t="str">
        <x:v>BRANCO CARRARA</x:v>
      </x:c>
      <x:c r="M351" s="205" t="n">
        <x:v>3</x:v>
      </x:c>
      <x:c r="N351" s="205" t="n">
        <x:v>1100</x:v>
      </x:c>
      <x:c r="O351" s="205" t="n">
        <x:v>50</x:v>
      </x:c>
      <x:c r="P351" s="205" t="n">
        <x:v>9</x:v>
      </x:c>
      <x:c r="Q351" s="206" t="n">
        <x:v>0</x:v>
      </x:c>
      <x:c r="R351" s="207" t="str"/>
      <x:c r="S351" s="207" t="str"/>
      <x:c r="T351" s="207" t="str"/>
      <x:c r="U351" s="207" t="n">
        <x:v>0</x:v>
      </x:c>
      <x:c r="V351" s="208" t="n">
        <x:f>MAX(0,M351-U351)</x:f>
        <x:v>3</x:v>
      </x:c>
      <x:c r="W351" s="209" t="n">
        <x:f>IFERROR(U351/M351,0)</x:f>
        <x:v>0</x:v>
      </x:c>
      <x:c r="X351" s="201" t="str">
        <x:f>IF(U351=0,"Não iniciado",IF(U351&gt;=M351,"Concluído","Parcial"))</x:f>
        <x:v>Não iniciado</x:v>
      </x:c>
      <x:c r="Y351" s="199" t="str"/>
      <x:c r="Z351" s="188" t="str">
        <x:v>Normal</x:v>
      </x:c>
    </x:row>
    <x:row r="352" ht="22" customHeight="1">
      <x:c r="A352" s="219" t="n">
        <x:v>348</x:v>
      </x:c>
      <x:c r="B352" s="220" t="str">
        <x:v>26739</x:v>
      </x:c>
      <x:c r="C352" s="220" t="str">
        <x:v>21</x:v>
      </x:c>
      <x:c r="D352" s="220" t="str">
        <x:v>609727</x:v>
      </x:c>
      <x:c r="E352" s="220" t="str">
        <x:v>919640</x:v>
      </x:c>
      <x:c r="F352" s="220" t="str">
        <x:v>OUTROS</x:v>
      </x:c>
      <x:c r="G352" s="190" t="str">
        <x:v>TR AL 1100X50X9 RTO LME REC PET BCO (ULT</x:v>
      </x:c>
      <x:c r="H352" s="190" t="str"/>
      <x:c r="I352" s="190" t="str"/>
      <x:c r="J352" s="190" t="str"/>
      <x:c r="K352" s="190" t="str">
        <x:v>ESMALTE</x:v>
      </x:c>
      <x:c r="L352" s="190" t="str">
        <x:v>BRANCO CARRARA</x:v>
      </x:c>
      <x:c r="M352" s="210" t="n">
        <x:v>10</x:v>
      </x:c>
      <x:c r="N352" s="210" t="n">
        <x:v>1100</x:v>
      </x:c>
      <x:c r="O352" s="210" t="n">
        <x:v>50</x:v>
      </x:c>
      <x:c r="P352" s="210" t="n">
        <x:v>9</x:v>
      </x:c>
      <x:c r="Q352" s="211" t="n">
        <x:v>0</x:v>
      </x:c>
      <x:c r="R352" s="207" t="str"/>
      <x:c r="S352" s="207" t="str"/>
      <x:c r="T352" s="207" t="str"/>
      <x:c r="U352" s="207" t="n">
        <x:v>0</x:v>
      </x:c>
      <x:c r="V352" s="208" t="n">
        <x:f>MAX(0,M352-U352)</x:f>
        <x:v>10</x:v>
      </x:c>
      <x:c r="W352" s="209" t="n">
        <x:f>IFERROR(U352/M352,0)</x:f>
        <x:v>0</x:v>
      </x:c>
      <x:c r="X352" s="201" t="str">
        <x:f>IF(U352=0,"Não iniciado",IF(U352&gt;=M352,"Concluído","Parcial"))</x:f>
        <x:v>Não iniciado</x:v>
      </x:c>
      <x:c r="Y352" s="199" t="str"/>
      <x:c r="Z352" s="188" t="str">
        <x:v>Normal</x:v>
      </x:c>
    </x:row>
    <x:row r="353" ht="22" customHeight="1">
      <x:c r="A353" s="217" t="n">
        <x:v>349</x:v>
      </x:c>
      <x:c r="B353" s="218" t="str">
        <x:v>26739</x:v>
      </x:c>
      <x:c r="C353" s="218" t="str">
        <x:v>21</x:v>
      </x:c>
      <x:c r="D353" s="218" t="str">
        <x:v>609730</x:v>
      </x:c>
      <x:c r="E353" s="218" t="str">
        <x:v>966149</x:v>
      </x:c>
      <x:c r="F353" s="218" t="str">
        <x:v>OUTROS</x:v>
      </x:c>
      <x:c r="G353" s="184" t="str">
        <x:v>TR AL 1100X50X9 RTO RL80 REC PET BCO (UL</x:v>
      </x:c>
      <x:c r="H353" s="184" t="str"/>
      <x:c r="I353" s="184" t="str"/>
      <x:c r="J353" s="184" t="str"/>
      <x:c r="K353" s="184" t="str">
        <x:v>ESMALTE</x:v>
      </x:c>
      <x:c r="L353" s="184" t="str">
        <x:v>BRANCO CARRARA</x:v>
      </x:c>
      <x:c r="M353" s="205" t="n">
        <x:v>10</x:v>
      </x:c>
      <x:c r="N353" s="205" t="n">
        <x:v>1100</x:v>
      </x:c>
      <x:c r="O353" s="205" t="n">
        <x:v>50</x:v>
      </x:c>
      <x:c r="P353" s="205" t="n">
        <x:v>9</x:v>
      </x:c>
      <x:c r="Q353" s="206" t="n">
        <x:v>0</x:v>
      </x:c>
      <x:c r="R353" s="207" t="str"/>
      <x:c r="S353" s="207" t="str"/>
      <x:c r="T353" s="207" t="str"/>
      <x:c r="U353" s="207" t="n">
        <x:v>0</x:v>
      </x:c>
      <x:c r="V353" s="208" t="n">
        <x:f>MAX(0,M353-U353)</x:f>
        <x:v>10</x:v>
      </x:c>
      <x:c r="W353" s="209" t="n">
        <x:f>IFERROR(U353/M353,0)</x:f>
        <x:v>0</x:v>
      </x:c>
      <x:c r="X353" s="201" t="str">
        <x:f>IF(U353=0,"Não iniciado",IF(U353&gt;=M353,"Concluído","Parcial"))</x:f>
        <x:v>Não iniciado</x:v>
      </x:c>
      <x:c r="Y353" s="199" t="str"/>
      <x:c r="Z353" s="188" t="str">
        <x:v>Normal</x:v>
      </x:c>
    </x:row>
    <x:row r="354" ht="22" customHeight="1">
      <x:c r="A354" s="219" t="n">
        <x:v>350</x:v>
      </x:c>
      <x:c r="B354" s="220" t="str">
        <x:v>26739</x:v>
      </x:c>
      <x:c r="C354" s="220" t="str">
        <x:v>22</x:v>
      </x:c>
      <x:c r="D354" s="220" t="str">
        <x:v>609734</x:v>
      </x:c>
      <x:c r="E354" s="220" t="str">
        <x:v>919640</x:v>
      </x:c>
      <x:c r="F354" s="220" t="str">
        <x:v>OUTROS</x:v>
      </x:c>
      <x:c r="G354" s="190" t="str">
        <x:v>TR AL 1100X50X9 RTO LME REC PET BCO (ULT</x:v>
      </x:c>
      <x:c r="H354" s="190" t="str"/>
      <x:c r="I354" s="190" t="str"/>
      <x:c r="J354" s="190" t="str"/>
      <x:c r="K354" s="190" t="str">
        <x:v>ESMALTE</x:v>
      </x:c>
      <x:c r="L354" s="190" t="str">
        <x:v>BRANCO CARRARA</x:v>
      </x:c>
      <x:c r="M354" s="210" t="n">
        <x:v>1</x:v>
      </x:c>
      <x:c r="N354" s="210" t="n">
        <x:v>1100</x:v>
      </x:c>
      <x:c r="O354" s="210" t="n">
        <x:v>50</x:v>
      </x:c>
      <x:c r="P354" s="210" t="n">
        <x:v>9</x:v>
      </x:c>
      <x:c r="Q354" s="211" t="n">
        <x:v>0</x:v>
      </x:c>
      <x:c r="R354" s="207" t="str"/>
      <x:c r="S354" s="207" t="str"/>
      <x:c r="T354" s="207" t="str"/>
      <x:c r="U354" s="207" t="n">
        <x:v>0</x:v>
      </x:c>
      <x:c r="V354" s="208" t="n">
        <x:f>MAX(0,M354-U354)</x:f>
        <x:v>1</x:v>
      </x:c>
      <x:c r="W354" s="209" t="n">
        <x:f>IFERROR(U354/M354,0)</x:f>
        <x:v>0</x:v>
      </x:c>
      <x:c r="X354" s="201" t="str">
        <x:f>IF(U354=0,"Não iniciado",IF(U354&gt;=M354,"Concluído","Parcial"))</x:f>
        <x:v>Não iniciado</x:v>
      </x:c>
      <x:c r="Y354" s="199" t="str"/>
      <x:c r="Z354" s="188" t="str">
        <x:v>Normal</x:v>
      </x:c>
    </x:row>
    <x:row r="355" ht="22" customHeight="1">
      <x:c r="A355" s="217" t="n">
        <x:v>351</x:v>
      </x:c>
      <x:c r="B355" s="218" t="str">
        <x:v>26739</x:v>
      </x:c>
      <x:c r="C355" s="218" t="str">
        <x:v>22</x:v>
      </x:c>
      <x:c r="D355" s="218" t="str">
        <x:v>609736</x:v>
      </x:c>
      <x:c r="E355" s="218" t="str">
        <x:v>966149</x:v>
      </x:c>
      <x:c r="F355" s="218" t="str">
        <x:v>OUTROS</x:v>
      </x:c>
      <x:c r="G355" s="184" t="str">
        <x:v>TR AL 1100X50X9 RTO RL80 REC PET BCO (UL</x:v>
      </x:c>
      <x:c r="H355" s="184" t="str"/>
      <x:c r="I355" s="184" t="str"/>
      <x:c r="J355" s="184" t="str"/>
      <x:c r="K355" s="184" t="str">
        <x:v>ESMALTE</x:v>
      </x:c>
      <x:c r="L355" s="184" t="str">
        <x:v>BRANCO CARRARA</x:v>
      </x:c>
      <x:c r="M355" s="205" t="n">
        <x:v>1</x:v>
      </x:c>
      <x:c r="N355" s="205" t="n">
        <x:v>1100</x:v>
      </x:c>
      <x:c r="O355" s="205" t="n">
        <x:v>50</x:v>
      </x:c>
      <x:c r="P355" s="205" t="n">
        <x:v>9</x:v>
      </x:c>
      <x:c r="Q355" s="206" t="n">
        <x:v>0</x:v>
      </x:c>
      <x:c r="R355" s="207" t="str"/>
      <x:c r="S355" s="207" t="str"/>
      <x:c r="T355" s="207" t="str"/>
      <x:c r="U355" s="207" t="n">
        <x:v>0</x:v>
      </x:c>
      <x:c r="V355" s="208" t="n">
        <x:f>MAX(0,M355-U355)</x:f>
        <x:v>1</x:v>
      </x:c>
      <x:c r="W355" s="209" t="n">
        <x:f>IFERROR(U355/M355,0)</x:f>
        <x:v>0</x:v>
      </x:c>
      <x:c r="X355" s="201" t="str">
        <x:f>IF(U355=0,"Não iniciado",IF(U355&gt;=M355,"Concluído","Parcial"))</x:f>
        <x:v>Não iniciado</x:v>
      </x:c>
      <x:c r="Y355" s="199" t="str"/>
      <x:c r="Z355" s="188" t="str">
        <x:v>Normal</x:v>
      </x:c>
    </x:row>
    <x:row r="356" ht="22" customHeight="1">
      <x:c r="A356" s="219" t="n">
        <x:v>352</x:v>
      </x:c>
      <x:c r="B356" s="220" t="str">
        <x:v>26739</x:v>
      </x:c>
      <x:c r="C356" s="220" t="str">
        <x:v>23</x:v>
      </x:c>
      <x:c r="D356" s="220" t="str">
        <x:v>609742</x:v>
      </x:c>
      <x:c r="E356" s="220" t="str">
        <x:v>919640</x:v>
      </x:c>
      <x:c r="F356" s="220" t="str">
        <x:v>OUTROS</x:v>
      </x:c>
      <x:c r="G356" s="190" t="str">
        <x:v>TR AL 1100X50X9 RTO LME REC PET BCO (ULT</x:v>
      </x:c>
      <x:c r="H356" s="190" t="str"/>
      <x:c r="I356" s="190" t="str"/>
      <x:c r="J356" s="190" t="str"/>
      <x:c r="K356" s="190" t="str">
        <x:v>ESMALTE</x:v>
      </x:c>
      <x:c r="L356" s="190" t="str">
        <x:v>BRANCO CARRARA</x:v>
      </x:c>
      <x:c r="M356" s="210" t="n">
        <x:v>1</x:v>
      </x:c>
      <x:c r="N356" s="210" t="n">
        <x:v>1100</x:v>
      </x:c>
      <x:c r="O356" s="210" t="n">
        <x:v>50</x:v>
      </x:c>
      <x:c r="P356" s="210" t="n">
        <x:v>9</x:v>
      </x:c>
      <x:c r="Q356" s="211" t="n">
        <x:v>0</x:v>
      </x:c>
      <x:c r="R356" s="207" t="str"/>
      <x:c r="S356" s="207" t="str"/>
      <x:c r="T356" s="207" t="str"/>
      <x:c r="U356" s="207" t="n">
        <x:v>0</x:v>
      </x:c>
      <x:c r="V356" s="208" t="n">
        <x:f>MAX(0,M356-U356)</x:f>
        <x:v>1</x:v>
      </x:c>
      <x:c r="W356" s="209" t="n">
        <x:f>IFERROR(U356/M356,0)</x:f>
        <x:v>0</x:v>
      </x:c>
      <x:c r="X356" s="201" t="str">
        <x:f>IF(U356=0,"Não iniciado",IF(U356&gt;=M356,"Concluído","Parcial"))</x:f>
        <x:v>Não iniciado</x:v>
      </x:c>
      <x:c r="Y356" s="199" t="str"/>
      <x:c r="Z356" s="188" t="str">
        <x:v>Normal</x:v>
      </x:c>
    </x:row>
    <x:row r="357" ht="22" customHeight="1">
      <x:c r="A357" s="217" t="n">
        <x:v>353</x:v>
      </x:c>
      <x:c r="B357" s="218" t="str">
        <x:v>26739</x:v>
      </x:c>
      <x:c r="C357" s="218" t="str">
        <x:v>23</x:v>
      </x:c>
      <x:c r="D357" s="218" t="str">
        <x:v>609747</x:v>
      </x:c>
      <x:c r="E357" s="218" t="str">
        <x:v>966149</x:v>
      </x:c>
      <x:c r="F357" s="218" t="str">
        <x:v>OUTROS</x:v>
      </x:c>
      <x:c r="G357" s="184" t="str">
        <x:v>TR AL 1100X50X9 RTO RL80 REC PET BCO (UL</x:v>
      </x:c>
      <x:c r="H357" s="184" t="str"/>
      <x:c r="I357" s="184" t="str"/>
      <x:c r="J357" s="184" t="str"/>
      <x:c r="K357" s="184" t="str">
        <x:v>ESMALTE</x:v>
      </x:c>
      <x:c r="L357" s="184" t="str">
        <x:v>BRANCO CARRARA</x:v>
      </x:c>
      <x:c r="M357" s="205" t="n">
        <x:v>1</x:v>
      </x:c>
      <x:c r="N357" s="205" t="n">
        <x:v>1100</x:v>
      </x:c>
      <x:c r="O357" s="205" t="n">
        <x:v>50</x:v>
      </x:c>
      <x:c r="P357" s="205" t="n">
        <x:v>9</x:v>
      </x:c>
      <x:c r="Q357" s="206" t="n">
        <x:v>0</x:v>
      </x:c>
      <x:c r="R357" s="207" t="str"/>
      <x:c r="S357" s="207" t="str"/>
      <x:c r="T357" s="207" t="str"/>
      <x:c r="U357" s="207" t="n">
        <x:v>0</x:v>
      </x:c>
      <x:c r="V357" s="208" t="n">
        <x:f>MAX(0,M357-U357)</x:f>
        <x:v>1</x:v>
      </x:c>
      <x:c r="W357" s="209" t="n">
        <x:f>IFERROR(U357/M357,0)</x:f>
        <x:v>0</x:v>
      </x:c>
      <x:c r="X357" s="201" t="str">
        <x:f>IF(U357=0,"Não iniciado",IF(U357&gt;=M357,"Concluído","Parcial"))</x:f>
        <x:v>Não iniciado</x:v>
      </x:c>
      <x:c r="Y357" s="199" t="str"/>
      <x:c r="Z357" s="188" t="str">
        <x:v>Normal</x:v>
      </x:c>
    </x:row>
    <x:row r="358" ht="22" customHeight="1">
      <x:c r="A358" s="219" t="n">
        <x:v>354</x:v>
      </x:c>
      <x:c r="B358" s="220" t="str">
        <x:v>26739</x:v>
      </x:c>
      <x:c r="C358" s="220" t="str">
        <x:v>24</x:v>
      </x:c>
      <x:c r="D358" s="220" t="str">
        <x:v>609755</x:v>
      </x:c>
      <x:c r="E358" s="220" t="str">
        <x:v>919640</x:v>
      </x:c>
      <x:c r="F358" s="220" t="str">
        <x:v>OUTROS</x:v>
      </x:c>
      <x:c r="G358" s="190" t="str">
        <x:v>TR AL 1100X50X9 RTO LME REC PET BCO (ULT</x:v>
      </x:c>
      <x:c r="H358" s="190" t="str"/>
      <x:c r="I358" s="190" t="str"/>
      <x:c r="J358" s="190" t="str"/>
      <x:c r="K358" s="190" t="str">
        <x:v>ESMALTE</x:v>
      </x:c>
      <x:c r="L358" s="190" t="str">
        <x:v>BRANCO CARRARA</x:v>
      </x:c>
      <x:c r="M358" s="210" t="n">
        <x:v>2</x:v>
      </x:c>
      <x:c r="N358" s="210" t="n">
        <x:v>1100</x:v>
      </x:c>
      <x:c r="O358" s="210" t="n">
        <x:v>50</x:v>
      </x:c>
      <x:c r="P358" s="210" t="n">
        <x:v>9</x:v>
      </x:c>
      <x:c r="Q358" s="211" t="n">
        <x:v>0</x:v>
      </x:c>
      <x:c r="R358" s="207" t="str"/>
      <x:c r="S358" s="207" t="str"/>
      <x:c r="T358" s="207" t="str"/>
      <x:c r="U358" s="207" t="n">
        <x:v>0</x:v>
      </x:c>
      <x:c r="V358" s="208" t="n">
        <x:f>MAX(0,M358-U358)</x:f>
        <x:v>2</x:v>
      </x:c>
      <x:c r="W358" s="209" t="n">
        <x:f>IFERROR(U358/M358,0)</x:f>
        <x:v>0</x:v>
      </x:c>
      <x:c r="X358" s="201" t="str">
        <x:f>IF(U358=0,"Não iniciado",IF(U358&gt;=M358,"Concluído","Parcial"))</x:f>
        <x:v>Não iniciado</x:v>
      </x:c>
      <x:c r="Y358" s="199" t="str"/>
      <x:c r="Z358" s="188" t="str">
        <x:v>Normal</x:v>
      </x:c>
    </x:row>
    <x:row r="359" ht="22" customHeight="1">
      <x:c r="A359" s="217" t="n">
        <x:v>355</x:v>
      </x:c>
      <x:c r="B359" s="218" t="str">
        <x:v>26739</x:v>
      </x:c>
      <x:c r="C359" s="218" t="str">
        <x:v>24</x:v>
      </x:c>
      <x:c r="D359" s="218" t="str">
        <x:v>609761</x:v>
      </x:c>
      <x:c r="E359" s="218" t="str">
        <x:v>966149</x:v>
      </x:c>
      <x:c r="F359" s="218" t="str">
        <x:v>OUTROS</x:v>
      </x:c>
      <x:c r="G359" s="184" t="str">
        <x:v>TR AL 1100X50X9 RTO RL80 REC PET BCO (UL</x:v>
      </x:c>
      <x:c r="H359" s="184" t="str"/>
      <x:c r="I359" s="184" t="str"/>
      <x:c r="J359" s="184" t="str"/>
      <x:c r="K359" s="184" t="str">
        <x:v>ESMALTE</x:v>
      </x:c>
      <x:c r="L359" s="184" t="str">
        <x:v>BRANCO CARRARA</x:v>
      </x:c>
      <x:c r="M359" s="205" t="n">
        <x:v>2</x:v>
      </x:c>
      <x:c r="N359" s="205" t="n">
        <x:v>1100</x:v>
      </x:c>
      <x:c r="O359" s="205" t="n">
        <x:v>50</x:v>
      </x:c>
      <x:c r="P359" s="205" t="n">
        <x:v>9</x:v>
      </x:c>
      <x:c r="Q359" s="206" t="n">
        <x:v>0</x:v>
      </x:c>
      <x:c r="R359" s="207" t="str"/>
      <x:c r="S359" s="207" t="str"/>
      <x:c r="T359" s="207" t="str"/>
      <x:c r="U359" s="207" t="n">
        <x:v>0</x:v>
      </x:c>
      <x:c r="V359" s="208" t="n">
        <x:f>MAX(0,M359-U359)</x:f>
        <x:v>2</x:v>
      </x:c>
      <x:c r="W359" s="209" t="n">
        <x:f>IFERROR(U359/M359,0)</x:f>
        <x:v>0</x:v>
      </x:c>
      <x:c r="X359" s="201" t="str">
        <x:f>IF(U359=0,"Não iniciado",IF(U359&gt;=M359,"Concluído","Parcial"))</x:f>
        <x:v>Não iniciado</x:v>
      </x:c>
      <x:c r="Y359" s="199" t="str"/>
      <x:c r="Z359" s="188" t="str">
        <x:v>Normal</x:v>
      </x:c>
    </x:row>
    <x:row r="360" ht="22" customHeight="1">
      <x:c r="A360" s="219" t="n">
        <x:v>356</x:v>
      </x:c>
      <x:c r="B360" s="220" t="str">
        <x:v>26739</x:v>
      </x:c>
      <x:c r="C360" s="220" t="str">
        <x:v>25</x:v>
      </x:c>
      <x:c r="D360" s="220" t="str">
        <x:v>609769</x:v>
      </x:c>
      <x:c r="E360" s="220" t="str">
        <x:v>919640</x:v>
      </x:c>
      <x:c r="F360" s="220" t="str">
        <x:v>OUTROS</x:v>
      </x:c>
      <x:c r="G360" s="190" t="str">
        <x:v>TR AL 1100X50X9 RTO LME REC PET BCO (ULT</x:v>
      </x:c>
      <x:c r="H360" s="190" t="str"/>
      <x:c r="I360" s="190" t="str"/>
      <x:c r="J360" s="190" t="str"/>
      <x:c r="K360" s="190" t="str">
        <x:v>ESMALTE</x:v>
      </x:c>
      <x:c r="L360" s="190" t="str">
        <x:v>BRANCO CARRARA</x:v>
      </x:c>
      <x:c r="M360" s="210" t="n">
        <x:v>1</x:v>
      </x:c>
      <x:c r="N360" s="210" t="n">
        <x:v>1100</x:v>
      </x:c>
      <x:c r="O360" s="210" t="n">
        <x:v>50</x:v>
      </x:c>
      <x:c r="P360" s="210" t="n">
        <x:v>9</x:v>
      </x:c>
      <x:c r="Q360" s="211" t="n">
        <x:v>0</x:v>
      </x:c>
      <x:c r="R360" s="207" t="str"/>
      <x:c r="S360" s="207" t="str"/>
      <x:c r="T360" s="207" t="str"/>
      <x:c r="U360" s="207" t="n">
        <x:v>0</x:v>
      </x:c>
      <x:c r="V360" s="208" t="n">
        <x:f>MAX(0,M360-U360)</x:f>
        <x:v>1</x:v>
      </x:c>
      <x:c r="W360" s="209" t="n">
        <x:f>IFERROR(U360/M360,0)</x:f>
        <x:v>0</x:v>
      </x:c>
      <x:c r="X360" s="201" t="str">
        <x:f>IF(U360=0,"Não iniciado",IF(U360&gt;=M360,"Concluído","Parcial"))</x:f>
        <x:v>Não iniciado</x:v>
      </x:c>
      <x:c r="Y360" s="199" t="str"/>
      <x:c r="Z360" s="188" t="str">
        <x:v>Normal</x:v>
      </x:c>
    </x:row>
    <x:row r="361" ht="22" customHeight="1">
      <x:c r="A361" s="217" t="n">
        <x:v>357</x:v>
      </x:c>
      <x:c r="B361" s="218" t="str">
        <x:v>26739</x:v>
      </x:c>
      <x:c r="C361" s="218" t="str">
        <x:v>25</x:v>
      </x:c>
      <x:c r="D361" s="218" t="str">
        <x:v>609775</x:v>
      </x:c>
      <x:c r="E361" s="218" t="str">
        <x:v>966149</x:v>
      </x:c>
      <x:c r="F361" s="218" t="str">
        <x:v>OUTROS</x:v>
      </x:c>
      <x:c r="G361" s="184" t="str">
        <x:v>TR AL 1100X50X9 RTO RL80 REC PET BCO (UL</x:v>
      </x:c>
      <x:c r="H361" s="184" t="str"/>
      <x:c r="I361" s="184" t="str"/>
      <x:c r="J361" s="184" t="str"/>
      <x:c r="K361" s="184" t="str">
        <x:v>ESMALTE</x:v>
      </x:c>
      <x:c r="L361" s="184" t="str">
        <x:v>BRANCO CARRARA</x:v>
      </x:c>
      <x:c r="M361" s="205" t="n">
        <x:v>1</x:v>
      </x:c>
      <x:c r="N361" s="205" t="n">
        <x:v>1100</x:v>
      </x:c>
      <x:c r="O361" s="205" t="n">
        <x:v>50</x:v>
      </x:c>
      <x:c r="P361" s="205" t="n">
        <x:v>9</x:v>
      </x:c>
      <x:c r="Q361" s="206" t="n">
        <x:v>0</x:v>
      </x:c>
      <x:c r="R361" s="207" t="str"/>
      <x:c r="S361" s="207" t="str"/>
      <x:c r="T361" s="207" t="str"/>
      <x:c r="U361" s="207" t="n">
        <x:v>0</x:v>
      </x:c>
      <x:c r="V361" s="208" t="n">
        <x:f>MAX(0,M361-U361)</x:f>
        <x:v>1</x:v>
      </x:c>
      <x:c r="W361" s="209" t="n">
        <x:f>IFERROR(U361/M361,0)</x:f>
        <x:v>0</x:v>
      </x:c>
      <x:c r="X361" s="201" t="str">
        <x:f>IF(U361=0,"Não iniciado",IF(U361&gt;=M361,"Concluído","Parcial"))</x:f>
        <x:v>Não iniciado</x:v>
      </x:c>
      <x:c r="Y361" s="199" t="str"/>
      <x:c r="Z361" s="188" t="str">
        <x:v>Normal</x:v>
      </x:c>
    </x:row>
    <x:row r="362" ht="22" customHeight="1">
      <x:c r="A362" s="219" t="n">
        <x:v>358</x:v>
      </x:c>
      <x:c r="B362" s="220" t="str">
        <x:v>26744</x:v>
      </x:c>
      <x:c r="C362" s="220" t="str">
        <x:v>1</x:v>
      </x:c>
      <x:c r="D362" s="220" t="str">
        <x:v>609989</x:v>
      </x:c>
      <x:c r="E362" s="220" t="str">
        <x:v>919640</x:v>
      </x:c>
      <x:c r="F362" s="220" t="str">
        <x:v>OUTROS</x:v>
      </x:c>
      <x:c r="G362" s="190" t="str">
        <x:v>TR AL 1100X50X9 RTO LME REC PET BCO (ULT</x:v>
      </x:c>
      <x:c r="H362" s="190" t="str"/>
      <x:c r="I362" s="190" t="str"/>
      <x:c r="J362" s="190" t="str"/>
      <x:c r="K362" s="190" t="str">
        <x:v>RECOBERTO PET</x:v>
      </x:c>
      <x:c r="L362" s="190" t="str">
        <x:v>BRANCO CARRARA</x:v>
      </x:c>
      <x:c r="M362" s="210" t="n">
        <x:v>4</x:v>
      </x:c>
      <x:c r="N362" s="210" t="n">
        <x:v>1100</x:v>
      </x:c>
      <x:c r="O362" s="210" t="n">
        <x:v>50</x:v>
      </x:c>
      <x:c r="P362" s="210" t="n">
        <x:v>9</x:v>
      </x:c>
      <x:c r="Q362" s="211" t="n">
        <x:v>0</x:v>
      </x:c>
      <x:c r="R362" s="207" t="str"/>
      <x:c r="S362" s="207" t="str"/>
      <x:c r="T362" s="207" t="str"/>
      <x:c r="U362" s="207" t="n">
        <x:v>0</x:v>
      </x:c>
      <x:c r="V362" s="208" t="n">
        <x:f>MAX(0,M362-U362)</x:f>
        <x:v>4</x:v>
      </x:c>
      <x:c r="W362" s="209" t="n">
        <x:f>IFERROR(U362/M362,0)</x:f>
        <x:v>0</x:v>
      </x:c>
      <x:c r="X362" s="201" t="str">
        <x:f>IF(U362=0,"Não iniciado",IF(U362&gt;=M362,"Concluído","Parcial"))</x:f>
        <x:v>Não iniciado</x:v>
      </x:c>
      <x:c r="Y362" s="199" t="str"/>
      <x:c r="Z362" s="188" t="str">
        <x:v>Normal</x:v>
      </x:c>
    </x:row>
    <x:row r="363" ht="22" customHeight="1">
      <x:c r="A363" s="217" t="n">
        <x:v>359</x:v>
      </x:c>
      <x:c r="B363" s="218" t="str">
        <x:v>26744</x:v>
      </x:c>
      <x:c r="C363" s="218" t="str">
        <x:v>2</x:v>
      </x:c>
      <x:c r="D363" s="218" t="str">
        <x:v>609998</x:v>
      </x:c>
      <x:c r="E363" s="218" t="str">
        <x:v>919640</x:v>
      </x:c>
      <x:c r="F363" s="218" t="str">
        <x:v>OUTROS</x:v>
      </x:c>
      <x:c r="G363" s="184" t="str">
        <x:v>TR AL 1100X50X9 RTO LME REC PET BCO (ULT</x:v>
      </x:c>
      <x:c r="H363" s="184" t="str"/>
      <x:c r="I363" s="184" t="str"/>
      <x:c r="J363" s="184" t="str"/>
      <x:c r="K363" s="184" t="str">
        <x:v>RECOBERTO PET</x:v>
      </x:c>
      <x:c r="L363" s="184" t="str">
        <x:v>BRANCO CARRARA</x:v>
      </x:c>
      <x:c r="M363" s="205" t="n">
        <x:v>5</x:v>
      </x:c>
      <x:c r="N363" s="205" t="n">
        <x:v>1100</x:v>
      </x:c>
      <x:c r="O363" s="205" t="n">
        <x:v>50</x:v>
      </x:c>
      <x:c r="P363" s="205" t="n">
        <x:v>9</x:v>
      </x:c>
      <x:c r="Q363" s="206" t="n">
        <x:v>0</x:v>
      </x:c>
      <x:c r="R363" s="207" t="str"/>
      <x:c r="S363" s="207" t="str"/>
      <x:c r="T363" s="207" t="str"/>
      <x:c r="U363" s="207" t="n">
        <x:v>0</x:v>
      </x:c>
      <x:c r="V363" s="208" t="n">
        <x:f>MAX(0,M363-U363)</x:f>
        <x:v>5</x:v>
      </x:c>
      <x:c r="W363" s="209" t="n">
        <x:f>IFERROR(U363/M363,0)</x:f>
        <x:v>0</x:v>
      </x:c>
      <x:c r="X363" s="201" t="str">
        <x:f>IF(U363=0,"Não iniciado",IF(U363&gt;=M363,"Concluído","Parcial"))</x:f>
        <x:v>Não iniciado</x:v>
      </x:c>
      <x:c r="Y363" s="199" t="str"/>
      <x:c r="Z363" s="188" t="str">
        <x:v>Normal</x:v>
      </x:c>
    </x:row>
    <x:row r="364" ht="22" customHeight="1">
      <x:c r="A364" s="219" t="n">
        <x:v>360</x:v>
      </x:c>
      <x:c r="B364" s="220" t="str">
        <x:v>26744</x:v>
      </x:c>
      <x:c r="C364" s="220" t="str">
        <x:v>3</x:v>
      </x:c>
      <x:c r="D364" s="220" t="str">
        <x:v>610007</x:v>
      </x:c>
      <x:c r="E364" s="220" t="str">
        <x:v>919639</x:v>
      </x:c>
      <x:c r="F364" s="220" t="str">
        <x:v>OUTROS</x:v>
      </x:c>
      <x:c r="G364" s="190" t="str">
        <x:v>TR AL 1100X50X9 RTO RL55 REC PET BCO (UL</x:v>
      </x:c>
      <x:c r="H364" s="190" t="str"/>
      <x:c r="I364" s="190" t="str"/>
      <x:c r="J364" s="190" t="str"/>
      <x:c r="K364" s="190" t="str">
        <x:v>RECOBERTO PET</x:v>
      </x:c>
      <x:c r="L364" s="190" t="str">
        <x:v>BRANCO CARRARA</x:v>
      </x:c>
      <x:c r="M364" s="210" t="n">
        <x:v>1</x:v>
      </x:c>
      <x:c r="N364" s="210" t="n">
        <x:v>1100</x:v>
      </x:c>
      <x:c r="O364" s="210" t="n">
        <x:v>50</x:v>
      </x:c>
      <x:c r="P364" s="210" t="n">
        <x:v>9</x:v>
      </x:c>
      <x:c r="Q364" s="211" t="n">
        <x:v>0</x:v>
      </x:c>
      <x:c r="R364" s="207" t="str"/>
      <x:c r="S364" s="207" t="str"/>
      <x:c r="T364" s="207" t="str"/>
      <x:c r="U364" s="207" t="n">
        <x:v>0</x:v>
      </x:c>
      <x:c r="V364" s="208" t="n">
        <x:f>MAX(0,M364-U364)</x:f>
        <x:v>1</x:v>
      </x:c>
      <x:c r="W364" s="209" t="n">
        <x:f>IFERROR(U364/M364,0)</x:f>
        <x:v>0</x:v>
      </x:c>
      <x:c r="X364" s="201" t="str">
        <x:f>IF(U364=0,"Não iniciado",IF(U364&gt;=M364,"Concluído","Parcial"))</x:f>
        <x:v>Não iniciado</x:v>
      </x:c>
      <x:c r="Y364" s="199" t="str"/>
      <x:c r="Z364" s="188" t="str">
        <x:v>Normal</x:v>
      </x:c>
    </x:row>
    <x:row r="365" ht="22" customHeight="1">
      <x:c r="A365" s="217" t="n">
        <x:v>361</x:v>
      </x:c>
      <x:c r="B365" s="218" t="str">
        <x:v>26744</x:v>
      </x:c>
      <x:c r="C365" s="218" t="str">
        <x:v>3</x:v>
      </x:c>
      <x:c r="D365" s="218" t="str">
        <x:v>610008</x:v>
      </x:c>
      <x:c r="E365" s="218" t="str">
        <x:v>919640</x:v>
      </x:c>
      <x:c r="F365" s="218" t="str">
        <x:v>OUTROS</x:v>
      </x:c>
      <x:c r="G365" s="184" t="str">
        <x:v>TR AL 1100X50X9 RTO LME REC PET BCO (ULT</x:v>
      </x:c>
      <x:c r="H365" s="184" t="str"/>
      <x:c r="I365" s="184" t="str"/>
      <x:c r="J365" s="184" t="str"/>
      <x:c r="K365" s="184" t="str">
        <x:v>RECOBERTO PET</x:v>
      </x:c>
      <x:c r="L365" s="184" t="str">
        <x:v>BRANCO CARRARA</x:v>
      </x:c>
      <x:c r="M365" s="205" t="n">
        <x:v>1</x:v>
      </x:c>
      <x:c r="N365" s="205" t="n">
        <x:v>1100</x:v>
      </x:c>
      <x:c r="O365" s="205" t="n">
        <x:v>50</x:v>
      </x:c>
      <x:c r="P365" s="205" t="n">
        <x:v>9</x:v>
      </x:c>
      <x:c r="Q365" s="206" t="n">
        <x:v>0</x:v>
      </x:c>
      <x:c r="R365" s="207" t="str"/>
      <x:c r="S365" s="207" t="str"/>
      <x:c r="T365" s="207" t="str"/>
      <x:c r="U365" s="207" t="n">
        <x:v>0</x:v>
      </x:c>
      <x:c r="V365" s="208" t="n">
        <x:f>MAX(0,M365-U365)</x:f>
        <x:v>1</x:v>
      </x:c>
      <x:c r="W365" s="209" t="n">
        <x:f>IFERROR(U365/M365,0)</x:f>
        <x:v>0</x:v>
      </x:c>
      <x:c r="X365" s="201" t="str">
        <x:f>IF(U365=0,"Não iniciado",IF(U365&gt;=M365,"Concluído","Parcial"))</x:f>
        <x:v>Não iniciado</x:v>
      </x:c>
      <x:c r="Y365" s="199" t="str"/>
      <x:c r="Z365" s="188" t="str">
        <x:v>Normal</x:v>
      </x:c>
    </x:row>
    <x:row r="366" ht="22" customHeight="1">
      <x:c r="A366" s="219" t="n">
        <x:v>362</x:v>
      </x:c>
      <x:c r="B366" s="220" t="str">
        <x:v>26744</x:v>
      </x:c>
      <x:c r="C366" s="220" t="str">
        <x:v>7</x:v>
      </x:c>
      <x:c r="D366" s="220" t="str">
        <x:v>610024</x:v>
      </x:c>
      <x:c r="E366" s="220" t="str">
        <x:v>919640</x:v>
      </x:c>
      <x:c r="F366" s="220" t="str">
        <x:v>OUTROS</x:v>
      </x:c>
      <x:c r="G366" s="190" t="str">
        <x:v>TR AL 1100X50X9 RTO LME REC PET BCO (ULT</x:v>
      </x:c>
      <x:c r="H366" s="190" t="str">
        <x:v>REG 2L(MAIOR 35mm)</x:v>
      </x:c>
      <x:c r="I366" s="190" t="str"/>
      <x:c r="J366" s="190" t="str"/>
      <x:c r="K366" s="190" t="str">
        <x:v>RECOBERTO PET</x:v>
      </x:c>
      <x:c r="L366" s="190" t="str">
        <x:v>BRANCO CARRARA</x:v>
      </x:c>
      <x:c r="M366" s="210" t="n">
        <x:v>2</x:v>
      </x:c>
      <x:c r="N366" s="210" t="n">
        <x:v>1100</x:v>
      </x:c>
      <x:c r="O366" s="210" t="n">
        <x:v>50</x:v>
      </x:c>
      <x:c r="P366" s="210" t="n">
        <x:v>9</x:v>
      </x:c>
      <x:c r="Q366" s="211" t="n">
        <x:v>0</x:v>
      </x:c>
      <x:c r="R366" s="207" t="str"/>
      <x:c r="S366" s="207" t="str"/>
      <x:c r="T366" s="207" t="str"/>
      <x:c r="U366" s="207" t="n">
        <x:v>0</x:v>
      </x:c>
      <x:c r="V366" s="208" t="n">
        <x:f>MAX(0,M366-U366)</x:f>
        <x:v>2</x:v>
      </x:c>
      <x:c r="W366" s="209" t="n">
        <x:f>IFERROR(U366/M366,0)</x:f>
        <x:v>0</x:v>
      </x:c>
      <x:c r="X366" s="201" t="str">
        <x:f>IF(U366=0,"Não iniciado",IF(U366&gt;=M366,"Concluído","Parcial"))</x:f>
        <x:v>Não iniciado</x:v>
      </x:c>
      <x:c r="Y366" s="199" t="str"/>
      <x:c r="Z366" s="188" t="str">
        <x:v>Normal</x:v>
      </x:c>
    </x:row>
    <x:row r="367" ht="22" customHeight="1">
      <x:c r="A367" s="217" t="n">
        <x:v>363</x:v>
      </x:c>
      <x:c r="B367" s="218" t="str">
        <x:v>26750</x:v>
      </x:c>
      <x:c r="C367" s="218" t="str">
        <x:v>10</x:v>
      </x:c>
      <x:c r="D367" s="218" t="str">
        <x:v>609804</x:v>
      </x:c>
      <x:c r="E367" s="218" t="str">
        <x:v>919640</x:v>
      </x:c>
      <x:c r="F367" s="218" t="str">
        <x:v>OUTROS</x:v>
      </x:c>
      <x:c r="G367" s="184" t="str">
        <x:v>TR AL 1100X50X9 RTO LME REC PET BCO (ULT</x:v>
      </x:c>
      <x:c r="H367" s="184" t="str"/>
      <x:c r="I367" s="184" t="str"/>
      <x:c r="J367" s="184" t="str"/>
      <x:c r="K367" s="184" t="str">
        <x:v>ESMALTE</x:v>
      </x:c>
      <x:c r="L367" s="184" t="str">
        <x:v>BRANCO CARRARA</x:v>
      </x:c>
      <x:c r="M367" s="205" t="n">
        <x:v>2</x:v>
      </x:c>
      <x:c r="N367" s="205" t="n">
        <x:v>1100</x:v>
      </x:c>
      <x:c r="O367" s="205" t="n">
        <x:v>50</x:v>
      </x:c>
      <x:c r="P367" s="205" t="n">
        <x:v>9</x:v>
      </x:c>
      <x:c r="Q367" s="206" t="n">
        <x:v>0</x:v>
      </x:c>
      <x:c r="R367" s="207" t="str"/>
      <x:c r="S367" s="207" t="str"/>
      <x:c r="T367" s="207" t="str"/>
      <x:c r="U367" s="207" t="n">
        <x:v>0</x:v>
      </x:c>
      <x:c r="V367" s="208" t="n">
        <x:f>MAX(0,M367-U367)</x:f>
        <x:v>2</x:v>
      </x:c>
      <x:c r="W367" s="209" t="n">
        <x:f>IFERROR(U367/M367,0)</x:f>
        <x:v>0</x:v>
      </x:c>
      <x:c r="X367" s="201" t="str">
        <x:f>IF(U367=0,"Não iniciado",IF(U367&gt;=M367,"Concluído","Parcial"))</x:f>
        <x:v>Não iniciado</x:v>
      </x:c>
      <x:c r="Y367" s="199" t="str"/>
      <x:c r="Z367" s="188" t="str">
        <x:v>Normal</x:v>
      </x:c>
    </x:row>
    <x:row r="368" ht="22" customHeight="1">
      <x:c r="A368" s="219" t="n">
        <x:v>364</x:v>
      </x:c>
      <x:c r="B368" s="220" t="str">
        <x:v>26750</x:v>
      </x:c>
      <x:c r="C368" s="220" t="str">
        <x:v>10</x:v>
      </x:c>
      <x:c r="D368" s="220" t="str">
        <x:v>609807</x:v>
      </x:c>
      <x:c r="E368" s="220" t="str">
        <x:v>966149</x:v>
      </x:c>
      <x:c r="F368" s="220" t="str">
        <x:v>OUTROS</x:v>
      </x:c>
      <x:c r="G368" s="190" t="str">
        <x:v>TR AL 1100X50X9 RTO RL80 REC PET BCO (UL</x:v>
      </x:c>
      <x:c r="H368" s="190" t="str"/>
      <x:c r="I368" s="190" t="str"/>
      <x:c r="J368" s="190" t="str"/>
      <x:c r="K368" s="190" t="str">
        <x:v>ESMALTE</x:v>
      </x:c>
      <x:c r="L368" s="190" t="str">
        <x:v>BRANCO CARRARA</x:v>
      </x:c>
      <x:c r="M368" s="210" t="n">
        <x:v>2</x:v>
      </x:c>
      <x:c r="N368" s="210" t="n">
        <x:v>1100</x:v>
      </x:c>
      <x:c r="O368" s="210" t="n">
        <x:v>50</x:v>
      </x:c>
      <x:c r="P368" s="210" t="n">
        <x:v>9</x:v>
      </x:c>
      <x:c r="Q368" s="211" t="n">
        <x:v>0</x:v>
      </x:c>
      <x:c r="R368" s="207" t="str"/>
      <x:c r="S368" s="207" t="str"/>
      <x:c r="T368" s="207" t="str"/>
      <x:c r="U368" s="207" t="n">
        <x:v>0</x:v>
      </x:c>
      <x:c r="V368" s="208" t="n">
        <x:f>MAX(0,M368-U368)</x:f>
        <x:v>2</x:v>
      </x:c>
      <x:c r="W368" s="209" t="n">
        <x:f>IFERROR(U368/M368,0)</x:f>
        <x:v>0</x:v>
      </x:c>
      <x:c r="X368" s="201" t="str">
        <x:f>IF(U368=0,"Não iniciado",IF(U368&gt;=M368,"Concluído","Parcial"))</x:f>
        <x:v>Não iniciado</x:v>
      </x:c>
      <x:c r="Y368" s="199" t="str"/>
      <x:c r="Z368" s="188" t="str">
        <x:v>Normal</x:v>
      </x:c>
    </x:row>
    <x:row r="369" ht="22" customHeight="1">
      <x:c r="A369" s="217" t="n">
        <x:v>365</x:v>
      </x:c>
      <x:c r="B369" s="218" t="str">
        <x:v>26750</x:v>
      </x:c>
      <x:c r="C369" s="218" t="str">
        <x:v>11</x:v>
      </x:c>
      <x:c r="D369" s="218" t="str">
        <x:v>609812</x:v>
      </x:c>
      <x:c r="E369" s="218" t="str">
        <x:v>919640</x:v>
      </x:c>
      <x:c r="F369" s="218" t="str">
        <x:v>OUTROS</x:v>
      </x:c>
      <x:c r="G369" s="184" t="str">
        <x:v>TR AL 1100X50X9 RTO LME REC PET BCO (ULT</x:v>
      </x:c>
      <x:c r="H369" s="184" t="str"/>
      <x:c r="I369" s="184" t="str"/>
      <x:c r="J369" s="184" t="str"/>
      <x:c r="K369" s="184" t="str">
        <x:v>ESMALTE</x:v>
      </x:c>
      <x:c r="L369" s="184" t="str">
        <x:v>BRANCO CARRARA</x:v>
      </x:c>
      <x:c r="M369" s="205" t="n">
        <x:v>12</x:v>
      </x:c>
      <x:c r="N369" s="205" t="n">
        <x:v>1100</x:v>
      </x:c>
      <x:c r="O369" s="205" t="n">
        <x:v>50</x:v>
      </x:c>
      <x:c r="P369" s="205" t="n">
        <x:v>9</x:v>
      </x:c>
      <x:c r="Q369" s="206" t="n">
        <x:v>0</x:v>
      </x:c>
      <x:c r="R369" s="207" t="str"/>
      <x:c r="S369" s="207" t="str"/>
      <x:c r="T369" s="207" t="str"/>
      <x:c r="U369" s="207" t="n">
        <x:v>0</x:v>
      </x:c>
      <x:c r="V369" s="208" t="n">
        <x:f>MAX(0,M369-U369)</x:f>
        <x:v>12</x:v>
      </x:c>
      <x:c r="W369" s="209" t="n">
        <x:f>IFERROR(U369/M369,0)</x:f>
        <x:v>0</x:v>
      </x:c>
      <x:c r="X369" s="201" t="str">
        <x:f>IF(U369=0,"Não iniciado",IF(U369&gt;=M369,"Concluído","Parcial"))</x:f>
        <x:v>Não iniciado</x:v>
      </x:c>
      <x:c r="Y369" s="199" t="str"/>
      <x:c r="Z369" s="188" t="str">
        <x:v>Normal</x:v>
      </x:c>
    </x:row>
    <x:row r="370" ht="22" customHeight="1">
      <x:c r="A370" s="219" t="n">
        <x:v>366</x:v>
      </x:c>
      <x:c r="B370" s="220" t="str">
        <x:v>26750</x:v>
      </x:c>
      <x:c r="C370" s="220" t="str">
        <x:v>11</x:v>
      </x:c>
      <x:c r="D370" s="220" t="str">
        <x:v>609814</x:v>
      </x:c>
      <x:c r="E370" s="220" t="str">
        <x:v>966149</x:v>
      </x:c>
      <x:c r="F370" s="220" t="str">
        <x:v>OUTROS</x:v>
      </x:c>
      <x:c r="G370" s="190" t="str">
        <x:v>TR AL 1100X50X9 RTO RL80 REC PET BCO (UL</x:v>
      </x:c>
      <x:c r="H370" s="190" t="str"/>
      <x:c r="I370" s="190" t="str"/>
      <x:c r="J370" s="190" t="str"/>
      <x:c r="K370" s="190" t="str">
        <x:v>ESMALTE</x:v>
      </x:c>
      <x:c r="L370" s="190" t="str">
        <x:v>BRANCO CARRARA</x:v>
      </x:c>
      <x:c r="M370" s="210" t="n">
        <x:v>12</x:v>
      </x:c>
      <x:c r="N370" s="210" t="n">
        <x:v>1100</x:v>
      </x:c>
      <x:c r="O370" s="210" t="n">
        <x:v>50</x:v>
      </x:c>
      <x:c r="P370" s="210" t="n">
        <x:v>9</x:v>
      </x:c>
      <x:c r="Q370" s="211" t="n">
        <x:v>0</x:v>
      </x:c>
      <x:c r="R370" s="207" t="str"/>
      <x:c r="S370" s="207" t="str"/>
      <x:c r="T370" s="207" t="str"/>
      <x:c r="U370" s="207" t="n">
        <x:v>0</x:v>
      </x:c>
      <x:c r="V370" s="208" t="n">
        <x:f>MAX(0,M370-U370)</x:f>
        <x:v>12</x:v>
      </x:c>
      <x:c r="W370" s="209" t="n">
        <x:f>IFERROR(U370/M370,0)</x:f>
        <x:v>0</x:v>
      </x:c>
      <x:c r="X370" s="201" t="str">
        <x:f>IF(U370=0,"Não iniciado",IF(U370&gt;=M370,"Concluído","Parcial"))</x:f>
        <x:v>Não iniciado</x:v>
      </x:c>
      <x:c r="Y370" s="199" t="str"/>
      <x:c r="Z370" s="188" t="str">
        <x:v>Normal</x:v>
      </x:c>
    </x:row>
    <x:row r="371" ht="22" customHeight="1">
      <x:c r="A371" s="217" t="n">
        <x:v>367</x:v>
      </x:c>
      <x:c r="B371" s="218" t="str">
        <x:v>26750</x:v>
      </x:c>
      <x:c r="C371" s="218" t="str">
        <x:v>12</x:v>
      </x:c>
      <x:c r="D371" s="218" t="str">
        <x:v>609821</x:v>
      </x:c>
      <x:c r="E371" s="218" t="str">
        <x:v>919640</x:v>
      </x:c>
      <x:c r="F371" s="218" t="str">
        <x:v>OUTROS</x:v>
      </x:c>
      <x:c r="G371" s="184" t="str">
        <x:v>TR AL 1100X50X9 RTO LME REC PET BCO (ULT</x:v>
      </x:c>
      <x:c r="H371" s="184" t="str"/>
      <x:c r="I371" s="184" t="str"/>
      <x:c r="J371" s="184" t="str"/>
      <x:c r="K371" s="184" t="str">
        <x:v>ESMALTE</x:v>
      </x:c>
      <x:c r="L371" s="184" t="str">
        <x:v>BRANCO CARRARA</x:v>
      </x:c>
      <x:c r="M371" s="205" t="n">
        <x:v>4</x:v>
      </x:c>
      <x:c r="N371" s="205" t="n">
        <x:v>1100</x:v>
      </x:c>
      <x:c r="O371" s="205" t="n">
        <x:v>50</x:v>
      </x:c>
      <x:c r="P371" s="205" t="n">
        <x:v>9</x:v>
      </x:c>
      <x:c r="Q371" s="206" t="n">
        <x:v>0</x:v>
      </x:c>
      <x:c r="R371" s="207" t="str"/>
      <x:c r="S371" s="207" t="str"/>
      <x:c r="T371" s="207" t="str"/>
      <x:c r="U371" s="207" t="n">
        <x:v>0</x:v>
      </x:c>
      <x:c r="V371" s="208" t="n">
        <x:f>MAX(0,M371-U371)</x:f>
        <x:v>4</x:v>
      </x:c>
      <x:c r="W371" s="209" t="n">
        <x:f>IFERROR(U371/M371,0)</x:f>
        <x:v>0</x:v>
      </x:c>
      <x:c r="X371" s="201" t="str">
        <x:f>IF(U371=0,"Não iniciado",IF(U371&gt;=M371,"Concluído","Parcial"))</x:f>
        <x:v>Não iniciado</x:v>
      </x:c>
      <x:c r="Y371" s="199" t="str"/>
      <x:c r="Z371" s="188" t="str">
        <x:v>Normal</x:v>
      </x:c>
    </x:row>
    <x:row r="372" ht="22" customHeight="1">
      <x:c r="A372" s="219" t="n">
        <x:v>368</x:v>
      </x:c>
      <x:c r="B372" s="220" t="str">
        <x:v>26750</x:v>
      </x:c>
      <x:c r="C372" s="220" t="str">
        <x:v>12</x:v>
      </x:c>
      <x:c r="D372" s="220" t="str">
        <x:v>609823</x:v>
      </x:c>
      <x:c r="E372" s="220" t="str">
        <x:v>966149</x:v>
      </x:c>
      <x:c r="F372" s="220" t="str">
        <x:v>OUTROS</x:v>
      </x:c>
      <x:c r="G372" s="190" t="str">
        <x:v>TR AL 1100X50X9 RTO RL80 REC PET BCO (UL</x:v>
      </x:c>
      <x:c r="H372" s="190" t="str"/>
      <x:c r="I372" s="190" t="str"/>
      <x:c r="J372" s="190" t="str"/>
      <x:c r="K372" s="190" t="str">
        <x:v>ESMALTE</x:v>
      </x:c>
      <x:c r="L372" s="190" t="str">
        <x:v>BRANCO CARRARA</x:v>
      </x:c>
      <x:c r="M372" s="210" t="n">
        <x:v>4</x:v>
      </x:c>
      <x:c r="N372" s="210" t="n">
        <x:v>1100</x:v>
      </x:c>
      <x:c r="O372" s="210" t="n">
        <x:v>50</x:v>
      </x:c>
      <x:c r="P372" s="210" t="n">
        <x:v>9</x:v>
      </x:c>
      <x:c r="Q372" s="211" t="n">
        <x:v>0</x:v>
      </x:c>
      <x:c r="R372" s="207" t="str"/>
      <x:c r="S372" s="207" t="str"/>
      <x:c r="T372" s="207" t="str"/>
      <x:c r="U372" s="207" t="n">
        <x:v>0</x:v>
      </x:c>
      <x:c r="V372" s="208" t="n">
        <x:f>MAX(0,M372-U372)</x:f>
        <x:v>4</x:v>
      </x:c>
      <x:c r="W372" s="209" t="n">
        <x:f>IFERROR(U372/M372,0)</x:f>
        <x:v>0</x:v>
      </x:c>
      <x:c r="X372" s="201" t="str">
        <x:f>IF(U372=0,"Não iniciado",IF(U372&gt;=M372,"Concluído","Parcial"))</x:f>
        <x:v>Não iniciado</x:v>
      </x:c>
      <x:c r="Y372" s="199" t="str"/>
      <x:c r="Z372" s="188" t="str">
        <x:v>Normal</x:v>
      </x:c>
    </x:row>
    <x:row r="373" ht="22" customHeight="1">
      <x:c r="A373" s="217" t="n">
        <x:v>369</x:v>
      </x:c>
      <x:c r="B373" s="218" t="str">
        <x:v>26750</x:v>
      </x:c>
      <x:c r="C373" s="218" t="str">
        <x:v>13</x:v>
      </x:c>
      <x:c r="D373" s="218" t="str">
        <x:v>609828</x:v>
      </x:c>
      <x:c r="E373" s="218" t="str">
        <x:v>919640</x:v>
      </x:c>
      <x:c r="F373" s="218" t="str">
        <x:v>OUTROS</x:v>
      </x:c>
      <x:c r="G373" s="184" t="str">
        <x:v>TR AL 1100X50X9 RTO LME REC PET BCO (ULT</x:v>
      </x:c>
      <x:c r="H373" s="184" t="str"/>
      <x:c r="I373" s="184" t="str"/>
      <x:c r="J373" s="184" t="str"/>
      <x:c r="K373" s="184" t="str">
        <x:v>ESMALTE</x:v>
      </x:c>
      <x:c r="L373" s="184" t="str">
        <x:v>BRANCO CARRARA</x:v>
      </x:c>
      <x:c r="M373" s="205" t="n">
        <x:v>28</x:v>
      </x:c>
      <x:c r="N373" s="205" t="n">
        <x:v>1100</x:v>
      </x:c>
      <x:c r="O373" s="205" t="n">
        <x:v>50</x:v>
      </x:c>
      <x:c r="P373" s="205" t="n">
        <x:v>9</x:v>
      </x:c>
      <x:c r="Q373" s="206" t="n">
        <x:v>0</x:v>
      </x:c>
      <x:c r="R373" s="207" t="str"/>
      <x:c r="S373" s="207" t="str"/>
      <x:c r="T373" s="207" t="str"/>
      <x:c r="U373" s="207" t="n">
        <x:v>0</x:v>
      </x:c>
      <x:c r="V373" s="208" t="n">
        <x:f>MAX(0,M373-U373)</x:f>
        <x:v>28</x:v>
      </x:c>
      <x:c r="W373" s="209" t="n">
        <x:f>IFERROR(U373/M373,0)</x:f>
        <x:v>0</x:v>
      </x:c>
      <x:c r="X373" s="201" t="str">
        <x:f>IF(U373=0,"Não iniciado",IF(U373&gt;=M373,"Concluído","Parcial"))</x:f>
        <x:v>Não iniciado</x:v>
      </x:c>
      <x:c r="Y373" s="199" t="str"/>
      <x:c r="Z373" s="188" t="str">
        <x:v>Normal</x:v>
      </x:c>
    </x:row>
    <x:row r="374" ht="22" customHeight="1">
      <x:c r="A374" s="219" t="n">
        <x:v>370</x:v>
      </x:c>
      <x:c r="B374" s="220" t="str">
        <x:v>26750</x:v>
      </x:c>
      <x:c r="C374" s="220" t="str">
        <x:v>13</x:v>
      </x:c>
      <x:c r="D374" s="220" t="str">
        <x:v>609830</x:v>
      </x:c>
      <x:c r="E374" s="220" t="str">
        <x:v>966149</x:v>
      </x:c>
      <x:c r="F374" s="220" t="str">
        <x:v>OUTROS</x:v>
      </x:c>
      <x:c r="G374" s="190" t="str">
        <x:v>TR AL 1100X50X9 RTO RL80 REC PET BCO (UL</x:v>
      </x:c>
      <x:c r="H374" s="190" t="str"/>
      <x:c r="I374" s="190" t="str"/>
      <x:c r="J374" s="190" t="str"/>
      <x:c r="K374" s="190" t="str">
        <x:v>ESMALTE</x:v>
      </x:c>
      <x:c r="L374" s="190" t="str">
        <x:v>BRANCO CARRARA</x:v>
      </x:c>
      <x:c r="M374" s="210" t="n">
        <x:v>28</x:v>
      </x:c>
      <x:c r="N374" s="210" t="n">
        <x:v>1100</x:v>
      </x:c>
      <x:c r="O374" s="210" t="n">
        <x:v>50</x:v>
      </x:c>
      <x:c r="P374" s="210" t="n">
        <x:v>9</x:v>
      </x:c>
      <x:c r="Q374" s="211" t="n">
        <x:v>0</x:v>
      </x:c>
      <x:c r="R374" s="207" t="str"/>
      <x:c r="S374" s="207" t="str"/>
      <x:c r="T374" s="207" t="str"/>
      <x:c r="U374" s="207" t="n">
        <x:v>0</x:v>
      </x:c>
      <x:c r="V374" s="208" t="n">
        <x:f>MAX(0,M374-U374)</x:f>
        <x:v>28</x:v>
      </x:c>
      <x:c r="W374" s="209" t="n">
        <x:f>IFERROR(U374/M374,0)</x:f>
        <x:v>0</x:v>
      </x:c>
      <x:c r="X374" s="201" t="str">
        <x:f>IF(U374=0,"Não iniciado",IF(U374&gt;=M374,"Concluído","Parcial"))</x:f>
        <x:v>Não iniciado</x:v>
      </x:c>
      <x:c r="Y374" s="199" t="str"/>
      <x:c r="Z374" s="188" t="str">
        <x:v>Normal</x:v>
      </x:c>
    </x:row>
    <x:row r="375" ht="22" customHeight="1">
      <x:c r="A375" s="217" t="n">
        <x:v>371</x:v>
      </x:c>
      <x:c r="B375" s="218" t="str">
        <x:v>26750</x:v>
      </x:c>
      <x:c r="C375" s="218" t="str">
        <x:v>14</x:v>
      </x:c>
      <x:c r="D375" s="218" t="str">
        <x:v>609836</x:v>
      </x:c>
      <x:c r="E375" s="218" t="str">
        <x:v>919640</x:v>
      </x:c>
      <x:c r="F375" s="218" t="str">
        <x:v>OUTROS</x:v>
      </x:c>
      <x:c r="G375" s="184" t="str">
        <x:v>TR AL 1100X50X9 RTO LME REC PET BCO (ULT</x:v>
      </x:c>
      <x:c r="H375" s="184" t="str"/>
      <x:c r="I375" s="184" t="str"/>
      <x:c r="J375" s="184" t="str"/>
      <x:c r="K375" s="184" t="str">
        <x:v>ESMALTE</x:v>
      </x:c>
      <x:c r="L375" s="184" t="str">
        <x:v>BRANCO CARRARA</x:v>
      </x:c>
      <x:c r="M375" s="205" t="n">
        <x:v>19</x:v>
      </x:c>
      <x:c r="N375" s="205" t="n">
        <x:v>1100</x:v>
      </x:c>
      <x:c r="O375" s="205" t="n">
        <x:v>50</x:v>
      </x:c>
      <x:c r="P375" s="205" t="n">
        <x:v>9</x:v>
      </x:c>
      <x:c r="Q375" s="206" t="n">
        <x:v>0</x:v>
      </x:c>
      <x:c r="R375" s="207" t="str"/>
      <x:c r="S375" s="207" t="str"/>
      <x:c r="T375" s="207" t="str"/>
      <x:c r="U375" s="207" t="n">
        <x:v>0</x:v>
      </x:c>
      <x:c r="V375" s="208" t="n">
        <x:f>MAX(0,M375-U375)</x:f>
        <x:v>19</x:v>
      </x:c>
      <x:c r="W375" s="209" t="n">
        <x:f>IFERROR(U375/M375,0)</x:f>
        <x:v>0</x:v>
      </x:c>
      <x:c r="X375" s="201" t="str">
        <x:f>IF(U375=0,"Não iniciado",IF(U375&gt;=M375,"Concluído","Parcial"))</x:f>
        <x:v>Não iniciado</x:v>
      </x:c>
      <x:c r="Y375" s="199" t="str"/>
      <x:c r="Z375" s="188" t="str">
        <x:v>Normal</x:v>
      </x:c>
    </x:row>
    <x:row r="376" ht="22" customHeight="1">
      <x:c r="A376" s="219" t="n">
        <x:v>372</x:v>
      </x:c>
      <x:c r="B376" s="220" t="str">
        <x:v>26750</x:v>
      </x:c>
      <x:c r="C376" s="220" t="str">
        <x:v>14</x:v>
      </x:c>
      <x:c r="D376" s="220" t="str">
        <x:v>609840</x:v>
      </x:c>
      <x:c r="E376" s="220" t="str">
        <x:v>966149</x:v>
      </x:c>
      <x:c r="F376" s="220" t="str">
        <x:v>OUTROS</x:v>
      </x:c>
      <x:c r="G376" s="190" t="str">
        <x:v>TR AL 1100X50X9 RTO RL80 REC PET BCO (UL</x:v>
      </x:c>
      <x:c r="H376" s="190" t="str"/>
      <x:c r="I376" s="190" t="str"/>
      <x:c r="J376" s="190" t="str"/>
      <x:c r="K376" s="190" t="str">
        <x:v>ESMALTE</x:v>
      </x:c>
      <x:c r="L376" s="190" t="str">
        <x:v>BRANCO CARRARA</x:v>
      </x:c>
      <x:c r="M376" s="210" t="n">
        <x:v>19</x:v>
      </x:c>
      <x:c r="N376" s="210" t="n">
        <x:v>1100</x:v>
      </x:c>
      <x:c r="O376" s="210" t="n">
        <x:v>50</x:v>
      </x:c>
      <x:c r="P376" s="210" t="n">
        <x:v>9</x:v>
      </x:c>
      <x:c r="Q376" s="211" t="n">
        <x:v>0</x:v>
      </x:c>
      <x:c r="R376" s="207" t="str"/>
      <x:c r="S376" s="207" t="str"/>
      <x:c r="T376" s="207" t="str"/>
      <x:c r="U376" s="207" t="n">
        <x:v>0</x:v>
      </x:c>
      <x:c r="V376" s="208" t="n">
        <x:f>MAX(0,M376-U376)</x:f>
        <x:v>19</x:v>
      </x:c>
      <x:c r="W376" s="209" t="n">
        <x:f>IFERROR(U376/M376,0)</x:f>
        <x:v>0</x:v>
      </x:c>
      <x:c r="X376" s="201" t="str">
        <x:f>IF(U376=0,"Não iniciado",IF(U376&gt;=M376,"Concluído","Parcial"))</x:f>
        <x:v>Não iniciado</x:v>
      </x:c>
      <x:c r="Y376" s="199" t="str"/>
      <x:c r="Z376" s="188" t="str">
        <x:v>Normal</x:v>
      </x:c>
    </x:row>
    <x:row r="377" ht="22" customHeight="1">
      <x:c r="A377" s="217" t="n">
        <x:v>373</x:v>
      </x:c>
      <x:c r="B377" s="218" t="str">
        <x:v>26750</x:v>
      </x:c>
      <x:c r="C377" s="218" t="str">
        <x:v>15</x:v>
      </x:c>
      <x:c r="D377" s="218" t="str">
        <x:v>609845</x:v>
      </x:c>
      <x:c r="E377" s="218" t="str">
        <x:v>919640</x:v>
      </x:c>
      <x:c r="F377" s="218" t="str">
        <x:v>OUTROS</x:v>
      </x:c>
      <x:c r="G377" s="184" t="str">
        <x:v>TR AL 1100X50X9 RTO LME REC PET BCO (ULT</x:v>
      </x:c>
      <x:c r="H377" s="184" t="str"/>
      <x:c r="I377" s="184" t="str"/>
      <x:c r="J377" s="184" t="str"/>
      <x:c r="K377" s="184" t="str">
        <x:v>ESMALTE</x:v>
      </x:c>
      <x:c r="L377" s="184" t="str">
        <x:v>BRANCO CARRARA</x:v>
      </x:c>
      <x:c r="M377" s="205" t="n">
        <x:v>4</x:v>
      </x:c>
      <x:c r="N377" s="205" t="n">
        <x:v>1100</x:v>
      </x:c>
      <x:c r="O377" s="205" t="n">
        <x:v>50</x:v>
      </x:c>
      <x:c r="P377" s="205" t="n">
        <x:v>9</x:v>
      </x:c>
      <x:c r="Q377" s="206" t="n">
        <x:v>0</x:v>
      </x:c>
      <x:c r="R377" s="207" t="str"/>
      <x:c r="S377" s="207" t="str"/>
      <x:c r="T377" s="207" t="str"/>
      <x:c r="U377" s="207" t="n">
        <x:v>0</x:v>
      </x:c>
      <x:c r="V377" s="208" t="n">
        <x:f>MAX(0,M377-U377)</x:f>
        <x:v>4</x:v>
      </x:c>
      <x:c r="W377" s="209" t="n">
        <x:f>IFERROR(U377/M377,0)</x:f>
        <x:v>0</x:v>
      </x:c>
      <x:c r="X377" s="201" t="str">
        <x:f>IF(U377=0,"Não iniciado",IF(U377&gt;=M377,"Concluído","Parcial"))</x:f>
        <x:v>Não iniciado</x:v>
      </x:c>
      <x:c r="Y377" s="199" t="str"/>
      <x:c r="Z377" s="188" t="str">
        <x:v>Normal</x:v>
      </x:c>
    </x:row>
    <x:row r="378" ht="22" customHeight="1">
      <x:c r="A378" s="219" t="n">
        <x:v>374</x:v>
      </x:c>
      <x:c r="B378" s="220" t="str">
        <x:v>26750</x:v>
      </x:c>
      <x:c r="C378" s="220" t="str">
        <x:v>15</x:v>
      </x:c>
      <x:c r="D378" s="220" t="str">
        <x:v>609847</x:v>
      </x:c>
      <x:c r="E378" s="220" t="str">
        <x:v>966149</x:v>
      </x:c>
      <x:c r="F378" s="220" t="str">
        <x:v>OUTROS</x:v>
      </x:c>
      <x:c r="G378" s="190" t="str">
        <x:v>TR AL 1100X50X9 RTO RL80 REC PET BCO (UL</x:v>
      </x:c>
      <x:c r="H378" s="190" t="str"/>
      <x:c r="I378" s="190" t="str"/>
      <x:c r="J378" s="190" t="str"/>
      <x:c r="K378" s="190" t="str">
        <x:v>ESMALTE</x:v>
      </x:c>
      <x:c r="L378" s="190" t="str">
        <x:v>BRANCO CARRARA</x:v>
      </x:c>
      <x:c r="M378" s="210" t="n">
        <x:v>4</x:v>
      </x:c>
      <x:c r="N378" s="210" t="n">
        <x:v>1100</x:v>
      </x:c>
      <x:c r="O378" s="210" t="n">
        <x:v>50</x:v>
      </x:c>
      <x:c r="P378" s="210" t="n">
        <x:v>9</x:v>
      </x:c>
      <x:c r="Q378" s="211" t="n">
        <x:v>0</x:v>
      </x:c>
      <x:c r="R378" s="207" t="str"/>
      <x:c r="S378" s="207" t="str"/>
      <x:c r="T378" s="207" t="str"/>
      <x:c r="U378" s="207" t="n">
        <x:v>0</x:v>
      </x:c>
      <x:c r="V378" s="208" t="n">
        <x:f>MAX(0,M378-U378)</x:f>
        <x:v>4</x:v>
      </x:c>
      <x:c r="W378" s="209" t="n">
        <x:f>IFERROR(U378/M378,0)</x:f>
        <x:v>0</x:v>
      </x:c>
      <x:c r="X378" s="201" t="str">
        <x:f>IF(U378=0,"Não iniciado",IF(U378&gt;=M378,"Concluído","Parcial"))</x:f>
        <x:v>Não iniciado</x:v>
      </x:c>
      <x:c r="Y378" s="199" t="str"/>
      <x:c r="Z378" s="188" t="str">
        <x:v>Normal</x:v>
      </x:c>
    </x:row>
    <x:row r="379" ht="22" customHeight="1">
      <x:c r="A379" s="217" t="n">
        <x:v>375</x:v>
      </x:c>
      <x:c r="B379" s="218" t="str">
        <x:v>26750</x:v>
      </x:c>
      <x:c r="C379" s="218" t="str">
        <x:v>18</x:v>
      </x:c>
      <x:c r="D379" s="218" t="str">
        <x:v>609856</x:v>
      </x:c>
      <x:c r="E379" s="218" t="str">
        <x:v>919640</x:v>
      </x:c>
      <x:c r="F379" s="218" t="str">
        <x:v>OUTROS</x:v>
      </x:c>
      <x:c r="G379" s="184" t="str">
        <x:v>TR AL 1100X50X9 RTO LME REC PET BCO (ULT</x:v>
      </x:c>
      <x:c r="H379" s="184" t="str">
        <x:v>REG 2L(MAIOR 80MM)</x:v>
      </x:c>
      <x:c r="I379" s="184" t="str"/>
      <x:c r="J379" s="184" t="str"/>
      <x:c r="K379" s="184" t="str">
        <x:v>RECOBERTO PET</x:v>
      </x:c>
      <x:c r="L379" s="184" t="str">
        <x:v>BRANCO CARRARA</x:v>
      </x:c>
      <x:c r="M379" s="205" t="n">
        <x:v>7</x:v>
      </x:c>
      <x:c r="N379" s="205" t="n">
        <x:v>1100</x:v>
      </x:c>
      <x:c r="O379" s="205" t="n">
        <x:v>50</x:v>
      </x:c>
      <x:c r="P379" s="205" t="n">
        <x:v>9</x:v>
      </x:c>
      <x:c r="Q379" s="206" t="n">
        <x:v>0</x:v>
      </x:c>
      <x:c r="R379" s="207" t="str"/>
      <x:c r="S379" s="207" t="str"/>
      <x:c r="T379" s="207" t="str"/>
      <x:c r="U379" s="207" t="n">
        <x:v>0</x:v>
      </x:c>
      <x:c r="V379" s="208" t="n">
        <x:f>MAX(0,M379-U379)</x:f>
        <x:v>7</x:v>
      </x:c>
      <x:c r="W379" s="209" t="n">
        <x:f>IFERROR(U379/M379,0)</x:f>
        <x:v>0</x:v>
      </x:c>
      <x:c r="X379" s="201" t="str">
        <x:f>IF(U379=0,"Não iniciado",IF(U379&gt;=M379,"Concluído","Parcial"))</x:f>
        <x:v>Não iniciado</x:v>
      </x:c>
      <x:c r="Y379" s="199" t="str"/>
      <x:c r="Z379" s="188" t="str">
        <x:v>Normal</x:v>
      </x:c>
    </x:row>
    <x:row r="380" ht="22" customHeight="1">
      <x:c r="A380" s="219" t="n">
        <x:v>376</x:v>
      </x:c>
      <x:c r="B380" s="220" t="str">
        <x:v>26750</x:v>
      </x:c>
      <x:c r="C380" s="220" t="str">
        <x:v>18</x:v>
      </x:c>
      <x:c r="D380" s="220" t="str">
        <x:v>609858</x:v>
      </x:c>
      <x:c r="E380" s="220" t="str">
        <x:v>966149</x:v>
      </x:c>
      <x:c r="F380" s="220" t="str">
        <x:v>OUTROS</x:v>
      </x:c>
      <x:c r="G380" s="190" t="str">
        <x:v>TR AL 1100X50X9 RTO RL80 REC PET BCO (UL</x:v>
      </x:c>
      <x:c r="H380" s="190" t="str">
        <x:v>REG 2L(MAIOR 80MM)</x:v>
      </x:c>
      <x:c r="I380" s="190" t="str"/>
      <x:c r="J380" s="190" t="str"/>
      <x:c r="K380" s="190" t="str">
        <x:v>RECOBERTO PET</x:v>
      </x:c>
      <x:c r="L380" s="190" t="str">
        <x:v>BRANCO CARRARA</x:v>
      </x:c>
      <x:c r="M380" s="210" t="n">
        <x:v>7</x:v>
      </x:c>
      <x:c r="N380" s="210" t="n">
        <x:v>1100</x:v>
      </x:c>
      <x:c r="O380" s="210" t="n">
        <x:v>50</x:v>
      </x:c>
      <x:c r="P380" s="210" t="n">
        <x:v>9</x:v>
      </x:c>
      <x:c r="Q380" s="211" t="n">
        <x:v>0</x:v>
      </x:c>
      <x:c r="R380" s="207" t="str"/>
      <x:c r="S380" s="207" t="str"/>
      <x:c r="T380" s="207" t="str"/>
      <x:c r="U380" s="207" t="n">
        <x:v>0</x:v>
      </x:c>
      <x:c r="V380" s="208" t="n">
        <x:f>MAX(0,M380-U380)</x:f>
        <x:v>7</x:v>
      </x:c>
      <x:c r="W380" s="209" t="n">
        <x:f>IFERROR(U380/M380,0)</x:f>
        <x:v>0</x:v>
      </x:c>
      <x:c r="X380" s="201" t="str">
        <x:f>IF(U380=0,"Não iniciado",IF(U380&gt;=M380,"Concluído","Parcial"))</x:f>
        <x:v>Não iniciado</x:v>
      </x:c>
      <x:c r="Y380" s="199" t="str"/>
      <x:c r="Z380" s="188" t="str">
        <x:v>Normal</x:v>
      </x:c>
    </x:row>
    <x:row r="381" ht="22" customHeight="1">
      <x:c r="A381" s="217" t="n">
        <x:v>377</x:v>
      </x:c>
      <x:c r="B381" s="218" t="str">
        <x:v>26750</x:v>
      </x:c>
      <x:c r="C381" s="218" t="str">
        <x:v>20</x:v>
      </x:c>
      <x:c r="D381" s="218" t="str">
        <x:v>609867</x:v>
      </x:c>
      <x:c r="E381" s="218" t="str">
        <x:v>919640</x:v>
      </x:c>
      <x:c r="F381" s="218" t="str">
        <x:v>OUTROS</x:v>
      </x:c>
      <x:c r="G381" s="184" t="str">
        <x:v>TR AL 1100X50X9 RTO LME REC PET BCO (ULT</x:v>
      </x:c>
      <x:c r="H381" s="184" t="str"/>
      <x:c r="I381" s="184" t="str"/>
      <x:c r="J381" s="184" t="str"/>
      <x:c r="K381" s="184" t="str">
        <x:v>ESMALTE</x:v>
      </x:c>
      <x:c r="L381" s="184" t="str">
        <x:v>BRANCO CARRARA</x:v>
      </x:c>
      <x:c r="M381" s="205" t="n">
        <x:v>9</x:v>
      </x:c>
      <x:c r="N381" s="205" t="n">
        <x:v>1100</x:v>
      </x:c>
      <x:c r="O381" s="205" t="n">
        <x:v>50</x:v>
      </x:c>
      <x:c r="P381" s="205" t="n">
        <x:v>9</x:v>
      </x:c>
      <x:c r="Q381" s="206" t="n">
        <x:v>0</x:v>
      </x:c>
      <x:c r="R381" s="207" t="str"/>
      <x:c r="S381" s="207" t="str"/>
      <x:c r="T381" s="207" t="str"/>
      <x:c r="U381" s="207" t="n">
        <x:v>0</x:v>
      </x:c>
      <x:c r="V381" s="208" t="n">
        <x:f>MAX(0,M381-U381)</x:f>
        <x:v>9</x:v>
      </x:c>
      <x:c r="W381" s="209" t="n">
        <x:f>IFERROR(U381/M381,0)</x:f>
        <x:v>0</x:v>
      </x:c>
      <x:c r="X381" s="201" t="str">
        <x:f>IF(U381=0,"Não iniciado",IF(U381&gt;=M381,"Concluído","Parcial"))</x:f>
        <x:v>Não iniciado</x:v>
      </x:c>
      <x:c r="Y381" s="199" t="str"/>
      <x:c r="Z381" s="188" t="str">
        <x:v>Normal</x:v>
      </x:c>
    </x:row>
    <x:row r="382" ht="22" customHeight="1">
      <x:c r="A382" s="219" t="n">
        <x:v>378</x:v>
      </x:c>
      <x:c r="B382" s="220" t="str">
        <x:v>26750</x:v>
      </x:c>
      <x:c r="C382" s="220" t="str">
        <x:v>20</x:v>
      </x:c>
      <x:c r="D382" s="220" t="str">
        <x:v>609869</x:v>
      </x:c>
      <x:c r="E382" s="220" t="str">
        <x:v>966149</x:v>
      </x:c>
      <x:c r="F382" s="220" t="str">
        <x:v>OUTROS</x:v>
      </x:c>
      <x:c r="G382" s="190" t="str">
        <x:v>TR AL 1100X50X9 RTO RL80 REC PET BCO (UL</x:v>
      </x:c>
      <x:c r="H382" s="190" t="str"/>
      <x:c r="I382" s="190" t="str"/>
      <x:c r="J382" s="190" t="str"/>
      <x:c r="K382" s="190" t="str">
        <x:v>ESMALTE</x:v>
      </x:c>
      <x:c r="L382" s="190" t="str">
        <x:v>BRANCO CARRARA</x:v>
      </x:c>
      <x:c r="M382" s="210" t="n">
        <x:v>9</x:v>
      </x:c>
      <x:c r="N382" s="210" t="n">
        <x:v>1100</x:v>
      </x:c>
      <x:c r="O382" s="210" t="n">
        <x:v>50</x:v>
      </x:c>
      <x:c r="P382" s="210" t="n">
        <x:v>9</x:v>
      </x:c>
      <x:c r="Q382" s="211" t="n">
        <x:v>0</x:v>
      </x:c>
      <x:c r="R382" s="207" t="str"/>
      <x:c r="S382" s="207" t="str"/>
      <x:c r="T382" s="207" t="str"/>
      <x:c r="U382" s="207" t="n">
        <x:v>0</x:v>
      </x:c>
      <x:c r="V382" s="208" t="n">
        <x:f>MAX(0,M382-U382)</x:f>
        <x:v>9</x:v>
      </x:c>
      <x:c r="W382" s="209" t="n">
        <x:f>IFERROR(U382/M382,0)</x:f>
        <x:v>0</x:v>
      </x:c>
      <x:c r="X382" s="201" t="str">
        <x:f>IF(U382=0,"Não iniciado",IF(U382&gt;=M382,"Concluído","Parcial"))</x:f>
        <x:v>Não iniciado</x:v>
      </x:c>
      <x:c r="Y382" s="199" t="str"/>
      <x:c r="Z382" s="188" t="str">
        <x:v>Normal</x:v>
      </x:c>
    </x:row>
    <x:row r="383" ht="22" customHeight="1">
      <x:c r="A383" s="217" t="n">
        <x:v>379</x:v>
      </x:c>
      <x:c r="B383" s="218" t="str">
        <x:v>26750</x:v>
      </x:c>
      <x:c r="C383" s="218" t="str">
        <x:v>21</x:v>
      </x:c>
      <x:c r="D383" s="218" t="str">
        <x:v>609875</x:v>
      </x:c>
      <x:c r="E383" s="218" t="str">
        <x:v>919640</x:v>
      </x:c>
      <x:c r="F383" s="218" t="str">
        <x:v>OUTROS</x:v>
      </x:c>
      <x:c r="G383" s="184" t="str">
        <x:v>TR AL 1100X50X9 RTO LME REC PET BCO (ULT</x:v>
      </x:c>
      <x:c r="H383" s="184" t="str"/>
      <x:c r="I383" s="184" t="str"/>
      <x:c r="J383" s="184" t="str"/>
      <x:c r="K383" s="184" t="str">
        <x:v>ESMALTE</x:v>
      </x:c>
      <x:c r="L383" s="184" t="str">
        <x:v>BRANCO CARRARA</x:v>
      </x:c>
      <x:c r="M383" s="205" t="n">
        <x:v>5</x:v>
      </x:c>
      <x:c r="N383" s="205" t="n">
        <x:v>1100</x:v>
      </x:c>
      <x:c r="O383" s="205" t="n">
        <x:v>50</x:v>
      </x:c>
      <x:c r="P383" s="205" t="n">
        <x:v>9</x:v>
      </x:c>
      <x:c r="Q383" s="206" t="n">
        <x:v>0</x:v>
      </x:c>
      <x:c r="R383" s="207" t="str"/>
      <x:c r="S383" s="207" t="str"/>
      <x:c r="T383" s="207" t="str"/>
      <x:c r="U383" s="207" t="n">
        <x:v>0</x:v>
      </x:c>
      <x:c r="V383" s="208" t="n">
        <x:f>MAX(0,M383-U383)</x:f>
        <x:v>5</x:v>
      </x:c>
      <x:c r="W383" s="209" t="n">
        <x:f>IFERROR(U383/M383,0)</x:f>
        <x:v>0</x:v>
      </x:c>
      <x:c r="X383" s="201" t="str">
        <x:f>IF(U383=0,"Não iniciado",IF(U383&gt;=M383,"Concluído","Parcial"))</x:f>
        <x:v>Não iniciado</x:v>
      </x:c>
      <x:c r="Y383" s="199" t="str"/>
      <x:c r="Z383" s="188" t="str">
        <x:v>Normal</x:v>
      </x:c>
    </x:row>
    <x:row r="384" ht="22" customHeight="1">
      <x:c r="A384" s="219" t="n">
        <x:v>380</x:v>
      </x:c>
      <x:c r="B384" s="220" t="str">
        <x:v>26750</x:v>
      </x:c>
      <x:c r="C384" s="220" t="str">
        <x:v>21</x:v>
      </x:c>
      <x:c r="D384" s="220" t="str">
        <x:v>609877</x:v>
      </x:c>
      <x:c r="E384" s="220" t="str">
        <x:v>966149</x:v>
      </x:c>
      <x:c r="F384" s="220" t="str">
        <x:v>OUTROS</x:v>
      </x:c>
      <x:c r="G384" s="190" t="str">
        <x:v>TR AL 1100X50X9 RTO RL80 REC PET BCO (UL</x:v>
      </x:c>
      <x:c r="H384" s="190" t="str"/>
      <x:c r="I384" s="190" t="str"/>
      <x:c r="J384" s="190" t="str"/>
      <x:c r="K384" s="190" t="str">
        <x:v>ESMALTE</x:v>
      </x:c>
      <x:c r="L384" s="190" t="str">
        <x:v>BRANCO CARRARA</x:v>
      </x:c>
      <x:c r="M384" s="210" t="n">
        <x:v>5</x:v>
      </x:c>
      <x:c r="N384" s="210" t="n">
        <x:v>1100</x:v>
      </x:c>
      <x:c r="O384" s="210" t="n">
        <x:v>50</x:v>
      </x:c>
      <x:c r="P384" s="210" t="n">
        <x:v>9</x:v>
      </x:c>
      <x:c r="Q384" s="211" t="n">
        <x:v>0</x:v>
      </x:c>
      <x:c r="R384" s="207" t="str"/>
      <x:c r="S384" s="207" t="str"/>
      <x:c r="T384" s="207" t="str"/>
      <x:c r="U384" s="207" t="n">
        <x:v>0</x:v>
      </x:c>
      <x:c r="V384" s="208" t="n">
        <x:f>MAX(0,M384-U384)</x:f>
        <x:v>5</x:v>
      </x:c>
      <x:c r="W384" s="209" t="n">
        <x:f>IFERROR(U384/M384,0)</x:f>
        <x:v>0</x:v>
      </x:c>
      <x:c r="X384" s="201" t="str">
        <x:f>IF(U384=0,"Não iniciado",IF(U384&gt;=M384,"Concluído","Parcial"))</x:f>
        <x:v>Não iniciado</x:v>
      </x:c>
      <x:c r="Y384" s="199" t="str"/>
      <x:c r="Z384" s="188" t="str">
        <x:v>Normal</x:v>
      </x:c>
    </x:row>
    <x:row r="385" ht="22" customHeight="1">
      <x:c r="A385" s="217" t="n">
        <x:v>381</x:v>
      </x:c>
      <x:c r="B385" s="218" t="str">
        <x:v>26750</x:v>
      </x:c>
      <x:c r="C385" s="218" t="str">
        <x:v>22</x:v>
      </x:c>
      <x:c r="D385" s="218" t="str">
        <x:v>609883</x:v>
      </x:c>
      <x:c r="E385" s="218" t="str">
        <x:v>919640</x:v>
      </x:c>
      <x:c r="F385" s="218" t="str">
        <x:v>OUTROS</x:v>
      </x:c>
      <x:c r="G385" s="184" t="str">
        <x:v>TR AL 1100X50X9 RTO LME REC PET BCO (ULT</x:v>
      </x:c>
      <x:c r="H385" s="184" t="str"/>
      <x:c r="I385" s="184" t="str"/>
      <x:c r="J385" s="184" t="str"/>
      <x:c r="K385" s="184" t="str">
        <x:v>ESMALTE</x:v>
      </x:c>
      <x:c r="L385" s="184" t="str">
        <x:v>BRANCO CARRARA</x:v>
      </x:c>
      <x:c r="M385" s="205" t="n">
        <x:v>19</x:v>
      </x:c>
      <x:c r="N385" s="205" t="n">
        <x:v>1100</x:v>
      </x:c>
      <x:c r="O385" s="205" t="n">
        <x:v>50</x:v>
      </x:c>
      <x:c r="P385" s="205" t="n">
        <x:v>9</x:v>
      </x:c>
      <x:c r="Q385" s="206" t="n">
        <x:v>0</x:v>
      </x:c>
      <x:c r="R385" s="207" t="str"/>
      <x:c r="S385" s="207" t="str"/>
      <x:c r="T385" s="207" t="str"/>
      <x:c r="U385" s="207" t="n">
        <x:v>0</x:v>
      </x:c>
      <x:c r="V385" s="208" t="n">
        <x:f>MAX(0,M385-U385)</x:f>
        <x:v>19</x:v>
      </x:c>
      <x:c r="W385" s="209" t="n">
        <x:f>IFERROR(U385/M385,0)</x:f>
        <x:v>0</x:v>
      </x:c>
      <x:c r="X385" s="201" t="str">
        <x:f>IF(U385=0,"Não iniciado",IF(U385&gt;=M385,"Concluído","Parcial"))</x:f>
        <x:v>Não iniciado</x:v>
      </x:c>
      <x:c r="Y385" s="199" t="str"/>
      <x:c r="Z385" s="188" t="str">
        <x:v>Normal</x:v>
      </x:c>
    </x:row>
    <x:row r="386" ht="22" customHeight="1">
      <x:c r="A386" s="219" t="n">
        <x:v>382</x:v>
      </x:c>
      <x:c r="B386" s="220" t="str">
        <x:v>26750</x:v>
      </x:c>
      <x:c r="C386" s="220" t="str">
        <x:v>22</x:v>
      </x:c>
      <x:c r="D386" s="220" t="str">
        <x:v>609886</x:v>
      </x:c>
      <x:c r="E386" s="220" t="str">
        <x:v>966149</x:v>
      </x:c>
      <x:c r="F386" s="220" t="str">
        <x:v>OUTROS</x:v>
      </x:c>
      <x:c r="G386" s="190" t="str">
        <x:v>TR AL 1100X50X9 RTO RL80 REC PET BCO (UL</x:v>
      </x:c>
      <x:c r="H386" s="190" t="str"/>
      <x:c r="I386" s="190" t="str"/>
      <x:c r="J386" s="190" t="str"/>
      <x:c r="K386" s="190" t="str">
        <x:v>ESMALTE</x:v>
      </x:c>
      <x:c r="L386" s="190" t="str">
        <x:v>BRANCO CARRARA</x:v>
      </x:c>
      <x:c r="M386" s="210" t="n">
        <x:v>19</x:v>
      </x:c>
      <x:c r="N386" s="210" t="n">
        <x:v>1100</x:v>
      </x:c>
      <x:c r="O386" s="210" t="n">
        <x:v>50</x:v>
      </x:c>
      <x:c r="P386" s="210" t="n">
        <x:v>9</x:v>
      </x:c>
      <x:c r="Q386" s="211" t="n">
        <x:v>0</x:v>
      </x:c>
      <x:c r="R386" s="207" t="str"/>
      <x:c r="S386" s="207" t="str"/>
      <x:c r="T386" s="207" t="str"/>
      <x:c r="U386" s="207" t="n">
        <x:v>0</x:v>
      </x:c>
      <x:c r="V386" s="208" t="n">
        <x:f>MAX(0,M386-U386)</x:f>
        <x:v>19</x:v>
      </x:c>
      <x:c r="W386" s="209" t="n">
        <x:f>IFERROR(U386/M386,0)</x:f>
        <x:v>0</x:v>
      </x:c>
      <x:c r="X386" s="201" t="str">
        <x:f>IF(U386=0,"Não iniciado",IF(U386&gt;=M386,"Concluído","Parcial"))</x:f>
        <x:v>Não iniciado</x:v>
      </x:c>
      <x:c r="Y386" s="199" t="str"/>
      <x:c r="Z386" s="188" t="str">
        <x:v>Normal</x:v>
      </x:c>
    </x:row>
    <x:row r="387" ht="22" customHeight="1">
      <x:c r="A387" s="217" t="n">
        <x:v>383</x:v>
      </x:c>
      <x:c r="B387" s="218" t="str">
        <x:v>26750</x:v>
      </x:c>
      <x:c r="C387" s="218" t="str">
        <x:v>23</x:v>
      </x:c>
      <x:c r="D387" s="218" t="str">
        <x:v>609891</x:v>
      </x:c>
      <x:c r="E387" s="218" t="str">
        <x:v>919640</x:v>
      </x:c>
      <x:c r="F387" s="218" t="str">
        <x:v>OUTROS</x:v>
      </x:c>
      <x:c r="G387" s="184" t="str">
        <x:v>TR AL 1100X50X9 RTO LME REC PET BCO (ULT</x:v>
      </x:c>
      <x:c r="H387" s="184" t="str"/>
      <x:c r="I387" s="184" t="str"/>
      <x:c r="J387" s="184" t="str"/>
      <x:c r="K387" s="184" t="str">
        <x:v>ESMALTE</x:v>
      </x:c>
      <x:c r="L387" s="184" t="str">
        <x:v>BRANCO CARRARA</x:v>
      </x:c>
      <x:c r="M387" s="205" t="n">
        <x:v>4</x:v>
      </x:c>
      <x:c r="N387" s="205" t="n">
        <x:v>1100</x:v>
      </x:c>
      <x:c r="O387" s="205" t="n">
        <x:v>50</x:v>
      </x:c>
      <x:c r="P387" s="205" t="n">
        <x:v>9</x:v>
      </x:c>
      <x:c r="Q387" s="206" t="n">
        <x:v>0</x:v>
      </x:c>
      <x:c r="R387" s="207" t="str"/>
      <x:c r="S387" s="207" t="str"/>
      <x:c r="T387" s="207" t="str"/>
      <x:c r="U387" s="207" t="n">
        <x:v>0</x:v>
      </x:c>
      <x:c r="V387" s="208" t="n">
        <x:f>MAX(0,M387-U387)</x:f>
        <x:v>4</x:v>
      </x:c>
      <x:c r="W387" s="209" t="n">
        <x:f>IFERROR(U387/M387,0)</x:f>
        <x:v>0</x:v>
      </x:c>
      <x:c r="X387" s="201" t="str">
        <x:f>IF(U387=0,"Não iniciado",IF(U387&gt;=M387,"Concluído","Parcial"))</x:f>
        <x:v>Não iniciado</x:v>
      </x:c>
      <x:c r="Y387" s="199" t="str"/>
      <x:c r="Z387" s="188" t="str">
        <x:v>Normal</x:v>
      </x:c>
    </x:row>
    <x:row r="388" ht="22" customHeight="1">
      <x:c r="A388" s="219" t="n">
        <x:v>384</x:v>
      </x:c>
      <x:c r="B388" s="220" t="str">
        <x:v>26750</x:v>
      </x:c>
      <x:c r="C388" s="220" t="str">
        <x:v>23</x:v>
      </x:c>
      <x:c r="D388" s="220" t="str">
        <x:v>609894</x:v>
      </x:c>
      <x:c r="E388" s="220" t="str">
        <x:v>966149</x:v>
      </x:c>
      <x:c r="F388" s="220" t="str">
        <x:v>OUTROS</x:v>
      </x:c>
      <x:c r="G388" s="190" t="str">
        <x:v>TR AL 1100X50X9 RTO RL80 REC PET BCO (UL</x:v>
      </x:c>
      <x:c r="H388" s="190" t="str"/>
      <x:c r="I388" s="190" t="str"/>
      <x:c r="J388" s="190" t="str"/>
      <x:c r="K388" s="190" t="str">
        <x:v>ESMALTE</x:v>
      </x:c>
      <x:c r="L388" s="190" t="str">
        <x:v>BRANCO CARRARA</x:v>
      </x:c>
      <x:c r="M388" s="210" t="n">
        <x:v>4</x:v>
      </x:c>
      <x:c r="N388" s="210" t="n">
        <x:v>1100</x:v>
      </x:c>
      <x:c r="O388" s="210" t="n">
        <x:v>50</x:v>
      </x:c>
      <x:c r="P388" s="210" t="n">
        <x:v>9</x:v>
      </x:c>
      <x:c r="Q388" s="211" t="n">
        <x:v>0</x:v>
      </x:c>
      <x:c r="R388" s="207" t="str"/>
      <x:c r="S388" s="207" t="str"/>
      <x:c r="T388" s="207" t="str"/>
      <x:c r="U388" s="207" t="n">
        <x:v>0</x:v>
      </x:c>
      <x:c r="V388" s="208" t="n">
        <x:f>MAX(0,M388-U388)</x:f>
        <x:v>4</x:v>
      </x:c>
      <x:c r="W388" s="209" t="n">
        <x:f>IFERROR(U388/M388,0)</x:f>
        <x:v>0</x:v>
      </x:c>
      <x:c r="X388" s="201" t="str">
        <x:f>IF(U388=0,"Não iniciado",IF(U388&gt;=M388,"Concluído","Parcial"))</x:f>
        <x:v>Não iniciado</x:v>
      </x:c>
      <x:c r="Y388" s="199" t="str"/>
      <x:c r="Z388" s="188" t="str">
        <x:v>Normal</x:v>
      </x:c>
    </x:row>
    <x:row r="389" ht="22" customHeight="1">
      <x:c r="A389" s="217" t="n">
        <x:v>385</x:v>
      </x:c>
      <x:c r="B389" s="218" t="str">
        <x:v>26750</x:v>
      </x:c>
      <x:c r="C389" s="218" t="str">
        <x:v>24</x:v>
      </x:c>
      <x:c r="D389" s="218" t="str">
        <x:v>609900</x:v>
      </x:c>
      <x:c r="E389" s="218" t="str">
        <x:v>919640</x:v>
      </x:c>
      <x:c r="F389" s="218" t="str">
        <x:v>OUTROS</x:v>
      </x:c>
      <x:c r="G389" s="184" t="str">
        <x:v>TR AL 1100X50X9 RTO LME REC PET BCO (ULT</x:v>
      </x:c>
      <x:c r="H389" s="184" t="str"/>
      <x:c r="I389" s="184" t="str"/>
      <x:c r="J389" s="184" t="str"/>
      <x:c r="K389" s="184" t="str">
        <x:v>ESMALTE</x:v>
      </x:c>
      <x:c r="L389" s="184" t="str">
        <x:v>BRANCO CARRARA</x:v>
      </x:c>
      <x:c r="M389" s="205" t="n">
        <x:v>10</x:v>
      </x:c>
      <x:c r="N389" s="205" t="n">
        <x:v>1100</x:v>
      </x:c>
      <x:c r="O389" s="205" t="n">
        <x:v>50</x:v>
      </x:c>
      <x:c r="P389" s="205" t="n">
        <x:v>9</x:v>
      </x:c>
      <x:c r="Q389" s="206" t="n">
        <x:v>0</x:v>
      </x:c>
      <x:c r="R389" s="207" t="str"/>
      <x:c r="S389" s="207" t="str"/>
      <x:c r="T389" s="207" t="str"/>
      <x:c r="U389" s="207" t="n">
        <x:v>0</x:v>
      </x:c>
      <x:c r="V389" s="208" t="n">
        <x:f>MAX(0,M389-U389)</x:f>
        <x:v>10</x:v>
      </x:c>
      <x:c r="W389" s="209" t="n">
        <x:f>IFERROR(U389/M389,0)</x:f>
        <x:v>0</x:v>
      </x:c>
      <x:c r="X389" s="201" t="str">
        <x:f>IF(U389=0,"Não iniciado",IF(U389&gt;=M389,"Concluído","Parcial"))</x:f>
        <x:v>Não iniciado</x:v>
      </x:c>
      <x:c r="Y389" s="199" t="str"/>
      <x:c r="Z389" s="188" t="str">
        <x:v>Normal</x:v>
      </x:c>
    </x:row>
    <x:row r="390" ht="22" customHeight="1">
      <x:c r="A390" s="219" t="n">
        <x:v>386</x:v>
      </x:c>
      <x:c r="B390" s="220" t="str">
        <x:v>26750</x:v>
      </x:c>
      <x:c r="C390" s="220" t="str">
        <x:v>24</x:v>
      </x:c>
      <x:c r="D390" s="220" t="str">
        <x:v>609903</x:v>
      </x:c>
      <x:c r="E390" s="220" t="str">
        <x:v>966149</x:v>
      </x:c>
      <x:c r="F390" s="220" t="str">
        <x:v>OUTROS</x:v>
      </x:c>
      <x:c r="G390" s="190" t="str">
        <x:v>TR AL 1100X50X9 RTO RL80 REC PET BCO (UL</x:v>
      </x:c>
      <x:c r="H390" s="190" t="str"/>
      <x:c r="I390" s="190" t="str"/>
      <x:c r="J390" s="190" t="str"/>
      <x:c r="K390" s="190" t="str">
        <x:v>ESMALTE</x:v>
      </x:c>
      <x:c r="L390" s="190" t="str">
        <x:v>BRANCO CARRARA</x:v>
      </x:c>
      <x:c r="M390" s="210" t="n">
        <x:v>10</x:v>
      </x:c>
      <x:c r="N390" s="210" t="n">
        <x:v>1100</x:v>
      </x:c>
      <x:c r="O390" s="210" t="n">
        <x:v>50</x:v>
      </x:c>
      <x:c r="P390" s="210" t="n">
        <x:v>9</x:v>
      </x:c>
      <x:c r="Q390" s="211" t="n">
        <x:v>0</x:v>
      </x:c>
      <x:c r="R390" s="207" t="str"/>
      <x:c r="S390" s="207" t="str"/>
      <x:c r="T390" s="207" t="str"/>
      <x:c r="U390" s="207" t="n">
        <x:v>0</x:v>
      </x:c>
      <x:c r="V390" s="208" t="n">
        <x:f>MAX(0,M390-U390)</x:f>
        <x:v>10</x:v>
      </x:c>
      <x:c r="W390" s="209" t="n">
        <x:f>IFERROR(U390/M390,0)</x:f>
        <x:v>0</x:v>
      </x:c>
      <x:c r="X390" s="201" t="str">
        <x:f>IF(U390=0,"Não iniciado",IF(U390&gt;=M390,"Concluído","Parcial"))</x:f>
        <x:v>Não iniciado</x:v>
      </x:c>
      <x:c r="Y390" s="199" t="str"/>
      <x:c r="Z390" s="188" t="str">
        <x:v>Normal</x:v>
      </x:c>
    </x:row>
    <x:row r="391" ht="22" customHeight="1">
      <x:c r="A391" s="217" t="n">
        <x:v>387</x:v>
      </x:c>
      <x:c r="B391" s="218" t="str">
        <x:v>26750</x:v>
      </x:c>
      <x:c r="C391" s="218" t="str">
        <x:v>25</x:v>
      </x:c>
      <x:c r="D391" s="218" t="str">
        <x:v>609907</x:v>
      </x:c>
      <x:c r="E391" s="218" t="str">
        <x:v>919640</x:v>
      </x:c>
      <x:c r="F391" s="218" t="str">
        <x:v>OUTROS</x:v>
      </x:c>
      <x:c r="G391" s="184" t="str">
        <x:v>TR AL 1100X50X9 RTO LME REC PET BCO (ULT</x:v>
      </x:c>
      <x:c r="H391" s="184" t="str"/>
      <x:c r="I391" s="184" t="str"/>
      <x:c r="J391" s="184" t="str"/>
      <x:c r="K391" s="184" t="str">
        <x:v>ESMALTE</x:v>
      </x:c>
      <x:c r="L391" s="184" t="str">
        <x:v>BRANCO CARRARA</x:v>
      </x:c>
      <x:c r="M391" s="205" t="n">
        <x:v>3</x:v>
      </x:c>
      <x:c r="N391" s="205" t="n">
        <x:v>1100</x:v>
      </x:c>
      <x:c r="O391" s="205" t="n">
        <x:v>50</x:v>
      </x:c>
      <x:c r="P391" s="205" t="n">
        <x:v>9</x:v>
      </x:c>
      <x:c r="Q391" s="206" t="n">
        <x:v>0</x:v>
      </x:c>
      <x:c r="R391" s="207" t="str"/>
      <x:c r="S391" s="207" t="str"/>
      <x:c r="T391" s="207" t="str"/>
      <x:c r="U391" s="207" t="n">
        <x:v>0</x:v>
      </x:c>
      <x:c r="V391" s="208" t="n">
        <x:f>MAX(0,M391-U391)</x:f>
        <x:v>3</x:v>
      </x:c>
      <x:c r="W391" s="209" t="n">
        <x:f>IFERROR(U391/M391,0)</x:f>
        <x:v>0</x:v>
      </x:c>
      <x:c r="X391" s="201" t="str">
        <x:f>IF(U391=0,"Não iniciado",IF(U391&gt;=M391,"Concluído","Parcial"))</x:f>
        <x:v>Não iniciado</x:v>
      </x:c>
      <x:c r="Y391" s="199" t="str"/>
      <x:c r="Z391" s="188" t="str">
        <x:v>Normal</x:v>
      </x:c>
    </x:row>
    <x:row r="392" ht="22" customHeight="1">
      <x:c r="A392" s="219" t="n">
        <x:v>388</x:v>
      </x:c>
      <x:c r="B392" s="220" t="str">
        <x:v>26750</x:v>
      </x:c>
      <x:c r="C392" s="220" t="str">
        <x:v>25</x:v>
      </x:c>
      <x:c r="D392" s="220" t="str">
        <x:v>609909</x:v>
      </x:c>
      <x:c r="E392" s="220" t="str">
        <x:v>966149</x:v>
      </x:c>
      <x:c r="F392" s="220" t="str">
        <x:v>OUTROS</x:v>
      </x:c>
      <x:c r="G392" s="190" t="str">
        <x:v>TR AL 1100X50X9 RTO RL80 REC PET BCO (UL</x:v>
      </x:c>
      <x:c r="H392" s="190" t="str"/>
      <x:c r="I392" s="190" t="str"/>
      <x:c r="J392" s="190" t="str"/>
      <x:c r="K392" s="190" t="str">
        <x:v>ESMALTE</x:v>
      </x:c>
      <x:c r="L392" s="190" t="str">
        <x:v>BRANCO CARRARA</x:v>
      </x:c>
      <x:c r="M392" s="210" t="n">
        <x:v>3</x:v>
      </x:c>
      <x:c r="N392" s="210" t="n">
        <x:v>1100</x:v>
      </x:c>
      <x:c r="O392" s="210" t="n">
        <x:v>50</x:v>
      </x:c>
      <x:c r="P392" s="210" t="n">
        <x:v>9</x:v>
      </x:c>
      <x:c r="Q392" s="211" t="n">
        <x:v>0</x:v>
      </x:c>
      <x:c r="R392" s="207" t="str"/>
      <x:c r="S392" s="207" t="str"/>
      <x:c r="T392" s="207" t="str"/>
      <x:c r="U392" s="207" t="n">
        <x:v>0</x:v>
      </x:c>
      <x:c r="V392" s="208" t="n">
        <x:f>MAX(0,M392-U392)</x:f>
        <x:v>3</x:v>
      </x:c>
      <x:c r="W392" s="209" t="n">
        <x:f>IFERROR(U392/M392,0)</x:f>
        <x:v>0</x:v>
      </x:c>
      <x:c r="X392" s="201" t="str">
        <x:f>IF(U392=0,"Não iniciado",IF(U392&gt;=M392,"Concluído","Parcial"))</x:f>
        <x:v>Não iniciado</x:v>
      </x:c>
      <x:c r="Y392" s="199" t="str"/>
      <x:c r="Z392" s="188" t="str">
        <x:v>Normal</x:v>
      </x:c>
    </x:row>
    <x:row r="393" ht="22" customHeight="1">
      <x:c r="A393" s="217" t="n">
        <x:v>389</x:v>
      </x:c>
      <x:c r="B393" s="218" t="str">
        <x:v>26750</x:v>
      </x:c>
      <x:c r="C393" s="218" t="str">
        <x:v>26</x:v>
      </x:c>
      <x:c r="D393" s="218" t="str">
        <x:v>609916</x:v>
      </x:c>
      <x:c r="E393" s="218" t="str">
        <x:v>919640</x:v>
      </x:c>
      <x:c r="F393" s="218" t="str">
        <x:v>OUTROS</x:v>
      </x:c>
      <x:c r="G393" s="184" t="str">
        <x:v>TR AL 1100X50X9 RTO LME REC PET BCO (ULT</x:v>
      </x:c>
      <x:c r="H393" s="184" t="str"/>
      <x:c r="I393" s="184" t="str"/>
      <x:c r="J393" s="184" t="str"/>
      <x:c r="K393" s="184" t="str">
        <x:v>ESMALTE</x:v>
      </x:c>
      <x:c r="L393" s="184" t="str">
        <x:v>BRANCO CARRARA</x:v>
      </x:c>
      <x:c r="M393" s="205" t="n">
        <x:v>2</x:v>
      </x:c>
      <x:c r="N393" s="205" t="n">
        <x:v>1100</x:v>
      </x:c>
      <x:c r="O393" s="205" t="n">
        <x:v>50</x:v>
      </x:c>
      <x:c r="P393" s="205" t="n">
        <x:v>9</x:v>
      </x:c>
      <x:c r="Q393" s="206" t="n">
        <x:v>0</x:v>
      </x:c>
      <x:c r="R393" s="207" t="str"/>
      <x:c r="S393" s="207" t="str"/>
      <x:c r="T393" s="207" t="str"/>
      <x:c r="U393" s="207" t="n">
        <x:v>0</x:v>
      </x:c>
      <x:c r="V393" s="208" t="n">
        <x:f>MAX(0,M393-U393)</x:f>
        <x:v>2</x:v>
      </x:c>
      <x:c r="W393" s="209" t="n">
        <x:f>IFERROR(U393/M393,0)</x:f>
        <x:v>0</x:v>
      </x:c>
      <x:c r="X393" s="201" t="str">
        <x:f>IF(U393=0,"Não iniciado",IF(U393&gt;=M393,"Concluído","Parcial"))</x:f>
        <x:v>Não iniciado</x:v>
      </x:c>
      <x:c r="Y393" s="199" t="str"/>
      <x:c r="Z393" s="188" t="str">
        <x:v>Normal</x:v>
      </x:c>
    </x:row>
    <x:row r="394" ht="22" customHeight="1">
      <x:c r="A394" s="219" t="n">
        <x:v>390</x:v>
      </x:c>
      <x:c r="B394" s="220" t="str">
        <x:v>26750</x:v>
      </x:c>
      <x:c r="C394" s="220" t="str">
        <x:v>26</x:v>
      </x:c>
      <x:c r="D394" s="220" t="str">
        <x:v>609922</x:v>
      </x:c>
      <x:c r="E394" s="220" t="str">
        <x:v>966149</x:v>
      </x:c>
      <x:c r="F394" s="220" t="str">
        <x:v>OUTROS</x:v>
      </x:c>
      <x:c r="G394" s="190" t="str">
        <x:v>TR AL 1100X50X9 RTO RL80 REC PET BCO (UL</x:v>
      </x:c>
      <x:c r="H394" s="190" t="str"/>
      <x:c r="I394" s="190" t="str"/>
      <x:c r="J394" s="190" t="str"/>
      <x:c r="K394" s="190" t="str">
        <x:v>ESMALTE</x:v>
      </x:c>
      <x:c r="L394" s="190" t="str">
        <x:v>BRANCO CARRARA</x:v>
      </x:c>
      <x:c r="M394" s="210" t="n">
        <x:v>2</x:v>
      </x:c>
      <x:c r="N394" s="210" t="n">
        <x:v>1100</x:v>
      </x:c>
      <x:c r="O394" s="210" t="n">
        <x:v>50</x:v>
      </x:c>
      <x:c r="P394" s="210" t="n">
        <x:v>9</x:v>
      </x:c>
      <x:c r="Q394" s="211" t="n">
        <x:v>0</x:v>
      </x:c>
      <x:c r="R394" s="207" t="str"/>
      <x:c r="S394" s="207" t="str"/>
      <x:c r="T394" s="207" t="str"/>
      <x:c r="U394" s="207" t="n">
        <x:v>0</x:v>
      </x:c>
      <x:c r="V394" s="208" t="n">
        <x:f>MAX(0,M394-U394)</x:f>
        <x:v>2</x:v>
      </x:c>
      <x:c r="W394" s="209" t="n">
        <x:f>IFERROR(U394/M394,0)</x:f>
        <x:v>0</x:v>
      </x:c>
      <x:c r="X394" s="201" t="str">
        <x:f>IF(U394=0,"Não iniciado",IF(U394&gt;=M394,"Concluído","Parcial"))</x:f>
        <x:v>Não iniciado</x:v>
      </x:c>
      <x:c r="Y394" s="199" t="str"/>
      <x:c r="Z394" s="188" t="str">
        <x:v>Normal</x:v>
      </x:c>
    </x:row>
    <x:row r="395" ht="22" customHeight="1">
      <x:c r="A395" s="217" t="n">
        <x:v>391</x:v>
      </x:c>
      <x:c r="B395" s="218" t="str">
        <x:v>26796</x:v>
      </x:c>
      <x:c r="C395" s="218" t="str">
        <x:v>3</x:v>
      </x:c>
      <x:c r="D395" s="218" t="str">
        <x:v>609303</x:v>
      </x:c>
      <x:c r="E395" s="218" t="str">
        <x:v>988577</x:v>
      </x:c>
      <x:c r="F395" s="218" t="str">
        <x:v>OUTROS</x:v>
      </x:c>
      <x:c r="G395" s="184" t="str">
        <x:v>T.A 1100X50X9 RT RL45 PET TXT BCO STD</x:v>
      </x:c>
      <x:c r="H395" s="184" t="str"/>
      <x:c r="I395" s="184" t="str"/>
      <x:c r="J395" s="184" t="str"/>
      <x:c r="K395" s="184" t="str">
        <x:v>ESMALTE</x:v>
      </x:c>
      <x:c r="L395" s="184" t="str">
        <x:v>BRANCO CARRARA</x:v>
      </x:c>
      <x:c r="M395" s="205" t="n">
        <x:v>192</x:v>
      </x:c>
      <x:c r="N395" s="205" t="n">
        <x:v>1100</x:v>
      </x:c>
      <x:c r="O395" s="205" t="n">
        <x:v>50</x:v>
      </x:c>
      <x:c r="P395" s="205" t="n">
        <x:v>9</x:v>
      </x:c>
      <x:c r="Q395" s="206" t="n">
        <x:v>0.095</x:v>
      </x:c>
      <x:c r="R395" s="207" t="str"/>
      <x:c r="S395" s="207" t="str"/>
      <x:c r="T395" s="207" t="str"/>
      <x:c r="U395" s="207" t="n">
        <x:v>0</x:v>
      </x:c>
      <x:c r="V395" s="208" t="n">
        <x:f>MAX(0,M395-U395)</x:f>
        <x:v>192</x:v>
      </x:c>
      <x:c r="W395" s="209" t="n">
        <x:f>IFERROR(U395/M395,0)</x:f>
        <x:v>0</x:v>
      </x:c>
      <x:c r="X395" s="201" t="str">
        <x:f>IF(U395=0,"Não iniciado",IF(U395&gt;=M395,"Concluído","Parcial"))</x:f>
        <x:v>Não iniciado</x:v>
      </x:c>
      <x:c r="Y395" s="199" t="str"/>
      <x:c r="Z395" s="188" t="str">
        <x:v>Normal</x:v>
      </x:c>
    </x:row>
    <x:row r="396" ht="22" customHeight="1">
      <x:c r="A396" s="219" t="n">
        <x:v>392</x:v>
      </x:c>
      <x:c r="B396" s="220" t="str">
        <x:v>26799</x:v>
      </x:c>
      <x:c r="C396" s="220" t="str">
        <x:v>3</x:v>
      </x:c>
      <x:c r="D396" s="220" t="str">
        <x:v>609408</x:v>
      </x:c>
      <x:c r="E396" s="220" t="str">
        <x:v>988577</x:v>
      </x:c>
      <x:c r="F396" s="220" t="str">
        <x:v>OUTROS</x:v>
      </x:c>
      <x:c r="G396" s="190" t="str">
        <x:v>T.A 1100X50X9 RT RL45 PET TXT BCO STD</x:v>
      </x:c>
      <x:c r="H396" s="190" t="str"/>
      <x:c r="I396" s="190" t="str"/>
      <x:c r="J396" s="190" t="str"/>
      <x:c r="K396" s="190" t="str">
        <x:v>ESMALTE</x:v>
      </x:c>
      <x:c r="L396" s="190" t="str">
        <x:v>BRANCO CARRARA</x:v>
      </x:c>
      <x:c r="M396" s="210" t="n">
        <x:v>64</x:v>
      </x:c>
      <x:c r="N396" s="210" t="n">
        <x:v>1100</x:v>
      </x:c>
      <x:c r="O396" s="210" t="n">
        <x:v>50</x:v>
      </x:c>
      <x:c r="P396" s="210" t="n">
        <x:v>9</x:v>
      </x:c>
      <x:c r="Q396" s="211" t="n">
        <x:v>0.032</x:v>
      </x:c>
      <x:c r="R396" s="207" t="str"/>
      <x:c r="S396" s="207" t="str"/>
      <x:c r="T396" s="207" t="str"/>
      <x:c r="U396" s="207" t="n">
        <x:v>0</x:v>
      </x:c>
      <x:c r="V396" s="208" t="n">
        <x:f>MAX(0,M396-U396)</x:f>
        <x:v>64</x:v>
      </x:c>
      <x:c r="W396" s="209" t="n">
        <x:f>IFERROR(U396/M396,0)</x:f>
        <x:v>0</x:v>
      </x:c>
      <x:c r="X396" s="201" t="str">
        <x:f>IF(U396=0,"Não iniciado",IF(U396&gt;=M396,"Concluído","Parcial"))</x:f>
        <x:v>Não iniciado</x:v>
      </x:c>
      <x:c r="Y396" s="199" t="str"/>
      <x:c r="Z396" s="188" t="str">
        <x:v>Normal</x:v>
      </x:c>
    </x:row>
    <x:row r="397" ht="22" customHeight="1">
      <x:c r="A397" s="217" t="n">
        <x:v>393</x:v>
      </x:c>
      <x:c r="B397" s="218" t="str">
        <x:v>26807</x:v>
      </x:c>
      <x:c r="C397" s="218" t="str">
        <x:v>2</x:v>
      </x:c>
      <x:c r="D397" s="218" t="str">
        <x:v>610048</x:v>
      </x:c>
      <x:c r="E397" s="218" t="str">
        <x:v>2020700633</x:v>
      </x:c>
      <x:c r="F397" s="218" t="str">
        <x:v>OUTROS</x:v>
      </x:c>
      <x:c r="G397" s="184" t="str">
        <x:v>A ULTRA PET CA PE 1100X50X9 RG(55) RTO</x:v>
      </x:c>
      <x:c r="H397" s="184" t="str">
        <x:v>REG 2L(MAIOR 55MM)</x:v>
      </x:c>
      <x:c r="I397" s="184" t="str"/>
      <x:c r="J397" s="184" t="str"/>
      <x:c r="K397" s="184" t="str">
        <x:v>RECOBERTO PET</x:v>
      </x:c>
      <x:c r="L397" s="184" t="str">
        <x:v>CARVALHO PESCARA</x:v>
      </x:c>
      <x:c r="M397" s="205" t="n">
        <x:v>20</x:v>
      </x:c>
      <x:c r="N397" s="205" t="n">
        <x:v>1100</x:v>
      </x:c>
      <x:c r="O397" s="205" t="n">
        <x:v>50</x:v>
      </x:c>
      <x:c r="P397" s="205" t="n">
        <x:v>9</x:v>
      </x:c>
      <x:c r="Q397" s="206" t="n">
        <x:v>0</x:v>
      </x:c>
      <x:c r="R397" s="207" t="str"/>
      <x:c r="S397" s="207" t="str"/>
      <x:c r="T397" s="207" t="str"/>
      <x:c r="U397" s="207" t="n">
        <x:v>0</x:v>
      </x:c>
      <x:c r="V397" s="208" t="n">
        <x:f>MAX(0,M397-U397)</x:f>
        <x:v>20</x:v>
      </x:c>
      <x:c r="W397" s="209" t="n">
        <x:f>IFERROR(U397/M397,0)</x:f>
        <x:v>0</x:v>
      </x:c>
      <x:c r="X397" s="201" t="str">
        <x:f>IF(U397=0,"Não iniciado",IF(U397&gt;=M397,"Concluído","Parcial"))</x:f>
        <x:v>Não iniciado</x:v>
      </x:c>
      <x:c r="Y397" s="199" t="str"/>
      <x:c r="Z397" s="188" t="str">
        <x:v>Normal</x:v>
      </x:c>
    </x:row>
    <x:row r="398" ht="22" customHeight="1">
      <x:c r="A398" s="219" t="n">
        <x:v>394</x:v>
      </x:c>
      <x:c r="B398" s="220" t="str">
        <x:v>26807</x:v>
      </x:c>
      <x:c r="C398" s="220" t="str">
        <x:v>2</x:v>
      </x:c>
      <x:c r="D398" s="220" t="str">
        <x:v>610049</x:v>
      </x:c>
      <x:c r="E398" s="220" t="str">
        <x:v>2020700634</x:v>
      </x:c>
      <x:c r="F398" s="220" t="str">
        <x:v>OUTROS</x:v>
      </x:c>
      <x:c r="G398" s="190" t="str">
        <x:v>A ULTRA PET CA PE 1100X50X9 RG(ME) RTO</x:v>
      </x:c>
      <x:c r="H398" s="190" t="str">
        <x:v>REG 2L(MAIOR 55MM)</x:v>
      </x:c>
      <x:c r="I398" s="190" t="str"/>
      <x:c r="J398" s="190" t="str"/>
      <x:c r="K398" s="190" t="str">
        <x:v>RECOBERTO PET</x:v>
      </x:c>
      <x:c r="L398" s="190" t="str">
        <x:v>CARVALHO PESCARA</x:v>
      </x:c>
      <x:c r="M398" s="210" t="n">
        <x:v>20</x:v>
      </x:c>
      <x:c r="N398" s="210" t="n">
        <x:v>1100</x:v>
      </x:c>
      <x:c r="O398" s="210" t="n">
        <x:v>50</x:v>
      </x:c>
      <x:c r="P398" s="210" t="n">
        <x:v>9</x:v>
      </x:c>
      <x:c r="Q398" s="211" t="n">
        <x:v>0</x:v>
      </x:c>
      <x:c r="R398" s="207" t="str"/>
      <x:c r="S398" s="207" t="str"/>
      <x:c r="T398" s="207" t="str"/>
      <x:c r="U398" s="207" t="n">
        <x:v>0</x:v>
      </x:c>
      <x:c r="V398" s="208" t="n">
        <x:f>MAX(0,M398-U398)</x:f>
        <x:v>20</x:v>
      </x:c>
      <x:c r="W398" s="209" t="n">
        <x:f>IFERROR(U398/M398,0)</x:f>
        <x:v>0</x:v>
      </x:c>
      <x:c r="X398" s="201" t="str">
        <x:f>IF(U398=0,"Não iniciado",IF(U398&gt;=M398,"Concluído","Parcial"))</x:f>
        <x:v>Não iniciado</x:v>
      </x:c>
      <x:c r="Y398" s="199" t="str"/>
      <x:c r="Z398" s="188" t="str">
        <x:v>Normal</x:v>
      </x:c>
    </x:row>
    <x:row r="399" ht="22" customHeight="1">
      <x:c r="A399" s="217" t="n">
        <x:v>395</x:v>
      </x:c>
      <x:c r="B399" s="218" t="str">
        <x:v>26520</x:v>
      </x:c>
      <x:c r="C399" s="218" t="str">
        <x:v>3</x:v>
      </x:c>
      <x:c r="D399" s="218" t="str">
        <x:v>610080</x:v>
      </x:c>
      <x:c r="E399" s="218" t="str">
        <x:v>969663</x:v>
      </x:c>
      <x:c r="F399" s="218" t="str">
        <x:v>ALIZAR</x:v>
      </x:c>
      <x:c r="G399" s="184" t="str">
        <x:v>T A 1000X50X9 RTO RL55 PET CIN VER ULT)</x:v>
      </x:c>
      <x:c r="H399" s="184" t="str"/>
      <x:c r="I399" s="184" t="str"/>
      <x:c r="J399" s="184" t="str"/>
      <x:c r="K399" s="184" t="str">
        <x:v>RECOBERTO PET</x:v>
      </x:c>
      <x:c r="L399" s="184" t="str">
        <x:v>CINZA VERONA</x:v>
      </x:c>
      <x:c r="M399" s="205" t="n">
        <x:v>4</x:v>
      </x:c>
      <x:c r="N399" s="205" t="n">
        <x:v>1000</x:v>
      </x:c>
      <x:c r="O399" s="205" t="n">
        <x:v>50</x:v>
      </x:c>
      <x:c r="P399" s="205" t="n">
        <x:v>9</x:v>
      </x:c>
      <x:c r="Q399" s="206" t="n">
        <x:v>0</x:v>
      </x:c>
      <x:c r="R399" s="207" t="str"/>
      <x:c r="S399" s="207" t="str"/>
      <x:c r="T399" s="207" t="str"/>
      <x:c r="U399" s="207" t="n">
        <x:v>0</x:v>
      </x:c>
      <x:c r="V399" s="208" t="n">
        <x:f>MAX(0,M399-U399)</x:f>
        <x:v>4</x:v>
      </x:c>
      <x:c r="W399" s="209" t="n">
        <x:f>IFERROR(U399/M399,0)</x:f>
        <x:v>0</x:v>
      </x:c>
      <x:c r="X399" s="201" t="str">
        <x:f>IF(U399=0,"Não iniciado",IF(U399&gt;=M399,"Concluído","Parcial"))</x:f>
        <x:v>Não iniciado</x:v>
      </x:c>
      <x:c r="Y399" s="199" t="str"/>
      <x:c r="Z399" s="188" t="str">
        <x:v>Normal</x:v>
      </x:c>
    </x:row>
    <x:row r="400" ht="22" customHeight="1">
      <x:c r="A400" s="219" t="n">
        <x:v>396</x:v>
      </x:c>
      <x:c r="B400" s="220" t="str">
        <x:v>26520</x:v>
      </x:c>
      <x:c r="C400" s="220" t="str">
        <x:v>3</x:v>
      </x:c>
      <x:c r="D400" s="220" t="str">
        <x:v>610082</x:v>
      </x:c>
      <x:c r="E400" s="220" t="str">
        <x:v>969665</x:v>
      </x:c>
      <x:c r="F400" s="220" t="str">
        <x:v>ALIZAR</x:v>
      </x:c>
      <x:c r="G400" s="190" t="str">
        <x:v>T A 1000X50X9 RTO LME PET CIN VER ULTRA</x:v>
      </x:c>
      <x:c r="H400" s="190" t="str"/>
      <x:c r="I400" s="190" t="str"/>
      <x:c r="J400" s="190" t="str"/>
      <x:c r="K400" s="190" t="str">
        <x:v>RECOBERTO PET</x:v>
      </x:c>
      <x:c r="L400" s="190" t="str">
        <x:v>CINZA VERONA</x:v>
      </x:c>
      <x:c r="M400" s="210" t="n">
        <x:v>4</x:v>
      </x:c>
      <x:c r="N400" s="210" t="n">
        <x:v>1000</x:v>
      </x:c>
      <x:c r="O400" s="210" t="n">
        <x:v>50</x:v>
      </x:c>
      <x:c r="P400" s="210" t="n">
        <x:v>9</x:v>
      </x:c>
      <x:c r="Q400" s="211" t="n">
        <x:v>0</x:v>
      </x:c>
      <x:c r="R400" s="207" t="str"/>
      <x:c r="S400" s="207" t="str"/>
      <x:c r="T400" s="207" t="str"/>
      <x:c r="U400" s="207" t="n">
        <x:v>0</x:v>
      </x:c>
      <x:c r="V400" s="208" t="n">
        <x:f>MAX(0,M400-U400)</x:f>
        <x:v>4</x:v>
      </x:c>
      <x:c r="W400" s="209" t="n">
        <x:f>IFERROR(U400/M400,0)</x:f>
        <x:v>0</x:v>
      </x:c>
      <x:c r="X400" s="201" t="str">
        <x:f>IF(U400=0,"Não iniciado",IF(U400&gt;=M400,"Concluído","Parcial"))</x:f>
        <x:v>Não iniciado</x:v>
      </x:c>
      <x:c r="Y400" s="199" t="str"/>
      <x:c r="Z400" s="188" t="str">
        <x:v>Normal</x:v>
      </x:c>
    </x:row>
    <x:row r="401" ht="22" customHeight="1">
      <x:c r="A401" s="217" t="n">
        <x:v>397</x:v>
      </x:c>
      <x:c r="B401" s="218" t="str">
        <x:v>26520</x:v>
      </x:c>
      <x:c r="C401" s="218" t="str">
        <x:v>4</x:v>
      </x:c>
      <x:c r="D401" s="218" t="str">
        <x:v>610088</x:v>
      </x:c>
      <x:c r="E401" s="218" t="str">
        <x:v>969663</x:v>
      </x:c>
      <x:c r="F401" s="218" t="str">
        <x:v>ALIZAR</x:v>
      </x:c>
      <x:c r="G401" s="184" t="str">
        <x:v>T A 1000X50X9 RTO RL55 PET CIN VER ULT)</x:v>
      </x:c>
      <x:c r="H401" s="184" t="str"/>
      <x:c r="I401" s="184" t="str"/>
      <x:c r="J401" s="184" t="str"/>
      <x:c r="K401" s="184" t="str">
        <x:v>RECOBERTO PET</x:v>
      </x:c>
      <x:c r="L401" s="184" t="str">
        <x:v>CINZA VERONA</x:v>
      </x:c>
      <x:c r="M401" s="205" t="n">
        <x:v>4</x:v>
      </x:c>
      <x:c r="N401" s="205" t="n">
        <x:v>1000</x:v>
      </x:c>
      <x:c r="O401" s="205" t="n">
        <x:v>50</x:v>
      </x:c>
      <x:c r="P401" s="205" t="n">
        <x:v>9</x:v>
      </x:c>
      <x:c r="Q401" s="206" t="n">
        <x:v>0</x:v>
      </x:c>
      <x:c r="R401" s="207" t="str"/>
      <x:c r="S401" s="207" t="str"/>
      <x:c r="T401" s="207" t="str"/>
      <x:c r="U401" s="207" t="n">
        <x:v>0</x:v>
      </x:c>
      <x:c r="V401" s="208" t="n">
        <x:f>MAX(0,M401-U401)</x:f>
        <x:v>4</x:v>
      </x:c>
      <x:c r="W401" s="209" t="n">
        <x:f>IFERROR(U401/M401,0)</x:f>
        <x:v>0</x:v>
      </x:c>
      <x:c r="X401" s="201" t="str">
        <x:f>IF(U401=0,"Não iniciado",IF(U401&gt;=M401,"Concluído","Parcial"))</x:f>
        <x:v>Não iniciado</x:v>
      </x:c>
      <x:c r="Y401" s="199" t="str"/>
      <x:c r="Z401" s="188" t="str">
        <x:v>Normal</x:v>
      </x:c>
    </x:row>
    <x:row r="402" ht="22" customHeight="1">
      <x:c r="A402" s="219" t="n">
        <x:v>398</x:v>
      </x:c>
      <x:c r="B402" s="220" t="str">
        <x:v>26520</x:v>
      </x:c>
      <x:c r="C402" s="220" t="str">
        <x:v>4</x:v>
      </x:c>
      <x:c r="D402" s="220" t="str">
        <x:v>610090</x:v>
      </x:c>
      <x:c r="E402" s="220" t="str">
        <x:v>969665</x:v>
      </x:c>
      <x:c r="F402" s="220" t="str">
        <x:v>ALIZAR</x:v>
      </x:c>
      <x:c r="G402" s="190" t="str">
        <x:v>T A 1000X50X9 RTO LME PET CIN VER ULTRA</x:v>
      </x:c>
      <x:c r="H402" s="190" t="str"/>
      <x:c r="I402" s="190" t="str"/>
      <x:c r="J402" s="190" t="str"/>
      <x:c r="K402" s="190" t="str">
        <x:v>RECOBERTO PET</x:v>
      </x:c>
      <x:c r="L402" s="190" t="str">
        <x:v>CINZA VERONA</x:v>
      </x:c>
      <x:c r="M402" s="210" t="n">
        <x:v>4</x:v>
      </x:c>
      <x:c r="N402" s="210" t="n">
        <x:v>1000</x:v>
      </x:c>
      <x:c r="O402" s="210" t="n">
        <x:v>50</x:v>
      </x:c>
      <x:c r="P402" s="210" t="n">
        <x:v>9</x:v>
      </x:c>
      <x:c r="Q402" s="211" t="n">
        <x:v>0</x:v>
      </x:c>
      <x:c r="R402" s="207" t="str"/>
      <x:c r="S402" s="207" t="str"/>
      <x:c r="T402" s="207" t="str"/>
      <x:c r="U402" s="207" t="n">
        <x:v>0</x:v>
      </x:c>
      <x:c r="V402" s="208" t="n">
        <x:f>MAX(0,M402-U402)</x:f>
        <x:v>4</x:v>
      </x:c>
      <x:c r="W402" s="209" t="n">
        <x:f>IFERROR(U402/M402,0)</x:f>
        <x:v>0</x:v>
      </x:c>
      <x:c r="X402" s="201" t="str">
        <x:f>IF(U402=0,"Não iniciado",IF(U402&gt;=M402,"Concluído","Parcial"))</x:f>
        <x:v>Não iniciado</x:v>
      </x:c>
      <x:c r="Y402" s="199" t="str"/>
      <x:c r="Z402" s="188" t="str">
        <x:v>Normal</x:v>
      </x:c>
    </x:row>
    <x:row r="403" ht="22" customHeight="1">
      <x:c r="A403" s="217" t="n">
        <x:v>399</x:v>
      </x:c>
      <x:c r="B403" s="218" t="str">
        <x:v>26520</x:v>
      </x:c>
      <x:c r="C403" s="218" t="str">
        <x:v>5</x:v>
      </x:c>
      <x:c r="D403" s="218" t="str">
        <x:v>610096</x:v>
      </x:c>
      <x:c r="E403" s="218" t="str">
        <x:v>969663</x:v>
      </x:c>
      <x:c r="F403" s="218" t="str">
        <x:v>ALIZAR</x:v>
      </x:c>
      <x:c r="G403" s="184" t="str">
        <x:v>T A 1000X50X9 RTO RL55 PET CIN VER ULT)</x:v>
      </x:c>
      <x:c r="H403" s="184" t="str"/>
      <x:c r="I403" s="184" t="str"/>
      <x:c r="J403" s="184" t="str"/>
      <x:c r="K403" s="184" t="str">
        <x:v>RECOBERTO PET</x:v>
      </x:c>
      <x:c r="L403" s="184" t="str">
        <x:v>CINZA VERONA</x:v>
      </x:c>
      <x:c r="M403" s="205" t="n">
        <x:v>1</x:v>
      </x:c>
      <x:c r="N403" s="205" t="n">
        <x:v>1000</x:v>
      </x:c>
      <x:c r="O403" s="205" t="n">
        <x:v>50</x:v>
      </x:c>
      <x:c r="P403" s="205" t="n">
        <x:v>9</x:v>
      </x:c>
      <x:c r="Q403" s="206" t="n">
        <x:v>0</x:v>
      </x:c>
      <x:c r="R403" s="207" t="str"/>
      <x:c r="S403" s="207" t="str"/>
      <x:c r="T403" s="207" t="str"/>
      <x:c r="U403" s="207" t="n">
        <x:v>0</x:v>
      </x:c>
      <x:c r="V403" s="208" t="n">
        <x:f>MAX(0,M403-U403)</x:f>
        <x:v>1</x:v>
      </x:c>
      <x:c r="W403" s="209" t="n">
        <x:f>IFERROR(U403/M403,0)</x:f>
        <x:v>0</x:v>
      </x:c>
      <x:c r="X403" s="201" t="str">
        <x:f>IF(U403=0,"Não iniciado",IF(U403&gt;=M403,"Concluído","Parcial"))</x:f>
        <x:v>Não iniciado</x:v>
      </x:c>
      <x:c r="Y403" s="199" t="str"/>
      <x:c r="Z403" s="188" t="str">
        <x:v>Normal</x:v>
      </x:c>
    </x:row>
    <x:row r="404" ht="22" customHeight="1">
      <x:c r="A404" s="219" t="n">
        <x:v>400</x:v>
      </x:c>
      <x:c r="B404" s="220" t="str">
        <x:v>26520</x:v>
      </x:c>
      <x:c r="C404" s="220" t="str">
        <x:v>5</x:v>
      </x:c>
      <x:c r="D404" s="220" t="str">
        <x:v>610098</x:v>
      </x:c>
      <x:c r="E404" s="220" t="str">
        <x:v>969665</x:v>
      </x:c>
      <x:c r="F404" s="220" t="str">
        <x:v>ALIZAR</x:v>
      </x:c>
      <x:c r="G404" s="190" t="str">
        <x:v>T A 1000X50X9 RTO LME PET CIN VER ULTRA</x:v>
      </x:c>
      <x:c r="H404" s="190" t="str"/>
      <x:c r="I404" s="190" t="str"/>
      <x:c r="J404" s="190" t="str"/>
      <x:c r="K404" s="190" t="str">
        <x:v>RECOBERTO PET</x:v>
      </x:c>
      <x:c r="L404" s="190" t="str">
        <x:v>CINZA VERONA</x:v>
      </x:c>
      <x:c r="M404" s="210" t="n">
        <x:v>1</x:v>
      </x:c>
      <x:c r="N404" s="210" t="n">
        <x:v>1000</x:v>
      </x:c>
      <x:c r="O404" s="210" t="n">
        <x:v>50</x:v>
      </x:c>
      <x:c r="P404" s="210" t="n">
        <x:v>9</x:v>
      </x:c>
      <x:c r="Q404" s="211" t="n">
        <x:v>0</x:v>
      </x:c>
      <x:c r="R404" s="207" t="str"/>
      <x:c r="S404" s="207" t="str"/>
      <x:c r="T404" s="207" t="str"/>
      <x:c r="U404" s="207" t="n">
        <x:v>0</x:v>
      </x:c>
      <x:c r="V404" s="208" t="n">
        <x:f>MAX(0,M404-U404)</x:f>
        <x:v>1</x:v>
      </x:c>
      <x:c r="W404" s="209" t="n">
        <x:f>IFERROR(U404/M404,0)</x:f>
        <x:v>0</x:v>
      </x:c>
      <x:c r="X404" s="201" t="str">
        <x:f>IF(U404=0,"Não iniciado",IF(U404&gt;=M404,"Concluído","Parcial"))</x:f>
        <x:v>Não iniciado</x:v>
      </x:c>
      <x:c r="Y404" s="199" t="str"/>
      <x:c r="Z404" s="188" t="str">
        <x:v>Normal</x:v>
      </x:c>
    </x:row>
    <x:row r="405" ht="22" customHeight="1">
      <x:c r="A405" s="217" t="n">
        <x:v>401</x:v>
      </x:c>
      <x:c r="B405" s="218" t="str">
        <x:v>26520</x:v>
      </x:c>
      <x:c r="C405" s="218" t="str">
        <x:v>6</x:v>
      </x:c>
      <x:c r="D405" s="218" t="str">
        <x:v>610104</x:v>
      </x:c>
      <x:c r="E405" s="218" t="str">
        <x:v>969663</x:v>
      </x:c>
      <x:c r="F405" s="218" t="str">
        <x:v>ALIZAR</x:v>
      </x:c>
      <x:c r="G405" s="184" t="str">
        <x:v>T A 1000X50X9 RTO RL55 PET CIN VER ULT)</x:v>
      </x:c>
      <x:c r="H405" s="184" t="str"/>
      <x:c r="I405" s="184" t="str"/>
      <x:c r="J405" s="184" t="str"/>
      <x:c r="K405" s="184" t="str">
        <x:v>RECOBERTO PET</x:v>
      </x:c>
      <x:c r="L405" s="184" t="str">
        <x:v>CINZA VERONA</x:v>
      </x:c>
      <x:c r="M405" s="205" t="n">
        <x:v>1</x:v>
      </x:c>
      <x:c r="N405" s="205" t="n">
        <x:v>1000</x:v>
      </x:c>
      <x:c r="O405" s="205" t="n">
        <x:v>50</x:v>
      </x:c>
      <x:c r="P405" s="205" t="n">
        <x:v>9</x:v>
      </x:c>
      <x:c r="Q405" s="206" t="n">
        <x:v>0</x:v>
      </x:c>
      <x:c r="R405" s="207" t="str"/>
      <x:c r="S405" s="207" t="str"/>
      <x:c r="T405" s="207" t="str"/>
      <x:c r="U405" s="207" t="n">
        <x:v>0</x:v>
      </x:c>
      <x:c r="V405" s="208" t="n">
        <x:f>MAX(0,M405-U405)</x:f>
        <x:v>1</x:v>
      </x:c>
      <x:c r="W405" s="209" t="n">
        <x:f>IFERROR(U405/M405,0)</x:f>
        <x:v>0</x:v>
      </x:c>
      <x:c r="X405" s="201" t="str">
        <x:f>IF(U405=0,"Não iniciado",IF(U405&gt;=M405,"Concluído","Parcial"))</x:f>
        <x:v>Não iniciado</x:v>
      </x:c>
      <x:c r="Y405" s="199" t="str"/>
      <x:c r="Z405" s="188" t="str">
        <x:v>Normal</x:v>
      </x:c>
    </x:row>
    <x:row r="406" ht="22" customHeight="1">
      <x:c r="A406" s="219" t="n">
        <x:v>402</x:v>
      </x:c>
      <x:c r="B406" s="220" t="str">
        <x:v>26520</x:v>
      </x:c>
      <x:c r="C406" s="220" t="str">
        <x:v>6</x:v>
      </x:c>
      <x:c r="D406" s="220" t="str">
        <x:v>610106</x:v>
      </x:c>
      <x:c r="E406" s="220" t="str">
        <x:v>969665</x:v>
      </x:c>
      <x:c r="F406" s="220" t="str">
        <x:v>ALIZAR</x:v>
      </x:c>
      <x:c r="G406" s="190" t="str">
        <x:v>T A 1000X50X9 RTO LME PET CIN VER ULTRA</x:v>
      </x:c>
      <x:c r="H406" s="190" t="str"/>
      <x:c r="I406" s="190" t="str"/>
      <x:c r="J406" s="190" t="str"/>
      <x:c r="K406" s="190" t="str">
        <x:v>RECOBERTO PET</x:v>
      </x:c>
      <x:c r="L406" s="190" t="str">
        <x:v>CINZA VERONA</x:v>
      </x:c>
      <x:c r="M406" s="210" t="n">
        <x:v>1</x:v>
      </x:c>
      <x:c r="N406" s="210" t="n">
        <x:v>1000</x:v>
      </x:c>
      <x:c r="O406" s="210" t="n">
        <x:v>50</x:v>
      </x:c>
      <x:c r="P406" s="210" t="n">
        <x:v>9</x:v>
      </x:c>
      <x:c r="Q406" s="211" t="n">
        <x:v>0</x:v>
      </x:c>
      <x:c r="R406" s="207" t="str"/>
      <x:c r="S406" s="207" t="str"/>
      <x:c r="T406" s="207" t="str"/>
      <x:c r="U406" s="207" t="n">
        <x:v>0</x:v>
      </x:c>
      <x:c r="V406" s="208" t="n">
        <x:f>MAX(0,M406-U406)</x:f>
        <x:v>1</x:v>
      </x:c>
      <x:c r="W406" s="209" t="n">
        <x:f>IFERROR(U406/M406,0)</x:f>
        <x:v>0</x:v>
      </x:c>
      <x:c r="X406" s="201" t="str">
        <x:f>IF(U406=0,"Não iniciado",IF(U406&gt;=M406,"Concluído","Parcial"))</x:f>
        <x:v>Não iniciado</x:v>
      </x:c>
      <x:c r="Y406" s="199" t="str"/>
      <x:c r="Z406" s="188" t="str">
        <x:v>Normal</x:v>
      </x:c>
    </x:row>
    <x:row r="407" ht="22" customHeight="1">
      <x:c r="A407" s="217" t="n">
        <x:v>403</x:v>
      </x:c>
      <x:c r="B407" s="218" t="str">
        <x:v>26796</x:v>
      </x:c>
      <x:c r="C407" s="218" t="str">
        <x:v>2</x:v>
      </x:c>
      <x:c r="D407" s="218" t="str">
        <x:v>609295</x:v>
      </x:c>
      <x:c r="E407" s="218" t="str">
        <x:v>986856</x:v>
      </x:c>
      <x:c r="F407" s="218" t="str">
        <x:v>OUTROS</x:v>
      </x:c>
      <x:c r="G407" s="184" t="str">
        <x:v>T.A 1000X50X9 RT RL35 PET TXT BCO STD</x:v>
      </x:c>
      <x:c r="H407" s="184" t="str"/>
      <x:c r="I407" s="184" t="str"/>
      <x:c r="J407" s="184" t="str"/>
      <x:c r="K407" s="184" t="str">
        <x:v>ESMALTE</x:v>
      </x:c>
      <x:c r="L407" s="184" t="str">
        <x:v>BRANCO</x:v>
      </x:c>
      <x:c r="M407" s="205" t="n">
        <x:v>48</x:v>
      </x:c>
      <x:c r="N407" s="205" t="n">
        <x:v>1000</x:v>
      </x:c>
      <x:c r="O407" s="205" t="n">
        <x:v>50</x:v>
      </x:c>
      <x:c r="P407" s="205" t="n">
        <x:v>9</x:v>
      </x:c>
      <x:c r="Q407" s="206" t="n">
        <x:v>0.022</x:v>
      </x:c>
      <x:c r="R407" s="207" t="str"/>
      <x:c r="S407" s="207" t="str"/>
      <x:c r="T407" s="207" t="str"/>
      <x:c r="U407" s="207" t="n">
        <x:v>0</x:v>
      </x:c>
      <x:c r="V407" s="208" t="n">
        <x:f>MAX(0,M407-U407)</x:f>
        <x:v>48</x:v>
      </x:c>
      <x:c r="W407" s="209" t="n">
        <x:f>IFERROR(U407/M407,0)</x:f>
        <x:v>0</x:v>
      </x:c>
      <x:c r="X407" s="201" t="str">
        <x:f>IF(U407=0,"Não iniciado",IF(U407&gt;=M407,"Concluído","Parcial"))</x:f>
        <x:v>Não iniciado</x:v>
      </x:c>
      <x:c r="Y407" s="199" t="str"/>
      <x:c r="Z407" s="188" t="str">
        <x:v>Normal</x:v>
      </x:c>
    </x:row>
    <x:row r="408" ht="22" customHeight="1">
      <x:c r="A408" s="219" t="n">
        <x:v>404</x:v>
      </x:c>
      <x:c r="B408" s="220" t="str">
        <x:v>26799</x:v>
      </x:c>
      <x:c r="C408" s="220" t="str">
        <x:v>2</x:v>
      </x:c>
      <x:c r="D408" s="220" t="str">
        <x:v>609400</x:v>
      </x:c>
      <x:c r="E408" s="220" t="str">
        <x:v>986856</x:v>
      </x:c>
      <x:c r="F408" s="220" t="str">
        <x:v>OUTROS</x:v>
      </x:c>
      <x:c r="G408" s="190" t="str">
        <x:v>T.A 1000X50X9 RT RL35 PET TXT BCO STD</x:v>
      </x:c>
      <x:c r="H408" s="190" t="str"/>
      <x:c r="I408" s="190" t="str"/>
      <x:c r="J408" s="190" t="str"/>
      <x:c r="K408" s="190" t="str">
        <x:v>ESMALTE</x:v>
      </x:c>
      <x:c r="L408" s="190" t="str">
        <x:v>BRANCO</x:v>
      </x:c>
      <x:c r="M408" s="210" t="n">
        <x:v>16</x:v>
      </x:c>
      <x:c r="N408" s="210" t="n">
        <x:v>1000</x:v>
      </x:c>
      <x:c r="O408" s="210" t="n">
        <x:v>50</x:v>
      </x:c>
      <x:c r="P408" s="210" t="n">
        <x:v>9</x:v>
      </x:c>
      <x:c r="Q408" s="211" t="n">
        <x:v>0.007</x:v>
      </x:c>
      <x:c r="R408" s="207" t="str"/>
      <x:c r="S408" s="207" t="str"/>
      <x:c r="T408" s="207" t="str"/>
      <x:c r="U408" s="207" t="n">
        <x:v>0</x:v>
      </x:c>
      <x:c r="V408" s="208" t="n">
        <x:f>MAX(0,M408-U408)</x:f>
        <x:v>16</x:v>
      </x:c>
      <x:c r="W408" s="209" t="n">
        <x:f>IFERROR(U408/M408,0)</x:f>
        <x:v>0</x:v>
      </x:c>
      <x:c r="X408" s="201" t="str">
        <x:f>IF(U408=0,"Não iniciado",IF(U408&gt;=M408,"Concluído","Parcial"))</x:f>
        <x:v>Não iniciado</x:v>
      </x:c>
      <x:c r="Y408" s="199" t="str"/>
      <x:c r="Z408" s="188" t="str">
        <x:v>Normal</x:v>
      </x:c>
    </x:row>
    <x:row r="409" ht="22" customHeight="1">
      <x:c r="A409" s="217" t="n">
        <x:v>405</x:v>
      </x:c>
      <x:c r="B409" s="218" t="str">
        <x:v>26744</x:v>
      </x:c>
      <x:c r="C409" s="218" t="str">
        <x:v>1</x:v>
      </x:c>
      <x:c r="D409" s="218" t="str">
        <x:v>609991</x:v>
      </x:c>
      <x:c r="E409" s="218" t="str">
        <x:v>962730</x:v>
      </x:c>
      <x:c r="F409" s="218" t="str">
        <x:v>OUTROS</x:v>
      </x:c>
      <x:c r="G409" s="184" t="str">
        <x:v>TR AL 1000X50X9 RTO RL35 REC PET BCO (UL</x:v>
      </x:c>
      <x:c r="H409" s="184" t="str"/>
      <x:c r="I409" s="184" t="str"/>
      <x:c r="J409" s="184" t="str"/>
      <x:c r="K409" s="184" t="str">
        <x:v>RECOBERTO PET</x:v>
      </x:c>
      <x:c r="L409" s="184" t="str">
        <x:v>BRANCO CARRARA</x:v>
      </x:c>
      <x:c r="M409" s="205" t="n">
        <x:v>4</x:v>
      </x:c>
      <x:c r="N409" s="205" t="n">
        <x:v>1000</x:v>
      </x:c>
      <x:c r="O409" s="205" t="n">
        <x:v>50</x:v>
      </x:c>
      <x:c r="P409" s="205" t="n">
        <x:v>9</x:v>
      </x:c>
      <x:c r="Q409" s="206" t="n">
        <x:v>0</x:v>
      </x:c>
      <x:c r="R409" s="207" t="str"/>
      <x:c r="S409" s="207" t="str"/>
      <x:c r="T409" s="207" t="str"/>
      <x:c r="U409" s="207" t="n">
        <x:v>0</x:v>
      </x:c>
      <x:c r="V409" s="208" t="n">
        <x:f>MAX(0,M409-U409)</x:f>
        <x:v>4</x:v>
      </x:c>
      <x:c r="W409" s="209" t="n">
        <x:f>IFERROR(U409/M409,0)</x:f>
        <x:v>0</x:v>
      </x:c>
      <x:c r="X409" s="201" t="str">
        <x:f>IF(U409=0,"Não iniciado",IF(U409&gt;=M409,"Concluído","Parcial"))</x:f>
        <x:v>Não iniciado</x:v>
      </x:c>
      <x:c r="Y409" s="199" t="str"/>
      <x:c r="Z409" s="188" t="str">
        <x:v>Normal</x:v>
      </x:c>
    </x:row>
    <x:row r="410" ht="22" customHeight="1">
      <x:c r="A410" s="219" t="n">
        <x:v>406</x:v>
      </x:c>
      <x:c r="B410" s="220" t="str">
        <x:v>26744</x:v>
      </x:c>
      <x:c r="C410" s="220" t="str">
        <x:v>2</x:v>
      </x:c>
      <x:c r="D410" s="220" t="str">
        <x:v>610000</x:v>
      </x:c>
      <x:c r="E410" s="220" t="str">
        <x:v>962730</x:v>
      </x:c>
      <x:c r="F410" s="220" t="str">
        <x:v>OUTROS</x:v>
      </x:c>
      <x:c r="G410" s="190" t="str">
        <x:v>TR AL 1000X50X9 RTO RL35 REC PET BCO (UL</x:v>
      </x:c>
      <x:c r="H410" s="190" t="str"/>
      <x:c r="I410" s="190" t="str"/>
      <x:c r="J410" s="190" t="str"/>
      <x:c r="K410" s="190" t="str">
        <x:v>RECOBERTO PET</x:v>
      </x:c>
      <x:c r="L410" s="190" t="str">
        <x:v>BRANCO CARRARA</x:v>
      </x:c>
      <x:c r="M410" s="210" t="n">
        <x:v>5</x:v>
      </x:c>
      <x:c r="N410" s="210" t="n">
        <x:v>1000</x:v>
      </x:c>
      <x:c r="O410" s="210" t="n">
        <x:v>50</x:v>
      </x:c>
      <x:c r="P410" s="210" t="n">
        <x:v>9</x:v>
      </x:c>
      <x:c r="Q410" s="211" t="n">
        <x:v>0</x:v>
      </x:c>
      <x:c r="R410" s="207" t="str"/>
      <x:c r="S410" s="207" t="str"/>
      <x:c r="T410" s="207" t="str"/>
      <x:c r="U410" s="207" t="n">
        <x:v>0</x:v>
      </x:c>
      <x:c r="V410" s="208" t="n">
        <x:f>MAX(0,M410-U410)</x:f>
        <x:v>5</x:v>
      </x:c>
      <x:c r="W410" s="209" t="n">
        <x:f>IFERROR(U410/M410,0)</x:f>
        <x:v>0</x:v>
      </x:c>
      <x:c r="X410" s="201" t="str">
        <x:f>IF(U410=0,"Não iniciado",IF(U410&gt;=M410,"Concluído","Parcial"))</x:f>
        <x:v>Não iniciado</x:v>
      </x:c>
      <x:c r="Y410" s="199" t="str"/>
      <x:c r="Z410" s="188" t="str">
        <x:v>Normal</x:v>
      </x:c>
    </x:row>
    <x:row r="411" ht="22" customHeight="1">
      <x:c r="A411" s="217" t="n">
        <x:v>407</x:v>
      </x:c>
      <x:c r="B411" s="218" t="str">
        <x:v>26744</x:v>
      </x:c>
      <x:c r="C411" s="218" t="str">
        <x:v>7</x:v>
      </x:c>
      <x:c r="D411" s="218" t="str">
        <x:v>610026</x:v>
      </x:c>
      <x:c r="E411" s="218" t="str">
        <x:v>962730</x:v>
      </x:c>
      <x:c r="F411" s="218" t="str">
        <x:v>OUTROS</x:v>
      </x:c>
      <x:c r="G411" s="184" t="str">
        <x:v>TR AL 1000X50X9 RTO RL35 REC PET BCO (UL</x:v>
      </x:c>
      <x:c r="H411" s="184" t="str">
        <x:v>REG 2L(MAIOR 35mm)</x:v>
      </x:c>
      <x:c r="I411" s="184" t="str"/>
      <x:c r="J411" s="184" t="str"/>
      <x:c r="K411" s="184" t="str">
        <x:v>RECOBERTO PET</x:v>
      </x:c>
      <x:c r="L411" s="184" t="str">
        <x:v>BRANCO CARRARA</x:v>
      </x:c>
      <x:c r="M411" s="205" t="n">
        <x:v>2</x:v>
      </x:c>
      <x:c r="N411" s="205" t="n">
        <x:v>1000</x:v>
      </x:c>
      <x:c r="O411" s="205" t="n">
        <x:v>50</x:v>
      </x:c>
      <x:c r="P411" s="205" t="n">
        <x:v>9</x:v>
      </x:c>
      <x:c r="Q411" s="206" t="n">
        <x:v>0</x:v>
      </x:c>
      <x:c r="R411" s="207" t="str"/>
      <x:c r="S411" s="207" t="str"/>
      <x:c r="T411" s="207" t="str"/>
      <x:c r="U411" s="207" t="n">
        <x:v>0</x:v>
      </x:c>
      <x:c r="V411" s="208" t="n">
        <x:f>MAX(0,M411-U411)</x:f>
        <x:v>2</x:v>
      </x:c>
      <x:c r="W411" s="209" t="n">
        <x:f>IFERROR(U411/M411,0)</x:f>
        <x:v>0</x:v>
      </x:c>
      <x:c r="X411" s="201" t="str">
        <x:f>IF(U411=0,"Não iniciado",IF(U411&gt;=M411,"Concluído","Parcial"))</x:f>
        <x:v>Não iniciado</x:v>
      </x:c>
      <x:c r="Y411" s="199" t="str"/>
      <x:c r="Z411" s="188" t="str">
        <x:v>Normal</x:v>
      </x:c>
    </x:row>
    <x:row r="412" ht="22" customHeight="1">
      <x:c r="A412" s="219" t="n">
        <x:v>408</x:v>
      </x:c>
      <x:c r="B412" s="220" t="str">
        <x:v>26796</x:v>
      </x:c>
      <x:c r="C412" s="220" t="str">
        <x:v>1</x:v>
      </x:c>
      <x:c r="D412" s="220" t="str">
        <x:v>609287</x:v>
      </x:c>
      <x:c r="E412" s="220" t="str">
        <x:v>986856</x:v>
      </x:c>
      <x:c r="F412" s="220" t="str">
        <x:v>OUTROS</x:v>
      </x:c>
      <x:c r="G412" s="190" t="str">
        <x:v>T.A 1000X50X9 RT RL35 PET TXT BCO STD</x:v>
      </x:c>
      <x:c r="H412" s="190" t="str"/>
      <x:c r="I412" s="190" t="str"/>
      <x:c r="J412" s="190" t="str"/>
      <x:c r="K412" s="190" t="str">
        <x:v>ESMALTE</x:v>
      </x:c>
      <x:c r="L412" s="190" t="str">
        <x:v>BRANCO CARRARA</x:v>
      </x:c>
      <x:c r="M412" s="210" t="n">
        <x:v>216</x:v>
      </x:c>
      <x:c r="N412" s="210" t="n">
        <x:v>1000</x:v>
      </x:c>
      <x:c r="O412" s="210" t="n">
        <x:v>50</x:v>
      </x:c>
      <x:c r="P412" s="210" t="n">
        <x:v>9</x:v>
      </x:c>
      <x:c r="Q412" s="211" t="n">
        <x:v>0.097</x:v>
      </x:c>
      <x:c r="R412" s="207" t="str"/>
      <x:c r="S412" s="207" t="str"/>
      <x:c r="T412" s="207" t="str"/>
      <x:c r="U412" s="207" t="n">
        <x:v>0</x:v>
      </x:c>
      <x:c r="V412" s="208" t="n">
        <x:f>MAX(0,M412-U412)</x:f>
        <x:v>216</x:v>
      </x:c>
      <x:c r="W412" s="209" t="n">
        <x:f>IFERROR(U412/M412,0)</x:f>
        <x:v>0</x:v>
      </x:c>
      <x:c r="X412" s="201" t="str">
        <x:f>IF(U412=0,"Não iniciado",IF(U412&gt;=M412,"Concluído","Parcial"))</x:f>
        <x:v>Não iniciado</x:v>
      </x:c>
      <x:c r="Y412" s="199" t="str"/>
      <x:c r="Z412" s="188" t="str">
        <x:v>Normal</x:v>
      </x:c>
    </x:row>
    <x:row r="413" ht="22" customHeight="1">
      <x:c r="A413" s="217" t="n">
        <x:v>409</x:v>
      </x:c>
      <x:c r="B413" s="218" t="str">
        <x:v>26799</x:v>
      </x:c>
      <x:c r="C413" s="218" t="str">
        <x:v>1</x:v>
      </x:c>
      <x:c r="D413" s="218" t="str">
        <x:v>609392</x:v>
      </x:c>
      <x:c r="E413" s="218" t="str">
        <x:v>986856</x:v>
      </x:c>
      <x:c r="F413" s="218" t="str">
        <x:v>OUTROS</x:v>
      </x:c>
      <x:c r="G413" s="184" t="str">
        <x:v>T.A 1000X50X9 RT RL35 PET TXT BCO STD</x:v>
      </x:c>
      <x:c r="H413" s="184" t="str"/>
      <x:c r="I413" s="184" t="str"/>
      <x:c r="J413" s="184" t="str"/>
      <x:c r="K413" s="184" t="str">
        <x:v>ESMALTE</x:v>
      </x:c>
      <x:c r="L413" s="184" t="str">
        <x:v>BRANCO CARRARA</x:v>
      </x:c>
      <x:c r="M413" s="205" t="n">
        <x:v>72</x:v>
      </x:c>
      <x:c r="N413" s="205" t="n">
        <x:v>1000</x:v>
      </x:c>
      <x:c r="O413" s="205" t="n">
        <x:v>50</x:v>
      </x:c>
      <x:c r="P413" s="205" t="n">
        <x:v>9</x:v>
      </x:c>
      <x:c r="Q413" s="206" t="n">
        <x:v>0.032</x:v>
      </x:c>
      <x:c r="R413" s="207" t="str"/>
      <x:c r="S413" s="207" t="str"/>
      <x:c r="T413" s="207" t="str"/>
      <x:c r="U413" s="207" t="n">
        <x:v>0</x:v>
      </x:c>
      <x:c r="V413" s="208" t="n">
        <x:f>MAX(0,M413-U413)</x:f>
        <x:v>72</x:v>
      </x:c>
      <x:c r="W413" s="209" t="n">
        <x:f>IFERROR(U413/M413,0)</x:f>
        <x:v>0</x:v>
      </x:c>
      <x:c r="X413" s="201" t="str">
        <x:f>IF(U413=0,"Não iniciado",IF(U413&gt;=M413,"Concluído","Parcial"))</x:f>
        <x:v>Não iniciado</x:v>
      </x:c>
      <x:c r="Y413" s="199" t="str"/>
      <x:c r="Z413" s="188" t="str">
        <x:v>Normal</x:v>
      </x:c>
    </x:row>
    <x:row r="414" ht="22" customHeight="1">
      <x:c r="A414" s="219" t="n">
        <x:v>410</x:v>
      </x:c>
      <x:c r="B414" s="220" t="str">
        <x:v>26520</x:v>
      </x:c>
      <x:c r="C414" s="220" t="str">
        <x:v>9</x:v>
      </x:c>
      <x:c r="D414" s="220" t="str">
        <x:v>610116</x:v>
      </x:c>
      <x:c r="E414" s="220" t="str">
        <x:v>975916</x:v>
      </x:c>
      <x:c r="F414" s="220" t="str">
        <x:v>OUTROS</x:v>
      </x:c>
      <x:c r="G414" s="190" t="str">
        <x:v>TR AL 1000X50X9 RTO RL55 REC PET CURUP(U</x:v>
      </x:c>
      <x:c r="H414" s="190" t="str">
        <x:v>REG 1L(MAIOR 55MM)</x:v>
      </x:c>
      <x:c r="I414" s="190" t="str"/>
      <x:c r="J414" s="190" t="str"/>
      <x:c r="K414" s="190" t="str">
        <x:v>RECOBERTO PET</x:v>
      </x:c>
      <x:c r="L414" s="190" t="str">
        <x:v>CURUPIXA RAVENNA</x:v>
      </x:c>
      <x:c r="M414" s="210" t="n">
        <x:v>1</x:v>
      </x:c>
      <x:c r="N414" s="210" t="n">
        <x:v>1000</x:v>
      </x:c>
      <x:c r="O414" s="210" t="n">
        <x:v>50</x:v>
      </x:c>
      <x:c r="P414" s="210" t="n">
        <x:v>9</x:v>
      </x:c>
      <x:c r="Q414" s="211" t="n">
        <x:v>0</x:v>
      </x:c>
      <x:c r="R414" s="207" t="str"/>
      <x:c r="S414" s="207" t="str"/>
      <x:c r="T414" s="207" t="str"/>
      <x:c r="U414" s="207" t="n">
        <x:v>0</x:v>
      </x:c>
      <x:c r="V414" s="208" t="n">
        <x:f>MAX(0,M414-U414)</x:f>
        <x:v>1</x:v>
      </x:c>
      <x:c r="W414" s="209" t="n">
        <x:f>IFERROR(U414/M414,0)</x:f>
        <x:v>0</x:v>
      </x:c>
      <x:c r="X414" s="201" t="str">
        <x:f>IF(U414=0,"Não iniciado",IF(U414&gt;=M414,"Concluído","Parcial"))</x:f>
        <x:v>Não iniciado</x:v>
      </x:c>
      <x:c r="Y414" s="199" t="str"/>
      <x:c r="Z414" s="188" t="str">
        <x:v>Normal</x:v>
      </x:c>
    </x:row>
    <x:row r="415" ht="22" customHeight="1">
      <x:c r="A415" s="217" t="n">
        <x:v>411</x:v>
      </x:c>
      <x:c r="B415" s="218" t="str">
        <x:v>26520</x:v>
      </x:c>
      <x:c r="C415" s="218" t="str">
        <x:v>11</x:v>
      </x:c>
      <x:c r="D415" s="218" t="str">
        <x:v>610125</x:v>
      </x:c>
      <x:c r="E415" s="218" t="str">
        <x:v>975916</x:v>
      </x:c>
      <x:c r="F415" s="218" t="str">
        <x:v>OUTROS</x:v>
      </x:c>
      <x:c r="G415" s="184" t="str">
        <x:v>TR AL 1000X50X9 RTO RL55 REC PET CURUP(U</x:v>
      </x:c>
      <x:c r="H415" s="184" t="str"/>
      <x:c r="I415" s="184" t="str"/>
      <x:c r="J415" s="184" t="str"/>
      <x:c r="K415" s="184" t="str">
        <x:v>RECOBERTO PET</x:v>
      </x:c>
      <x:c r="L415" s="184" t="str">
        <x:v>CURUPIXA RAVENNA</x:v>
      </x:c>
      <x:c r="M415" s="205" t="n">
        <x:v>3</x:v>
      </x:c>
      <x:c r="N415" s="205" t="n">
        <x:v>1000</x:v>
      </x:c>
      <x:c r="O415" s="205" t="n">
        <x:v>50</x:v>
      </x:c>
      <x:c r="P415" s="205" t="n">
        <x:v>9</x:v>
      </x:c>
      <x:c r="Q415" s="206" t="n">
        <x:v>0</x:v>
      </x:c>
      <x:c r="R415" s="207" t="str"/>
      <x:c r="S415" s="207" t="str"/>
      <x:c r="T415" s="207" t="str"/>
      <x:c r="U415" s="207" t="n">
        <x:v>0</x:v>
      </x:c>
      <x:c r="V415" s="208" t="n">
        <x:f>MAX(0,M415-U415)</x:f>
        <x:v>3</x:v>
      </x:c>
      <x:c r="W415" s="209" t="n">
        <x:f>IFERROR(U415/M415,0)</x:f>
        <x:v>0</x:v>
      </x:c>
      <x:c r="X415" s="201" t="str">
        <x:f>IF(U415=0,"Não iniciado",IF(U415&gt;=M415,"Concluído","Parcial"))</x:f>
        <x:v>Não iniciado</x:v>
      </x:c>
      <x:c r="Y415" s="199" t="str"/>
      <x:c r="Z415" s="188" t="str">
        <x:v>Normal</x:v>
      </x:c>
    </x:row>
    <x:row r="416" ht="22" customHeight="1">
      <x:c r="A416" s="219" t="n">
        <x:v>412</x:v>
      </x:c>
      <x:c r="B416" s="220" t="str">
        <x:v>26520</x:v>
      </x:c>
      <x:c r="C416" s="220" t="str">
        <x:v>11</x:v>
      </x:c>
      <x:c r="D416" s="220" t="str">
        <x:v>610127</x:v>
      </x:c>
      <x:c r="E416" s="220" t="str">
        <x:v>975919</x:v>
      </x:c>
      <x:c r="F416" s="220" t="str">
        <x:v>OUTROS</x:v>
      </x:c>
      <x:c r="G416" s="190" t="str">
        <x:v>TR AL 1000X50X9 RTO LME REC PET CURUP(UL</x:v>
      </x:c>
      <x:c r="H416" s="190" t="str"/>
      <x:c r="I416" s="190" t="str"/>
      <x:c r="J416" s="190" t="str"/>
      <x:c r="K416" s="190" t="str">
        <x:v>RECOBERTO PET</x:v>
      </x:c>
      <x:c r="L416" s="190" t="str">
        <x:v>CURUPIXA RAVENNA</x:v>
      </x:c>
      <x:c r="M416" s="210" t="n">
        <x:v>3</x:v>
      </x:c>
      <x:c r="N416" s="210" t="n">
        <x:v>1000</x:v>
      </x:c>
      <x:c r="O416" s="210" t="n">
        <x:v>50</x:v>
      </x:c>
      <x:c r="P416" s="210" t="n">
        <x:v>9</x:v>
      </x:c>
      <x:c r="Q416" s="211" t="n">
        <x:v>0</x:v>
      </x:c>
      <x:c r="R416" s="207" t="str"/>
      <x:c r="S416" s="207" t="str"/>
      <x:c r="T416" s="207" t="str"/>
      <x:c r="U416" s="207" t="n">
        <x:v>0</x:v>
      </x:c>
      <x:c r="V416" s="208" t="n">
        <x:f>MAX(0,M416-U416)</x:f>
        <x:v>3</x:v>
      </x:c>
      <x:c r="W416" s="209" t="n">
        <x:f>IFERROR(U416/M416,0)</x:f>
        <x:v>0</x:v>
      </x:c>
      <x:c r="X416" s="201" t="str">
        <x:f>IF(U416=0,"Não iniciado",IF(U416&gt;=M416,"Concluído","Parcial"))</x:f>
        <x:v>Não iniciado</x:v>
      </x:c>
      <x:c r="Y416" s="199" t="str"/>
      <x:c r="Z416" s="188" t="str">
        <x:v>Normal</x:v>
      </x:c>
    </x:row>
    <x:row r="417" ht="22" customHeight="1">
      <x:c r="A417" s="217" t="n">
        <x:v>413</x:v>
      </x:c>
      <x:c r="B417" s="218" t="str">
        <x:v>26520</x:v>
      </x:c>
      <x:c r="C417" s="218" t="str">
        <x:v>12</x:v>
      </x:c>
      <x:c r="D417" s="218" t="str">
        <x:v>610133</x:v>
      </x:c>
      <x:c r="E417" s="218" t="str">
        <x:v>975916</x:v>
      </x:c>
      <x:c r="F417" s="218" t="str">
        <x:v>OUTROS</x:v>
      </x:c>
      <x:c r="G417" s="184" t="str">
        <x:v>TR AL 1000X50X9 RTO RL55 REC PET CURUP(U</x:v>
      </x:c>
      <x:c r="H417" s="184" t="str"/>
      <x:c r="I417" s="184" t="str"/>
      <x:c r="J417" s="184" t="str"/>
      <x:c r="K417" s="184" t="str">
        <x:v>RECOBERTO PET</x:v>
      </x:c>
      <x:c r="L417" s="184" t="str">
        <x:v>CURUPIXA RAVENNA</x:v>
      </x:c>
      <x:c r="M417" s="205" t="n">
        <x:v>1</x:v>
      </x:c>
      <x:c r="N417" s="205" t="n">
        <x:v>1000</x:v>
      </x:c>
      <x:c r="O417" s="205" t="n">
        <x:v>50</x:v>
      </x:c>
      <x:c r="P417" s="205" t="n">
        <x:v>9</x:v>
      </x:c>
      <x:c r="Q417" s="206" t="n">
        <x:v>0</x:v>
      </x:c>
      <x:c r="R417" s="207" t="str"/>
      <x:c r="S417" s="207" t="str"/>
      <x:c r="T417" s="207" t="str"/>
      <x:c r="U417" s="207" t="n">
        <x:v>0</x:v>
      </x:c>
      <x:c r="V417" s="208" t="n">
        <x:f>MAX(0,M417-U417)</x:f>
        <x:v>1</x:v>
      </x:c>
      <x:c r="W417" s="209" t="n">
        <x:f>IFERROR(U417/M417,0)</x:f>
        <x:v>0</x:v>
      </x:c>
      <x:c r="X417" s="201" t="str">
        <x:f>IF(U417=0,"Não iniciado",IF(U417&gt;=M417,"Concluído","Parcial"))</x:f>
        <x:v>Não iniciado</x:v>
      </x:c>
      <x:c r="Y417" s="199" t="str"/>
      <x:c r="Z417" s="188" t="str">
        <x:v>Normal</x:v>
      </x:c>
    </x:row>
    <x:row r="418" ht="22" customHeight="1">
      <x:c r="A418" s="219" t="n">
        <x:v>414</x:v>
      </x:c>
      <x:c r="B418" s="220" t="str">
        <x:v>26520</x:v>
      </x:c>
      <x:c r="C418" s="220" t="str">
        <x:v>12</x:v>
      </x:c>
      <x:c r="D418" s="220" t="str">
        <x:v>610135</x:v>
      </x:c>
      <x:c r="E418" s="220" t="str">
        <x:v>975919</x:v>
      </x:c>
      <x:c r="F418" s="220" t="str">
        <x:v>OUTROS</x:v>
      </x:c>
      <x:c r="G418" s="190" t="str">
        <x:v>TR AL 1000X50X9 RTO LME REC PET CURUP(UL</x:v>
      </x:c>
      <x:c r="H418" s="190" t="str"/>
      <x:c r="I418" s="190" t="str"/>
      <x:c r="J418" s="190" t="str"/>
      <x:c r="K418" s="190" t="str">
        <x:v>RECOBERTO PET</x:v>
      </x:c>
      <x:c r="L418" s="190" t="str">
        <x:v>CURUPIXA RAVENNA</x:v>
      </x:c>
      <x:c r="M418" s="210" t="n">
        <x:v>1</x:v>
      </x:c>
      <x:c r="N418" s="210" t="n">
        <x:v>1000</x:v>
      </x:c>
      <x:c r="O418" s="210" t="n">
        <x:v>50</x:v>
      </x:c>
      <x:c r="P418" s="210" t="n">
        <x:v>9</x:v>
      </x:c>
      <x:c r="Q418" s="211" t="n">
        <x:v>0</x:v>
      </x:c>
      <x:c r="R418" s="207" t="str"/>
      <x:c r="S418" s="207" t="str"/>
      <x:c r="T418" s="207" t="str"/>
      <x:c r="U418" s="207" t="n">
        <x:v>0</x:v>
      </x:c>
      <x:c r="V418" s="208" t="n">
        <x:f>MAX(0,M418-U418)</x:f>
        <x:v>1</x:v>
      </x:c>
      <x:c r="W418" s="209" t="n">
        <x:f>IFERROR(U418/M418,0)</x:f>
        <x:v>0</x:v>
      </x:c>
      <x:c r="X418" s="201" t="str">
        <x:f>IF(U418=0,"Não iniciado",IF(U418&gt;=M418,"Concluído","Parcial"))</x:f>
        <x:v>Não iniciado</x:v>
      </x:c>
      <x:c r="Y418" s="199" t="str"/>
      <x:c r="Z418" s="188" t="str">
        <x:v>Normal</x:v>
      </x:c>
    </x:row>
    <x:row r="419" ht="22" customHeight="1">
      <x:c r="A419" s="217" t="n">
        <x:v>415</x:v>
      </x:c>
      <x:c r="B419" s="218" t="str">
        <x:v>26750</x:v>
      </x:c>
      <x:c r="C419" s="218" t="str">
        <x:v>9</x:v>
      </x:c>
      <x:c r="D419" s="218" t="str">
        <x:v>609802</x:v>
      </x:c>
      <x:c r="E419" s="218" t="str">
        <x:v>961470</x:v>
      </x:c>
      <x:c r="F419" s="218" t="str">
        <x:v>BAGUETE</x:v>
      </x:c>
      <x:c r="G419" s="184" t="str">
        <x:v>BAG 2200X40X14 RTO BTA. PVC REN BCO</x:v>
      </x:c>
      <x:c r="H419" s="184" t="str"/>
      <x:c r="I419" s="184" t="str"/>
      <x:c r="J419" s="184" t="str"/>
      <x:c r="K419" s="184" t="str">
        <x:v>RECOBERTO PVC RENOLIT</x:v>
      </x:c>
      <x:c r="L419" s="184" t="str">
        <x:v>BRANCO</x:v>
      </x:c>
      <x:c r="M419" s="205" t="n">
        <x:v>25</x:v>
      </x:c>
      <x:c r="N419" s="205" t="n">
        <x:v>2200</x:v>
      </x:c>
      <x:c r="O419" s="205" t="n">
        <x:v>40</x:v>
      </x:c>
      <x:c r="P419" s="205" t="n">
        <x:v>14</x:v>
      </x:c>
      <x:c r="Q419" s="206" t="n">
        <x:v>0.031</x:v>
      </x:c>
      <x:c r="R419" s="207" t="str"/>
      <x:c r="S419" s="207" t="str"/>
      <x:c r="T419" s="207" t="str"/>
      <x:c r="U419" s="207" t="n">
        <x:v>0</x:v>
      </x:c>
      <x:c r="V419" s="208" t="n">
        <x:f>MAX(0,M419-U419)</x:f>
        <x:v>25</x:v>
      </x:c>
      <x:c r="W419" s="209" t="n">
        <x:f>IFERROR(U419/M419,0)</x:f>
        <x:v>0</x:v>
      </x:c>
      <x:c r="X419" s="201" t="str">
        <x:f>IF(U419=0,"Não iniciado",IF(U419&gt;=M419,"Concluído","Parcial"))</x:f>
        <x:v>Não iniciado</x:v>
      </x:c>
      <x:c r="Y419" s="199" t="str"/>
      <x:c r="Z419" s="188" t="str">
        <x:v>Normal</x:v>
      </x:c>
    </x:row>
    <x:row r="420" ht="22" customHeight="1">
      <x:c r="A420" s="219" t="n">
        <x:v>416</x:v>
      </x:c>
      <x:c r="B420" s="220" t="str">
        <x:v>26739</x:v>
      </x:c>
      <x:c r="C420" s="220" t="str">
        <x:v>26</x:v>
      </x:c>
      <x:c r="D420" s="220" t="str">
        <x:v>609782</x:v>
      </x:c>
      <x:c r="E420" s="220" t="str">
        <x:v>675659</x:v>
      </x:c>
      <x:c r="F420" s="220" t="str">
        <x:v>BAGUETE</x:v>
      </x:c>
      <x:c r="G420" s="190" t="str">
        <x:v>BAGUETE 2200X40X14 RTO BTA. REC PET BRC</x:v>
      </x:c>
      <x:c r="H420" s="190" t="str"/>
      <x:c r="I420" s="190" t="str"/>
      <x:c r="J420" s="190" t="str"/>
      <x:c r="K420" s="190" t="str">
        <x:v>RECOBERTO PET</x:v>
      </x:c>
      <x:c r="L420" s="190" t="str">
        <x:v>BRANCO CARRARA</x:v>
      </x:c>
      <x:c r="M420" s="210" t="n">
        <x:v>35</x:v>
      </x:c>
      <x:c r="N420" s="210" t="n">
        <x:v>2200</x:v>
      </x:c>
      <x:c r="O420" s="210" t="n">
        <x:v>40</x:v>
      </x:c>
      <x:c r="P420" s="210" t="n">
        <x:v>14</x:v>
      </x:c>
      <x:c r="Q420" s="211" t="n">
        <x:v>0.043</x:v>
      </x:c>
      <x:c r="R420" s="207" t="str"/>
      <x:c r="S420" s="207" t="str"/>
      <x:c r="T420" s="207" t="str"/>
      <x:c r="U420" s="207" t="n">
        <x:v>0</x:v>
      </x:c>
      <x:c r="V420" s="208" t="n">
        <x:f>MAX(0,M420-U420)</x:f>
        <x:v>35</x:v>
      </x:c>
      <x:c r="W420" s="209" t="n">
        <x:f>IFERROR(U420/M420,0)</x:f>
        <x:v>0</x:v>
      </x:c>
      <x:c r="X420" s="201" t="str">
        <x:f>IF(U420=0,"Não iniciado",IF(U420&gt;=M420,"Concluído","Parcial"))</x:f>
        <x:v>Não iniciado</x:v>
      </x:c>
      <x:c r="Y420" s="199" t="str"/>
      <x:c r="Z420" s="188" t="str">
        <x:v>Normal</x:v>
      </x:c>
    </x:row>
    <x:row r="421" ht="22" customHeight="1">
      <x:c r="A421" s="217" t="n">
        <x:v>417</x:v>
      </x:c>
      <x:c r="B421" s="218" t="str">
        <x:v>26820</x:v>
      </x:c>
      <x:c r="C421" s="218" t="str">
        <x:v>1</x:v>
      </x:c>
      <x:c r="D421" s="218" t="str">
        <x:v>610053</x:v>
      </x:c>
      <x:c r="E421" s="218" t="str">
        <x:v>2020700639</x:v>
      </x:c>
      <x:c r="F421" s="218" t="str">
        <x:v>OUTROS</x:v>
      </x:c>
      <x:c r="G421" s="184" t="str">
        <x:v>A ULTRA PET BCO CAR 1200X40X9 RG(ME) RTO</x:v>
      </x:c>
      <x:c r="H421" s="184" t="str">
        <x:v>REG 2L(MAIOR 80MM)</x:v>
      </x:c>
      <x:c r="I421" s="184" t="str"/>
      <x:c r="J421" s="184" t="str"/>
      <x:c r="K421" s="184" t="str">
        <x:v>RECOBERTO PET</x:v>
      </x:c>
      <x:c r="L421" s="184" t="str">
        <x:v>BRANCO CARRARA</x:v>
      </x:c>
      <x:c r="M421" s="205" t="n">
        <x:v>30</x:v>
      </x:c>
      <x:c r="N421" s="205" t="n">
        <x:v>1200</x:v>
      </x:c>
      <x:c r="O421" s="205" t="n">
        <x:v>40</x:v>
      </x:c>
      <x:c r="P421" s="205" t="n">
        <x:v>9</x:v>
      </x:c>
      <x:c r="Q421" s="206" t="n">
        <x:v>0</x:v>
      </x:c>
      <x:c r="R421" s="207" t="str"/>
      <x:c r="S421" s="207" t="str"/>
      <x:c r="T421" s="207" t="str"/>
      <x:c r="U421" s="207" t="n">
        <x:v>0</x:v>
      </x:c>
      <x:c r="V421" s="208" t="n">
        <x:f>MAX(0,M421-U421)</x:f>
        <x:v>30</x:v>
      </x:c>
      <x:c r="W421" s="209" t="n">
        <x:f>IFERROR(U421/M421,0)</x:f>
        <x:v>0</x:v>
      </x:c>
      <x:c r="X421" s="201" t="str">
        <x:f>IF(U421=0,"Não iniciado",IF(U421&gt;=M421,"Concluído","Parcial"))</x:f>
        <x:v>Não iniciado</x:v>
      </x:c>
      <x:c r="Y421" s="199" t="str"/>
      <x:c r="Z421" s="188" t="str">
        <x:v>Normal</x:v>
      </x:c>
    </x:row>
    <x:row r="422" ht="22" customHeight="1">
      <x:c r="A422" s="219" t="n">
        <x:v>418</x:v>
      </x:c>
      <x:c r="B422" s="220" t="str">
        <x:v>26820</x:v>
      </x:c>
      <x:c r="C422" s="220" t="str">
        <x:v>1</x:v>
      </x:c>
      <x:c r="D422" s="220" t="str">
        <x:v>610054</x:v>
      </x:c>
      <x:c r="E422" s="220" t="str">
        <x:v>2020700640</x:v>
      </x:c>
      <x:c r="F422" s="220" t="str">
        <x:v>OUTROS</x:v>
      </x:c>
      <x:c r="G422" s="190" t="str">
        <x:v>A ULTRA PET BCO CAR 1200X40X9 RG(80) RTO</x:v>
      </x:c>
      <x:c r="H422" s="190" t="str">
        <x:v>REG 2L(MAIOR 80MM)</x:v>
      </x:c>
      <x:c r="I422" s="190" t="str"/>
      <x:c r="J422" s="190" t="str"/>
      <x:c r="K422" s="190" t="str">
        <x:v>RECOBERTO PET</x:v>
      </x:c>
      <x:c r="L422" s="190" t="str">
        <x:v>BRANCO CARRARA</x:v>
      </x:c>
      <x:c r="M422" s="210" t="n">
        <x:v>30</x:v>
      </x:c>
      <x:c r="N422" s="210" t="n">
        <x:v>1200</x:v>
      </x:c>
      <x:c r="O422" s="210" t="n">
        <x:v>40</x:v>
      </x:c>
      <x:c r="P422" s="210" t="n">
        <x:v>9</x:v>
      </x:c>
      <x:c r="Q422" s="211" t="n">
        <x:v>0</x:v>
      </x:c>
      <x:c r="R422" s="207" t="str"/>
      <x:c r="S422" s="207" t="str"/>
      <x:c r="T422" s="207" t="str"/>
      <x:c r="U422" s="207" t="n">
        <x:v>0</x:v>
      </x:c>
      <x:c r="V422" s="208" t="n">
        <x:f>MAX(0,M422-U422)</x:f>
        <x:v>30</x:v>
      </x:c>
      <x:c r="W422" s="209" t="n">
        <x:f>IFERROR(U422/M422,0)</x:f>
        <x:v>0</x:v>
      </x:c>
      <x:c r="X422" s="201" t="str">
        <x:f>IF(U422=0,"Não iniciado",IF(U422&gt;=M422,"Concluído","Parcial"))</x:f>
        <x:v>Não iniciado</x:v>
      </x:c>
      <x:c r="Y422" s="199" t="str"/>
      <x:c r="Z422" s="188" t="str">
        <x:v>Normal</x:v>
      </x:c>
    </x:row>
    <x:row r="423" ht="22" customHeight="1">
      <x:c r="A423" s="217" t="n">
        <x:v>419</x:v>
      </x:c>
      <x:c r="B423" s="218" t="str">
        <x:v>26820</x:v>
      </x:c>
      <x:c r="C423" s="218" t="str">
        <x:v>2</x:v>
      </x:c>
      <x:c r="D423" s="218" t="str">
        <x:v>610058</x:v>
      </x:c>
      <x:c r="E423" s="218" t="str">
        <x:v>2020700643</x:v>
      </x:c>
      <x:c r="F423" s="218" t="str">
        <x:v>OUTROS</x:v>
      </x:c>
      <x:c r="G423" s="184" t="str">
        <x:v>A ULTRA PET BCO CAR 1200X30X9 RG(ME) RTO</x:v>
      </x:c>
      <x:c r="H423" s="184" t="str">
        <x:v>REG 2L(MAIOR 80MM)</x:v>
      </x:c>
      <x:c r="I423" s="184" t="str"/>
      <x:c r="J423" s="184" t="str"/>
      <x:c r="K423" s="184" t="str">
        <x:v>RECOBERTO PET</x:v>
      </x:c>
      <x:c r="L423" s="184" t="str">
        <x:v>BRANCO CARRARA</x:v>
      </x:c>
      <x:c r="M423" s="205" t="n">
        <x:v>10</x:v>
      </x:c>
      <x:c r="N423" s="205" t="n">
        <x:v>1200</x:v>
      </x:c>
      <x:c r="O423" s="205" t="n">
        <x:v>30</x:v>
      </x:c>
      <x:c r="P423" s="205" t="n">
        <x:v>9</x:v>
      </x:c>
      <x:c r="Q423" s="206" t="n">
        <x:v>0</x:v>
      </x:c>
      <x:c r="R423" s="207" t="str"/>
      <x:c r="S423" s="207" t="str"/>
      <x:c r="T423" s="207" t="str"/>
      <x:c r="U423" s="207" t="n">
        <x:v>0</x:v>
      </x:c>
      <x:c r="V423" s="208" t="n">
        <x:f>MAX(0,M423-U423)</x:f>
        <x:v>10</x:v>
      </x:c>
      <x:c r="W423" s="209" t="n">
        <x:f>IFERROR(U423/M423,0)</x:f>
        <x:v>0</x:v>
      </x:c>
      <x:c r="X423" s="201" t="str">
        <x:f>IF(U423=0,"Não iniciado",IF(U423&gt;=M423,"Concluído","Parcial"))</x:f>
        <x:v>Não iniciado</x:v>
      </x:c>
      <x:c r="Y423" s="199" t="str"/>
      <x:c r="Z423" s="188" t="str">
        <x:v>Normal</x:v>
      </x:c>
    </x:row>
    <x:row r="424" ht="22" customHeight="1">
      <x:c r="A424" s="219" t="n">
        <x:v>420</x:v>
      </x:c>
      <x:c r="B424" s="220" t="str">
        <x:v>26820</x:v>
      </x:c>
      <x:c r="C424" s="220" t="str">
        <x:v>2</x:v>
      </x:c>
      <x:c r="D424" s="220" t="str">
        <x:v>610059</x:v>
      </x:c>
      <x:c r="E424" s="220" t="str">
        <x:v>2020700644</x:v>
      </x:c>
      <x:c r="F424" s="220" t="str">
        <x:v>OUTROS</x:v>
      </x:c>
      <x:c r="G424" s="190" t="str">
        <x:v>A ULTRA PET BCO CAR 1200X30X9 RG(80) RTO</x:v>
      </x:c>
      <x:c r="H424" s="190" t="str">
        <x:v>REG 2L(MAIOR 80MM)</x:v>
      </x:c>
      <x:c r="I424" s="190" t="str"/>
      <x:c r="J424" s="190" t="str"/>
      <x:c r="K424" s="190" t="str">
        <x:v>RECOBERTO PET</x:v>
      </x:c>
      <x:c r="L424" s="190" t="str">
        <x:v>BRANCO CARRARA</x:v>
      </x:c>
      <x:c r="M424" s="210" t="n">
        <x:v>10</x:v>
      </x:c>
      <x:c r="N424" s="210" t="n">
        <x:v>1200</x:v>
      </x:c>
      <x:c r="O424" s="210" t="n">
        <x:v>30</x:v>
      </x:c>
      <x:c r="P424" s="210" t="n">
        <x:v>9</x:v>
      </x:c>
      <x:c r="Q424" s="211" t="n">
        <x:v>0</x:v>
      </x:c>
      <x:c r="R424" s="207" t="str"/>
      <x:c r="S424" s="207" t="str"/>
      <x:c r="T424" s="207" t="str"/>
      <x:c r="U424" s="207" t="n">
        <x:v>0</x:v>
      </x:c>
      <x:c r="V424" s="208" t="n">
        <x:f>MAX(0,M424-U424)</x:f>
        <x:v>10</x:v>
      </x:c>
      <x:c r="W424" s="209" t="n">
        <x:f>IFERROR(U424/M424,0)</x:f>
        <x:v>0</x:v>
      </x:c>
      <x:c r="X424" s="201" t="str">
        <x:f>IF(U424=0,"Não iniciado",IF(U424&gt;=M424,"Concluído","Parcial"))</x:f>
        <x:v>Não iniciado</x:v>
      </x:c>
      <x:c r="Y424" s="199" t="str"/>
      <x:c r="Z424" s="188" t="str">
        <x:v>Normal</x:v>
      </x:c>
    </x:row>
    <x:row r="425" ht="22" customHeight="1">
      <x:c r="A425" s="217" t="n">
        <x:v>421</x:v>
      </x:c>
      <x:c r="B425" s="218" t="str">
        <x:v>26826</x:v>
      </x:c>
      <x:c r="C425" s="218" t="str">
        <x:v>5</x:v>
      </x:c>
      <x:c r="D425" s="218" t="str">
        <x:v>609066</x:v>
      </x:c>
      <x:c r="E425" s="218" t="str">
        <x:v>985572</x:v>
      </x:c>
      <x:c r="F425" s="218" t="str">
        <x:v>KIT DE CORRER</x:v>
      </x:c>
      <x:c r="G425" s="184" t="str">
        <x:v>PERNA KIT STD  KIT DE CORRER EM MDF</x:v>
      </x:c>
      <x:c r="H425" s="184" t="str"/>
      <x:c r="I425" s="184" t="str"/>
      <x:c r="J425" s="184" t="str"/>
      <x:c r="K425" s="184" t="str">
        <x:v>RECOBERTO PET TXT</x:v>
      </x:c>
      <x:c r="L425" s="184" t="str">
        <x:v>BRANCO</x:v>
      </x:c>
      <x:c r="M425" s="205" t="n">
        <x:v>230</x:v>
      </x:c>
      <x:c r="N425" s="205" t="str"/>
      <x:c r="O425" s="205" t="str"/>
      <x:c r="P425" s="205" t="str"/>
      <x:c r="Q425" s="206" t="n">
        <x:v>1.252</x:v>
      </x:c>
      <x:c r="R425" s="207" t="str"/>
      <x:c r="S425" s="207" t="str"/>
      <x:c r="T425" s="207" t="str"/>
      <x:c r="U425" s="207" t="n">
        <x:v>0</x:v>
      </x:c>
      <x:c r="V425" s="208" t="n">
        <x:f>MAX(0,M425-U425)</x:f>
        <x:v>230</x:v>
      </x:c>
      <x:c r="W425" s="209" t="n">
        <x:f>IFERROR(U425/M425,0)</x:f>
        <x:v>0</x:v>
      </x:c>
      <x:c r="X425" s="201" t="str">
        <x:f>IF(U425=0,"Não iniciado",IF(U425&gt;=M425,"Concluído","Parcial"))</x:f>
        <x:v>Não iniciado</x:v>
      </x:c>
      <x:c r="Y425" s="199" t="str"/>
      <x:c r="Z425" s="188" t="str">
        <x:v>Normal</x:v>
      </x:c>
    </x:row>
    <x:row r="426" ht="22" customHeight="1">
      <x:c r="A426" s="219" t="n">
        <x:v>422</x:v>
      </x:c>
      <x:c r="B426" s="220" t="str">
        <x:v>26739</x:v>
      </x:c>
      <x:c r="C426" s="220" t="str">
        <x:v>16</x:v>
      </x:c>
      <x:c r="D426" s="220" t="str">
        <x:v>609689</x:v>
      </x:c>
      <x:c r="E426" s="220" t="str">
        <x:v>2010700829</x:v>
      </x:c>
      <x:c r="F426" s="220" t="str">
        <x:v>KIT DE CORRER</x:v>
      </x:c>
      <x:c r="G426" s="190" t="str">
        <x:v>P K COR ULTRA PET BCO CAR  KIT DE CORRER EM MDF ULTRA</x:v>
      </x:c>
      <x:c r="H426" s="190" t="str"/>
      <x:c r="I426" s="190" t="str"/>
      <x:c r="J426" s="190" t="str"/>
      <x:c r="K426" s="190" t="str">
        <x:v>RECOBERTO PET</x:v>
      </x:c>
      <x:c r="L426" s="190" t="str">
        <x:v>BRANCO CARRARA</x:v>
      </x:c>
      <x:c r="M426" s="210" t="n">
        <x:v>14</x:v>
      </x:c>
      <x:c r="N426" s="210" t="str"/>
      <x:c r="O426" s="210" t="str"/>
      <x:c r="P426" s="210" t="str"/>
      <x:c r="Q426" s="211" t="n">
        <x:v>0.076</x:v>
      </x:c>
      <x:c r="R426" s="207" t="str"/>
      <x:c r="S426" s="207" t="str"/>
      <x:c r="T426" s="207" t="str"/>
      <x:c r="U426" s="207" t="n">
        <x:v>0</x:v>
      </x:c>
      <x:c r="V426" s="208" t="n">
        <x:f>MAX(0,M426-U426)</x:f>
        <x:v>14</x:v>
      </x:c>
      <x:c r="W426" s="209" t="n">
        <x:f>IFERROR(U426/M426,0)</x:f>
        <x:v>0</x:v>
      </x:c>
      <x:c r="X426" s="201" t="str">
        <x:f>IF(U426=0,"Não iniciado",IF(U426&gt;=M426,"Concluído","Parcial"))</x:f>
        <x:v>Não iniciado</x:v>
      </x:c>
      <x:c r="Y426" s="199" t="str"/>
      <x:c r="Z426" s="188" t="str">
        <x:v>Normal</x:v>
      </x:c>
    </x:row>
    <x:row r="427" ht="22" customHeight="1">
      <x:c r="A427" s="217" t="n">
        <x:v>423</x:v>
      </x:c>
      <x:c r="B427" s="218" t="str">
        <x:v>26744</x:v>
      </x:c>
      <x:c r="C427" s="218" t="str">
        <x:v>6</x:v>
      </x:c>
      <x:c r="D427" s="218" t="str">
        <x:v>610018</x:v>
      </x:c>
      <x:c r="E427" s="218" t="str">
        <x:v>675004</x:v>
      </x:c>
      <x:c r="F427" s="218" t="str">
        <x:v>KIT DE CORRER</x:v>
      </x:c>
      <x:c r="G427" s="184" t="str">
        <x:v> KIT DE CORRER EM MADEIRA DE PINUS</x:v>
      </x:c>
      <x:c r="H427" s="184" t="str"/>
      <x:c r="I427" s="184" t="str"/>
      <x:c r="J427" s="184" t="str"/>
      <x:c r="K427" s="184" t="str">
        <x:v>RECOBERTO PET</x:v>
      </x:c>
      <x:c r="L427" s="184" t="str">
        <x:v>BRANCO CARRARA</x:v>
      </x:c>
      <x:c r="M427" s="205" t="n">
        <x:v>4</x:v>
      </x:c>
      <x:c r="N427" s="205" t="str"/>
      <x:c r="O427" s="205" t="str"/>
      <x:c r="P427" s="205" t="str"/>
      <x:c r="Q427" s="206" t="n">
        <x:v>0</x:v>
      </x:c>
      <x:c r="R427" s="207" t="str"/>
      <x:c r="S427" s="207" t="str"/>
      <x:c r="T427" s="207" t="str"/>
      <x:c r="U427" s="207" t="n">
        <x:v>0</x:v>
      </x:c>
      <x:c r="V427" s="208" t="n">
        <x:f>MAX(0,M427-U427)</x:f>
        <x:v>4</x:v>
      </x:c>
      <x:c r="W427" s="209" t="n">
        <x:f>IFERROR(U427/M427,0)</x:f>
        <x:v>0</x:v>
      </x:c>
      <x:c r="X427" s="201" t="str">
        <x:f>IF(U427=0,"Não iniciado",IF(U427&gt;=M427,"Concluído","Parcial"))</x:f>
        <x:v>Não iniciado</x:v>
      </x:c>
      <x:c r="Y427" s="199" t="str"/>
      <x:c r="Z427" s="188" t="str">
        <x:v>Normal</x:v>
      </x:c>
    </x:row>
    <x:row r="428" ht="22" customHeight="1">
      <x:c r="A428" s="219" t="n">
        <x:v>424</x:v>
      </x:c>
      <x:c r="B428" s="220" t="str">
        <x:v>26747</x:v>
      </x:c>
      <x:c r="C428" s="220" t="str">
        <x:v>12</x:v>
      </x:c>
      <x:c r="D428" s="220" t="str">
        <x:v>609023</x:v>
      </x:c>
      <x:c r="E428" s="220" t="str">
        <x:v>675619</x:v>
      </x:c>
      <x:c r="F428" s="220" t="str">
        <x:v>KIT DE CORRER</x:v>
      </x:c>
      <x:c r="G428" s="190" t="str">
        <x:v>PERNA KIT ULTRA  KIT DE CORRER EM MDF ULTRA</x:v>
      </x:c>
      <x:c r="H428" s="190" t="str"/>
      <x:c r="I428" s="190" t="str"/>
      <x:c r="J428" s="190" t="str"/>
      <x:c r="K428" s="190" t="str">
        <x:v>RECOBERTO PET</x:v>
      </x:c>
      <x:c r="L428" s="190" t="str">
        <x:v>BRANCO CARRARA</x:v>
      </x:c>
      <x:c r="M428" s="210" t="n">
        <x:v>4</x:v>
      </x:c>
      <x:c r="N428" s="210" t="str"/>
      <x:c r="O428" s="210" t="str"/>
      <x:c r="P428" s="210" t="str"/>
      <x:c r="Q428" s="211" t="n">
        <x:v>0.022</x:v>
      </x:c>
      <x:c r="R428" s="207" t="str"/>
      <x:c r="S428" s="207" t="str"/>
      <x:c r="T428" s="207" t="str"/>
      <x:c r="U428" s="207" t="n">
        <x:v>0</x:v>
      </x:c>
      <x:c r="V428" s="208" t="n">
        <x:f>MAX(0,M428-U428)</x:f>
        <x:v>4</x:v>
      </x:c>
      <x:c r="W428" s="209" t="n">
        <x:f>IFERROR(U428/M428,0)</x:f>
        <x:v>0</x:v>
      </x:c>
      <x:c r="X428" s="201" t="str">
        <x:f>IF(U428=0,"Não iniciado",IF(U428&gt;=M428,"Concluído","Parcial"))</x:f>
        <x:v>Não iniciado</x:v>
      </x:c>
      <x:c r="Y428" s="199" t="str"/>
      <x:c r="Z428" s="188" t="str">
        <x:v>Normal</x:v>
      </x:c>
    </x:row>
    <x:row r="429" ht="22" customHeight="1">
      <x:c r="A429" s="217" t="n">
        <x:v>425</x:v>
      </x:c>
      <x:c r="B429" s="218" t="str">
        <x:v>26750</x:v>
      </x:c>
      <x:c r="C429" s="218" t="str">
        <x:v>19</x:v>
      </x:c>
      <x:c r="D429" s="218" t="str">
        <x:v>609862</x:v>
      </x:c>
      <x:c r="E429" s="218" t="str">
        <x:v>2010700829</x:v>
      </x:c>
      <x:c r="F429" s="218" t="str">
        <x:v>KIT DE CORRER</x:v>
      </x:c>
      <x:c r="G429" s="184" t="str">
        <x:v>P K COR ULTRA PET BCO CAR  KIT DE CORRER EM MDF ULTRA</x:v>
      </x:c>
      <x:c r="H429" s="184" t="str"/>
      <x:c r="I429" s="184" t="str"/>
      <x:c r="J429" s="184" t="str"/>
      <x:c r="K429" s="184" t="str">
        <x:v>RECOBERTO PET</x:v>
      </x:c>
      <x:c r="L429" s="184" t="str">
        <x:v>BRANCO CARRARA</x:v>
      </x:c>
      <x:c r="M429" s="205" t="n">
        <x:v>14</x:v>
      </x:c>
      <x:c r="N429" s="205" t="str"/>
      <x:c r="O429" s="205" t="str"/>
      <x:c r="P429" s="205" t="str"/>
      <x:c r="Q429" s="206" t="n">
        <x:v>0.076</x:v>
      </x:c>
      <x:c r="R429" s="207" t="str"/>
      <x:c r="S429" s="207" t="str"/>
      <x:c r="T429" s="207" t="str"/>
      <x:c r="U429" s="207" t="n">
        <x:v>0</x:v>
      </x:c>
      <x:c r="V429" s="208" t="n">
        <x:f>MAX(0,M429-U429)</x:f>
        <x:v>14</x:v>
      </x:c>
      <x:c r="W429" s="209" t="n">
        <x:f>IFERROR(U429/M429,0)</x:f>
        <x:v>0</x:v>
      </x:c>
      <x:c r="X429" s="201" t="str">
        <x:f>IF(U429=0,"Não iniciado",IF(U429&gt;=M429,"Concluído","Parcial"))</x:f>
        <x:v>Não iniciado</x:v>
      </x:c>
      <x:c r="Y429" s="199" t="str"/>
      <x:c r="Z429" s="188" t="str">
        <x:v>Normal</x:v>
      </x:c>
    </x:row>
    <x:row r="430" ht="22" customHeight="1">
      <x:c r="A430" s="219" t="n">
        <x:v>426</x:v>
      </x:c>
      <x:c r="B430" s="220" t="str">
        <x:v>26808</x:v>
      </x:c>
      <x:c r="C430" s="220" t="str">
        <x:v>13</x:v>
      </x:c>
      <x:c r="D430" s="220" t="str">
        <x:v>610184</x:v>
      </x:c>
      <x:c r="E430" s="220" t="str">
        <x:v>975730</x:v>
      </x:c>
      <x:c r="F430" s="220" t="str">
        <x:v>KIT DE CORRER</x:v>
      </x:c>
      <x:c r="G430" s="190" t="str">
        <x:v> KIT DE CORRER EM MADEIRA DE PINUS</x:v>
      </x:c>
      <x:c r="H430" s="190" t="str"/>
      <x:c r="I430" s="190" t="str"/>
      <x:c r="J430" s="190" t="str"/>
      <x:c r="K430" s="190" t="str">
        <x:v>RECOBERTO PET</x:v>
      </x:c>
      <x:c r="L430" s="190" t="str">
        <x:v>BRANCO CARRARA</x:v>
      </x:c>
      <x:c r="M430" s="210" t="n">
        <x:v>2</x:v>
      </x:c>
      <x:c r="N430" s="210" t="str"/>
      <x:c r="O430" s="210" t="str"/>
      <x:c r="P430" s="210" t="str"/>
      <x:c r="Q430" s="211" t="n">
        <x:v>0.004</x:v>
      </x:c>
      <x:c r="R430" s="207" t="str"/>
      <x:c r="S430" s="207" t="str"/>
      <x:c r="T430" s="207" t="str"/>
      <x:c r="U430" s="207" t="n">
        <x:v>0</x:v>
      </x:c>
      <x:c r="V430" s="208" t="n">
        <x:f>MAX(0,M430-U430)</x:f>
        <x:v>2</x:v>
      </x:c>
      <x:c r="W430" s="209" t="n">
        <x:f>IFERROR(U430/M430,0)</x:f>
        <x:v>0</x:v>
      </x:c>
      <x:c r="X430" s="201" t="str">
        <x:f>IF(U430=0,"Não iniciado",IF(U430&gt;=M430,"Concluído","Parcial"))</x:f>
        <x:v>Não iniciado</x:v>
      </x:c>
      <x:c r="Y430" s="199" t="str"/>
      <x:c r="Z430" s="188" t="str">
        <x:v>Normal</x:v>
      </x:c>
    </x:row>
    <x:row r="431" ht="22" customHeight="1">
      <x:c r="A431" s="217" t="n">
        <x:v>427</x:v>
      </x:c>
      <x:c r="B431" s="218" t="str">
        <x:v>26808</x:v>
      </x:c>
      <x:c r="C431" s="218" t="str">
        <x:v>14</x:v>
      </x:c>
      <x:c r="D431" s="218" t="str">
        <x:v>608995</x:v>
      </x:c>
      <x:c r="E431" s="218" t="str">
        <x:v>963490</x:v>
      </x:c>
      <x:c r="F431" s="218" t="str">
        <x:v>KIT DE CORRER</x:v>
      </x:c>
      <x:c r="G431" s="184" t="str">
        <x:v> KIT DE CORRER EM MDF ULTRA</x:v>
      </x:c>
      <x:c r="H431" s="184" t="str"/>
      <x:c r="I431" s="184" t="str"/>
      <x:c r="J431" s="184" t="str"/>
      <x:c r="K431" s="184" t="str">
        <x:v>RECOBERTO PET</x:v>
      </x:c>
      <x:c r="L431" s="184" t="str">
        <x:v>BRANCO CARRARA</x:v>
      </x:c>
      <x:c r="M431" s="205" t="n">
        <x:v>2</x:v>
      </x:c>
      <x:c r="N431" s="205" t="str"/>
      <x:c r="O431" s="205" t="str"/>
      <x:c r="P431" s="205" t="str"/>
      <x:c r="Q431" s="206" t="n">
        <x:v>0</x:v>
      </x:c>
      <x:c r="R431" s="207" t="str"/>
      <x:c r="S431" s="207" t="str"/>
      <x:c r="T431" s="207" t="str"/>
      <x:c r="U431" s="207" t="n">
        <x:v>0</x:v>
      </x:c>
      <x:c r="V431" s="208" t="n">
        <x:f>MAX(0,M431-U431)</x:f>
        <x:v>2</x:v>
      </x:c>
      <x:c r="W431" s="209" t="n">
        <x:f>IFERROR(U431/M431,0)</x:f>
        <x:v>0</x:v>
      </x:c>
      <x:c r="X431" s="201" t="str">
        <x:f>IF(U431=0,"Não iniciado",IF(U431&gt;=M431,"Concluído","Parcial"))</x:f>
        <x:v>Não iniciado</x:v>
      </x:c>
      <x:c r="Y431" s="199" t="str"/>
      <x:c r="Z431" s="188" t="str">
        <x:v>Normal</x:v>
      </x:c>
    </x:row>
    <x:row r="432" ht="22" customHeight="1">
      <x:c r="A432" s="219" t="n">
        <x:v>428</x:v>
      </x:c>
      <x:c r="B432" s="220" t="str">
        <x:v>26825</x:v>
      </x:c>
      <x:c r="C432" s="220" t="str">
        <x:v>3</x:v>
      </x:c>
      <x:c r="D432" s="220" t="str">
        <x:v>609047</x:v>
      </x:c>
      <x:c r="E432" s="220" t="str">
        <x:v>675619</x:v>
      </x:c>
      <x:c r="F432" s="220" t="str">
        <x:v>KIT DE CORRER</x:v>
      </x:c>
      <x:c r="G432" s="190" t="str">
        <x:v>PERNA KIT ULTRA  KIT DE CORRER EM MDF ULTRA</x:v>
      </x:c>
      <x:c r="H432" s="190" t="str"/>
      <x:c r="I432" s="190" t="str"/>
      <x:c r="J432" s="190" t="str"/>
      <x:c r="K432" s="190" t="str">
        <x:v>RECOBERTO PET</x:v>
      </x:c>
      <x:c r="L432" s="190" t="str">
        <x:v>BRANCO CARRARA</x:v>
      </x:c>
      <x:c r="M432" s="210" t="n">
        <x:v>64</x:v>
      </x:c>
      <x:c r="N432" s="210" t="str"/>
      <x:c r="O432" s="210" t="str"/>
      <x:c r="P432" s="210" t="str"/>
      <x:c r="Q432" s="211" t="n">
        <x:v>0.348</x:v>
      </x:c>
      <x:c r="R432" s="207" t="str"/>
      <x:c r="S432" s="207" t="str"/>
      <x:c r="T432" s="207" t="str"/>
      <x:c r="U432" s="207" t="n">
        <x:v>0</x:v>
      </x:c>
      <x:c r="V432" s="208" t="n">
        <x:f>MAX(0,M432-U432)</x:f>
        <x:v>64</x:v>
      </x:c>
      <x:c r="W432" s="209" t="n">
        <x:f>IFERROR(U432/M432,0)</x:f>
        <x:v>0</x:v>
      </x:c>
      <x:c r="X432" s="201" t="str">
        <x:f>IF(U432=0,"Não iniciado",IF(U432&gt;=M432,"Concluído","Parcial"))</x:f>
        <x:v>Não iniciado</x:v>
      </x:c>
      <x:c r="Y432" s="199" t="str"/>
      <x:c r="Z432" s="188" t="str">
        <x:v>Normal</x:v>
      </x:c>
    </x:row>
    <x:row r="433" ht="22" customHeight="1">
      <x:c r="A433" s="217" t="n">
        <x:v>429</x:v>
      </x:c>
      <x:c r="B433" s="218" t="str">
        <x:v>26809</x:v>
      </x:c>
      <x:c r="C433" s="218" t="str">
        <x:v>10</x:v>
      </x:c>
      <x:c r="D433" s="218" t="str">
        <x:v>609953</x:v>
      </x:c>
      <x:c r="E433" s="218" t="str">
        <x:v>978579</x:v>
      </x:c>
      <x:c r="F433" s="218" t="str">
        <x:v>KIT DE CORRER</x:v>
      </x:c>
      <x:c r="G433" s="184" t="str">
        <x:v>PE KIT CORR  KIT DE CORRER EM MDF ULTRA</x:v>
      </x:c>
      <x:c r="H433" s="184" t="str"/>
      <x:c r="I433" s="184" t="str"/>
      <x:c r="J433" s="184" t="str"/>
      <x:c r="K433" s="184" t="str">
        <x:v>RECOBERTO PET</x:v>
      </x:c>
      <x:c r="L433" s="184" t="str">
        <x:v>CAPUCCINO MARCHE</x:v>
      </x:c>
      <x:c r="M433" s="205" t="n">
        <x:v>2</x:v>
      </x:c>
      <x:c r="N433" s="205" t="str"/>
      <x:c r="O433" s="205" t="str"/>
      <x:c r="P433" s="205" t="str"/>
      <x:c r="Q433" s="206" t="n">
        <x:v>0.011</x:v>
      </x:c>
      <x:c r="R433" s="207" t="str"/>
      <x:c r="S433" s="207" t="str"/>
      <x:c r="T433" s="207" t="str"/>
      <x:c r="U433" s="207" t="n">
        <x:v>0</x:v>
      </x:c>
      <x:c r="V433" s="208" t="n">
        <x:f>MAX(0,M433-U433)</x:f>
        <x:v>2</x:v>
      </x:c>
      <x:c r="W433" s="209" t="n">
        <x:f>IFERROR(U433/M433,0)</x:f>
        <x:v>0</x:v>
      </x:c>
      <x:c r="X433" s="201" t="str">
        <x:f>IF(U433=0,"Não iniciado",IF(U433&gt;=M433,"Concluído","Parcial"))</x:f>
        <x:v>Não iniciado</x:v>
      </x:c>
      <x:c r="Y433" s="199" t="str"/>
      <x:c r="Z433" s="188" t="str">
        <x:v>Normal</x:v>
      </x:c>
    </x:row>
    <x:row r="434" ht="22" customHeight="1">
      <x:c r="A434" s="235" t="n">
        <x:v>430</x:v>
      </x:c>
      <x:c r="B434" s="236" t="str">
        <x:v>26520</x:v>
      </x:c>
      <x:c r="C434" s="236" t="str">
        <x:v>10</x:v>
      </x:c>
      <x:c r="D434" s="236" t="str">
        <x:v>610165</x:v>
      </x:c>
      <x:c r="E434" s="236" t="str">
        <x:v>2010701224</x:v>
      </x:c>
      <x:c r="F434" s="236" t="str">
        <x:v>KIT DE CORRER</x:v>
      </x:c>
      <x:c r="G434" s="230" t="str">
        <x:v>P K COR ULTRA PET C RA  KIT DE CORRER EM MDF ULTRA</x:v>
      </x:c>
      <x:c r="H434" s="230" t="str"/>
      <x:c r="I434" s="230" t="str"/>
      <x:c r="J434" s="230" t="str"/>
      <x:c r="K434" s="230" t="str">
        <x:v>RECOBERTO PET</x:v>
      </x:c>
      <x:c r="L434" s="230" t="str">
        <x:v>CURUPIXA RAVENNA</x:v>
      </x:c>
      <x:c r="M434" s="233" t="n">
        <x:v>2</x:v>
      </x:c>
      <x:c r="N434" s="233" t="str"/>
      <x:c r="O434" s="233" t="str"/>
      <x:c r="P434" s="233" t="str"/>
      <x:c r="Q434" s="234" t="n">
        <x:v>0.011</x:v>
      </x:c>
      <x:c r="R434" s="214" t="str"/>
      <x:c r="S434" s="214" t="str"/>
      <x:c r="T434" s="214" t="str"/>
      <x:c r="U434" s="214" t="n">
        <x:v>0</x:v>
      </x:c>
      <x:c r="V434" s="215" t="n">
        <x:f>MAX(0,M434-U434)</x:f>
        <x:v>2</x:v>
      </x:c>
      <x:c r="W434" s="216" t="n">
        <x:f>IFERROR(U434/M434,0)</x:f>
        <x:v>0</x:v>
      </x:c>
      <x:c r="X434" s="203" t="str">
        <x:f>IF(U434=0,"Não iniciado",IF(U434&gt;=M434,"Concluído","Parcial"))</x:f>
        <x:v>Não iniciado</x:v>
      </x:c>
      <x:c r="Y434" s="200" t="str"/>
      <x:c r="Z434" s="198" t="str">
        <x:v>Normal</x:v>
      </x:c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LUSTRAÇÃO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LUSTRAÇÃO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26809</x:v>
      </x:c>
      <x:c r="C5" s="218" t="str">
        <x:v>8</x:v>
      </x:c>
      <x:c r="D5" s="218" t="str">
        <x:v>609946</x:v>
      </x:c>
      <x:c r="E5" s="218" t="str">
        <x:v>3050800095</x:v>
      </x:c>
      <x:c r="F5" s="218" t="str">
        <x:v>PORTA</x:v>
      </x:c>
      <x:c r="G5" s="184" t="str">
        <x:v>FO P COR EST HDF 6 IMP CAP M 2100X1200X3</x:v>
      </x:c>
      <x:c r="H5" s="184" t="str">
        <x:v>LISA</x:v>
      </x:c>
      <x:c r="I5" s="184" t="str"/>
      <x:c r="J5" s="184" t="str"/>
      <x:c r="K5" s="184" t="str">
        <x:v>IMPRESSO</x:v>
      </x:c>
      <x:c r="L5" s="184" t="str">
        <x:v>CAPUCCINO MARCHE</x:v>
      </x:c>
      <x:c r="M5" s="205" t="n">
        <x:v>1</x:v>
      </x:c>
      <x:c r="N5" s="205" t="n">
        <x:v>2100</x:v>
      </x:c>
      <x:c r="O5" s="205" t="n">
        <x:v>1200</x:v>
      </x:c>
      <x:c r="P5" s="205" t="n">
        <x:v>3</x:v>
      </x:c>
      <x:c r="Q5" s="206" t="n">
        <x:v>0.088</x:v>
      </x:c>
      <x:c r="R5" s="207" t="str"/>
      <x:c r="S5" s="207" t="str"/>
      <x:c r="T5" s="207" t="str"/>
      <x:c r="U5" s="207" t="n">
        <x:v>0.5</x:v>
      </x:c>
      <x:c r="V5" s="208" t="n">
        <x:f>MAX(0,M5-U5)</x:f>
        <x:v>0.5</x:v>
      </x:c>
      <x:c r="W5" s="209" t="n">
        <x:f>IFERROR(U5/M5,0)</x:f>
        <x:v>0.5</x:v>
      </x:c>
      <x:c r="X5" s="201" t="str">
        <x:f>IF(U5=0,"Não iniciado",IF(U5&gt;=M5,"Concluído","Parcial"))</x:f>
        <x:v>Parcial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26808</x:v>
      </x:c>
      <x:c r="C6" s="220" t="str">
        <x:v>11</x:v>
      </x:c>
      <x:c r="D6" s="220" t="str">
        <x:v>608982</x:v>
      </x:c>
      <x:c r="E6" s="220" t="str">
        <x:v>4510012080</x:v>
      </x:c>
      <x:c r="F6" s="220" t="str">
        <x:v>PORTA</x:v>
      </x:c>
      <x:c r="G6" s="190" t="str">
        <x:v>FO POR EST HDF 6 2100X1000X35 ESM BCO CA</x:v>
      </x:c>
      <x:c r="H6" s="190" t="str"/>
      <x:c r="I6" s="190" t="str"/>
      <x:c r="J6" s="190" t="str"/>
      <x:c r="K6" s="190" t="str">
        <x:v>ESMALTE</x:v>
      </x:c>
      <x:c r="L6" s="190" t="str">
        <x:v>BRANCO CARRARA</x:v>
      </x:c>
      <x:c r="M6" s="210" t="n">
        <x:v>1</x:v>
      </x:c>
      <x:c r="N6" s="210" t="n">
        <x:v>2100</x:v>
      </x:c>
      <x:c r="O6" s="210" t="n">
        <x:v>1000</x:v>
      </x:c>
      <x:c r="P6" s="210" t="n">
        <x:v>35</x:v>
      </x:c>
      <x:c r="Q6" s="211" t="n">
        <x:v>0.074</x:v>
      </x:c>
      <x:c r="R6" s="207" t="str"/>
      <x:c r="S6" s="207" t="str"/>
      <x:c r="T6" s="207" t="str"/>
      <x:c r="U6" s="207" t="n">
        <x:v>1</x:v>
      </x:c>
      <x:c r="V6" s="208" t="n">
        <x:f>MAX(0,M6-U6)</x:f>
        <x:v>0</x:v>
      </x:c>
      <x:c r="W6" s="209" t="n">
        <x:f>IFERROR(U6/M6,0)</x:f>
        <x:v>1</x:v>
      </x:c>
      <x:c r="X6" s="201" t="str">
        <x:f>IF(U6=0,"Não iniciado",IF(U6&gt;=M6,"Concluído","Parcial"))</x:f>
        <x:v>Concluído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26747</x:v>
      </x:c>
      <x:c r="C7" s="218" t="str">
        <x:v>9</x:v>
      </x:c>
      <x:c r="D7" s="218" t="str">
        <x:v>609017</x:v>
      </x:c>
      <x:c r="E7" s="218" t="str">
        <x:v>5110012094</x:v>
      </x:c>
      <x:c r="F7" s="218" t="str">
        <x:v>PORTA</x:v>
      </x:c>
      <x:c r="G7" s="184" t="str">
        <x:v>FO P COR S GD HDF 3 2100X900X35 ESM BCO</x:v>
      </x:c>
      <x:c r="H7" s="184" t="str">
        <x:v>LISA</x:v>
      </x:c>
      <x:c r="I7" s="184" t="str"/>
      <x:c r="J7" s="184" t="str"/>
      <x:c r="K7" s="184" t="str">
        <x:v>ESMALTE</x:v>
      </x:c>
      <x:c r="L7" s="184" t="str">
        <x:v>BRANCO CARRARA</x:v>
      </x:c>
      <x:c r="M7" s="205" t="n">
        <x:v>1</x:v>
      </x:c>
      <x:c r="N7" s="205" t="n">
        <x:v>2100</x:v>
      </x:c>
      <x:c r="O7" s="205" t="n">
        <x:v>900</x:v>
      </x:c>
      <x:c r="P7" s="205" t="n">
        <x:v>35</x:v>
      </x:c>
      <x:c r="Q7" s="206" t="n">
        <x:v>0.066</x:v>
      </x:c>
      <x:c r="R7" s="207" t="str"/>
      <x:c r="S7" s="207" t="str"/>
      <x:c r="T7" s="207" t="str"/>
      <x:c r="U7" s="207" t="n">
        <x:v>0</x:v>
      </x:c>
      <x:c r="V7" s="208" t="n">
        <x:f>MAX(0,M7-U7)</x:f>
        <x:v>1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26792</x:v>
      </x:c>
      <x:c r="C8" s="220" t="str">
        <x:v>5</x:v>
      </x:c>
      <x:c r="D8" s="220" t="str">
        <x:v>609460</x:v>
      </x:c>
      <x:c r="E8" s="220" t="str">
        <x:v>3041400419</x:v>
      </x:c>
      <x:c r="F8" s="220" t="str">
        <x:v>PORTA</x:v>
      </x:c>
      <x:c r="G8" s="190" t="str">
        <x:v>FO POR SMT HDF 3 S GD RU 2100X900X35 ESM</x:v>
      </x:c>
      <x:c r="H8" s="190" t="str"/>
      <x:c r="I8" s="190" t="str"/>
      <x:c r="J8" s="190" t="str"/>
      <x:c r="K8" s="190" t="str">
        <x:v>ESMALTE</x:v>
      </x:c>
      <x:c r="L8" s="190" t="str">
        <x:v>BRANCO CARRARA</x:v>
      </x:c>
      <x:c r="M8" s="210" t="n">
        <x:v>54</x:v>
      </x:c>
      <x:c r="N8" s="210" t="n">
        <x:v>2100</x:v>
      </x:c>
      <x:c r="O8" s="210" t="n">
        <x:v>900</x:v>
      </x:c>
      <x:c r="P8" s="210" t="n">
        <x:v>35</x:v>
      </x:c>
      <x:c r="Q8" s="211" t="n">
        <x:v>3.572</x:v>
      </x:c>
      <x:c r="R8" s="207" t="str"/>
      <x:c r="S8" s="207" t="str"/>
      <x:c r="T8" s="207" t="str"/>
      <x:c r="U8" s="207" t="n">
        <x:v>17</x:v>
      </x:c>
      <x:c r="V8" s="208" t="n">
        <x:f>MAX(0,M8-U8)</x:f>
        <x:v>37</x:v>
      </x:c>
      <x:c r="W8" s="209" t="n">
        <x:f>IFERROR(U8/M8,0)</x:f>
        <x:v>0.3148148148148148</x:v>
      </x:c>
      <x:c r="X8" s="201" t="str">
        <x:f>IF(U8=0,"Não iniciado",IF(U8&gt;=M8,"Concluído","Parcial"))</x:f>
        <x:v>Parcial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26792</x:v>
      </x:c>
      <x:c r="C9" s="218" t="str">
        <x:v>6</x:v>
      </x:c>
      <x:c r="D9" s="218" t="str">
        <x:v>609477</x:v>
      </x:c>
      <x:c r="E9" s="218" t="str">
        <x:v>3041400419</x:v>
      </x:c>
      <x:c r="F9" s="218" t="str">
        <x:v>PORTA</x:v>
      </x:c>
      <x:c r="G9" s="184" t="str">
        <x:v>FO POR SMT HDF 3 S GD RU 2100X900X35 ESM</x:v>
      </x:c>
      <x:c r="H9" s="184" t="str"/>
      <x:c r="I9" s="184" t="str"/>
      <x:c r="J9" s="184" t="str"/>
      <x:c r="K9" s="184" t="str">
        <x:v>ESMALTE</x:v>
      </x:c>
      <x:c r="L9" s="184" t="str">
        <x:v>BRANCO CARRARA</x:v>
      </x:c>
      <x:c r="M9" s="205" t="n">
        <x:v>10</x:v>
      </x:c>
      <x:c r="N9" s="205" t="n">
        <x:v>2100</x:v>
      </x:c>
      <x:c r="O9" s="205" t="n">
        <x:v>900</x:v>
      </x:c>
      <x:c r="P9" s="205" t="n">
        <x:v>35</x:v>
      </x:c>
      <x:c r="Q9" s="206" t="n">
        <x:v>0.662</x:v>
      </x:c>
      <x:c r="R9" s="207" t="str"/>
      <x:c r="S9" s="207" t="str"/>
      <x:c r="T9" s="207" t="str"/>
      <x:c r="U9" s="207" t="n">
        <x:v>0</x:v>
      </x:c>
      <x:c r="V9" s="208" t="n">
        <x:f>MAX(0,M9-U9)</x:f>
        <x:v>10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26815</x:v>
      </x:c>
      <x:c r="C10" s="220" t="str">
        <x:v>5</x:v>
      </x:c>
      <x:c r="D10" s="220" t="str">
        <x:v>609538</x:v>
      </x:c>
      <x:c r="E10" s="220" t="str">
        <x:v>3041400419</x:v>
      </x:c>
      <x:c r="F10" s="220" t="str">
        <x:v>PORTA</x:v>
      </x:c>
      <x:c r="G10" s="190" t="str">
        <x:v>FO POR SMT HDF 3 S GD RU 2100X900X35 ESM</x:v>
      </x:c>
      <x:c r="H10" s="190" t="str"/>
      <x:c r="I10" s="190" t="str"/>
      <x:c r="J10" s="190" t="str"/>
      <x:c r="K10" s="190" t="str">
        <x:v>ESMALTE</x:v>
      </x:c>
      <x:c r="L10" s="190" t="str">
        <x:v>BRANCO CARRARA</x:v>
      </x:c>
      <x:c r="M10" s="210" t="n">
        <x:v>8</x:v>
      </x:c>
      <x:c r="N10" s="210" t="n">
        <x:v>2100</x:v>
      </x:c>
      <x:c r="O10" s="210" t="n">
        <x:v>900</x:v>
      </x:c>
      <x:c r="P10" s="210" t="n">
        <x:v>35</x:v>
      </x:c>
      <x:c r="Q10" s="211" t="n">
        <x:v>0.529</x:v>
      </x:c>
      <x:c r="R10" s="207" t="str"/>
      <x:c r="S10" s="207" t="str"/>
      <x:c r="T10" s="207" t="str"/>
      <x:c r="U10" s="207" t="n">
        <x:v>4</x:v>
      </x:c>
      <x:c r="V10" s="208" t="n">
        <x:f>MAX(0,M10-U10)</x:f>
        <x:v>4</x:v>
      </x:c>
      <x:c r="W10" s="209" t="n">
        <x:f>IFERROR(U10/M10,0)</x:f>
        <x:v>0.5</x:v>
      </x:c>
      <x:c r="X10" s="201" t="str">
        <x:f>IF(U10=0,"Não iniciado",IF(U10&gt;=M10,"Concluído","Parcial"))</x:f>
        <x:v>Parcial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26815</x:v>
      </x:c>
      <x:c r="C11" s="218" t="str">
        <x:v>6</x:v>
      </x:c>
      <x:c r="D11" s="218" t="str">
        <x:v>609555</x:v>
      </x:c>
      <x:c r="E11" s="218" t="str">
        <x:v>3041400419</x:v>
      </x:c>
      <x:c r="F11" s="218" t="str">
        <x:v>PORTA</x:v>
      </x:c>
      <x:c r="G11" s="184" t="str">
        <x:v>FO POR SMT HDF 3 S GD RU 2100X900X35 ESM</x:v>
      </x:c>
      <x:c r="H11" s="184" t="str"/>
      <x:c r="I11" s="184" t="str"/>
      <x:c r="J11" s="184" t="str"/>
      <x:c r="K11" s="184" t="str">
        <x:v>ESMALTE</x:v>
      </x:c>
      <x:c r="L11" s="184" t="str">
        <x:v>BRANCO CARRARA</x:v>
      </x:c>
      <x:c r="M11" s="205" t="n">
        <x:v>27</x:v>
      </x:c>
      <x:c r="N11" s="205" t="n">
        <x:v>2100</x:v>
      </x:c>
      <x:c r="O11" s="205" t="n">
        <x:v>900</x:v>
      </x:c>
      <x:c r="P11" s="205" t="n">
        <x:v>35</x:v>
      </x:c>
      <x:c r="Q11" s="206" t="n">
        <x:v>1.786</x:v>
      </x:c>
      <x:c r="R11" s="207" t="str"/>
      <x:c r="S11" s="207" t="str"/>
      <x:c r="T11" s="207" t="str"/>
      <x:c r="U11" s="207" t="n">
        <x:v>13.5</x:v>
      </x:c>
      <x:c r="V11" s="208" t="n">
        <x:f>MAX(0,M11-U11)</x:f>
        <x:v>13.5</x:v>
      </x:c>
      <x:c r="W11" s="209" t="n">
        <x:f>IFERROR(U11/M11,0)</x:f>
        <x:v>0.5</x:v>
      </x:c>
      <x:c r="X11" s="201" t="str">
        <x:f>IF(U11=0,"Não iniciado",IF(U11&gt;=M11,"Concluído","Parcial"))</x:f>
        <x:v>Parcial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26815</x:v>
      </x:c>
      <x:c r="C12" s="220" t="str">
        <x:v>7</x:v>
      </x:c>
      <x:c r="D12" s="220" t="str">
        <x:v>609572</x:v>
      </x:c>
      <x:c r="E12" s="220" t="str">
        <x:v>3041400419</x:v>
      </x:c>
      <x:c r="F12" s="220" t="str">
        <x:v>PORTA</x:v>
      </x:c>
      <x:c r="G12" s="190" t="str">
        <x:v>FO POR SMT HDF 3 S GD RU 2100X900X35 ESM</x:v>
      </x:c>
      <x:c r="H12" s="190" t="str"/>
      <x:c r="I12" s="190" t="str"/>
      <x:c r="J12" s="190" t="str"/>
      <x:c r="K12" s="190" t="str">
        <x:v>ESMALTE</x:v>
      </x:c>
      <x:c r="L12" s="190" t="str">
        <x:v>BRANCO CARRARA</x:v>
      </x:c>
      <x:c r="M12" s="210" t="n">
        <x:v>5</x:v>
      </x:c>
      <x:c r="N12" s="210" t="n">
        <x:v>2100</x:v>
      </x:c>
      <x:c r="O12" s="210" t="n">
        <x:v>900</x:v>
      </x:c>
      <x:c r="P12" s="210" t="n">
        <x:v>35</x:v>
      </x:c>
      <x:c r="Q12" s="211" t="n">
        <x:v>0.331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5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26684</x:v>
      </x:c>
      <x:c r="C13" s="218" t="str">
        <x:v>1</x:v>
      </x:c>
      <x:c r="D13" s="218" t="str">
        <x:v>609116</x:v>
      </x:c>
      <x:c r="E13" s="218" t="str">
        <x:v>4993012047</x:v>
      </x:c>
      <x:c r="F13" s="218" t="str">
        <x:v>OUTROS</x:v>
      </x:c>
      <x:c r="G13" s="184" t="str">
        <x:v>FP S BD HDF 3 2100x820x35 ESM BCO C C/US</x:v>
      </x:c>
      <x:c r="H13" s="184" t="str"/>
      <x:c r="I13" s="184" t="str"/>
      <x:c r="J13" s="184" t="str"/>
      <x:c r="K13" s="184" t="str">
        <x:v>ESMALTE</x:v>
      </x:c>
      <x:c r="L13" s="184" t="str">
        <x:v>BRANCO CARRARA</x:v>
      </x:c>
      <x:c r="M13" s="205" t="n">
        <x:v>1</x:v>
      </x:c>
      <x:c r="N13" s="205" t="n">
        <x:v>2100</x:v>
      </x:c>
      <x:c r="O13" s="205" t="n">
        <x:v>820</x:v>
      </x:c>
      <x:c r="P13" s="205" t="n">
        <x:v>35</x:v>
      </x:c>
      <x:c r="Q13" s="206" t="n">
        <x:v>0.06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1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26684</x:v>
      </x:c>
      <x:c r="C14" s="220" t="str">
        <x:v>2</x:v>
      </x:c>
      <x:c r="D14" s="220" t="str">
        <x:v>609124</x:v>
      </x:c>
      <x:c r="E14" s="220" t="str">
        <x:v>4993012047</x:v>
      </x:c>
      <x:c r="F14" s="220" t="str">
        <x:v>OUTROS</x:v>
      </x:c>
      <x:c r="G14" s="190" t="str">
        <x:v>FP S BD HDF 3 2100x820x35 ESM BCO C C/US</x:v>
      </x:c>
      <x:c r="H14" s="190" t="str"/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28</x:v>
      </x:c>
      <x:c r="N14" s="210" t="n">
        <x:v>2100</x:v>
      </x:c>
      <x:c r="O14" s="210" t="n">
        <x:v>820</x:v>
      </x:c>
      <x:c r="P14" s="210" t="n">
        <x:v>35</x:v>
      </x:c>
      <x:c r="Q14" s="211" t="n">
        <x:v>1.688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28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26684</x:v>
      </x:c>
      <x:c r="C15" s="218" t="str">
        <x:v>3</x:v>
      </x:c>
      <x:c r="D15" s="218" t="str">
        <x:v>609132</x:v>
      </x:c>
      <x:c r="E15" s="218" t="str">
        <x:v>4993012047</x:v>
      </x:c>
      <x:c r="F15" s="218" t="str">
        <x:v>OUTROS</x:v>
      </x:c>
      <x:c r="G15" s="184" t="str">
        <x:v>FP S BD HDF 3 2100x820x35 ESM BCO C C/US</x:v>
      </x:c>
      <x:c r="H15" s="184" t="str"/>
      <x:c r="I15" s="184" t="str"/>
      <x:c r="J15" s="184" t="str"/>
      <x:c r="K15" s="184" t="str">
        <x:v>ESMALTE</x:v>
      </x:c>
      <x:c r="L15" s="184" t="str">
        <x:v>BRANCO CARRARA</x:v>
      </x:c>
      <x:c r="M15" s="205" t="n">
        <x:v>3</x:v>
      </x:c>
      <x:c r="N15" s="205" t="n">
        <x:v>2100</x:v>
      </x:c>
      <x:c r="O15" s="205" t="n">
        <x:v>820</x:v>
      </x:c>
      <x:c r="P15" s="205" t="n">
        <x:v>35</x:v>
      </x:c>
      <x:c r="Q15" s="206" t="n">
        <x:v>0.181</x:v>
      </x:c>
      <x:c r="R15" s="207" t="str"/>
      <x:c r="S15" s="207" t="str"/>
      <x:c r="T15" s="207" t="str"/>
      <x:c r="U15" s="207" t="n">
        <x:v>0</x:v>
      </x:c>
      <x:c r="V15" s="208" t="n">
        <x:f>MAX(0,M15-U15)</x:f>
        <x:v>3</x:v>
      </x:c>
      <x:c r="W15" s="209" t="n">
        <x:f>IFERROR(U15/M15,0)</x:f>
        <x:v>0</x:v>
      </x:c>
      <x:c r="X15" s="201" t="str">
        <x:f>IF(U15=0,"Não iniciado",IF(U15&gt;=M15,"Concluído","Parcial"))</x:f>
        <x:v>Não iniciado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26684</x:v>
      </x:c>
      <x:c r="C16" s="220" t="str">
        <x:v>4</x:v>
      </x:c>
      <x:c r="D16" s="220" t="str">
        <x:v>609140</x:v>
      </x:c>
      <x:c r="E16" s="220" t="str">
        <x:v>4731234381</x:v>
      </x:c>
      <x:c r="F16" s="220" t="str">
        <x:v>OUTROS</x:v>
      </x:c>
      <x:c r="G16" s="190" t="str">
        <x:v>FP COLM HDF 3 2100x820x35 ESM BCO C C/US</x:v>
      </x:c>
      <x:c r="H16" s="190" t="str"/>
      <x:c r="I16" s="190" t="str"/>
      <x:c r="J16" s="190" t="str"/>
      <x:c r="K16" s="190" t="str">
        <x:v>ESMALTE</x:v>
      </x:c>
      <x:c r="L16" s="190" t="str">
        <x:v>BRANCO CARRARA</x:v>
      </x:c>
      <x:c r="M16" s="210" t="n">
        <x:v>55</x:v>
      </x:c>
      <x:c r="N16" s="210" t="n">
        <x:v>2100</x:v>
      </x:c>
      <x:c r="O16" s="210" t="n">
        <x:v>820</x:v>
      </x:c>
      <x:c r="P16" s="210" t="n">
        <x:v>35</x:v>
      </x:c>
      <x:c r="Q16" s="211" t="n">
        <x:v>3.315</x:v>
      </x:c>
      <x:c r="R16" s="207" t="str"/>
      <x:c r="S16" s="207" t="str"/>
      <x:c r="T16" s="207" t="str"/>
      <x:c r="U16" s="207" t="n">
        <x:v>55</x:v>
      </x:c>
      <x:c r="V16" s="208" t="n">
        <x:f>MAX(0,M16-U16)</x:f>
        <x:v>0</x:v>
      </x:c>
      <x:c r="W16" s="209" t="n">
        <x:f>IFERROR(U16/M16,0)</x:f>
        <x:v>1</x:v>
      </x:c>
      <x:c r="X16" s="201" t="str">
        <x:f>IF(U16=0,"Não iniciado",IF(U16&gt;=M16,"Concluído","Parcial"))</x:f>
        <x:v>Concluído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26684</x:v>
      </x:c>
      <x:c r="C17" s="218" t="str">
        <x:v>5</x:v>
      </x:c>
      <x:c r="D17" s="218" t="str">
        <x:v>609148</x:v>
      </x:c>
      <x:c r="E17" s="218" t="str">
        <x:v>4731234381</x:v>
      </x:c>
      <x:c r="F17" s="218" t="str">
        <x:v>OUTROS</x:v>
      </x:c>
      <x:c r="G17" s="184" t="str">
        <x:v>FP COLM HDF 3 2100x820x35 ESM BCO C C/US</x:v>
      </x:c>
      <x:c r="H17" s="184" t="str"/>
      <x:c r="I17" s="184" t="str"/>
      <x:c r="J17" s="184" t="str"/>
      <x:c r="K17" s="184" t="str">
        <x:v>ESMALTE</x:v>
      </x:c>
      <x:c r="L17" s="184" t="str">
        <x:v>BRANCO CARRARA</x:v>
      </x:c>
      <x:c r="M17" s="205" t="n">
        <x:v>6</x:v>
      </x:c>
      <x:c r="N17" s="205" t="n">
        <x:v>2100</x:v>
      </x:c>
      <x:c r="O17" s="205" t="n">
        <x:v>820</x:v>
      </x:c>
      <x:c r="P17" s="205" t="n">
        <x:v>35</x:v>
      </x:c>
      <x:c r="Q17" s="206" t="n">
        <x:v>0.362</x:v>
      </x:c>
      <x:c r="R17" s="207" t="str"/>
      <x:c r="S17" s="207" t="str"/>
      <x:c r="T17" s="207" t="str"/>
      <x:c r="U17" s="207" t="n">
        <x:v>6</x:v>
      </x:c>
      <x:c r="V17" s="208" t="n">
        <x:f>MAX(0,M17-U17)</x:f>
        <x:v>0</x:v>
      </x:c>
      <x:c r="W17" s="209" t="n">
        <x:f>IFERROR(U17/M17,0)</x:f>
        <x:v>1</x:v>
      </x:c>
      <x:c r="X17" s="201" t="str">
        <x:f>IF(U17=0,"Não iniciado",IF(U17&gt;=M17,"Concluído","Parcial"))</x:f>
        <x:v>Concluído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26684</x:v>
      </x:c>
      <x:c r="C18" s="220" t="str">
        <x:v>6</x:v>
      </x:c>
      <x:c r="D18" s="220" t="str">
        <x:v>609156</x:v>
      </x:c>
      <x:c r="E18" s="220" t="str">
        <x:v>4731234381</x:v>
      </x:c>
      <x:c r="F18" s="220" t="str">
        <x:v>OUTROS</x:v>
      </x:c>
      <x:c r="G18" s="190" t="str">
        <x:v>FP COLM HDF 3 2100x820x35 ESM BCO C C/US</x:v>
      </x:c>
      <x:c r="H18" s="190" t="str"/>
      <x:c r="I18" s="190" t="str"/>
      <x:c r="J18" s="190" t="str"/>
      <x:c r="K18" s="190" t="str">
        <x:v>ESMALTE</x:v>
      </x:c>
      <x:c r="L18" s="190" t="str">
        <x:v>BRANCO CARRARA</x:v>
      </x:c>
      <x:c r="M18" s="210" t="n">
        <x:v>2</x:v>
      </x:c>
      <x:c r="N18" s="210" t="n">
        <x:v>2100</x:v>
      </x:c>
      <x:c r="O18" s="210" t="n">
        <x:v>820</x:v>
      </x:c>
      <x:c r="P18" s="210" t="n">
        <x:v>35</x:v>
      </x:c>
      <x:c r="Q18" s="211" t="n">
        <x:v>0.121</x:v>
      </x:c>
      <x:c r="R18" s="207" t="str"/>
      <x:c r="S18" s="207" t="str"/>
      <x:c r="T18" s="207" t="str"/>
      <x:c r="U18" s="207" t="n">
        <x:v>0</x:v>
      </x:c>
      <x:c r="V18" s="208" t="n">
        <x:f>MAX(0,M18-U18)</x:f>
        <x:v>2</x:v>
      </x:c>
      <x:c r="W18" s="209" t="n">
        <x:f>IFERROR(U18/M18,0)</x:f>
        <x:v>0</x:v>
      </x:c>
      <x:c r="X18" s="201" t="str">
        <x:f>IF(U18=0,"Não iniciado",IF(U18&gt;=M18,"Concluído","Parcial"))</x:f>
        <x:v>Não iniciado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26684</x:v>
      </x:c>
      <x:c r="C19" s="218" t="str">
        <x:v>7</x:v>
      </x:c>
      <x:c r="D19" s="218" t="str">
        <x:v>609164</x:v>
      </x:c>
      <x:c r="E19" s="218" t="str">
        <x:v>4731234381</x:v>
      </x:c>
      <x:c r="F19" s="218" t="str">
        <x:v>OUTROS</x:v>
      </x:c>
      <x:c r="G19" s="184" t="str">
        <x:v>FP COLM HDF 3 2100x820x35 ESM BCO C C/US</x:v>
      </x:c>
      <x:c r="H19" s="184" t="str"/>
      <x:c r="I19" s="184" t="str"/>
      <x:c r="J19" s="184" t="str"/>
      <x:c r="K19" s="184" t="str">
        <x:v>ESMALTE</x:v>
      </x:c>
      <x:c r="L19" s="184" t="str">
        <x:v>BRANCO CARRARA</x:v>
      </x:c>
      <x:c r="M19" s="205" t="n">
        <x:v>1</x:v>
      </x:c>
      <x:c r="N19" s="205" t="n">
        <x:v>2100</x:v>
      </x:c>
      <x:c r="O19" s="205" t="n">
        <x:v>820</x:v>
      </x:c>
      <x:c r="P19" s="205" t="n">
        <x:v>35</x:v>
      </x:c>
      <x:c r="Q19" s="206" t="n">
        <x:v>0.06</x:v>
      </x:c>
      <x:c r="R19" s="207" t="str"/>
      <x:c r="S19" s="207" t="str"/>
      <x:c r="T19" s="207" t="str"/>
      <x:c r="U19" s="207" t="n">
        <x:v>1</x:v>
      </x:c>
      <x:c r="V19" s="208" t="n">
        <x:f>MAX(0,M19-U19)</x:f>
        <x:v>0</x:v>
      </x:c>
      <x:c r="W19" s="209" t="n">
        <x:f>IFERROR(U19/M19,0)</x:f>
        <x:v>1</x:v>
      </x:c>
      <x:c r="X19" s="201" t="str">
        <x:f>IF(U19=0,"Não iniciado",IF(U19&gt;=M19,"Concluído","Parcial"))</x:f>
        <x:v>Concluído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26684</x:v>
      </x:c>
      <x:c r="C20" s="220" t="str">
        <x:v>8</x:v>
      </x:c>
      <x:c r="D20" s="220" t="str">
        <x:v>609172</x:v>
      </x:c>
      <x:c r="E20" s="220" t="str">
        <x:v>421010017</x:v>
      </x:c>
      <x:c r="F20" s="220" t="str">
        <x:v>OUTROS</x:v>
      </x:c>
      <x:c r="G20" s="190" t="str">
        <x:v>FP COLM HDF 3 RU 2100x820x35 ESM BCO C C</x:v>
      </x:c>
      <x:c r="H20" s="190" t="str"/>
      <x:c r="I20" s="190" t="str"/>
      <x:c r="J20" s="190" t="str"/>
      <x:c r="K20" s="190" t="str">
        <x:v>ESMALTE</x:v>
      </x:c>
      <x:c r="L20" s="190" t="str">
        <x:v>BRANCO CARRARA</x:v>
      </x:c>
      <x:c r="M20" s="210" t="n">
        <x:v>5</x:v>
      </x:c>
      <x:c r="N20" s="210" t="n">
        <x:v>2100</x:v>
      </x:c>
      <x:c r="O20" s="210" t="n">
        <x:v>820</x:v>
      </x:c>
      <x:c r="P20" s="210" t="n">
        <x:v>35</x:v>
      </x:c>
      <x:c r="Q20" s="211" t="n">
        <x:v>0.301</x:v>
      </x:c>
      <x:c r="R20" s="207" t="str"/>
      <x:c r="S20" s="207" t="str"/>
      <x:c r="T20" s="207" t="str"/>
      <x:c r="U20" s="207" t="n">
        <x:v>5</x:v>
      </x:c>
      <x:c r="V20" s="208" t="n">
        <x:f>MAX(0,M20-U20)</x:f>
        <x:v>0</x:v>
      </x:c>
      <x:c r="W20" s="209" t="n">
        <x:f>IFERROR(U20/M20,0)</x:f>
        <x:v>1</x:v>
      </x:c>
      <x:c r="X20" s="201" t="str">
        <x:f>IF(U20=0,"Não iniciado",IF(U20&gt;=M20,"Concluído","Parcial"))</x:f>
        <x:v>Concluído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26684</x:v>
      </x:c>
      <x:c r="C21" s="218" t="str">
        <x:v>9</x:v>
      </x:c>
      <x:c r="D21" s="218" t="str">
        <x:v>609180</x:v>
      </x:c>
      <x:c r="E21" s="218" t="str">
        <x:v>421010017</x:v>
      </x:c>
      <x:c r="F21" s="218" t="str">
        <x:v>OUTROS</x:v>
      </x:c>
      <x:c r="G21" s="184" t="str">
        <x:v>FP COLM HDF 3 RU 2100x820x35 ESM BCO C C</x:v>
      </x:c>
      <x:c r="H21" s="184" t="str"/>
      <x:c r="I21" s="184" t="str"/>
      <x:c r="J21" s="184" t="str"/>
      <x:c r="K21" s="184" t="str">
        <x:v>ESMALTE</x:v>
      </x:c>
      <x:c r="L21" s="184" t="str">
        <x:v>BRANCO CARRARA</x:v>
      </x:c>
      <x:c r="M21" s="205" t="n">
        <x:v>57</x:v>
      </x:c>
      <x:c r="N21" s="205" t="n">
        <x:v>2100</x:v>
      </x:c>
      <x:c r="O21" s="205" t="n">
        <x:v>820</x:v>
      </x:c>
      <x:c r="P21" s="205" t="n">
        <x:v>35</x:v>
      </x:c>
      <x:c r="Q21" s="206" t="n">
        <x:v>3.435</x:v>
      </x:c>
      <x:c r="R21" s="207" t="str"/>
      <x:c r="S21" s="207" t="str"/>
      <x:c r="T21" s="207" t="str"/>
      <x:c r="U21" s="207" t="n">
        <x:v>23</x:v>
      </x:c>
      <x:c r="V21" s="208" t="n">
        <x:f>MAX(0,M21-U21)</x:f>
        <x:v>34</x:v>
      </x:c>
      <x:c r="W21" s="209" t="n">
        <x:f>IFERROR(U21/M21,0)</x:f>
        <x:v>0.40350877192982454</x:v>
      </x:c>
      <x:c r="X21" s="201" t="str">
        <x:f>IF(U21=0,"Não iniciado",IF(U21&gt;=M21,"Concluído","Parcial"))</x:f>
        <x:v>Parcial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26684</x:v>
      </x:c>
      <x:c r="C22" s="220" t="str">
        <x:v>10</x:v>
      </x:c>
      <x:c r="D22" s="220" t="str">
        <x:v>609188</x:v>
      </x:c>
      <x:c r="E22" s="220" t="str">
        <x:v>421010017</x:v>
      </x:c>
      <x:c r="F22" s="220" t="str">
        <x:v>OUTROS</x:v>
      </x:c>
      <x:c r="G22" s="190" t="str">
        <x:v>FP COLM HDF 3 RU 2100x820x35 ESM BCO C C</x:v>
      </x:c>
      <x:c r="H22" s="190" t="str"/>
      <x:c r="I22" s="190" t="str"/>
      <x:c r="J22" s="190" t="str"/>
      <x:c r="K22" s="190" t="str">
        <x:v>ESMALTE</x:v>
      </x:c>
      <x:c r="L22" s="190" t="str">
        <x:v>BRANCO CARRARA</x:v>
      </x:c>
      <x:c r="M22" s="210" t="n">
        <x:v>2</x:v>
      </x:c>
      <x:c r="N22" s="210" t="n">
        <x:v>2100</x:v>
      </x:c>
      <x:c r="O22" s="210" t="n">
        <x:v>820</x:v>
      </x:c>
      <x:c r="P22" s="210" t="n">
        <x:v>35</x:v>
      </x:c>
      <x:c r="Q22" s="211" t="n">
        <x:v>0.121</x:v>
      </x:c>
      <x:c r="R22" s="207" t="str"/>
      <x:c r="S22" s="207" t="str"/>
      <x:c r="T22" s="207" t="str"/>
      <x:c r="U22" s="207" t="n">
        <x:v>0</x:v>
      </x:c>
      <x:c r="V22" s="208" t="n">
        <x:f>MAX(0,M22-U22)</x:f>
        <x:v>2</x:v>
      </x:c>
      <x:c r="W22" s="209" t="n">
        <x:f>IFERROR(U22/M22,0)</x:f>
        <x:v>0</x:v>
      </x:c>
      <x:c r="X22" s="201" t="str">
        <x:f>IF(U22=0,"Não iniciado",IF(U22&gt;=M22,"Concluído","Parcial"))</x:f>
        <x:v>Não iniciado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26689</x:v>
      </x:c>
      <x:c r="C23" s="218" t="str">
        <x:v>1</x:v>
      </x:c>
      <x:c r="D23" s="218" t="str">
        <x:v>609083</x:v>
      </x:c>
      <x:c r="E23" s="218" t="str">
        <x:v>4993012047</x:v>
      </x:c>
      <x:c r="F23" s="218" t="str">
        <x:v>OUTROS</x:v>
      </x:c>
      <x:c r="G23" s="184" t="str">
        <x:v>FP S BD HDF 3 2100x820x35 ESM BCO C C/US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32</x:v>
      </x:c>
      <x:c r="N23" s="205" t="n">
        <x:v>2100</x:v>
      </x:c>
      <x:c r="O23" s="205" t="n">
        <x:v>820</x:v>
      </x:c>
      <x:c r="P23" s="205" t="n">
        <x:v>35</x:v>
      </x:c>
      <x:c r="Q23" s="206" t="n">
        <x:v>1.929</x:v>
      </x:c>
      <x:c r="R23" s="207" t="str"/>
      <x:c r="S23" s="207" t="str"/>
      <x:c r="T23" s="207" t="str"/>
      <x:c r="U23" s="207" t="n">
        <x:v>0</x:v>
      </x:c>
      <x:c r="V23" s="208" t="n">
        <x:f>MAX(0,M23-U23)</x:f>
        <x:v>32</x:v>
      </x:c>
      <x:c r="W23" s="209" t="n">
        <x:f>IFERROR(U23/M23,0)</x:f>
        <x:v>0</x:v>
      </x:c>
      <x:c r="X23" s="201" t="str">
        <x:f>IF(U23=0,"Não iniciado",IF(U23&gt;=M23,"Concluído","Parcial"))</x:f>
        <x:v>Não iniciado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26689</x:v>
      </x:c>
      <x:c r="C24" s="220" t="str">
        <x:v>2</x:v>
      </x:c>
      <x:c r="D24" s="220" t="str">
        <x:v>609091</x:v>
      </x:c>
      <x:c r="E24" s="220" t="str">
        <x:v>4731234381</x:v>
      </x:c>
      <x:c r="F24" s="220" t="str">
        <x:v>OUTROS</x:v>
      </x:c>
      <x:c r="G24" s="190" t="str">
        <x:v>FP COLM HDF 3 2100x820x35 ESM BCO C C/US</x:v>
      </x:c>
      <x:c r="H24" s="190" t="str"/>
      <x:c r="I24" s="190" t="str"/>
      <x:c r="J24" s="190" t="str"/>
      <x:c r="K24" s="190" t="str">
        <x:v>ESMALTE</x:v>
      </x:c>
      <x:c r="L24" s="190" t="str">
        <x:v>BRANCO CARRARA</x:v>
      </x:c>
      <x:c r="M24" s="210" t="n">
        <x:v>64</x:v>
      </x:c>
      <x:c r="N24" s="210" t="n">
        <x:v>2100</x:v>
      </x:c>
      <x:c r="O24" s="210" t="n">
        <x:v>820</x:v>
      </x:c>
      <x:c r="P24" s="210" t="n">
        <x:v>35</x:v>
      </x:c>
      <x:c r="Q24" s="211" t="n">
        <x:v>3.857</x:v>
      </x:c>
      <x:c r="R24" s="207" t="str"/>
      <x:c r="S24" s="207" t="str"/>
      <x:c r="T24" s="207" t="str"/>
      <x:c r="U24" s="207" t="n">
        <x:v>0</x:v>
      </x:c>
      <x:c r="V24" s="208" t="n">
        <x:f>MAX(0,M24-U24)</x:f>
        <x:v>64</x:v>
      </x:c>
      <x:c r="W24" s="209" t="n">
        <x:f>IFERROR(U24/M24,0)</x:f>
        <x:v>0</x:v>
      </x:c>
      <x:c r="X24" s="201" t="str">
        <x:f>IF(U24=0,"Não iniciado",IF(U24&gt;=M24,"Concluído","Parcial"))</x:f>
        <x:v>Não iniciado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26689</x:v>
      </x:c>
      <x:c r="C25" s="218" t="str">
        <x:v>3</x:v>
      </x:c>
      <x:c r="D25" s="218" t="str">
        <x:v>609099</x:v>
      </x:c>
      <x:c r="E25" s="218" t="str">
        <x:v>421010017</x:v>
      </x:c>
      <x:c r="F25" s="218" t="str">
        <x:v>OUTROS</x:v>
      </x:c>
      <x:c r="G25" s="184" t="str">
        <x:v>FP COLM HDF 3 RU 2100x820x35 ESM BCO C C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61</x:v>
      </x:c>
      <x:c r="N25" s="205" t="n">
        <x:v>2100</x:v>
      </x:c>
      <x:c r="O25" s="205" t="n">
        <x:v>820</x:v>
      </x:c>
      <x:c r="P25" s="205" t="n">
        <x:v>35</x:v>
      </x:c>
      <x:c r="Q25" s="206" t="n">
        <x:v>3.676</x:v>
      </x:c>
      <x:c r="R25" s="207" t="str"/>
      <x:c r="S25" s="207" t="str"/>
      <x:c r="T25" s="207" t="str"/>
      <x:c r="U25" s="207" t="n">
        <x:v>34</x:v>
      </x:c>
      <x:c r="V25" s="208" t="n">
        <x:f>MAX(0,M25-U25)</x:f>
        <x:v>27</x:v>
      </x:c>
      <x:c r="W25" s="209" t="n">
        <x:f>IFERROR(U25/M25,0)</x:f>
        <x:v>0.5573770491803278</x:v>
      </x:c>
      <x:c r="X25" s="201" t="str">
        <x:f>IF(U25=0,"Não iniciado",IF(U25&gt;=M25,"Concluído","Parcial"))</x:f>
        <x:v>Parcial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26689</x:v>
      </x:c>
      <x:c r="C26" s="220" t="str">
        <x:v>4</x:v>
      </x:c>
      <x:c r="D26" s="220" t="str">
        <x:v>609107</x:v>
      </x:c>
      <x:c r="E26" s="220" t="str">
        <x:v>421010017</x:v>
      </x:c>
      <x:c r="F26" s="220" t="str">
        <x:v>OUTROS</x:v>
      </x:c>
      <x:c r="G26" s="190" t="str">
        <x:v>FP COLM HDF 3 RU 2100x820x35 ESM BCO C C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3</x:v>
      </x:c>
      <x:c r="N26" s="210" t="n">
        <x:v>2100</x:v>
      </x:c>
      <x:c r="O26" s="210" t="n">
        <x:v>820</x:v>
      </x:c>
      <x:c r="P26" s="210" t="n">
        <x:v>35</x:v>
      </x:c>
      <x:c r="Q26" s="211" t="n">
        <x:v>0.181</x:v>
      </x:c>
      <x:c r="R26" s="207" t="str"/>
      <x:c r="S26" s="207" t="str"/>
      <x:c r="T26" s="207" t="str"/>
      <x:c r="U26" s="207" t="n">
        <x:v>3</x:v>
      </x:c>
      <x:c r="V26" s="208" t="n">
        <x:f>MAX(0,M26-U26)</x:f>
        <x:v>0</x:v>
      </x:c>
      <x:c r="W26" s="209" t="n">
        <x:f>IFERROR(U26/M26,0)</x:f>
        <x:v>1</x:v>
      </x:c>
      <x:c r="X26" s="201" t="str">
        <x:f>IF(U26=0,"Não iniciado",IF(U26&gt;=M26,"Concluído","Parcial"))</x:f>
        <x:v>Concluído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26750</x:v>
      </x:c>
      <x:c r="C27" s="218" t="str">
        <x:v>10</x:v>
      </x:c>
      <x:c r="D27" s="218" t="str">
        <x:v>609810</x:v>
      </x:c>
      <x:c r="E27" s="218" t="str">
        <x:v>3040300443</x:v>
      </x:c>
      <x:c r="F27" s="218" t="str">
        <x:v>PORTA</x:v>
      </x:c>
      <x:c r="G27" s="184" t="str">
        <x:v>FO POR COL HDF 3 ESM BCO CAR 2100X820X35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2</x:v>
      </x:c>
      <x:c r="N27" s="205" t="n">
        <x:v>2100</x:v>
      </x:c>
      <x:c r="O27" s="205" t="n">
        <x:v>820</x:v>
      </x:c>
      <x:c r="P27" s="205" t="n">
        <x:v>35</x:v>
      </x:c>
      <x:c r="Q27" s="206" t="n">
        <x:v>0.121</x:v>
      </x:c>
      <x:c r="R27" s="207" t="str"/>
      <x:c r="S27" s="207" t="str"/>
      <x:c r="T27" s="207" t="str"/>
      <x:c r="U27" s="207" t="n">
        <x:v>1</x:v>
      </x:c>
      <x:c r="V27" s="208" t="n">
        <x:f>MAX(0,M27-U27)</x:f>
        <x:v>1</x:v>
      </x:c>
      <x:c r="W27" s="209" t="n">
        <x:f>IFERROR(U27/M27,0)</x:f>
        <x:v>0.5</x:v>
      </x:c>
      <x:c r="X27" s="201" t="str">
        <x:f>IF(U27=0,"Não iniciado",IF(U27&gt;=M27,"Concluído","Parcial"))</x:f>
        <x:v>Parcial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26766</x:v>
      </x:c>
      <x:c r="C28" s="220" t="str">
        <x:v>6</x:v>
      </x:c>
      <x:c r="D28" s="220" t="str">
        <x:v>610152</x:v>
      </x:c>
      <x:c r="E28" s="220" t="str">
        <x:v>3041500098</x:v>
      </x:c>
      <x:c r="F28" s="220" t="str">
        <x:v>PORTA</x:v>
      </x:c>
      <x:c r="G28" s="190" t="str">
        <x:v>FO POR SMT HDF 3 S BD RU 2100X820X35 IMP</x:v>
      </x:c>
      <x:c r="H28" s="190" t="str">
        <x:v>LISA</x:v>
      </x:c>
      <x:c r="I28" s="190" t="str"/>
      <x:c r="J28" s="190" t="str"/>
      <x:c r="K28" s="190" t="str">
        <x:v>IMPRESSO</x:v>
      </x:c>
      <x:c r="L28" s="190" t="str">
        <x:v>MOGNO BRASILEIRO</x:v>
      </x:c>
      <x:c r="M28" s="210" t="n">
        <x:v>144</x:v>
      </x:c>
      <x:c r="N28" s="210" t="n">
        <x:v>2100</x:v>
      </x:c>
      <x:c r="O28" s="210" t="n">
        <x:v>820</x:v>
      </x:c>
      <x:c r="P28" s="210" t="n">
        <x:v>35</x:v>
      </x:c>
      <x:c r="Q28" s="211" t="n">
        <x:v>8.679</x:v>
      </x:c>
      <x:c r="R28" s="207" t="str"/>
      <x:c r="S28" s="207" t="str"/>
      <x:c r="T28" s="207" t="str"/>
      <x:c r="U28" s="207" t="n">
        <x:v>0</x:v>
      </x:c>
      <x:c r="V28" s="208" t="n">
        <x:f>MAX(0,M28-U28)</x:f>
        <x:v>144</x:v>
      </x:c>
      <x:c r="W28" s="209" t="n">
        <x:f>IFERROR(U28/M28,0)</x:f>
        <x:v>0</x:v>
      </x:c>
      <x:c r="X28" s="201" t="str">
        <x:f>IF(U28=0,"Não iniciado",IF(U28&gt;=M28,"Concluído","Parcial"))</x:f>
        <x:v>Não iniciado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26747</x:v>
      </x:c>
      <x:c r="C29" s="218" t="str">
        <x:v>7</x:v>
      </x:c>
      <x:c r="D29" s="218" t="str">
        <x:v>609013</x:v>
      </x:c>
      <x:c r="E29" s="218" t="str">
        <x:v>4210012026</x:v>
      </x:c>
      <x:c r="F29" s="218" t="str">
        <x:v>OUTROS</x:v>
      </x:c>
      <x:c r="G29" s="184" t="str">
        <x:v>FOL.POR.COL.LIS2100x800x0 ESM.BRC PLS</x:v>
      </x:c>
      <x:c r="H29" s="184" t="str">
        <x:v>LISA</x:v>
      </x:c>
      <x:c r="I29" s="184" t="str"/>
      <x:c r="J29" s="184" t="str"/>
      <x:c r="K29" s="184" t="str">
        <x:v>ESMALTE</x:v>
      </x:c>
      <x:c r="L29" s="184" t="str">
        <x:v>BRANCO CARRARA</x:v>
      </x:c>
      <x:c r="M29" s="205" t="n">
        <x:v>4</x:v>
      </x:c>
      <x:c r="N29" s="205" t="n">
        <x:v>2100</x:v>
      </x:c>
      <x:c r="O29" s="205" t="n">
        <x:v>800</x:v>
      </x:c>
      <x:c r="P29" s="205" t="str"/>
      <x:c r="Q29" s="206" t="n">
        <x:v>0.235</x:v>
      </x:c>
      <x:c r="R29" s="207" t="str"/>
      <x:c r="S29" s="207" t="str"/>
      <x:c r="T29" s="207" t="str"/>
      <x:c r="U29" s="207" t="n">
        <x:v>4</x:v>
      </x:c>
      <x:c r="V29" s="208" t="n">
        <x:f>MAX(0,M29-U29)</x:f>
        <x:v>0</x:v>
      </x:c>
      <x:c r="W29" s="209" t="n">
        <x:f>IFERROR(U29/M29,0)</x:f>
        <x:v>1</x:v>
      </x:c>
      <x:c r="X29" s="201" t="str">
        <x:f>IF(U29=0,"Não iniciado",IF(U29&gt;=M29,"Concluído","Parcial"))</x:f>
        <x:v>Concluído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26808</x:v>
      </x:c>
      <x:c r="C30" s="220" t="str">
        <x:v>8</x:v>
      </x:c>
      <x:c r="D30" s="220" t="str">
        <x:v>608958</x:v>
      </x:c>
      <x:c r="E30" s="220" t="str">
        <x:v>4731234915</x:v>
      </x:c>
      <x:c r="F30" s="220" t="str">
        <x:v>OUTROS</x:v>
      </x:c>
      <x:c r="G30" s="190" t="str">
        <x:v>FOL.POR.SAR.US.2100x800x0 ESM.BRC PLS</x:v>
      </x:c>
      <x:c r="H30" s="190" t="str"/>
      <x:c r="I30" s="190" t="str"/>
      <x:c r="J30" s="190" t="str"/>
      <x:c r="K30" s="190" t="str">
        <x:v>ESMALTE</x:v>
      </x:c>
      <x:c r="L30" s="190" t="str">
        <x:v>BRANCO CARRARA</x:v>
      </x:c>
      <x:c r="M30" s="210" t="n">
        <x:v>22</x:v>
      </x:c>
      <x:c r="N30" s="210" t="n">
        <x:v>2100</x:v>
      </x:c>
      <x:c r="O30" s="210" t="n">
        <x:v>800</x:v>
      </x:c>
      <x:c r="P30" s="210" t="str"/>
      <x:c r="Q30" s="211" t="n">
        <x:v>1.294</x:v>
      </x:c>
      <x:c r="R30" s="207" t="str"/>
      <x:c r="S30" s="207" t="str"/>
      <x:c r="T30" s="207" t="str"/>
      <x:c r="U30" s="207" t="n">
        <x:v>22</x:v>
      </x:c>
      <x:c r="V30" s="208" t="n">
        <x:f>MAX(0,M30-U30)</x:f>
        <x:v>0</x:v>
      </x:c>
      <x:c r="W30" s="209" t="n">
        <x:f>IFERROR(U30/M30,0)</x:f>
        <x:v>1</x:v>
      </x:c>
      <x:c r="X30" s="201" t="str">
        <x:f>IF(U30=0,"Não iniciado",IF(U30&gt;=M30,"Concluído","Parcial"))</x:f>
        <x:v>Concluído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26808</x:v>
      </x:c>
      <x:c r="C31" s="218" t="str">
        <x:v>9</x:v>
      </x:c>
      <x:c r="D31" s="218" t="str">
        <x:v>610981</x:v>
      </x:c>
      <x:c r="E31" s="218" t="str">
        <x:v>4731234915</x:v>
      </x:c>
      <x:c r="F31" s="218" t="str">
        <x:v>OUTROS</x:v>
      </x:c>
      <x:c r="G31" s="184" t="str">
        <x:v>FOL.POR.SAR.US.2100x800x0 ESM.BRC PLS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71</x:v>
      </x:c>
      <x:c r="N31" s="205" t="n">
        <x:v>2100</x:v>
      </x:c>
      <x:c r="O31" s="205" t="n">
        <x:v>800</x:v>
      </x:c>
      <x:c r="P31" s="205" t="str"/>
      <x:c r="Q31" s="206" t="n">
        <x:v>4.175</x:v>
      </x:c>
      <x:c r="R31" s="207" t="str"/>
      <x:c r="S31" s="207" t="str"/>
      <x:c r="T31" s="207" t="str"/>
      <x:c r="U31" s="207" t="n">
        <x:v>71</x:v>
      </x:c>
      <x:c r="V31" s="208" t="n">
        <x:f>MAX(0,M31-U31)</x:f>
        <x:v>0</x:v>
      </x:c>
      <x:c r="W31" s="209" t="n">
        <x:f>IFERROR(U31/M31,0)</x:f>
        <x:v>1</x:v>
      </x:c>
      <x:c r="X31" s="201" t="str">
        <x:f>IF(U31=0,"Não iniciado",IF(U31&gt;=M31,"Concluído","Parcial"))</x:f>
        <x:v>Concluído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26796</x:v>
      </x:c>
      <x:c r="C32" s="220" t="str">
        <x:v>3</x:v>
      </x:c>
      <x:c r="D32" s="220" t="str">
        <x:v>609306</x:v>
      </x:c>
      <x:c r="E32" s="220" t="str">
        <x:v>3041400218</x:v>
      </x:c>
      <x:c r="F32" s="220" t="str">
        <x:v>PORTA</x:v>
      </x:c>
      <x:c r="G32" s="190" t="str">
        <x:v>FO POR SMT HDF 3 S GD RU 2100X800X35 ESM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192</x:v>
      </x:c>
      <x:c r="N32" s="210" t="n">
        <x:v>2100</x:v>
      </x:c>
      <x:c r="O32" s="210" t="n">
        <x:v>800</x:v>
      </x:c>
      <x:c r="P32" s="210" t="n">
        <x:v>35</x:v>
      </x:c>
      <x:c r="Q32" s="211" t="n">
        <x:v>11.29</x:v>
      </x:c>
      <x:c r="R32" s="207" t="str"/>
      <x:c r="S32" s="207" t="str"/>
      <x:c r="T32" s="207" t="str"/>
      <x:c r="U32" s="207" t="n">
        <x:v>96.5</x:v>
      </x:c>
      <x:c r="V32" s="208" t="n">
        <x:f>MAX(0,M32-U32)</x:f>
        <x:v>95.5</x:v>
      </x:c>
      <x:c r="W32" s="209" t="n">
        <x:f>IFERROR(U32/M32,0)</x:f>
        <x:v>0.5026041666666666</x:v>
      </x:c>
      <x:c r="X32" s="201" t="str">
        <x:f>IF(U32=0,"Não iniciado",IF(U32&gt;=M32,"Concluído","Parcial"))</x:f>
        <x:v>Parcial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26799</x:v>
      </x:c>
      <x:c r="C33" s="218" t="str">
        <x:v>3</x:v>
      </x:c>
      <x:c r="D33" s="218" t="str">
        <x:v>609411</x:v>
      </x:c>
      <x:c r="E33" s="218" t="str">
        <x:v>3041400218</x:v>
      </x:c>
      <x:c r="F33" s="218" t="str">
        <x:v>PORTA</x:v>
      </x:c>
      <x:c r="G33" s="184" t="str">
        <x:v>FO POR SMT HDF 3 S GD RU 2100X800X35 ESM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64</x:v>
      </x:c>
      <x:c r="N33" s="205" t="n">
        <x:v>2100</x:v>
      </x:c>
      <x:c r="O33" s="205" t="n">
        <x:v>800</x:v>
      </x:c>
      <x:c r="P33" s="205" t="n">
        <x:v>35</x:v>
      </x:c>
      <x:c r="Q33" s="206" t="n">
        <x:v>3.763</x:v>
      </x:c>
      <x:c r="R33" s="207" t="str"/>
      <x:c r="S33" s="207" t="str"/>
      <x:c r="T33" s="207" t="str"/>
      <x:c r="U33" s="207" t="n">
        <x:v>17</x:v>
      </x:c>
      <x:c r="V33" s="208" t="n">
        <x:f>MAX(0,M33-U33)</x:f>
        <x:v>47</x:v>
      </x:c>
      <x:c r="W33" s="209" t="n">
        <x:f>IFERROR(U33/M33,0)</x:f>
        <x:v>0.265625</x:v>
      </x:c>
      <x:c r="X33" s="201" t="str">
        <x:f>IF(U33=0,"Não iniciado",IF(U33&gt;=M33,"Concluído","Parcial"))</x:f>
        <x:v>Parcial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26808</x:v>
      </x:c>
      <x:c r="C34" s="220" t="str">
        <x:v>10</x:v>
      </x:c>
      <x:c r="D34" s="220" t="str">
        <x:v>608974</x:v>
      </x:c>
      <x:c r="E34" s="220" t="str">
        <x:v>3041400235</x:v>
      </x:c>
      <x:c r="F34" s="220" t="str">
        <x:v>PORTA</x:v>
      </x:c>
      <x:c r="G34" s="190" t="str">
        <x:v>FO POR S GD HDF 3 ESM BCO CAR 2100X800X3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1</x:v>
      </x:c>
      <x:c r="N34" s="210" t="n">
        <x:v>2100</x:v>
      </x:c>
      <x:c r="O34" s="210" t="n">
        <x:v>800</x:v>
      </x:c>
      <x:c r="P34" s="210" t="n">
        <x:v>3</x:v>
      </x:c>
      <x:c r="Q34" s="211" t="n">
        <x:v>0.059</x:v>
      </x:c>
      <x:c r="R34" s="207" t="str"/>
      <x:c r="S34" s="207" t="str"/>
      <x:c r="T34" s="207" t="str"/>
      <x:c r="U34" s="207" t="n">
        <x:v>1</x:v>
      </x:c>
      <x:c r="V34" s="208" t="n">
        <x:f>MAX(0,M34-U34)</x:f>
        <x:v>0</x:v>
      </x:c>
      <x:c r="W34" s="209" t="n">
        <x:f>IFERROR(U34/M34,0)</x:f>
        <x:v>1</x:v>
      </x:c>
      <x:c r="X34" s="201" t="str">
        <x:f>IF(U34=0,"Não iniciado",IF(U34&gt;=M34,"Concluído","Parcial"))</x:f>
        <x:v>Concluído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26815</x:v>
      </x:c>
      <x:c r="C35" s="218" t="str">
        <x:v>4</x:v>
      </x:c>
      <x:c r="D35" s="218" t="str">
        <x:v>610297</x:v>
      </x:c>
      <x:c r="E35" s="218" t="str">
        <x:v>3041400418</x:v>
      </x:c>
      <x:c r="F35" s="218" t="str">
        <x:v>PORTA</x:v>
      </x:c>
      <x:c r="G35" s="184" t="str">
        <x:v>FO POR SMT HDF 3 S GD RU 2100X800X35 ESM</x:v>
      </x:c>
      <x:c r="H35" s="184" t="str"/>
      <x:c r="I35" s="184" t="str"/>
      <x:c r="J35" s="184" t="str"/>
      <x:c r="K35" s="184" t="str">
        <x:v>ESMALTE</x:v>
      </x:c>
      <x:c r="L35" s="184" t="str">
        <x:v>BRANCO CARRARA</x:v>
      </x:c>
      <x:c r="M35" s="205" t="n">
        <x:v>67</x:v>
      </x:c>
      <x:c r="N35" s="205" t="n">
        <x:v>2100</x:v>
      </x:c>
      <x:c r="O35" s="205" t="n">
        <x:v>800</x:v>
      </x:c>
      <x:c r="P35" s="205" t="n">
        <x:v>35</x:v>
      </x:c>
      <x:c r="Q35" s="206" t="n">
        <x:v>3.94</x:v>
      </x:c>
      <x:c r="R35" s="207" t="str"/>
      <x:c r="S35" s="207" t="str"/>
      <x:c r="T35" s="207" t="str"/>
      <x:c r="U35" s="207" t="n">
        <x:v>33.5</x:v>
      </x:c>
      <x:c r="V35" s="208" t="n">
        <x:f>MAX(0,M35-U35)</x:f>
        <x:v>33.5</x:v>
      </x:c>
      <x:c r="W35" s="209" t="n">
        <x:f>IFERROR(U35/M35,0)</x:f>
        <x:v>0.5</x:v>
      </x:c>
      <x:c r="X35" s="201" t="str">
        <x:f>IF(U35=0,"Não iniciado",IF(U35&gt;=M35,"Concluído","Parcial"))</x:f>
        <x:v>Parcial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26824</x:v>
      </x:c>
      <x:c r="C36" s="220" t="str">
        <x:v>3</x:v>
      </x:c>
      <x:c r="D36" s="220" t="str">
        <x:v>609601</x:v>
      </x:c>
      <x:c r="E36" s="220" t="str">
        <x:v>3040300297</x:v>
      </x:c>
      <x:c r="F36" s="220" t="str">
        <x:v>PORTA</x:v>
      </x:c>
      <x:c r="G36" s="190" t="str">
        <x:v>FO POR SMT HDF 3 COL RU 2100X800X35 ESM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5</x:v>
      </x:c>
      <x:c r="N36" s="210" t="n">
        <x:v>2100</x:v>
      </x:c>
      <x:c r="O36" s="210" t="n">
        <x:v>800</x:v>
      </x:c>
      <x:c r="P36" s="210" t="n">
        <x:v>35</x:v>
      </x:c>
      <x:c r="Q36" s="211" t="n">
        <x:v>0.294</x:v>
      </x:c>
      <x:c r="R36" s="207" t="str"/>
      <x:c r="S36" s="207" t="str"/>
      <x:c r="T36" s="207" t="str"/>
      <x:c r="U36" s="207" t="n">
        <x:v>5</x:v>
      </x:c>
      <x:c r="V36" s="208" t="n">
        <x:f>MAX(0,M36-U36)</x:f>
        <x:v>0</x:v>
      </x:c>
      <x:c r="W36" s="209" t="n">
        <x:f>IFERROR(U36/M36,0)</x:f>
        <x:v>1</x:v>
      </x:c>
      <x:c r="X36" s="201" t="str">
        <x:f>IF(U36=0,"Não iniciado",IF(U36&gt;=M36,"Concluído","Parcial"))</x:f>
        <x:v>Concluído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26826</x:v>
      </x:c>
      <x:c r="C37" s="218" t="str">
        <x:v>3</x:v>
      </x:c>
      <x:c r="D37" s="218" t="str">
        <x:v>609061</x:v>
      </x:c>
      <x:c r="E37" s="218" t="str">
        <x:v>3050300049</x:v>
      </x:c>
      <x:c r="F37" s="218" t="str">
        <x:v>PORTA</x:v>
      </x:c>
      <x:c r="G37" s="184" t="str">
        <x:v>FO P COR SMT HDF 3 COL B2 L 2100X800X35</x:v>
      </x:c>
      <x:c r="H37" s="184" t="str">
        <x:v>LISA</x:v>
      </x:c>
      <x:c r="I37" s="184" t="str">
        <x:v>C/USINAGEM COMPLETA</x:v>
      </x:c>
      <x:c r="J37" s="184" t="str"/>
      <x:c r="K37" s="184" t="str">
        <x:v>ESMALTE</x:v>
      </x:c>
      <x:c r="L37" s="184" t="str">
        <x:v>BRANCO CARRARA</x:v>
      </x:c>
      <x:c r="M37" s="205" t="n">
        <x:v>53</x:v>
      </x:c>
      <x:c r="N37" s="205" t="n">
        <x:v>2100</x:v>
      </x:c>
      <x:c r="O37" s="205" t="n">
        <x:v>800</x:v>
      </x:c>
      <x:c r="P37" s="205" t="n">
        <x:v>35</x:v>
      </x:c>
      <x:c r="Q37" s="206" t="n">
        <x:v>3.116</x:v>
      </x:c>
      <x:c r="R37" s="207" t="str"/>
      <x:c r="S37" s="207" t="str"/>
      <x:c r="T37" s="207" t="str"/>
      <x:c r="U37" s="207" t="n">
        <x:v>53</x:v>
      </x:c>
      <x:c r="V37" s="208" t="n">
        <x:f>MAX(0,M37-U37)</x:f>
        <x:v>0</x:v>
      </x:c>
      <x:c r="W37" s="209" t="n">
        <x:f>IFERROR(U37/M37,0)</x:f>
        <x:v>1</x:v>
      </x:c>
      <x:c r="X37" s="201" t="str">
        <x:f>IF(U37=0,"Não iniciado",IF(U37&gt;=M37,"Concluído","Parcial"))</x:f>
        <x:v>Concluído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26766</x:v>
      </x:c>
      <x:c r="C38" s="220" t="str">
        <x:v>4</x:v>
      </x:c>
      <x:c r="D38" s="220" t="str">
        <x:v>610148</x:v>
      </x:c>
      <x:c r="E38" s="220" t="str">
        <x:v>3040300003</x:v>
      </x:c>
      <x:c r="F38" s="220" t="str">
        <x:v>PORTA</x:v>
      </x:c>
      <x:c r="G38" s="190" t="str">
        <x:v>FO POR SMT HDF 3 COL RU 2100X800X35 IMP</x:v>
      </x:c>
      <x:c r="H38" s="190" t="str">
        <x:v>LISA</x:v>
      </x:c>
      <x:c r="I38" s="190" t="str"/>
      <x:c r="J38" s="190" t="str"/>
      <x:c r="K38" s="190" t="str">
        <x:v>IMPRESSO</x:v>
      </x:c>
      <x:c r="L38" s="190" t="str">
        <x:v>MOGNO BRASILEIRO</x:v>
      </x:c>
      <x:c r="M38" s="210" t="n">
        <x:v>324</x:v>
      </x:c>
      <x:c r="N38" s="210" t="n">
        <x:v>2100</x:v>
      </x:c>
      <x:c r="O38" s="210" t="n">
        <x:v>800</x:v>
      </x:c>
      <x:c r="P38" s="210" t="n">
        <x:v>35</x:v>
      </x:c>
      <x:c r="Q38" s="211" t="n">
        <x:v>19.051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324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26739</x:v>
      </x:c>
      <x:c r="C39" s="218" t="str">
        <x:v>8</x:v>
      </x:c>
      <x:c r="D39" s="218" t="str">
        <x:v>609645</x:v>
      </x:c>
      <x:c r="E39" s="218" t="str">
        <x:v>4210012023</x:v>
      </x:c>
      <x:c r="F39" s="218" t="str">
        <x:v>OUTROS</x:v>
      </x:c>
      <x:c r="G39" s="184" t="str">
        <x:v>FP COLM HDF 3 2100x720x35 ESM BCO C C/US</x:v>
      </x:c>
      <x:c r="H39" s="184" t="str"/>
      <x:c r="I39" s="184" t="str">
        <x:v>C/USINAGEM COMPLETA</x:v>
      </x:c>
      <x:c r="J39" s="184" t="str"/>
      <x:c r="K39" s="184" t="str">
        <x:v>ESMALTE</x:v>
      </x:c>
      <x:c r="L39" s="184" t="str">
        <x:v>BRANCO CARRARA</x:v>
      </x:c>
      <x:c r="M39" s="205" t="n">
        <x:v>18</x:v>
      </x:c>
      <x:c r="N39" s="205" t="n">
        <x:v>2100</x:v>
      </x:c>
      <x:c r="O39" s="205" t="n">
        <x:v>720</x:v>
      </x:c>
      <x:c r="P39" s="205" t="n">
        <x:v>35</x:v>
      </x:c>
      <x:c r="Q39" s="206" t="n">
        <x:v>0.953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18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26739</x:v>
      </x:c>
      <x:c r="C40" s="220" t="str">
        <x:v>9</x:v>
      </x:c>
      <x:c r="D40" s="220" t="str">
        <x:v>609653</x:v>
      </x:c>
      <x:c r="E40" s="220" t="str">
        <x:v>4210012023</x:v>
      </x:c>
      <x:c r="F40" s="220" t="str">
        <x:v>OUTROS</x:v>
      </x:c>
      <x:c r="G40" s="190" t="str">
        <x:v>FP COLM HDF 3 2100x720x35 ESM BCO C C/US</x:v>
      </x:c>
      <x:c r="H40" s="190" t="str"/>
      <x:c r="I40" s="190" t="str">
        <x:v>C/USINAGEM COMPLETA</x:v>
      </x:c>
      <x:c r="J40" s="190" t="str"/>
      <x:c r="K40" s="190" t="str">
        <x:v>ESMALTE</x:v>
      </x:c>
      <x:c r="L40" s="190" t="str">
        <x:v>BRANCO CARRARA</x:v>
      </x:c>
      <x:c r="M40" s="210" t="n">
        <x:v>6</x:v>
      </x:c>
      <x:c r="N40" s="210" t="n">
        <x:v>2100</x:v>
      </x:c>
      <x:c r="O40" s="210" t="n">
        <x:v>720</x:v>
      </x:c>
      <x:c r="P40" s="210" t="n">
        <x:v>35</x:v>
      </x:c>
      <x:c r="Q40" s="211" t="n">
        <x:v>0.318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6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26739</x:v>
      </x:c>
      <x:c r="C41" s="218" t="str">
        <x:v>10</x:v>
      </x:c>
      <x:c r="D41" s="218" t="str">
        <x:v>609661</x:v>
      </x:c>
      <x:c r="E41" s="218" t="str">
        <x:v>4210012023</x:v>
      </x:c>
      <x:c r="F41" s="218" t="str">
        <x:v>OUTROS</x:v>
      </x:c>
      <x:c r="G41" s="184" t="str">
        <x:v>FP COLM HDF 3 2100x720x35 ESM BCO C C/US</x:v>
      </x:c>
      <x:c r="H41" s="184" t="str"/>
      <x:c r="I41" s="184" t="str">
        <x:v>C/USINAGEM COMPLETA</x:v>
      </x:c>
      <x:c r="J41" s="184" t="str"/>
      <x:c r="K41" s="184" t="str">
        <x:v>ESMALTE</x:v>
      </x:c>
      <x:c r="L41" s="184" t="str">
        <x:v>BRANCO CARRARA</x:v>
      </x:c>
      <x:c r="M41" s="205" t="n">
        <x:v>22</x:v>
      </x:c>
      <x:c r="N41" s="205" t="n">
        <x:v>2100</x:v>
      </x:c>
      <x:c r="O41" s="205" t="n">
        <x:v>720</x:v>
      </x:c>
      <x:c r="P41" s="205" t="n">
        <x:v>35</x:v>
      </x:c>
      <x:c r="Q41" s="206" t="n">
        <x:v>1.164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22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26739</x:v>
      </x:c>
      <x:c r="C42" s="220" t="str">
        <x:v>11</x:v>
      </x:c>
      <x:c r="D42" s="220" t="str">
        <x:v>609669</x:v>
      </x:c>
      <x:c r="E42" s="220" t="str">
        <x:v>4210012023</x:v>
      </x:c>
      <x:c r="F42" s="220" t="str">
        <x:v>OUTROS</x:v>
      </x:c>
      <x:c r="G42" s="190" t="str">
        <x:v>FP COLM HDF 3 2100x720x35 ESM BCO C C/US</x:v>
      </x:c>
      <x:c r="H42" s="190" t="str"/>
      <x:c r="I42" s="190" t="str">
        <x:v>C/USINAGEM COMPLETA</x:v>
      </x:c>
      <x:c r="J42" s="190" t="str"/>
      <x:c r="K42" s="190" t="str">
        <x:v>ESMALTE</x:v>
      </x:c>
      <x:c r="L42" s="190" t="str">
        <x:v>BRANCO CARRARA</x:v>
      </x:c>
      <x:c r="M42" s="210" t="n">
        <x:v>16</x:v>
      </x:c>
      <x:c r="N42" s="210" t="n">
        <x:v>2100</x:v>
      </x:c>
      <x:c r="O42" s="210" t="n">
        <x:v>720</x:v>
      </x:c>
      <x:c r="P42" s="210" t="n">
        <x:v>35</x:v>
      </x:c>
      <x:c r="Q42" s="211" t="n">
        <x:v>0.847</x:v>
      </x:c>
      <x:c r="R42" s="207" t="str"/>
      <x:c r="S42" s="207" t="str"/>
      <x:c r="T42" s="207" t="str"/>
      <x:c r="U42" s="207" t="n">
        <x:v>16</x:v>
      </x:c>
      <x:c r="V42" s="208" t="n">
        <x:f>MAX(0,M42-U42)</x:f>
        <x:v>0</x:v>
      </x:c>
      <x:c r="W42" s="209" t="n">
        <x:f>IFERROR(U42/M42,0)</x:f>
        <x:v>1</x:v>
      </x:c>
      <x:c r="X42" s="201" t="str">
        <x:f>IF(U42=0,"Não iniciado",IF(U42&gt;=M42,"Concluído","Parcial"))</x:f>
        <x:v>Concluído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26739</x:v>
      </x:c>
      <x:c r="C43" s="218" t="str">
        <x:v>12</x:v>
      </x:c>
      <x:c r="D43" s="218" t="str">
        <x:v>609677</x:v>
      </x:c>
      <x:c r="E43" s="218" t="str">
        <x:v>4210012023</x:v>
      </x:c>
      <x:c r="F43" s="218" t="str">
        <x:v>OUTROS</x:v>
      </x:c>
      <x:c r="G43" s="184" t="str">
        <x:v>FP COLM HDF 3 2100x720x35 ESM BCO C C/US</x:v>
      </x:c>
      <x:c r="H43" s="184" t="str"/>
      <x:c r="I43" s="184" t="str">
        <x:v>C/USINAGEM COMPLETA</x:v>
      </x:c>
      <x:c r="J43" s="184" t="str"/>
      <x:c r="K43" s="184" t="str">
        <x:v>ESMALTE</x:v>
      </x:c>
      <x:c r="L43" s="184" t="str">
        <x:v>BRANCO CARRARA</x:v>
      </x:c>
      <x:c r="M43" s="205" t="n">
        <x:v>1</x:v>
      </x:c>
      <x:c r="N43" s="205" t="n">
        <x:v>2100</x:v>
      </x:c>
      <x:c r="O43" s="205" t="n">
        <x:v>720</x:v>
      </x:c>
      <x:c r="P43" s="205" t="n">
        <x:v>35</x:v>
      </x:c>
      <x:c r="Q43" s="206" t="n">
        <x:v>0.053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1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26750</x:v>
      </x:c>
      <x:c r="C44" s="220" t="str">
        <x:v>11</x:v>
      </x:c>
      <x:c r="D44" s="220" t="str">
        <x:v>609818</x:v>
      </x:c>
      <x:c r="E44" s="220" t="str">
        <x:v>4210012023</x:v>
      </x:c>
      <x:c r="F44" s="220" t="str">
        <x:v>OUTROS</x:v>
      </x:c>
      <x:c r="G44" s="190" t="str">
        <x:v>FP COLM HDF 3 2100x720x35 ESM BCO C C/US</x:v>
      </x:c>
      <x:c r="H44" s="190" t="str"/>
      <x:c r="I44" s="190" t="str">
        <x:v>C/USINAGEM COMPLETA</x:v>
      </x:c>
      <x:c r="J44" s="190" t="str"/>
      <x:c r="K44" s="190" t="str">
        <x:v>ESMALTE</x:v>
      </x:c>
      <x:c r="L44" s="190" t="str">
        <x:v>BRANCO CARRARA</x:v>
      </x:c>
      <x:c r="M44" s="210" t="n">
        <x:v>12</x:v>
      </x:c>
      <x:c r="N44" s="210" t="n">
        <x:v>2100</x:v>
      </x:c>
      <x:c r="O44" s="210" t="n">
        <x:v>720</x:v>
      </x:c>
      <x:c r="P44" s="210" t="n">
        <x:v>35</x:v>
      </x:c>
      <x:c r="Q44" s="211" t="n">
        <x:v>0.635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12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26750</x:v>
      </x:c>
      <x:c r="C45" s="218" t="str">
        <x:v>12</x:v>
      </x:c>
      <x:c r="D45" s="218" t="str">
        <x:v>609826</x:v>
      </x:c>
      <x:c r="E45" s="218" t="str">
        <x:v>4210012023</x:v>
      </x:c>
      <x:c r="F45" s="218" t="str">
        <x:v>OUTROS</x:v>
      </x:c>
      <x:c r="G45" s="184" t="str">
        <x:v>FP COLM HDF 3 2100x720x35 ESM BCO C C/US</x:v>
      </x:c>
      <x:c r="H45" s="184" t="str"/>
      <x:c r="I45" s="184" t="str">
        <x:v>C/USINAGEM COMPLETA</x:v>
      </x:c>
      <x:c r="J45" s="184" t="str"/>
      <x:c r="K45" s="184" t="str">
        <x:v>ESMALTE</x:v>
      </x:c>
      <x:c r="L45" s="184" t="str">
        <x:v>BRANCO CARRARA</x:v>
      </x:c>
      <x:c r="M45" s="205" t="n">
        <x:v>4</x:v>
      </x:c>
      <x:c r="N45" s="205" t="n">
        <x:v>2100</x:v>
      </x:c>
      <x:c r="O45" s="205" t="n">
        <x:v>720</x:v>
      </x:c>
      <x:c r="P45" s="205" t="n">
        <x:v>35</x:v>
      </x:c>
      <x:c r="Q45" s="206" t="n">
        <x:v>0.212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4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26750</x:v>
      </x:c>
      <x:c r="C46" s="220" t="str">
        <x:v>13</x:v>
      </x:c>
      <x:c r="D46" s="220" t="str">
        <x:v>609834</x:v>
      </x:c>
      <x:c r="E46" s="220" t="str">
        <x:v>4210012023</x:v>
      </x:c>
      <x:c r="F46" s="220" t="str">
        <x:v>OUTROS</x:v>
      </x:c>
      <x:c r="G46" s="190" t="str">
        <x:v>FP COLM HDF 3 2100x720x35 ESM BCO C C/US</x:v>
      </x:c>
      <x:c r="H46" s="190" t="str"/>
      <x:c r="I46" s="190" t="str">
        <x:v>C/USINAGEM COMPLETA</x:v>
      </x:c>
      <x:c r="J46" s="190" t="str"/>
      <x:c r="K46" s="190" t="str">
        <x:v>ESMALTE</x:v>
      </x:c>
      <x:c r="L46" s="190" t="str">
        <x:v>BRANCO CARRARA</x:v>
      </x:c>
      <x:c r="M46" s="210" t="n">
        <x:v>28</x:v>
      </x:c>
      <x:c r="N46" s="210" t="n">
        <x:v>2100</x:v>
      </x:c>
      <x:c r="O46" s="210" t="n">
        <x:v>720</x:v>
      </x:c>
      <x:c r="P46" s="210" t="n">
        <x:v>35</x:v>
      </x:c>
      <x:c r="Q46" s="211" t="n">
        <x:v>1.482</x:v>
      </x:c>
      <x:c r="R46" s="207" t="str"/>
      <x:c r="S46" s="207" t="str"/>
      <x:c r="T46" s="207" t="str"/>
      <x:c r="U46" s="207" t="n">
        <x:v>28</x:v>
      </x:c>
      <x:c r="V46" s="208" t="n">
        <x:f>MAX(0,M46-U46)</x:f>
        <x:v>0</x:v>
      </x:c>
      <x:c r="W46" s="209" t="n">
        <x:f>IFERROR(U46/M46,0)</x:f>
        <x:v>1</x:v>
      </x:c>
      <x:c r="X46" s="201" t="str">
        <x:f>IF(U46=0,"Não iniciado",IF(U46&gt;=M46,"Concluído","Parcial"))</x:f>
        <x:v>Concluído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26750</x:v>
      </x:c>
      <x:c r="C47" s="218" t="str">
        <x:v>14</x:v>
      </x:c>
      <x:c r="D47" s="218" t="str">
        <x:v>609842</x:v>
      </x:c>
      <x:c r="E47" s="218" t="str">
        <x:v>4210012023</x:v>
      </x:c>
      <x:c r="F47" s="218" t="str">
        <x:v>OUTROS</x:v>
      </x:c>
      <x:c r="G47" s="184" t="str">
        <x:v>FP COLM HDF 3 2100x720x35 ESM BCO C C/US</x:v>
      </x:c>
      <x:c r="H47" s="184" t="str"/>
      <x:c r="I47" s="184" t="str">
        <x:v>C/USINAGEM COMPLETA</x:v>
      </x:c>
      <x:c r="J47" s="184" t="str"/>
      <x:c r="K47" s="184" t="str">
        <x:v>ESMALTE</x:v>
      </x:c>
      <x:c r="L47" s="184" t="str">
        <x:v>BRANCO CARRARA</x:v>
      </x:c>
      <x:c r="M47" s="205" t="n">
        <x:v>19</x:v>
      </x:c>
      <x:c r="N47" s="205" t="n">
        <x:v>2100</x:v>
      </x:c>
      <x:c r="O47" s="205" t="n">
        <x:v>720</x:v>
      </x:c>
      <x:c r="P47" s="205" t="n">
        <x:v>35</x:v>
      </x:c>
      <x:c r="Q47" s="206" t="n">
        <x:v>1.005</x:v>
      </x:c>
      <x:c r="R47" s="207" t="str"/>
      <x:c r="S47" s="207" t="str"/>
      <x:c r="T47" s="207" t="str"/>
      <x:c r="U47" s="207" t="n">
        <x:v>19</x:v>
      </x:c>
      <x:c r="V47" s="208" t="n">
        <x:f>MAX(0,M47-U47)</x:f>
        <x:v>0</x:v>
      </x:c>
      <x:c r="W47" s="209" t="n">
        <x:f>IFERROR(U47/M47,0)</x:f>
        <x:v>1</x:v>
      </x:c>
      <x:c r="X47" s="201" t="str">
        <x:f>IF(U47=0,"Não iniciado",IF(U47&gt;=M47,"Concluído","Parcial"))</x:f>
        <x:v>Concluído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26750</x:v>
      </x:c>
      <x:c r="C48" s="220" t="str">
        <x:v>15</x:v>
      </x:c>
      <x:c r="D48" s="220" t="str">
        <x:v>609850</x:v>
      </x:c>
      <x:c r="E48" s="220" t="str">
        <x:v>4210012023</x:v>
      </x:c>
      <x:c r="F48" s="220" t="str">
        <x:v>OUTROS</x:v>
      </x:c>
      <x:c r="G48" s="190" t="str">
        <x:v>FP COLM HDF 3 2100x720x35 ESM BCO C C/US</x:v>
      </x:c>
      <x:c r="H48" s="190" t="str"/>
      <x:c r="I48" s="190" t="str">
        <x:v>C/USINAGEM COMPLETA</x:v>
      </x:c>
      <x:c r="J48" s="190" t="str"/>
      <x:c r="K48" s="190" t="str">
        <x:v>ESMALTE</x:v>
      </x:c>
      <x:c r="L48" s="190" t="str">
        <x:v>BRANCO CARRARA</x:v>
      </x:c>
      <x:c r="M48" s="210" t="n">
        <x:v>4</x:v>
      </x:c>
      <x:c r="N48" s="210" t="n">
        <x:v>2100</x:v>
      </x:c>
      <x:c r="O48" s="210" t="n">
        <x:v>720</x:v>
      </x:c>
      <x:c r="P48" s="210" t="n">
        <x:v>35</x:v>
      </x:c>
      <x:c r="Q48" s="211" t="n">
        <x:v>0.212</x:v>
      </x:c>
      <x:c r="R48" s="207" t="str"/>
      <x:c r="S48" s="207" t="str"/>
      <x:c r="T48" s="207" t="str"/>
      <x:c r="U48" s="207" t="n">
        <x:v>4</x:v>
      </x:c>
      <x:c r="V48" s="208" t="n">
        <x:f>MAX(0,M48-U48)</x:f>
        <x:v>0</x:v>
      </x:c>
      <x:c r="W48" s="209" t="n">
        <x:f>IFERROR(U48/M48,0)</x:f>
        <x:v>1</x:v>
      </x:c>
      <x:c r="X48" s="201" t="str">
        <x:f>IF(U48=0,"Não iniciado",IF(U48&gt;=M48,"Concluído","Parcial"))</x:f>
        <x:v>Concluído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26747</x:v>
      </x:c>
      <x:c r="C49" s="218" t="str">
        <x:v>4</x:v>
      </x:c>
      <x:c r="D49" s="218" t="str">
        <x:v>609006</x:v>
      </x:c>
      <x:c r="E49" s="218" t="str">
        <x:v>4210012020</x:v>
      </x:c>
      <x:c r="F49" s="218" t="str">
        <x:v>OUTROS</x:v>
      </x:c>
      <x:c r="G49" s="184" t="str">
        <x:v>FP COLM HDF 3 2100x700x35 ESM BCO C C/US</x:v>
      </x:c>
      <x:c r="H49" s="184" t="str">
        <x:v>LISA</x:v>
      </x:c>
      <x:c r="I49" s="184" t="str">
        <x:v>C/USINAGEM COMPLETA</x:v>
      </x:c>
      <x:c r="J49" s="184" t="str"/>
      <x:c r="K49" s="184" t="str">
        <x:v>ESMALTE</x:v>
      </x:c>
      <x:c r="L49" s="184" t="str">
        <x:v>BRANCO CARRARA</x:v>
      </x:c>
      <x:c r="M49" s="205" t="n">
        <x:v>2</x:v>
      </x:c>
      <x:c r="N49" s="205" t="n">
        <x:v>2100</x:v>
      </x:c>
      <x:c r="O49" s="205" t="n">
        <x:v>700</x:v>
      </x:c>
      <x:c r="P49" s="205" t="n">
        <x:v>35</x:v>
      </x:c>
      <x:c r="Q49" s="206" t="n">
        <x:v>0.103</x:v>
      </x:c>
      <x:c r="R49" s="207" t="str"/>
      <x:c r="S49" s="207" t="str"/>
      <x:c r="T49" s="207" t="str"/>
      <x:c r="U49" s="207" t="n">
        <x:v>0</x:v>
      </x:c>
      <x:c r="V49" s="208" t="n">
        <x:f>MAX(0,M49-U49)</x:f>
        <x:v>2</x:v>
      </x:c>
      <x:c r="W49" s="209" t="n">
        <x:f>IFERROR(U49/M49,0)</x:f>
        <x:v>0</x:v>
      </x:c>
      <x:c r="X49" s="201" t="str">
        <x:f>IF(U49=0,"Não iniciado",IF(U49&gt;=M49,"Concluído","Parcial"))</x:f>
        <x:v>Não iniciado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26747</x:v>
      </x:c>
      <x:c r="C50" s="220" t="str">
        <x:v>10</x:v>
      </x:c>
      <x:c r="D50" s="220" t="str">
        <x:v>609018</x:v>
      </x:c>
      <x:c r="E50" s="220" t="str">
        <x:v>5210192006</x:v>
      </x:c>
      <x:c r="F50" s="220" t="str">
        <x:v>OUTROS</x:v>
      </x:c>
      <x:c r="G50" s="190" t="str">
        <x:v>FPC COLM HDF 3 2100x700x35 ESM BCO C C/U</x:v>
      </x:c>
      <x:c r="H50" s="190" t="str">
        <x:v>LISA</x:v>
      </x:c>
      <x:c r="I50" s="190" t="str"/>
      <x:c r="J50" s="190" t="str"/>
      <x:c r="K50" s="190" t="str">
        <x:v>ESMALTE</x:v>
      </x:c>
      <x:c r="L50" s="190" t="str">
        <x:v>BRANCO CARRARA</x:v>
      </x:c>
      <x:c r="M50" s="210" t="n">
        <x:v>1</x:v>
      </x:c>
      <x:c r="N50" s="210" t="n">
        <x:v>2100</x:v>
      </x:c>
      <x:c r="O50" s="210" t="n">
        <x:v>700</x:v>
      </x:c>
      <x:c r="P50" s="210" t="n">
        <x:v>35</x:v>
      </x:c>
      <x:c r="Q50" s="211" t="n">
        <x:v>0.051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1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26808</x:v>
      </x:c>
      <x:c r="C51" s="218" t="str">
        <x:v>3</x:v>
      </x:c>
      <x:c r="D51" s="218" t="str">
        <x:v>608918/611889/612148</x:v>
      </x:c>
      <x:c r="E51" s="218" t="str">
        <x:v>4110012028</x:v>
      </x:c>
      <x:c r="F51" s="218" t="str">
        <x:v>PORTA</x:v>
      </x:c>
      <x:c r="G51" s="184" t="str">
        <x:v>FO POR S GD HDF 3 2100X700X35 ESM BCO CA</x:v>
      </x:c>
      <x:c r="H51" s="184" t="str"/>
      <x:c r="I51" s="184" t="str"/>
      <x:c r="J51" s="184" t="str"/>
      <x:c r="K51" s="184" t="str">
        <x:v>ESMALTE</x:v>
      </x:c>
      <x:c r="L51" s="184" t="str">
        <x:v>BRANCO CARRARA</x:v>
      </x:c>
      <x:c r="M51" s="205" t="n">
        <x:v>60</x:v>
      </x:c>
      <x:c r="N51" s="205" t="n">
        <x:v>2100</x:v>
      </x:c>
      <x:c r="O51" s="205" t="n">
        <x:v>700</x:v>
      </x:c>
      <x:c r="P51" s="205" t="n">
        <x:v>35</x:v>
      </x:c>
      <x:c r="Q51" s="206" t="n">
        <x:v>3.087</x:v>
      </x:c>
      <x:c r="R51" s="207" t="str"/>
      <x:c r="S51" s="207" t="str"/>
      <x:c r="T51" s="207" t="str"/>
      <x:c r="U51" s="207" t="n">
        <x:v>60</x:v>
      </x:c>
      <x:c r="V51" s="208" t="n">
        <x:f>MAX(0,M51-U51)</x:f>
        <x:v>0</x:v>
      </x:c>
      <x:c r="W51" s="209" t="n">
        <x:f>IFERROR(U51/M51,0)</x:f>
        <x:v>1</x:v>
      </x:c>
      <x:c r="X51" s="201" t="str">
        <x:f>IF(U51=0,"Não iniciado",IF(U51&gt;=M51,"Concluído","Parcial"))</x:f>
        <x:v>Concluído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26808</x:v>
      </x:c>
      <x:c r="C52" s="220" t="str">
        <x:v>4</x:v>
      </x:c>
      <x:c r="D52" s="220" t="str">
        <x:v>608926</x:v>
      </x:c>
      <x:c r="E52" s="220" t="str">
        <x:v>4110012028</x:v>
      </x:c>
      <x:c r="F52" s="220" t="str">
        <x:v>PORTA</x:v>
      </x:c>
      <x:c r="G52" s="190" t="str">
        <x:v>FO POR S GD HDF 3 2100X700X35 ESM BCO CA</x:v>
      </x:c>
      <x:c r="H52" s="190" t="str"/>
      <x:c r="I52" s="190" t="str"/>
      <x:c r="J52" s="190" t="str"/>
      <x:c r="K52" s="190" t="str">
        <x:v>ESMALTE</x:v>
      </x:c>
      <x:c r="L52" s="190" t="str">
        <x:v>BRANCO CARRARA</x:v>
      </x:c>
      <x:c r="M52" s="210" t="n">
        <x:v>63</x:v>
      </x:c>
      <x:c r="N52" s="210" t="n">
        <x:v>2100</x:v>
      </x:c>
      <x:c r="O52" s="210" t="n">
        <x:v>700</x:v>
      </x:c>
      <x:c r="P52" s="210" t="n">
        <x:v>35</x:v>
      </x:c>
      <x:c r="Q52" s="211" t="n">
        <x:v>3.241</x:v>
      </x:c>
      <x:c r="R52" s="207" t="str"/>
      <x:c r="S52" s="207" t="str"/>
      <x:c r="T52" s="207" t="str"/>
      <x:c r="U52" s="207" t="n">
        <x:v>63</x:v>
      </x:c>
      <x:c r="V52" s="208" t="n">
        <x:f>MAX(0,M52-U52)</x:f>
        <x:v>0</x:v>
      </x:c>
      <x:c r="W52" s="209" t="n">
        <x:f>IFERROR(U52/M52,0)</x:f>
        <x:v>1</x:v>
      </x:c>
      <x:c r="X52" s="201" t="str">
        <x:f>IF(U52=0,"Não iniciado",IF(U52&gt;=M52,"Concluído","Parcial"))</x:f>
        <x:v>Concluído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26809</x:v>
      </x:c>
      <x:c r="C53" s="218" t="str">
        <x:v>1</x:v>
      </x:c>
      <x:c r="D53" s="218" t="str">
        <x:v>609929</x:v>
      </x:c>
      <x:c r="E53" s="218" t="str">
        <x:v>3040300026</x:v>
      </x:c>
      <x:c r="F53" s="218" t="str">
        <x:v>PORTA</x:v>
      </x:c>
      <x:c r="G53" s="184" t="str">
        <x:v>FO POR COL HDF 3 RU 2100X700X35 IMP CAP</x:v>
      </x:c>
      <x:c r="H53" s="184" t="str">
        <x:v>LISA</x:v>
      </x:c>
      <x:c r="I53" s="184" t="str"/>
      <x:c r="J53" s="184" t="str"/>
      <x:c r="K53" s="184" t="str">
        <x:v>IMPRESSO</x:v>
      </x:c>
      <x:c r="L53" s="184" t="str">
        <x:v>CAPUCCINO MARCHE</x:v>
      </x:c>
      <x:c r="M53" s="205" t="n">
        <x:v>1</x:v>
      </x:c>
      <x:c r="N53" s="205" t="n">
        <x:v>2100</x:v>
      </x:c>
      <x:c r="O53" s="205" t="n">
        <x:v>700</x:v>
      </x:c>
      <x:c r="P53" s="205" t="n">
        <x:v>35</x:v>
      </x:c>
      <x:c r="Q53" s="206" t="n">
        <x:v>0.051</x:v>
      </x:c>
      <x:c r="R53" s="207" t="str"/>
      <x:c r="S53" s="207" t="str"/>
      <x:c r="T53" s="207" t="str"/>
      <x:c r="U53" s="207" t="n">
        <x:v>0</x:v>
      </x:c>
      <x:c r="V53" s="208" t="n">
        <x:f>MAX(0,M53-U53)</x:f>
        <x:v>1</x:v>
      </x:c>
      <x:c r="W53" s="209" t="n">
        <x:f>IFERROR(U53/M53,0)</x:f>
        <x:v>0</x:v>
      </x:c>
      <x:c r="X53" s="201" t="str">
        <x:f>IF(U53=0,"Não iniciado",IF(U53&gt;=M53,"Concluído","Parcial"))</x:f>
        <x:v>Não iniciado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26766</x:v>
      </x:c>
      <x:c r="C54" s="220" t="str">
        <x:v>1</x:v>
      </x:c>
      <x:c r="D54" s="220" t="str">
        <x:v>610141</x:v>
      </x:c>
      <x:c r="E54" s="220" t="str">
        <x:v>3040300002</x:v>
      </x:c>
      <x:c r="F54" s="220" t="str">
        <x:v>PORTA</x:v>
      </x:c>
      <x:c r="G54" s="190" t="str">
        <x:v>FO POR SMT HDF 3 COL RU 2100X700X35 IMP</x:v>
      </x:c>
      <x:c r="H54" s="190" t="str">
        <x:v>LISA</x:v>
      </x:c>
      <x:c r="I54" s="190" t="str"/>
      <x:c r="J54" s="190" t="str"/>
      <x:c r="K54" s="190" t="str">
        <x:v>IMPRESSO</x:v>
      </x:c>
      <x:c r="L54" s="190" t="str">
        <x:v>MOGNO BRASILEIRO</x:v>
      </x:c>
      <x:c r="M54" s="210" t="n">
        <x:v>288</x:v>
      </x:c>
      <x:c r="N54" s="210" t="n">
        <x:v>2100</x:v>
      </x:c>
      <x:c r="O54" s="210" t="n">
        <x:v>700</x:v>
      </x:c>
      <x:c r="P54" s="210" t="n">
        <x:v>35</x:v>
      </x:c>
      <x:c r="Q54" s="211" t="n">
        <x:v>14.818</x:v>
      </x:c>
      <x:c r="R54" s="207" t="str"/>
      <x:c r="S54" s="207" t="str"/>
      <x:c r="T54" s="207" t="str"/>
      <x:c r="U54" s="207" t="n">
        <x:v>0</x:v>
      </x:c>
      <x:c r="V54" s="208" t="n">
        <x:f>MAX(0,M54-U54)</x:f>
        <x:v>288</x:v>
      </x:c>
      <x:c r="W54" s="209" t="n">
        <x:f>IFERROR(U54/M54,0)</x:f>
        <x:v>0</x:v>
      </x:c>
      <x:c r="X54" s="201" t="str">
        <x:f>IF(U54=0,"Não iniciado",IF(U54&gt;=M54,"Concluído","Parcial"))</x:f>
        <x:v>Não iniciado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26739</x:v>
      </x:c>
      <x:c r="C55" s="218" t="str">
        <x:v>17</x:v>
      </x:c>
      <x:c r="D55" s="218" t="str">
        <x:v>609698</x:v>
      </x:c>
      <x:c r="E55" s="218" t="str">
        <x:v>421010005</x:v>
      </x:c>
      <x:c r="F55" s="218" t="str">
        <x:v>PORTA</x:v>
      </x:c>
      <x:c r="G55" s="184" t="str">
        <x:v>FO POR COL HDF 3 RU 2100X620X35 ESM BCO</x:v>
      </x:c>
      <x:c r="H55" s="184" t="str"/>
      <x:c r="I55" s="184" t="str"/>
      <x:c r="J55" s="184" t="str"/>
      <x:c r="K55" s="184" t="str">
        <x:v>ESMALTE</x:v>
      </x:c>
      <x:c r="L55" s="184" t="str">
        <x:v>BRANCO CARRARA</x:v>
      </x:c>
      <x:c r="M55" s="205" t="n">
        <x:v>9</x:v>
      </x:c>
      <x:c r="N55" s="205" t="n">
        <x:v>2100</x:v>
      </x:c>
      <x:c r="O55" s="205" t="n">
        <x:v>620</x:v>
      </x:c>
      <x:c r="P55" s="205" t="n">
        <x:v>35</x:v>
      </x:c>
      <x:c r="Q55" s="206" t="n">
        <x:v>0.41</x:v>
      </x:c>
      <x:c r="R55" s="207" t="str"/>
      <x:c r="S55" s="207" t="str"/>
      <x:c r="T55" s="207" t="str"/>
      <x:c r="U55" s="207" t="n">
        <x:v>9</x:v>
      </x:c>
      <x:c r="V55" s="208" t="n">
        <x:f>MAX(0,M55-U55)</x:f>
        <x:v>0</x:v>
      </x:c>
      <x:c r="W55" s="209" t="n">
        <x:f>IFERROR(U55/M55,0)</x:f>
        <x:v>1</x:v>
      </x:c>
      <x:c r="X55" s="201" t="str">
        <x:f>IF(U55=0,"Não iniciado",IF(U55&gt;=M55,"Concluído","Parcial"))</x:f>
        <x:v>Concluído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26739</x:v>
      </x:c>
      <x:c r="C56" s="220" t="str">
        <x:v>18</x:v>
      </x:c>
      <x:c r="D56" s="220" t="str">
        <x:v>609706</x:v>
      </x:c>
      <x:c r="E56" s="220" t="str">
        <x:v>421010005</x:v>
      </x:c>
      <x:c r="F56" s="220" t="str">
        <x:v>PORTA</x:v>
      </x:c>
      <x:c r="G56" s="190" t="str">
        <x:v>FO POR COL HDF 3 RU 2100X620X35 ESM BCO</x:v>
      </x:c>
      <x:c r="H56" s="190" t="str"/>
      <x:c r="I56" s="190" t="str"/>
      <x:c r="J56" s="190" t="str"/>
      <x:c r="K56" s="190" t="str">
        <x:v>ESMALTE</x:v>
      </x:c>
      <x:c r="L56" s="190" t="str">
        <x:v>BRANCO CARRARA</x:v>
      </x:c>
      <x:c r="M56" s="210" t="n">
        <x:v>5</x:v>
      </x:c>
      <x:c r="N56" s="210" t="n">
        <x:v>2100</x:v>
      </x:c>
      <x:c r="O56" s="210" t="n">
        <x:v>620</x:v>
      </x:c>
      <x:c r="P56" s="210" t="n">
        <x:v>35</x:v>
      </x:c>
      <x:c r="Q56" s="211" t="n">
        <x:v>0.228</x:v>
      </x:c>
      <x:c r="R56" s="207" t="str"/>
      <x:c r="S56" s="207" t="str"/>
      <x:c r="T56" s="207" t="str"/>
      <x:c r="U56" s="207" t="n">
        <x:v>5</x:v>
      </x:c>
      <x:c r="V56" s="208" t="n">
        <x:f>MAX(0,M56-U56)</x:f>
        <x:v>0</x:v>
      </x:c>
      <x:c r="W56" s="209" t="n">
        <x:f>IFERROR(U56/M56,0)</x:f>
        <x:v>1</x:v>
      </x:c>
      <x:c r="X56" s="201" t="str">
        <x:f>IF(U56=0,"Não iniciado",IF(U56&gt;=M56,"Concluído","Parcial"))</x:f>
        <x:v>Concluído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26739</x:v>
      </x:c>
      <x:c r="C57" s="218" t="str">
        <x:v>19</x:v>
      </x:c>
      <x:c r="D57" s="218" t="str">
        <x:v>609716</x:v>
      </x:c>
      <x:c r="E57" s="218" t="str">
        <x:v>421010005</x:v>
      </x:c>
      <x:c r="F57" s="218" t="str">
        <x:v>PORTA</x:v>
      </x:c>
      <x:c r="G57" s="184" t="str">
        <x:v>FO POR COL HDF 3 RU 2100X620X35 ESM BCO</x:v>
      </x:c>
      <x:c r="H57" s="184" t="str"/>
      <x:c r="I57" s="184" t="str"/>
      <x:c r="J57" s="184" t="str"/>
      <x:c r="K57" s="184" t="str">
        <x:v>ESMALTE</x:v>
      </x:c>
      <x:c r="L57" s="184" t="str">
        <x:v>BRANCO CARRARA</x:v>
      </x:c>
      <x:c r="M57" s="205" t="n">
        <x:v>27</x:v>
      </x:c>
      <x:c r="N57" s="205" t="n">
        <x:v>2100</x:v>
      </x:c>
      <x:c r="O57" s="205" t="n">
        <x:v>620</x:v>
      </x:c>
      <x:c r="P57" s="205" t="n">
        <x:v>35</x:v>
      </x:c>
      <x:c r="Q57" s="206" t="n">
        <x:v>1.23</x:v>
      </x:c>
      <x:c r="R57" s="207" t="str"/>
      <x:c r="S57" s="207" t="str"/>
      <x:c r="T57" s="207" t="str"/>
      <x:c r="U57" s="207" t="n">
        <x:v>0</x:v>
      </x:c>
      <x:c r="V57" s="208" t="n">
        <x:f>MAX(0,M57-U57)</x:f>
        <x:v>27</x:v>
      </x:c>
      <x:c r="W57" s="209" t="n">
        <x:f>IFERROR(U57/M57,0)</x:f>
        <x:v>0</x:v>
      </x:c>
      <x:c r="X57" s="201" t="str">
        <x:f>IF(U57=0,"Não iniciado",IF(U57&gt;=M57,"Concluído","Parcial"))</x:f>
        <x:v>Não iniciado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26739</x:v>
      </x:c>
      <x:c r="C58" s="220" t="str">
        <x:v>20</x:v>
      </x:c>
      <x:c r="D58" s="220" t="str">
        <x:v>609724</x:v>
      </x:c>
      <x:c r="E58" s="220" t="str">
        <x:v>421010005</x:v>
      </x:c>
      <x:c r="F58" s="220" t="str">
        <x:v>PORTA</x:v>
      </x:c>
      <x:c r="G58" s="190" t="str">
        <x:v>FO POR COL HDF 3 RU 2100X620X35 ESM BCO</x:v>
      </x:c>
      <x:c r="H58" s="190" t="str"/>
      <x:c r="I58" s="190" t="str"/>
      <x:c r="J58" s="190" t="str"/>
      <x:c r="K58" s="190" t="str">
        <x:v>ESMALTE</x:v>
      </x:c>
      <x:c r="L58" s="190" t="str">
        <x:v>BRANCO CARRARA</x:v>
      </x:c>
      <x:c r="M58" s="210" t="n">
        <x:v>3</x:v>
      </x:c>
      <x:c r="N58" s="210" t="n">
        <x:v>2100</x:v>
      </x:c>
      <x:c r="O58" s="210" t="n">
        <x:v>620</x:v>
      </x:c>
      <x:c r="P58" s="210" t="n">
        <x:v>35</x:v>
      </x:c>
      <x:c r="Q58" s="211" t="n">
        <x:v>0.137</x:v>
      </x:c>
      <x:c r="R58" s="207" t="str"/>
      <x:c r="S58" s="207" t="str"/>
      <x:c r="T58" s="207" t="str"/>
      <x:c r="U58" s="207" t="n">
        <x:v>0</x:v>
      </x:c>
      <x:c r="V58" s="208" t="n">
        <x:f>MAX(0,M58-U58)</x:f>
        <x:v>3</x:v>
      </x:c>
      <x:c r="W58" s="209" t="n">
        <x:f>IFERROR(U58/M58,0)</x:f>
        <x:v>0</x:v>
      </x:c>
      <x:c r="X58" s="201" t="str">
        <x:f>IF(U58=0,"Não iniciado",IF(U58&gt;=M58,"Concluído","Parcial"))</x:f>
        <x:v>Não iniciado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26739</x:v>
      </x:c>
      <x:c r="C59" s="218" t="str">
        <x:v>21</x:v>
      </x:c>
      <x:c r="D59" s="218" t="str">
        <x:v>609732</x:v>
      </x:c>
      <x:c r="E59" s="218" t="str">
        <x:v>421010005</x:v>
      </x:c>
      <x:c r="F59" s="218" t="str">
        <x:v>PORTA</x:v>
      </x:c>
      <x:c r="G59" s="184" t="str">
        <x:v>FO POR COL HDF 3 RU 2100X620X35 ESM BCO</x:v>
      </x:c>
      <x:c r="H59" s="184" t="str"/>
      <x:c r="I59" s="184" t="str"/>
      <x:c r="J59" s="184" t="str"/>
      <x:c r="K59" s="184" t="str">
        <x:v>ESMALTE</x:v>
      </x:c>
      <x:c r="L59" s="184" t="str">
        <x:v>BRANCO CARRARA</x:v>
      </x:c>
      <x:c r="M59" s="205" t="n">
        <x:v>10</x:v>
      </x:c>
      <x:c r="N59" s="205" t="n">
        <x:v>2100</x:v>
      </x:c>
      <x:c r="O59" s="205" t="n">
        <x:v>620</x:v>
      </x:c>
      <x:c r="P59" s="205" t="n">
        <x:v>35</x:v>
      </x:c>
      <x:c r="Q59" s="206" t="n">
        <x:v>0.456</x:v>
      </x:c>
      <x:c r="R59" s="207" t="str"/>
      <x:c r="S59" s="207" t="str"/>
      <x:c r="T59" s="207" t="str"/>
      <x:c r="U59" s="207" t="n">
        <x:v>0</x:v>
      </x:c>
      <x:c r="V59" s="208" t="n">
        <x:f>MAX(0,M59-U59)</x:f>
        <x:v>10</x:v>
      </x:c>
      <x:c r="W59" s="209" t="n">
        <x:f>IFERROR(U59/M59,0)</x:f>
        <x:v>0</x:v>
      </x:c>
      <x:c r="X59" s="201" t="str">
        <x:f>IF(U59=0,"Não iniciado",IF(U59&gt;=M59,"Concluído","Parcial"))</x:f>
        <x:v>Não iniciado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26739</x:v>
      </x:c>
      <x:c r="C60" s="220" t="str">
        <x:v>22</x:v>
      </x:c>
      <x:c r="D60" s="220" t="str">
        <x:v>609738</x:v>
      </x:c>
      <x:c r="E60" s="220" t="str">
        <x:v>421010005</x:v>
      </x:c>
      <x:c r="F60" s="220" t="str">
        <x:v>PORTA</x:v>
      </x:c>
      <x:c r="G60" s="190" t="str">
        <x:v>FO POR COL HDF 3 RU 2100X620X35 ESM BCO</x:v>
      </x:c>
      <x:c r="H60" s="190" t="str"/>
      <x:c r="I60" s="190" t="str"/>
      <x:c r="J60" s="190" t="str"/>
      <x:c r="K60" s="190" t="str">
        <x:v>ESMALTE</x:v>
      </x:c>
      <x:c r="L60" s="190" t="str">
        <x:v>BRANCO CARRARA</x:v>
      </x:c>
      <x:c r="M60" s="210" t="n">
        <x:v>1</x:v>
      </x:c>
      <x:c r="N60" s="210" t="n">
        <x:v>2100</x:v>
      </x:c>
      <x:c r="O60" s="210" t="n">
        <x:v>620</x:v>
      </x:c>
      <x:c r="P60" s="210" t="n">
        <x:v>35</x:v>
      </x:c>
      <x:c r="Q60" s="211" t="n">
        <x:v>0.046</x:v>
      </x:c>
      <x:c r="R60" s="207" t="str"/>
      <x:c r="S60" s="207" t="str"/>
      <x:c r="T60" s="207" t="str"/>
      <x:c r="U60" s="207" t="n">
        <x:v>1</x:v>
      </x:c>
      <x:c r="V60" s="208" t="n">
        <x:f>MAX(0,M60-U60)</x:f>
        <x:v>0</x:v>
      </x:c>
      <x:c r="W60" s="209" t="n">
        <x:f>IFERROR(U60/M60,0)</x:f>
        <x:v>1</x:v>
      </x:c>
      <x:c r="X60" s="201" t="str">
        <x:f>IF(U60=0,"Não iniciado",IF(U60&gt;=M60,"Concluído","Parcial"))</x:f>
        <x:v>Concluído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26739</x:v>
      </x:c>
      <x:c r="C61" s="218" t="str">
        <x:v>23</x:v>
      </x:c>
      <x:c r="D61" s="218" t="str">
        <x:v>609751</x:v>
      </x:c>
      <x:c r="E61" s="218" t="str">
        <x:v>3040300238</x:v>
      </x:c>
      <x:c r="F61" s="218" t="str">
        <x:v>PORTA</x:v>
      </x:c>
      <x:c r="G61" s="184" t="str">
        <x:v>FO POR COL HDF 3 ESM BCO CAR 2100X620X35</x:v>
      </x:c>
      <x:c r="H61" s="184" t="str"/>
      <x:c r="I61" s="184" t="str"/>
      <x:c r="J61" s="184" t="str"/>
      <x:c r="K61" s="184" t="str">
        <x:v>ESMALTE</x:v>
      </x:c>
      <x:c r="L61" s="184" t="str">
        <x:v>BRANCO CARRARA</x:v>
      </x:c>
      <x:c r="M61" s="205" t="n">
        <x:v>1</x:v>
      </x:c>
      <x:c r="N61" s="205" t="n">
        <x:v>2100</x:v>
      </x:c>
      <x:c r="O61" s="205" t="n">
        <x:v>620</x:v>
      </x:c>
      <x:c r="P61" s="205" t="n">
        <x:v>35</x:v>
      </x:c>
      <x:c r="Q61" s="206" t="n">
        <x:v>0.046</x:v>
      </x:c>
      <x:c r="R61" s="207" t="str"/>
      <x:c r="S61" s="207" t="str"/>
      <x:c r="T61" s="207" t="str"/>
      <x:c r="U61" s="207" t="n">
        <x:v>1</x:v>
      </x:c>
      <x:c r="V61" s="208" t="n">
        <x:f>MAX(0,M61-U61)</x:f>
        <x:v>0</x:v>
      </x:c>
      <x:c r="W61" s="209" t="n">
        <x:f>IFERROR(U61/M61,0)</x:f>
        <x:v>1</x:v>
      </x:c>
      <x:c r="X61" s="201" t="str">
        <x:f>IF(U61=0,"Não iniciado",IF(U61&gt;=M61,"Concluído","Parcial"))</x:f>
        <x:v>Concluído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26739</x:v>
      </x:c>
      <x:c r="C62" s="220" t="str">
        <x:v>24</x:v>
      </x:c>
      <x:c r="D62" s="220" t="str">
        <x:v>609764</x:v>
      </x:c>
      <x:c r="E62" s="220" t="str">
        <x:v>3040300238</x:v>
      </x:c>
      <x:c r="F62" s="220" t="str">
        <x:v>PORTA</x:v>
      </x:c>
      <x:c r="G62" s="190" t="str">
        <x:v>FO POR COL HDF 3 ESM BCO CAR 2100X620X35</x:v>
      </x:c>
      <x:c r="H62" s="190" t="str"/>
      <x:c r="I62" s="190" t="str"/>
      <x:c r="J62" s="190" t="str"/>
      <x:c r="K62" s="190" t="str">
        <x:v>ESMALTE</x:v>
      </x:c>
      <x:c r="L62" s="190" t="str">
        <x:v>BRANCO CARRARA</x:v>
      </x:c>
      <x:c r="M62" s="210" t="n">
        <x:v>2</x:v>
      </x:c>
      <x:c r="N62" s="210" t="n">
        <x:v>2100</x:v>
      </x:c>
      <x:c r="O62" s="210" t="n">
        <x:v>620</x:v>
      </x:c>
      <x:c r="P62" s="210" t="n">
        <x:v>35</x:v>
      </x:c>
      <x:c r="Q62" s="211" t="n">
        <x:v>0.091</x:v>
      </x:c>
      <x:c r="R62" s="207" t="str"/>
      <x:c r="S62" s="207" t="str"/>
      <x:c r="T62" s="207" t="str"/>
      <x:c r="U62" s="207" t="n">
        <x:v>2</x:v>
      </x:c>
      <x:c r="V62" s="208" t="n">
        <x:f>MAX(0,M62-U62)</x:f>
        <x:v>0</x:v>
      </x:c>
      <x:c r="W62" s="209" t="n">
        <x:f>IFERROR(U62/M62,0)</x:f>
        <x:v>1</x:v>
      </x:c>
      <x:c r="X62" s="201" t="str">
        <x:f>IF(U62=0,"Não iniciado",IF(U62&gt;=M62,"Concluído","Parcial"))</x:f>
        <x:v>Concluído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26739</x:v>
      </x:c>
      <x:c r="C63" s="218" t="str">
        <x:v>25</x:v>
      </x:c>
      <x:c r="D63" s="218" t="str">
        <x:v>609778</x:v>
      </x:c>
      <x:c r="E63" s="218" t="str">
        <x:v>3040300238</x:v>
      </x:c>
      <x:c r="F63" s="218" t="str">
        <x:v>PORTA</x:v>
      </x:c>
      <x:c r="G63" s="184" t="str">
        <x:v>FO POR COL HDF 3 ESM BCO CAR 2100X620X35</x:v>
      </x:c>
      <x:c r="H63" s="184" t="str"/>
      <x:c r="I63" s="184" t="str"/>
      <x:c r="J63" s="184" t="str"/>
      <x:c r="K63" s="184" t="str">
        <x:v>ESMALTE</x:v>
      </x:c>
      <x:c r="L63" s="184" t="str">
        <x:v>BRANCO CARRARA</x:v>
      </x:c>
      <x:c r="M63" s="205" t="n">
        <x:v>1</x:v>
      </x:c>
      <x:c r="N63" s="205" t="n">
        <x:v>2100</x:v>
      </x:c>
      <x:c r="O63" s="205" t="n">
        <x:v>620</x:v>
      </x:c>
      <x:c r="P63" s="205" t="n">
        <x:v>35</x:v>
      </x:c>
      <x:c r="Q63" s="206" t="n">
        <x:v>0.046</x:v>
      </x:c>
      <x:c r="R63" s="207" t="str"/>
      <x:c r="S63" s="207" t="str"/>
      <x:c r="T63" s="207" t="str"/>
      <x:c r="U63" s="207" t="n">
        <x:v>1</x:v>
      </x:c>
      <x:c r="V63" s="208" t="n">
        <x:f>MAX(0,M63-U63)</x:f>
        <x:v>0</x:v>
      </x:c>
      <x:c r="W63" s="209" t="n">
        <x:f>IFERROR(U63/M63,0)</x:f>
        <x:v>1</x:v>
      </x:c>
      <x:c r="X63" s="201" t="str">
        <x:f>IF(U63=0,"Não iniciado",IF(U63&gt;=M63,"Concluído","Parcial"))</x:f>
        <x:v>Concluído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26750</x:v>
      </x:c>
      <x:c r="C64" s="220" t="str">
        <x:v>20</x:v>
      </x:c>
      <x:c r="D64" s="220" t="str">
        <x:v>609871</x:v>
      </x:c>
      <x:c r="E64" s="220" t="str">
        <x:v>421010005</x:v>
      </x:c>
      <x:c r="F64" s="220" t="str">
        <x:v>PORTA</x:v>
      </x:c>
      <x:c r="G64" s="190" t="str">
        <x:v>FO POR COL HDF 3 RU 2100X620X35 ESM BCO</x:v>
      </x:c>
      <x:c r="H64" s="190" t="str"/>
      <x:c r="I64" s="190" t="str"/>
      <x:c r="J64" s="190" t="str"/>
      <x:c r="K64" s="190" t="str">
        <x:v>ESMALTE</x:v>
      </x:c>
      <x:c r="L64" s="190" t="str">
        <x:v>BRANCO CARRARA</x:v>
      </x:c>
      <x:c r="M64" s="210" t="n">
        <x:v>9</x:v>
      </x:c>
      <x:c r="N64" s="210" t="n">
        <x:v>2100</x:v>
      </x:c>
      <x:c r="O64" s="210" t="n">
        <x:v>620</x:v>
      </x:c>
      <x:c r="P64" s="210" t="n">
        <x:v>35</x:v>
      </x:c>
      <x:c r="Q64" s="211" t="n">
        <x:v>0.41</x:v>
      </x:c>
      <x:c r="R64" s="207" t="str"/>
      <x:c r="S64" s="207" t="str"/>
      <x:c r="T64" s="207" t="str"/>
      <x:c r="U64" s="207" t="n">
        <x:v>9</x:v>
      </x:c>
      <x:c r="V64" s="208" t="n">
        <x:f>MAX(0,M64-U64)</x:f>
        <x:v>0</x:v>
      </x:c>
      <x:c r="W64" s="209" t="n">
        <x:f>IFERROR(U64/M64,0)</x:f>
        <x:v>1</x:v>
      </x:c>
      <x:c r="X64" s="201" t="str">
        <x:f>IF(U64=0,"Não iniciado",IF(U64&gt;=M64,"Concluído","Parcial"))</x:f>
        <x:v>Concluído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26750</x:v>
      </x:c>
      <x:c r="C65" s="218" t="str">
        <x:v>21</x:v>
      </x:c>
      <x:c r="D65" s="218" t="str">
        <x:v>609879</x:v>
      </x:c>
      <x:c r="E65" s="218" t="str">
        <x:v>421010005</x:v>
      </x:c>
      <x:c r="F65" s="218" t="str">
        <x:v>PORTA</x:v>
      </x:c>
      <x:c r="G65" s="184" t="str">
        <x:v>FO POR COL HDF 3 RU 2100X620X35 ESM BCO</x:v>
      </x:c>
      <x:c r="H65" s="184" t="str"/>
      <x:c r="I65" s="184" t="str"/>
      <x:c r="J65" s="184" t="str"/>
      <x:c r="K65" s="184" t="str">
        <x:v>ESMALTE</x:v>
      </x:c>
      <x:c r="L65" s="184" t="str">
        <x:v>BRANCO CARRARA</x:v>
      </x:c>
      <x:c r="M65" s="205" t="n">
        <x:v>5</x:v>
      </x:c>
      <x:c r="N65" s="205" t="n">
        <x:v>2100</x:v>
      </x:c>
      <x:c r="O65" s="205" t="n">
        <x:v>620</x:v>
      </x:c>
      <x:c r="P65" s="205" t="n">
        <x:v>35</x:v>
      </x:c>
      <x:c r="Q65" s="206" t="n">
        <x:v>0.228</x:v>
      </x:c>
      <x:c r="R65" s="207" t="str"/>
      <x:c r="S65" s="207" t="str"/>
      <x:c r="T65" s="207" t="str"/>
      <x:c r="U65" s="207" t="n">
        <x:v>0</x:v>
      </x:c>
      <x:c r="V65" s="208" t="n">
        <x:f>MAX(0,M65-U65)</x:f>
        <x:v>5</x:v>
      </x:c>
      <x:c r="W65" s="209" t="n">
        <x:f>IFERROR(U65/M65,0)</x:f>
        <x:v>0</x:v>
      </x:c>
      <x:c r="X65" s="201" t="str">
        <x:f>IF(U65=0,"Não iniciado",IF(U65&gt;=M65,"Concluído","Parcial"))</x:f>
        <x:v>Não iniciado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26750</x:v>
      </x:c>
      <x:c r="C66" s="220" t="str">
        <x:v>22</x:v>
      </x:c>
      <x:c r="D66" s="220" t="str">
        <x:v>609889</x:v>
      </x:c>
      <x:c r="E66" s="220" t="str">
        <x:v>421010005</x:v>
      </x:c>
      <x:c r="F66" s="220" t="str">
        <x:v>PORTA</x:v>
      </x:c>
      <x:c r="G66" s="190" t="str">
        <x:v>FO POR COL HDF 3 RU 2100X620X35 ESM BCO</x:v>
      </x:c>
      <x:c r="H66" s="190" t="str"/>
      <x:c r="I66" s="190" t="str"/>
      <x:c r="J66" s="190" t="str"/>
      <x:c r="K66" s="190" t="str">
        <x:v>ESMALTE</x:v>
      </x:c>
      <x:c r="L66" s="190" t="str">
        <x:v>BRANCO CARRARA</x:v>
      </x:c>
      <x:c r="M66" s="210" t="n">
        <x:v>19</x:v>
      </x:c>
      <x:c r="N66" s="210" t="n">
        <x:v>2100</x:v>
      </x:c>
      <x:c r="O66" s="210" t="n">
        <x:v>620</x:v>
      </x:c>
      <x:c r="P66" s="210" t="n">
        <x:v>35</x:v>
      </x:c>
      <x:c r="Q66" s="211" t="n">
        <x:v>0.866</x:v>
      </x:c>
      <x:c r="R66" s="207" t="str"/>
      <x:c r="S66" s="207" t="str"/>
      <x:c r="T66" s="207" t="str"/>
      <x:c r="U66" s="207" t="n">
        <x:v>0</x:v>
      </x:c>
      <x:c r="V66" s="208" t="n">
        <x:f>MAX(0,M66-U66)</x:f>
        <x:v>19</x:v>
      </x:c>
      <x:c r="W66" s="209" t="n">
        <x:f>IFERROR(U66/M66,0)</x:f>
        <x:v>0</x:v>
      </x:c>
      <x:c r="X66" s="201" t="str">
        <x:f>IF(U66=0,"Não iniciado",IF(U66&gt;=M66,"Concluído","Parcial"))</x:f>
        <x:v>Não iniciado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26750</x:v>
      </x:c>
      <x:c r="C67" s="218" t="str">
        <x:v>23</x:v>
      </x:c>
      <x:c r="D67" s="218" t="str">
        <x:v>609897</x:v>
      </x:c>
      <x:c r="E67" s="218" t="str">
        <x:v>421010005</x:v>
      </x:c>
      <x:c r="F67" s="218" t="str">
        <x:v>PORTA</x:v>
      </x:c>
      <x:c r="G67" s="184" t="str">
        <x:v>FO POR COL HDF 3 RU 2100X620X35 ESM BCO</x:v>
      </x:c>
      <x:c r="H67" s="184" t="str"/>
      <x:c r="I67" s="184" t="str"/>
      <x:c r="J67" s="184" t="str"/>
      <x:c r="K67" s="184" t="str">
        <x:v>ESMALTE</x:v>
      </x:c>
      <x:c r="L67" s="184" t="str">
        <x:v>BRANCO CARRARA</x:v>
      </x:c>
      <x:c r="M67" s="205" t="n">
        <x:v>4</x:v>
      </x:c>
      <x:c r="N67" s="205" t="n">
        <x:v>2100</x:v>
      </x:c>
      <x:c r="O67" s="205" t="n">
        <x:v>620</x:v>
      </x:c>
      <x:c r="P67" s="205" t="n">
        <x:v>35</x:v>
      </x:c>
      <x:c r="Q67" s="206" t="n">
        <x:v>0.182</x:v>
      </x:c>
      <x:c r="R67" s="207" t="str"/>
      <x:c r="S67" s="207" t="str"/>
      <x:c r="T67" s="207" t="str"/>
      <x:c r="U67" s="207" t="n">
        <x:v>0</x:v>
      </x:c>
      <x:c r="V67" s="208" t="n">
        <x:f>MAX(0,M67-U67)</x:f>
        <x:v>4</x:v>
      </x:c>
      <x:c r="W67" s="209" t="n">
        <x:f>IFERROR(U67/M67,0)</x:f>
        <x:v>0</x:v>
      </x:c>
      <x:c r="X67" s="201" t="str">
        <x:f>IF(U67=0,"Não iniciado",IF(U67&gt;=M67,"Concluído","Parcial"))</x:f>
        <x:v>Não iniciado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26750</x:v>
      </x:c>
      <x:c r="C68" s="220" t="str">
        <x:v>24</x:v>
      </x:c>
      <x:c r="D68" s="220" t="str">
        <x:v>609905</x:v>
      </x:c>
      <x:c r="E68" s="220" t="str">
        <x:v>421010005</x:v>
      </x:c>
      <x:c r="F68" s="220" t="str">
        <x:v>PORTA</x:v>
      </x:c>
      <x:c r="G68" s="190" t="str">
        <x:v>FO POR COL HDF 3 RU 2100X620X35 ESM BCO</x:v>
      </x:c>
      <x:c r="H68" s="190" t="str"/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10</x:v>
      </x:c>
      <x:c r="N68" s="210" t="n">
        <x:v>2100</x:v>
      </x:c>
      <x:c r="O68" s="210" t="n">
        <x:v>620</x:v>
      </x:c>
      <x:c r="P68" s="210" t="n">
        <x:v>35</x:v>
      </x:c>
      <x:c r="Q68" s="211" t="n">
        <x:v>0.456</x:v>
      </x:c>
      <x:c r="R68" s="207" t="str"/>
      <x:c r="S68" s="207" t="str"/>
      <x:c r="T68" s="207" t="str"/>
      <x:c r="U68" s="207" t="n">
        <x:v>10</x:v>
      </x:c>
      <x:c r="V68" s="208" t="n">
        <x:f>MAX(0,M68-U68)</x:f>
        <x:v>0</x:v>
      </x:c>
      <x:c r="W68" s="209" t="n">
        <x:f>IFERROR(U68/M68,0)</x:f>
        <x:v>1</x:v>
      </x:c>
      <x:c r="X68" s="201" t="str">
        <x:f>IF(U68=0,"Não iniciado",IF(U68&gt;=M68,"Concluído","Parcial"))</x:f>
        <x:v>Concluído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26750</x:v>
      </x:c>
      <x:c r="C69" s="218" t="str">
        <x:v>25</x:v>
      </x:c>
      <x:c r="D69" s="218" t="str">
        <x:v>609911</x:v>
      </x:c>
      <x:c r="E69" s="218" t="str">
        <x:v>421010005</x:v>
      </x:c>
      <x:c r="F69" s="218" t="str">
        <x:v>PORTA</x:v>
      </x:c>
      <x:c r="G69" s="184" t="str">
        <x:v>FO POR COL HDF 3 RU 2100X620X35 ESM BCO</x:v>
      </x:c>
      <x:c r="H69" s="184" t="str"/>
      <x:c r="I69" s="184" t="str"/>
      <x:c r="J69" s="184" t="str"/>
      <x:c r="K69" s="184" t="str">
        <x:v>ESMALTE</x:v>
      </x:c>
      <x:c r="L69" s="184" t="str">
        <x:v>BRANCO CARRARA</x:v>
      </x:c>
      <x:c r="M69" s="205" t="n">
        <x:v>3</x:v>
      </x:c>
      <x:c r="N69" s="205" t="n">
        <x:v>2100</x:v>
      </x:c>
      <x:c r="O69" s="205" t="n">
        <x:v>620</x:v>
      </x:c>
      <x:c r="P69" s="205" t="n">
        <x:v>35</x:v>
      </x:c>
      <x:c r="Q69" s="206" t="n">
        <x:v>0.137</x:v>
      </x:c>
      <x:c r="R69" s="207" t="str"/>
      <x:c r="S69" s="207" t="str"/>
      <x:c r="T69" s="207" t="str"/>
      <x:c r="U69" s="207" t="n">
        <x:v>0</x:v>
      </x:c>
      <x:c r="V69" s="208" t="n">
        <x:f>MAX(0,M69-U69)</x:f>
        <x:v>3</x:v>
      </x:c>
      <x:c r="W69" s="209" t="n">
        <x:f>IFERROR(U69/M69,0)</x:f>
        <x:v>0</x:v>
      </x:c>
      <x:c r="X69" s="201" t="str">
        <x:f>IF(U69=0,"Não iniciado",IF(U69&gt;=M69,"Concluído","Parcial"))</x:f>
        <x:v>Não iniciado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26750</x:v>
      </x:c>
      <x:c r="C70" s="220" t="str">
        <x:v>26</x:v>
      </x:c>
      <x:c r="D70" s="220" t="str">
        <x:v>609925</x:v>
      </x:c>
      <x:c r="E70" s="220" t="str">
        <x:v>3040300238</x:v>
      </x:c>
      <x:c r="F70" s="220" t="str">
        <x:v>PORTA</x:v>
      </x:c>
      <x:c r="G70" s="190" t="str">
        <x:v>FO POR COL HDF 3 ESM BCO CAR 2100X620X35</x:v>
      </x:c>
      <x:c r="H70" s="190" t="str"/>
      <x:c r="I70" s="190" t="str"/>
      <x:c r="J70" s="190" t="str"/>
      <x:c r="K70" s="190" t="str">
        <x:v>ESMALTE</x:v>
      </x:c>
      <x:c r="L70" s="190" t="str">
        <x:v>BRANCO CARRARA</x:v>
      </x:c>
      <x:c r="M70" s="210" t="n">
        <x:v>2</x:v>
      </x:c>
      <x:c r="N70" s="210" t="n">
        <x:v>2100</x:v>
      </x:c>
      <x:c r="O70" s="210" t="n">
        <x:v>620</x:v>
      </x:c>
      <x:c r="P70" s="210" t="n">
        <x:v>35</x:v>
      </x:c>
      <x:c r="Q70" s="211" t="n">
        <x:v>0.091</x:v>
      </x:c>
      <x:c r="R70" s="207" t="str"/>
      <x:c r="S70" s="207" t="str"/>
      <x:c r="T70" s="207" t="str"/>
      <x:c r="U70" s="207" t="n">
        <x:v>2</x:v>
      </x:c>
      <x:c r="V70" s="208" t="n">
        <x:f>MAX(0,M70-U70)</x:f>
        <x:v>0</x:v>
      </x:c>
      <x:c r="W70" s="209" t="n">
        <x:f>IFERROR(U70/M70,0)</x:f>
        <x:v>1</x:v>
      </x:c>
      <x:c r="X70" s="201" t="str">
        <x:f>IF(U70=0,"Não iniciado",IF(U70&gt;=M70,"Concluído","Parcial"))</x:f>
        <x:v>Concluído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26826</x:v>
      </x:c>
      <x:c r="C71" s="218" t="str">
        <x:v>1</x:v>
      </x:c>
      <x:c r="D71" s="218" t="str">
        <x:v>610305</x:v>
      </x:c>
      <x:c r="E71" s="218" t="str">
        <x:v>3050300062</x:v>
      </x:c>
      <x:c r="F71" s="218" t="str">
        <x:v>PORTA</x:v>
      </x:c>
      <x:c r="G71" s="184" t="str">
        <x:v>FO P COR SMT HDF 3 COL B2 L 2100X620X35</x:v>
      </x:c>
      <x:c r="H71" s="184" t="str">
        <x:v>LISA</x:v>
      </x:c>
      <x:c r="I71" s="184" t="str"/>
      <x:c r="J71" s="184" t="str"/>
      <x:c r="K71" s="184" t="str">
        <x:v>ESMALTE</x:v>
      </x:c>
      <x:c r="L71" s="184" t="str">
        <x:v>BRANCO CARRARA</x:v>
      </x:c>
      <x:c r="M71" s="205" t="n">
        <x:v>62</x:v>
      </x:c>
      <x:c r="N71" s="205" t="n">
        <x:v>2100</x:v>
      </x:c>
      <x:c r="O71" s="205" t="n">
        <x:v>620</x:v>
      </x:c>
      <x:c r="P71" s="205" t="n">
        <x:v>35</x:v>
      </x:c>
      <x:c r="Q71" s="206" t="n">
        <x:v>2.825</x:v>
      </x:c>
      <x:c r="R71" s="207" t="str"/>
      <x:c r="S71" s="207" t="str"/>
      <x:c r="T71" s="207" t="str"/>
      <x:c r="U71" s="207" t="n">
        <x:v>31</x:v>
      </x:c>
      <x:c r="V71" s="208" t="n">
        <x:f>MAX(0,M71-U71)</x:f>
        <x:v>31</x:v>
      </x:c>
      <x:c r="W71" s="209" t="n">
        <x:f>IFERROR(U71/M71,0)</x:f>
        <x:v>0.5</x:v>
      </x:c>
      <x:c r="X71" s="201" t="str">
        <x:f>IF(U71=0,"Não iniciado",IF(U71&gt;=M71,"Concluído","Parcial"))</x:f>
        <x:v>Parcial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26747</x:v>
      </x:c>
      <x:c r="C72" s="220" t="str">
        <x:v>1</x:v>
      </x:c>
      <x:c r="D72" s="220" t="str">
        <x:v>608997</x:v>
      </x:c>
      <x:c r="E72" s="220" t="str">
        <x:v>4210012014</x:v>
      </x:c>
      <x:c r="F72" s="220" t="str">
        <x:v>OUTROS</x:v>
      </x:c>
      <x:c r="G72" s="190" t="str">
        <x:v>FOL.POR.COL.LIS2100x600x0 ESM.BRC PLS</x:v>
      </x:c>
      <x:c r="H72" s="190" t="str">
        <x:v>LISA</x:v>
      </x:c>
      <x:c r="I72" s="190" t="str">
        <x:v>C/USINAGEM COMPLETA</x:v>
      </x:c>
      <x:c r="J72" s="190" t="str"/>
      <x:c r="K72" s="190" t="str">
        <x:v>ESMALTE</x:v>
      </x:c>
      <x:c r="L72" s="190" t="str">
        <x:v>BRANCO CARRARA</x:v>
      </x:c>
      <x:c r="M72" s="210" t="n">
        <x:v>1</x:v>
      </x:c>
      <x:c r="N72" s="210" t="n">
        <x:v>2100</x:v>
      </x:c>
      <x:c r="O72" s="210" t="n">
        <x:v>600</x:v>
      </x:c>
      <x:c r="P72" s="210" t="str"/>
      <x:c r="Q72" s="211" t="n">
        <x:v>0.044</x:v>
      </x:c>
      <x:c r="R72" s="207" t="str"/>
      <x:c r="S72" s="207" t="str"/>
      <x:c r="T72" s="207" t="str"/>
      <x:c r="U72" s="207" t="n">
        <x:v>1</x:v>
      </x:c>
      <x:c r="V72" s="208" t="n">
        <x:f>MAX(0,M72-U72)</x:f>
        <x:v>0</x:v>
      </x:c>
      <x:c r="W72" s="209" t="n">
        <x:f>IFERROR(U72/M72,0)</x:f>
        <x:v>1</x:v>
      </x:c>
      <x:c r="X72" s="201" t="str">
        <x:f>IF(U72=0,"Não iniciado",IF(U72&gt;=M72,"Concluído","Parcial"))</x:f>
        <x:v>Concluído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26792</x:v>
      </x:c>
      <x:c r="C73" s="218" t="str">
        <x:v>1</x:v>
      </x:c>
      <x:c r="D73" s="218" t="str">
        <x:v>609423</x:v>
      </x:c>
      <x:c r="E73" s="218" t="str">
        <x:v>3040300440</x:v>
      </x:c>
      <x:c r="F73" s="218" t="str">
        <x:v>PORTA</x:v>
      </x:c>
      <x:c r="G73" s="184" t="str">
        <x:v>FO POR SMT HDF 3 COL RU 2100X600X35 ESM</x:v>
      </x:c>
      <x:c r="H73" s="184" t="str"/>
      <x:c r="I73" s="184" t="str"/>
      <x:c r="J73" s="184" t="str"/>
      <x:c r="K73" s="184" t="str">
        <x:v>ESMALTE</x:v>
      </x:c>
      <x:c r="L73" s="184" t="str">
        <x:v>BRANCO CARRARA</x:v>
      </x:c>
      <x:c r="M73" s="205" t="n">
        <x:v>137</x:v>
      </x:c>
      <x:c r="N73" s="205" t="n">
        <x:v>2100</x:v>
      </x:c>
      <x:c r="O73" s="205" t="n">
        <x:v>600</x:v>
      </x:c>
      <x:c r="P73" s="205" t="n">
        <x:v>35</x:v>
      </x:c>
      <x:c r="Q73" s="206" t="n">
        <x:v>6.042</x:v>
      </x:c>
      <x:c r="R73" s="207" t="str"/>
      <x:c r="S73" s="207" t="str"/>
      <x:c r="T73" s="207" t="str"/>
      <x:c r="U73" s="207" t="n">
        <x:v>103</x:v>
      </x:c>
      <x:c r="V73" s="208" t="n">
        <x:f>MAX(0,M73-U73)</x:f>
        <x:v>34</x:v>
      </x:c>
      <x:c r="W73" s="209" t="n">
        <x:f>IFERROR(U73/M73,0)</x:f>
        <x:v>0.7518248175182481</x:v>
      </x:c>
      <x:c r="X73" s="201" t="str">
        <x:f>IF(U73=0,"Não iniciado",IF(U73&gt;=M73,"Concluído","Parcial"))</x:f>
        <x:v>Parcial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26792</x:v>
      </x:c>
      <x:c r="C74" s="220" t="str">
        <x:v>2</x:v>
      </x:c>
      <x:c r="D74" s="220" t="str">
        <x:v>609431</x:v>
      </x:c>
      <x:c r="E74" s="220" t="str">
        <x:v>3040300440</x:v>
      </x:c>
      <x:c r="F74" s="220" t="str">
        <x:v>PORTA</x:v>
      </x:c>
      <x:c r="G74" s="190" t="str">
        <x:v>FO POR SMT HDF 3 COL RU 2100X600X35 ESM</x:v>
      </x:c>
      <x:c r="H74" s="190" t="str"/>
      <x:c r="I74" s="190" t="str"/>
      <x:c r="J74" s="190" t="str"/>
      <x:c r="K74" s="190" t="str">
        <x:v>ESMALTE</x:v>
      </x:c>
      <x:c r="L74" s="190" t="str">
        <x:v>BRANCO CARRARA</x:v>
      </x:c>
      <x:c r="M74" s="210" t="n">
        <x:v>17</x:v>
      </x:c>
      <x:c r="N74" s="210" t="n">
        <x:v>2100</x:v>
      </x:c>
      <x:c r="O74" s="210" t="n">
        <x:v>600</x:v>
      </x:c>
      <x:c r="P74" s="210" t="n">
        <x:v>35</x:v>
      </x:c>
      <x:c r="Q74" s="211" t="n">
        <x:v>0.75</x:v>
      </x:c>
      <x:c r="R74" s="207" t="str"/>
      <x:c r="S74" s="207" t="str"/>
      <x:c r="T74" s="207" t="str"/>
      <x:c r="U74" s="207" t="n">
        <x:v>17</x:v>
      </x:c>
      <x:c r="V74" s="208" t="n">
        <x:f>MAX(0,M74-U74)</x:f>
        <x:v>0</x:v>
      </x:c>
      <x:c r="W74" s="209" t="n">
        <x:f>IFERROR(U74/M74,0)</x:f>
        <x:v>1</x:v>
      </x:c>
      <x:c r="X74" s="201" t="str">
        <x:f>IF(U74=0,"Não iniciado",IF(U74&gt;=M74,"Concluído","Parcial"))</x:f>
        <x:v>Concluído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26792</x:v>
      </x:c>
      <x:c r="C75" s="218" t="str">
        <x:v>3</x:v>
      </x:c>
      <x:c r="D75" s="218" t="str">
        <x:v>609439</x:v>
      </x:c>
      <x:c r="E75" s="218" t="str">
        <x:v>3040300440</x:v>
      </x:c>
      <x:c r="F75" s="218" t="str">
        <x:v>PORTA</x:v>
      </x:c>
      <x:c r="G75" s="184" t="str">
        <x:v>FO POR SMT HDF 3 COL RU 2100X600X35 ESM</x:v>
      </x:c>
      <x:c r="H75" s="184" t="str"/>
      <x:c r="I75" s="184" t="str"/>
      <x:c r="J75" s="184" t="str"/>
      <x:c r="K75" s="184" t="str">
        <x:v>ESMALTE</x:v>
      </x:c>
      <x:c r="L75" s="184" t="str">
        <x:v>BRANCO CARRARA</x:v>
      </x:c>
      <x:c r="M75" s="205" t="n">
        <x:v>1</x:v>
      </x:c>
      <x:c r="N75" s="205" t="n">
        <x:v>2100</x:v>
      </x:c>
      <x:c r="O75" s="205" t="n">
        <x:v>600</x:v>
      </x:c>
      <x:c r="P75" s="205" t="n">
        <x:v>35</x:v>
      </x:c>
      <x:c r="Q75" s="206" t="n">
        <x:v>0.044</x:v>
      </x:c>
      <x:c r="R75" s="207" t="str"/>
      <x:c r="S75" s="207" t="str"/>
      <x:c r="T75" s="207" t="str"/>
      <x:c r="U75" s="207" t="n">
        <x:v>1</x:v>
      </x:c>
      <x:c r="V75" s="208" t="n">
        <x:f>MAX(0,M75-U75)</x:f>
        <x:v>0</x:v>
      </x:c>
      <x:c r="W75" s="209" t="n">
        <x:f>IFERROR(U75/M75,0)</x:f>
        <x:v>1</x:v>
      </x:c>
      <x:c r="X75" s="201" t="str">
        <x:f>IF(U75=0,"Não iniciado",IF(U75&gt;=M75,"Concluído","Parcial"))</x:f>
        <x:v>Concluído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26796</x:v>
      </x:c>
      <x:c r="C76" s="220" t="str">
        <x:v>1</x:v>
      </x:c>
      <x:c r="D76" s="220" t="str">
        <x:v>609290/612150</x:v>
      </x:c>
      <x:c r="E76" s="220" t="str">
        <x:v>3040300046</x:v>
      </x:c>
      <x:c r="F76" s="220" t="str">
        <x:v>PORTA</x:v>
      </x:c>
      <x:c r="G76" s="190" t="str">
        <x:v>FO POR SMT HDF 3 COL RU 2100X600X35 ESM</x:v>
      </x:c>
      <x:c r="H76" s="190" t="str"/>
      <x:c r="I76" s="190" t="str"/>
      <x:c r="J76" s="190" t="str"/>
      <x:c r="K76" s="190" t="str">
        <x:v>ESMALTE</x:v>
      </x:c>
      <x:c r="L76" s="190" t="str">
        <x:v>BRANCO CARRARA</x:v>
      </x:c>
      <x:c r="M76" s="210" t="n">
        <x:v>216</x:v>
      </x:c>
      <x:c r="N76" s="210" t="n">
        <x:v>2100</x:v>
      </x:c>
      <x:c r="O76" s="210" t="n">
        <x:v>600</x:v>
      </x:c>
      <x:c r="P76" s="210" t="n">
        <x:v>35</x:v>
      </x:c>
      <x:c r="Q76" s="211" t="n">
        <x:v>9.526</x:v>
      </x:c>
      <x:c r="R76" s="207" t="str"/>
      <x:c r="S76" s="207" t="str"/>
      <x:c r="T76" s="207" t="str"/>
      <x:c r="U76" s="207" t="n">
        <x:v>118.95</x:v>
      </x:c>
      <x:c r="V76" s="208" t="n">
        <x:f>MAX(0,M76-U76)</x:f>
        <x:v>97.05</x:v>
      </x:c>
      <x:c r="W76" s="209" t="n">
        <x:f>IFERROR(U76/M76,0)</x:f>
        <x:v>0.5506944444444445</x:v>
      </x:c>
      <x:c r="X76" s="201" t="str">
        <x:f>IF(U76=0,"Não iniciado",IF(U76&gt;=M76,"Concluído","Parcial"))</x:f>
        <x:v>Parcial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26799</x:v>
      </x:c>
      <x:c r="C77" s="218" t="str">
        <x:v>1</x:v>
      </x:c>
      <x:c r="D77" s="218" t="str">
        <x:v>609395</x:v>
      </x:c>
      <x:c r="E77" s="218" t="str">
        <x:v>3040300046</x:v>
      </x:c>
      <x:c r="F77" s="218" t="str">
        <x:v>PORTA</x:v>
      </x:c>
      <x:c r="G77" s="184" t="str">
        <x:v>FO POR SMT HDF 3 COL RU 2100X600X35 ESM</x:v>
      </x:c>
      <x:c r="H77" s="184" t="str"/>
      <x:c r="I77" s="184" t="str"/>
      <x:c r="J77" s="184" t="str"/>
      <x:c r="K77" s="184" t="str">
        <x:v>ESMALTE</x:v>
      </x:c>
      <x:c r="L77" s="184" t="str">
        <x:v>BRANCO CARRARA</x:v>
      </x:c>
      <x:c r="M77" s="205" t="n">
        <x:v>72</x:v>
      </x:c>
      <x:c r="N77" s="205" t="n">
        <x:v>2100</x:v>
      </x:c>
      <x:c r="O77" s="205" t="n">
        <x:v>600</x:v>
      </x:c>
      <x:c r="P77" s="205" t="n">
        <x:v>35</x:v>
      </x:c>
      <x:c r="Q77" s="206" t="n">
        <x:v>3.175</x:v>
      </x:c>
      <x:c r="R77" s="207" t="str"/>
      <x:c r="S77" s="207" t="str"/>
      <x:c r="T77" s="207" t="str"/>
      <x:c r="U77" s="207" t="n">
        <x:v>72</x:v>
      </x:c>
      <x:c r="V77" s="208" t="n">
        <x:f>MAX(0,M77-U77)</x:f>
        <x:v>0</x:v>
      </x:c>
      <x:c r="W77" s="209" t="n">
        <x:f>IFERROR(U77/M77,0)</x:f>
        <x:v>1</x:v>
      </x:c>
      <x:c r="X77" s="201" t="str">
        <x:f>IF(U77=0,"Não iniciado",IF(U77&gt;=M77,"Concluído","Parcial"))</x:f>
        <x:v>Concluído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26815</x:v>
      </x:c>
      <x:c r="C78" s="220" t="str">
        <x:v>1</x:v>
      </x:c>
      <x:c r="D78" s="220" t="str">
        <x:v>609492</x:v>
      </x:c>
      <x:c r="E78" s="220" t="str">
        <x:v>3040300440</x:v>
      </x:c>
      <x:c r="F78" s="220" t="str">
        <x:v>PORTA</x:v>
      </x:c>
      <x:c r="G78" s="190" t="str">
        <x:v>FO POR SMT HDF 3 COL RU 2100X600X35 ESM</x:v>
      </x:c>
      <x:c r="H78" s="190" t="str"/>
      <x:c r="I78" s="190" t="str"/>
      <x:c r="J78" s="190" t="str"/>
      <x:c r="K78" s="190" t="str">
        <x:v>ESMALTE</x:v>
      </x:c>
      <x:c r="L78" s="190" t="str">
        <x:v>BRANCO CARRARA</x:v>
      </x:c>
      <x:c r="M78" s="210" t="n">
        <x:v>154</x:v>
      </x:c>
      <x:c r="N78" s="210" t="n">
        <x:v>2100</x:v>
      </x:c>
      <x:c r="O78" s="210" t="n">
        <x:v>600</x:v>
      </x:c>
      <x:c r="P78" s="210" t="n">
        <x:v>35</x:v>
      </x:c>
      <x:c r="Q78" s="211" t="n">
        <x:v>6.791</x:v>
      </x:c>
      <x:c r="R78" s="207" t="str"/>
      <x:c r="S78" s="207" t="str"/>
      <x:c r="T78" s="207" t="str"/>
      <x:c r="U78" s="207" t="n">
        <x:v>137</x:v>
      </x:c>
      <x:c r="V78" s="208" t="n">
        <x:f>MAX(0,M78-U78)</x:f>
        <x:v>17</x:v>
      </x:c>
      <x:c r="W78" s="209" t="n">
        <x:f>IFERROR(U78/M78,0)</x:f>
        <x:v>0.8896103896103896</x:v>
      </x:c>
      <x:c r="X78" s="201" t="str">
        <x:f>IF(U78=0,"Não iniciado",IF(U78&gt;=M78,"Concluído","Parcial"))</x:f>
        <x:v>Parcial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26815</x:v>
      </x:c>
      <x:c r="C79" s="218" t="str">
        <x:v>2</x:v>
      </x:c>
      <x:c r="D79" s="218" t="str">
        <x:v>609500</x:v>
      </x:c>
      <x:c r="E79" s="218" t="str">
        <x:v>3040300440</x:v>
      </x:c>
      <x:c r="F79" s="218" t="str">
        <x:v>PORTA</x:v>
      </x:c>
      <x:c r="G79" s="184" t="str">
        <x:v>FO POR SMT HDF 3 COL RU 2100X600X35 ESM</x:v>
      </x:c>
      <x:c r="H79" s="184" t="str"/>
      <x:c r="I79" s="184" t="str"/>
      <x:c r="J79" s="184" t="str"/>
      <x:c r="K79" s="184" t="str">
        <x:v>ESMALTE</x:v>
      </x:c>
      <x:c r="L79" s="184" t="str">
        <x:v>BRANCO CARRARA</x:v>
      </x:c>
      <x:c r="M79" s="205" t="n">
        <x:v>10</x:v>
      </x:c>
      <x:c r="N79" s="205" t="n">
        <x:v>2100</x:v>
      </x:c>
      <x:c r="O79" s="205" t="n">
        <x:v>600</x:v>
      </x:c>
      <x:c r="P79" s="205" t="n">
        <x:v>35</x:v>
      </x:c>
      <x:c r="Q79" s="206" t="n">
        <x:v>0.441</x:v>
      </x:c>
      <x:c r="R79" s="207" t="str"/>
      <x:c r="S79" s="207" t="str"/>
      <x:c r="T79" s="207" t="str"/>
      <x:c r="U79" s="207" t="n">
        <x:v>10</x:v>
      </x:c>
      <x:c r="V79" s="208" t="n">
        <x:f>MAX(0,M79-U79)</x:f>
        <x:v>0</x:v>
      </x:c>
      <x:c r="W79" s="209" t="n">
        <x:f>IFERROR(U79/M79,0)</x:f>
        <x:v>1</x:v>
      </x:c>
      <x:c r="X79" s="201" t="str">
        <x:f>IF(U79=0,"Não iniciado",IF(U79&gt;=M79,"Concluído","Parcial"))</x:f>
        <x:v>Concluído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26824</x:v>
      </x:c>
      <x:c r="C80" s="220" t="str">
        <x:v>1</x:v>
      </x:c>
      <x:c r="D80" s="220" t="str">
        <x:v>609585</x:v>
      </x:c>
      <x:c r="E80" s="220" t="str">
        <x:v>3040300046</x:v>
      </x:c>
      <x:c r="F80" s="220" t="str">
        <x:v>PORTA</x:v>
      </x:c>
      <x:c r="G80" s="190" t="str">
        <x:v>FO POR SMT HDF 3 COL RU 2100X600X35 ESM</x:v>
      </x:c>
      <x:c r="H80" s="190" t="str"/>
      <x:c r="I80" s="190" t="str"/>
      <x:c r="J80" s="190" t="str"/>
      <x:c r="K80" s="190" t="str">
        <x:v>ESMALTE</x:v>
      </x:c>
      <x:c r="L80" s="190" t="str">
        <x:v>BRANCO CARRARA</x:v>
      </x:c>
      <x:c r="M80" s="210" t="n">
        <x:v>123</x:v>
      </x:c>
      <x:c r="N80" s="210" t="n">
        <x:v>2100</x:v>
      </x:c>
      <x:c r="O80" s="210" t="n">
        <x:v>600</x:v>
      </x:c>
      <x:c r="P80" s="210" t="n">
        <x:v>35</x:v>
      </x:c>
      <x:c r="Q80" s="211" t="n">
        <x:v>5.424</x:v>
      </x:c>
      <x:c r="R80" s="207" t="str"/>
      <x:c r="S80" s="207" t="str"/>
      <x:c r="T80" s="207" t="str"/>
      <x:c r="U80" s="207" t="n">
        <x:v>123</x:v>
      </x:c>
      <x:c r="V80" s="208" t="n">
        <x:f>MAX(0,M80-U80)</x:f>
        <x:v>0</x:v>
      </x:c>
      <x:c r="W80" s="209" t="n">
        <x:f>IFERROR(U80/M80,0)</x:f>
        <x:v>1</x:v>
      </x:c>
      <x:c r="X80" s="201" t="str">
        <x:f>IF(U80=0,"Não iniciado",IF(U80&gt;=M80,"Concluído","Parcial"))</x:f>
        <x:v>Concluído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26826</x:v>
      </x:c>
      <x:c r="C81" s="218" t="str">
        <x:v>5</x:v>
      </x:c>
      <x:c r="D81" s="218" t="str">
        <x:v>609066</x:v>
      </x:c>
      <x:c r="E81" s="218" t="str">
        <x:v>985572</x:v>
      </x:c>
      <x:c r="F81" s="218" t="str">
        <x:v>KIT DE CORRER</x:v>
      </x:c>
      <x:c r="G81" s="184" t="str">
        <x:v>PERNA KIT STD  KIT DE CORRER EM MDF</x:v>
      </x:c>
      <x:c r="H81" s="184" t="str"/>
      <x:c r="I81" s="184" t="str"/>
      <x:c r="J81" s="184" t="str"/>
      <x:c r="K81" s="184" t="str">
        <x:v>RECOBERTO PET TXT</x:v>
      </x:c>
      <x:c r="L81" s="184" t="str">
        <x:v>BRANCO</x:v>
      </x:c>
      <x:c r="M81" s="205" t="n">
        <x:v>230</x:v>
      </x:c>
      <x:c r="N81" s="205" t="str"/>
      <x:c r="O81" s="205" t="str"/>
      <x:c r="P81" s="205" t="str"/>
      <x:c r="Q81" s="206" t="n">
        <x:v>1.252</x:v>
      </x:c>
      <x:c r="R81" s="207" t="str"/>
      <x:c r="S81" s="207" t="str"/>
      <x:c r="T81" s="207" t="str"/>
      <x:c r="U81" s="207" t="n">
        <x:v>0</x:v>
      </x:c>
      <x:c r="V81" s="208" t="n">
        <x:f>MAX(0,M81-U81)</x:f>
        <x:v>230</x:v>
      </x:c>
      <x:c r="W81" s="209" t="n">
        <x:f>IFERROR(U81/M81,0)</x:f>
        <x:v>0</x:v>
      </x:c>
      <x:c r="X81" s="201" t="str">
        <x:f>IF(U81=0,"Não iniciado",IF(U81&gt;=M81,"Concluído","Parcial"))</x:f>
        <x:v>Não iniciado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26826</x:v>
      </x:c>
      <x:c r="C82" s="220" t="str">
        <x:v>5</x:v>
      </x:c>
      <x:c r="D82" s="220" t="str">
        <x:v>609069</x:v>
      </x:c>
      <x:c r="E82" s="220" t="str">
        <x:v>988095</x:v>
      </x:c>
      <x:c r="F82" s="220" t="str">
        <x:v>KIT DE CORRER</x:v>
      </x:c>
      <x:c r="G82" s="190" t="str">
        <x:v>SUP KIT STD  KIT DE CORRER EM MDF</x:v>
      </x:c>
      <x:c r="H82" s="190" t="str"/>
      <x:c r="I82" s="190" t="str"/>
      <x:c r="J82" s="190" t="str"/>
      <x:c r="K82" s="190" t="str">
        <x:v>RECOBERTO PET TXT</x:v>
      </x:c>
      <x:c r="L82" s="190" t="str">
        <x:v>BRANCO</x:v>
      </x:c>
      <x:c r="M82" s="210" t="n">
        <x:v>115</x:v>
      </x:c>
      <x:c r="N82" s="210" t="str"/>
      <x:c r="O82" s="210" t="str"/>
      <x:c r="P82" s="210" t="str"/>
      <x:c r="Q82" s="211" t="n">
        <x:v>0.626</x:v>
      </x:c>
      <x:c r="R82" s="207" t="str"/>
      <x:c r="S82" s="207" t="str"/>
      <x:c r="T82" s="207" t="str"/>
      <x:c r="U82" s="207" t="n">
        <x:v>0</x:v>
      </x:c>
      <x:c r="V82" s="208" t="n">
        <x:f>MAX(0,M82-U82)</x:f>
        <x:v>115</x:v>
      </x:c>
      <x:c r="W82" s="209" t="n">
        <x:f>IFERROR(U82/M82,0)</x:f>
        <x:v>0</x:v>
      </x:c>
      <x:c r="X82" s="201" t="str">
        <x:f>IF(U82=0,"Não iniciado",IF(U82&gt;=M82,"Concluído","Parcial"))</x:f>
        <x:v>Não iniciado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26792</x:v>
      </x:c>
      <x:c r="C83" s="218" t="str">
        <x:v>4</x:v>
      </x:c>
      <x:c r="D83" s="218" t="str">
        <x:v>609447/612151</x:v>
      </x:c>
      <x:c r="E83" s="218" t="str">
        <x:v>3040300041</x:v>
      </x:c>
      <x:c r="F83" s="218" t="str">
        <x:v>PORTA</x:v>
      </x:c>
      <x:c r="G83" s="184" t="str">
        <x:v>FO POR SMT HDF 3 COL ESM BCO RU 2100X700</x:v>
      </x:c>
      <x:c r="H83" s="184" t="str"/>
      <x:c r="I83" s="184" t="str"/>
      <x:c r="J83" s="184" t="str"/>
      <x:c r="K83" s="184" t="str">
        <x:v>ESMALTE</x:v>
      </x:c>
      <x:c r="L83" s="184" t="str">
        <x:v>BRANCO</x:v>
      </x:c>
      <x:c r="M83" s="205" t="n">
        <x:v>144</x:v>
      </x:c>
      <x:c r="N83" s="205" t="str"/>
      <x:c r="O83" s="205" t="str"/>
      <x:c r="P83" s="205" t="str"/>
      <x:c r="Q83" s="206" t="n">
        <x:v>7.409</x:v>
      </x:c>
      <x:c r="R83" s="207" t="str"/>
      <x:c r="S83" s="207" t="str"/>
      <x:c r="T83" s="207" t="str"/>
      <x:c r="U83" s="207" t="n">
        <x:v>144</x:v>
      </x:c>
      <x:c r="V83" s="208" t="n">
        <x:f>MAX(0,M83-U83)</x:f>
        <x:v>0</x:v>
      </x:c>
      <x:c r="W83" s="209" t="n">
        <x:f>IFERROR(U83/M83,0)</x:f>
        <x:v>1</x:v>
      </x:c>
      <x:c r="X83" s="201" t="str">
        <x:f>IF(U83=0,"Não iniciado",IF(U83&gt;=M83,"Concluído","Parcial"))</x:f>
        <x:v>Concluído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26796</x:v>
      </x:c>
      <x:c r="C84" s="220" t="str">
        <x:v>2</x:v>
      </x:c>
      <x:c r="D84" s="220" t="str">
        <x:v>609298</x:v>
      </x:c>
      <x:c r="E84" s="220" t="str">
        <x:v>3040300041</x:v>
      </x:c>
      <x:c r="F84" s="220" t="str">
        <x:v>PORTA</x:v>
      </x:c>
      <x:c r="G84" s="190" t="str">
        <x:v>FO POR SMT HDF 3 COL ESM BCO RU 2100X700</x:v>
      </x:c>
      <x:c r="H84" s="190" t="str"/>
      <x:c r="I84" s="190" t="str"/>
      <x:c r="J84" s="190" t="str"/>
      <x:c r="K84" s="190" t="str">
        <x:v>ESMALTE</x:v>
      </x:c>
      <x:c r="L84" s="190" t="str">
        <x:v>BRANCO</x:v>
      </x:c>
      <x:c r="M84" s="210" t="n">
        <x:v>48</x:v>
      </x:c>
      <x:c r="N84" s="210" t="str"/>
      <x:c r="O84" s="210" t="str"/>
      <x:c r="P84" s="210" t="str"/>
      <x:c r="Q84" s="211" t="n">
        <x:v>2.47</x:v>
      </x:c>
      <x:c r="R84" s="207" t="str"/>
      <x:c r="S84" s="207" t="str"/>
      <x:c r="T84" s="207" t="str"/>
      <x:c r="U84" s="207" t="n">
        <x:v>15.63</x:v>
      </x:c>
      <x:c r="V84" s="208" t="n">
        <x:f>MAX(0,M84-U84)</x:f>
        <x:v>32.37</x:v>
      </x:c>
      <x:c r="W84" s="209" t="n">
        <x:f>IFERROR(U84/M84,0)</x:f>
        <x:v>0.325625</x:v>
      </x:c>
      <x:c r="X84" s="201" t="str">
        <x:f>IF(U84=0,"Não iniciado",IF(U84&gt;=M84,"Concluído","Parcial"))</x:f>
        <x:v>Parcial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26799</x:v>
      </x:c>
      <x:c r="C85" s="218" t="str">
        <x:v>2</x:v>
      </x:c>
      <x:c r="D85" s="218" t="str">
        <x:v>609403</x:v>
      </x:c>
      <x:c r="E85" s="218" t="str">
        <x:v>3040300041</x:v>
      </x:c>
      <x:c r="F85" s="218" t="str">
        <x:v>PORTA</x:v>
      </x:c>
      <x:c r="G85" s="184" t="str">
        <x:v>FO POR SMT HDF 3 COL ESM BCO RU 2100X700</x:v>
      </x:c>
      <x:c r="H85" s="184" t="str"/>
      <x:c r="I85" s="184" t="str"/>
      <x:c r="J85" s="184" t="str"/>
      <x:c r="K85" s="184" t="str">
        <x:v>ESMALTE</x:v>
      </x:c>
      <x:c r="L85" s="184" t="str">
        <x:v>BRANCO</x:v>
      </x:c>
      <x:c r="M85" s="205" t="n">
        <x:v>16</x:v>
      </x:c>
      <x:c r="N85" s="205" t="str"/>
      <x:c r="O85" s="205" t="str"/>
      <x:c r="P85" s="205" t="str"/>
      <x:c r="Q85" s="206" t="n">
        <x:v>0.823</x:v>
      </x:c>
      <x:c r="R85" s="207" t="str"/>
      <x:c r="S85" s="207" t="str"/>
      <x:c r="T85" s="207" t="str"/>
      <x:c r="U85" s="207" t="n">
        <x:v>16</x:v>
      </x:c>
      <x:c r="V85" s="208" t="n">
        <x:f>MAX(0,M85-U85)</x:f>
        <x:v>0</x:v>
      </x:c>
      <x:c r="W85" s="209" t="n">
        <x:f>IFERROR(U85/M85,0)</x:f>
        <x:v>1</x:v>
      </x:c>
      <x:c r="X85" s="201" t="str">
        <x:f>IF(U85=0,"Não iniciado",IF(U85&gt;=M85,"Concluído","Parcial"))</x:f>
        <x:v>Concluído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26815</x:v>
      </x:c>
      <x:c r="C86" s="220" t="str">
        <x:v>3</x:v>
      </x:c>
      <x:c r="D86" s="220" t="str">
        <x:v>609508</x:v>
      </x:c>
      <x:c r="E86" s="220" t="str">
        <x:v>3040300041</x:v>
      </x:c>
      <x:c r="F86" s="220" t="str">
        <x:v>PORTA</x:v>
      </x:c>
      <x:c r="G86" s="190" t="str">
        <x:v>FO POR SMT HDF 3 COL ESM BCO RU 2100X700</x:v>
      </x:c>
      <x:c r="H86" s="190" t="str"/>
      <x:c r="I86" s="190" t="str"/>
      <x:c r="J86" s="190" t="str"/>
      <x:c r="K86" s="190" t="str">
        <x:v>ESMALTE</x:v>
      </x:c>
      <x:c r="L86" s="190" t="str">
        <x:v>BRANCO</x:v>
      </x:c>
      <x:c r="M86" s="210" t="n">
        <x:v>92</x:v>
      </x:c>
      <x:c r="N86" s="210" t="str"/>
      <x:c r="O86" s="210" t="str"/>
      <x:c r="P86" s="210" t="str"/>
      <x:c r="Q86" s="211" t="n">
        <x:v>4.733</x:v>
      </x:c>
      <x:c r="R86" s="207" t="str"/>
      <x:c r="S86" s="207" t="str"/>
      <x:c r="T86" s="207" t="str"/>
      <x:c r="U86" s="207" t="n">
        <x:v>58</x:v>
      </x:c>
      <x:c r="V86" s="208" t="n">
        <x:f>MAX(0,M86-U86)</x:f>
        <x:v>34</x:v>
      </x:c>
      <x:c r="W86" s="209" t="n">
        <x:f>IFERROR(U86/M86,0)</x:f>
        <x:v>0.6304347826086957</x:v>
      </x:c>
      <x:c r="X86" s="201" t="str">
        <x:f>IF(U86=0,"Não iniciado",IF(U86&gt;=M86,"Concluído","Parcial"))</x:f>
        <x:v>Parcial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26824</x:v>
      </x:c>
      <x:c r="C87" s="218" t="str">
        <x:v>2</x:v>
      </x:c>
      <x:c r="D87" s="218" t="str">
        <x:v>609593</x:v>
      </x:c>
      <x:c r="E87" s="218" t="str">
        <x:v>3040300041</x:v>
      </x:c>
      <x:c r="F87" s="218" t="str">
        <x:v>PORTA</x:v>
      </x:c>
      <x:c r="G87" s="184" t="str">
        <x:v>FO POR SMT HDF 3 COL ESM BCO RU 2100X700</x:v>
      </x:c>
      <x:c r="H87" s="184" t="str"/>
      <x:c r="I87" s="184" t="str"/>
      <x:c r="J87" s="184" t="str"/>
      <x:c r="K87" s="184" t="str">
        <x:v>ESMALTE</x:v>
      </x:c>
      <x:c r="L87" s="184" t="str">
        <x:v>BRANCO</x:v>
      </x:c>
      <x:c r="M87" s="205" t="n">
        <x:v>181</x:v>
      </x:c>
      <x:c r="N87" s="205" t="str"/>
      <x:c r="O87" s="205" t="str"/>
      <x:c r="P87" s="205" t="str"/>
      <x:c r="Q87" s="206" t="n">
        <x:v>9.312</x:v>
      </x:c>
      <x:c r="R87" s="207" t="str"/>
      <x:c r="S87" s="207" t="str"/>
      <x:c r="T87" s="207" t="str"/>
      <x:c r="U87" s="207" t="n">
        <x:v>113</x:v>
      </x:c>
      <x:c r="V87" s="208" t="n">
        <x:f>MAX(0,M87-U87)</x:f>
        <x:v>68</x:v>
      </x:c>
      <x:c r="W87" s="209" t="n">
        <x:f>IFERROR(U87/M87,0)</x:f>
        <x:v>0.6243093922651933</x:v>
      </x:c>
      <x:c r="X87" s="201" t="str">
        <x:f>IF(U87=0,"Não iniciado",IF(U87&gt;=M87,"Concluído","Parcial"))</x:f>
        <x:v>Parcial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26824</x:v>
      </x:c>
      <x:c r="C88" s="220" t="str">
        <x:v>4</x:v>
      </x:c>
      <x:c r="D88" s="220" t="str">
        <x:v>609609</x:v>
      </x:c>
      <x:c r="E88" s="220" t="str">
        <x:v>3041400095</x:v>
      </x:c>
      <x:c r="F88" s="220" t="str">
        <x:v>PORTA</x:v>
      </x:c>
      <x:c r="G88" s="190" t="str">
        <x:v>FO POR SMT HDF 3 S GD ESM BCO RU 2100X80</x:v>
      </x:c>
      <x:c r="H88" s="190" t="str"/>
      <x:c r="I88" s="190" t="str"/>
      <x:c r="J88" s="190" t="str"/>
      <x:c r="K88" s="190" t="str">
        <x:v>ESMALTE</x:v>
      </x:c>
      <x:c r="L88" s="190" t="str">
        <x:v>BRANCO</x:v>
      </x:c>
      <x:c r="M88" s="210" t="n">
        <x:v>42</x:v>
      </x:c>
      <x:c r="N88" s="210" t="str"/>
      <x:c r="O88" s="210" t="str"/>
      <x:c r="P88" s="210" t="str"/>
      <x:c r="Q88" s="211" t="n">
        <x:v>2.47</x:v>
      </x:c>
      <x:c r="R88" s="207" t="str"/>
      <x:c r="S88" s="207" t="str"/>
      <x:c r="T88" s="207" t="str"/>
      <x:c r="U88" s="207" t="n">
        <x:v>0</x:v>
      </x:c>
      <x:c r="V88" s="208" t="n">
        <x:f>MAX(0,M88-U88)</x:f>
        <x:v>42</x:v>
      </x:c>
      <x:c r="W88" s="209" t="n">
        <x:f>IFERROR(U88/M88,0)</x:f>
        <x:v>0</x:v>
      </x:c>
      <x:c r="X88" s="201" t="str">
        <x:f>IF(U88=0,"Não iniciado",IF(U88&gt;=M88,"Concluído","Parcial"))</x:f>
        <x:v>Não iniciado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26824</x:v>
      </x:c>
      <x:c r="C89" s="218" t="str">
        <x:v>5</x:v>
      </x:c>
      <x:c r="D89" s="218" t="str">
        <x:v>609617</x:v>
      </x:c>
      <x:c r="E89" s="218" t="str">
        <x:v>3041400095</x:v>
      </x:c>
      <x:c r="F89" s="218" t="str">
        <x:v>PORTA</x:v>
      </x:c>
      <x:c r="G89" s="184" t="str">
        <x:v>FO POR SMT HDF 3 S GD ESM BCO RU 2100X80</x:v>
      </x:c>
      <x:c r="H89" s="184" t="str"/>
      <x:c r="I89" s="184" t="str"/>
      <x:c r="J89" s="184" t="str"/>
      <x:c r="K89" s="184" t="str">
        <x:v>ESMALTE</x:v>
      </x:c>
      <x:c r="L89" s="184" t="str">
        <x:v>BRANCO</x:v>
      </x:c>
      <x:c r="M89" s="205" t="n">
        <x:v>21</x:v>
      </x:c>
      <x:c r="N89" s="205" t="str"/>
      <x:c r="O89" s="205" t="str"/>
      <x:c r="P89" s="205" t="str"/>
      <x:c r="Q89" s="206" t="n">
        <x:v>1.235</x:v>
      </x:c>
      <x:c r="R89" s="207" t="str"/>
      <x:c r="S89" s="207" t="str"/>
      <x:c r="T89" s="207" t="str"/>
      <x:c r="U89" s="207" t="n">
        <x:v>0</x:v>
      </x:c>
      <x:c r="V89" s="208" t="n">
        <x:f>MAX(0,M89-U89)</x:f>
        <x:v>21</x:v>
      </x:c>
      <x:c r="W89" s="209" t="n">
        <x:f>IFERROR(U89/M89,0)</x:f>
        <x:v>0</x:v>
      </x:c>
      <x:c r="X89" s="201" t="str">
        <x:f>IF(U89=0,"Não iniciado",IF(U89&gt;=M89,"Concluído","Parcial"))</x:f>
        <x:v>Não iniciado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26824</x:v>
      </x:c>
      <x:c r="C90" s="220" t="str">
        <x:v>6</x:v>
      </x:c>
      <x:c r="D90" s="220" t="str">
        <x:v>609625</x:v>
      </x:c>
      <x:c r="E90" s="220" t="str">
        <x:v>3041400092</x:v>
      </x:c>
      <x:c r="F90" s="220" t="str">
        <x:v>PORTA</x:v>
      </x:c>
      <x:c r="G90" s="190" t="str">
        <x:v>FO POR SMT HDF 3 S GD ESM BCO RU 2100X90</x:v>
      </x:c>
      <x:c r="H90" s="190" t="str"/>
      <x:c r="I90" s="190" t="str"/>
      <x:c r="J90" s="190" t="str"/>
      <x:c r="K90" s="190" t="str">
        <x:v>ESMALTE</x:v>
      </x:c>
      <x:c r="L90" s="190" t="str">
        <x:v>BRANCO</x:v>
      </x:c>
      <x:c r="M90" s="210" t="n">
        <x:v>2</x:v>
      </x:c>
      <x:c r="N90" s="210" t="str"/>
      <x:c r="O90" s="210" t="str"/>
      <x:c r="P90" s="210" t="str"/>
      <x:c r="Q90" s="211" t="n">
        <x:v>0.132</x:v>
      </x:c>
      <x:c r="R90" s="207" t="str"/>
      <x:c r="S90" s="207" t="str"/>
      <x:c r="T90" s="207" t="str"/>
      <x:c r="U90" s="207" t="n">
        <x:v>0</x:v>
      </x:c>
      <x:c r="V90" s="208" t="n">
        <x:f>MAX(0,M90-U90)</x:f>
        <x:v>2</x:v>
      </x:c>
      <x:c r="W90" s="209" t="n">
        <x:f>IFERROR(U90/M90,0)</x:f>
        <x:v>0</x:v>
      </x:c>
      <x:c r="X90" s="201" t="str">
        <x:f>IF(U90=0,"Não iniciado",IF(U90&gt;=M90,"Concluído","Parcial"))</x:f>
        <x:v>Não iniciado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26739</x:v>
      </x:c>
      <x:c r="C91" s="218" t="str">
        <x:v>13</x:v>
      </x:c>
      <x:c r="D91" s="218" t="str">
        <x:v>609678</x:v>
      </x:c>
      <x:c r="E91" s="218" t="str">
        <x:v>3050300065</x:v>
      </x:c>
      <x:c r="F91" s="218" t="str">
        <x:v>PORTA</x:v>
      </x:c>
      <x:c r="G91" s="184" t="str">
        <x:v>FO P COR COL HDF 3 ESM BCO CAR 2100X700X</x:v>
      </x:c>
      <x:c r="H91" s="184" t="str">
        <x:v>LISA</x:v>
      </x:c>
      <x:c r="I91" s="184" t="str"/>
      <x:c r="J91" s="184" t="str"/>
      <x:c r="K91" s="184" t="str">
        <x:v>ESMALTE</x:v>
      </x:c>
      <x:c r="L91" s="184" t="str">
        <x:v>BRANCO CARRARA</x:v>
      </x:c>
      <x:c r="M91" s="205" t="n">
        <x:v>7</x:v>
      </x:c>
      <x:c r="N91" s="205" t="str"/>
      <x:c r="O91" s="205" t="str"/>
      <x:c r="P91" s="205" t="str"/>
      <x:c r="Q91" s="206" t="n">
        <x:v>0.36</x:v>
      </x:c>
      <x:c r="R91" s="207" t="str"/>
      <x:c r="S91" s="207" t="str"/>
      <x:c r="T91" s="207" t="str"/>
      <x:c r="U91" s="207" t="n">
        <x:v>3.5</x:v>
      </x:c>
      <x:c r="V91" s="208" t="n">
        <x:f>MAX(0,M91-U91)</x:f>
        <x:v>3.5</x:v>
      </x:c>
      <x:c r="W91" s="209" t="n">
        <x:f>IFERROR(U91/M91,0)</x:f>
        <x:v>0.5</x:v>
      </x:c>
      <x:c r="X91" s="201" t="str">
        <x:f>IF(U91=0,"Não iniciado",IF(U91&gt;=M91,"Concluído","Parcial"))</x:f>
        <x:v>Parcial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26750</x:v>
      </x:c>
      <x:c r="C92" s="220" t="str">
        <x:v>16</x:v>
      </x:c>
      <x:c r="D92" s="220" t="str">
        <x:v>609851</x:v>
      </x:c>
      <x:c r="E92" s="220" t="str">
        <x:v>3050300065</x:v>
      </x:c>
      <x:c r="F92" s="220" t="str">
        <x:v>PORTA</x:v>
      </x:c>
      <x:c r="G92" s="190" t="str">
        <x:v>FO P COR COL HDF 3 ESM BCO CAR 2100X700X</x:v>
      </x:c>
      <x:c r="H92" s="190" t="str">
        <x:v>LISA</x:v>
      </x:c>
      <x:c r="I92" s="190" t="str"/>
      <x:c r="J92" s="190" t="str"/>
      <x:c r="K92" s="190" t="str">
        <x:v>ESMALTE</x:v>
      </x:c>
      <x:c r="L92" s="190" t="str">
        <x:v>BRANCO CARRARA</x:v>
      </x:c>
      <x:c r="M92" s="210" t="n">
        <x:v>7</x:v>
      </x:c>
      <x:c r="N92" s="210" t="str"/>
      <x:c r="O92" s="210" t="str"/>
      <x:c r="P92" s="210" t="str"/>
      <x:c r="Q92" s="211" t="n">
        <x:v>0.36</x:v>
      </x:c>
      <x:c r="R92" s="207" t="str"/>
      <x:c r="S92" s="207" t="str"/>
      <x:c r="T92" s="207" t="str"/>
      <x:c r="U92" s="207" t="n">
        <x:v>3.5</x:v>
      </x:c>
      <x:c r="V92" s="208" t="n">
        <x:f>MAX(0,M92-U92)</x:f>
        <x:v>3.5</x:v>
      </x:c>
      <x:c r="W92" s="209" t="n">
        <x:f>IFERROR(U92/M92,0)</x:f>
        <x:v>0.5</x:v>
      </x:c>
      <x:c r="X92" s="201" t="str">
        <x:f>IF(U92=0,"Não iniciado",IF(U92&gt;=M92,"Concluído","Parcial"))</x:f>
        <x:v>Parcial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26808</x:v>
      </x:c>
      <x:c r="C93" s="218" t="str">
        <x:v>1</x:v>
      </x:c>
      <x:c r="D93" s="218" t="str">
        <x:v>608902/612149</x:v>
      </x:c>
      <x:c r="E93" s="218" t="str">
        <x:v>3041400176</x:v>
      </x:c>
      <x:c r="F93" s="218" t="str">
        <x:v>PORTA</x:v>
      </x:c>
      <x:c r="G93" s="184" t="str">
        <x:v>FO POR S GD RU HDF 3 ESM BCO CAR 2100X60</x:v>
      </x:c>
      <x:c r="H93" s="184" t="str"/>
      <x:c r="I93" s="184" t="str"/>
      <x:c r="J93" s="184" t="str"/>
      <x:c r="K93" s="184" t="str">
        <x:v>ESMALTE</x:v>
      </x:c>
      <x:c r="L93" s="184" t="str">
        <x:v>BRANCO CARRARA</x:v>
      </x:c>
      <x:c r="M93" s="205" t="n">
        <x:v>144</x:v>
      </x:c>
      <x:c r="N93" s="205" t="str"/>
      <x:c r="O93" s="205" t="str"/>
      <x:c r="P93" s="205" t="str"/>
      <x:c r="Q93" s="206" t="n">
        <x:v>6.35</x:v>
      </x:c>
      <x:c r="R93" s="207" t="str"/>
      <x:c r="S93" s="207" t="str"/>
      <x:c r="T93" s="207" t="str"/>
      <x:c r="U93" s="207" t="n">
        <x:v>144</x:v>
      </x:c>
      <x:c r="V93" s="208" t="n">
        <x:f>MAX(0,M93-U93)</x:f>
        <x:v>0</x:v>
      </x:c>
      <x:c r="W93" s="209" t="n">
        <x:f>IFERROR(U93/M93,0)</x:f>
        <x:v>1</x:v>
      </x:c>
      <x:c r="X93" s="201" t="str">
        <x:f>IF(U93=0,"Não iniciado",IF(U93&gt;=M93,"Concluído","Parcial"))</x:f>
        <x:v>Concluído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26808</x:v>
      </x:c>
      <x:c r="C94" s="220" t="str">
        <x:v>2</x:v>
      </x:c>
      <x:c r="D94" s="220" t="str">
        <x:v>608910</x:v>
      </x:c>
      <x:c r="E94" s="220" t="str">
        <x:v>3041400176</x:v>
      </x:c>
      <x:c r="F94" s="220" t="str">
        <x:v>PORTA</x:v>
      </x:c>
      <x:c r="G94" s="190" t="str">
        <x:v>FO POR S GD RU HDF 3 ESM BCO CAR 2100X60</x:v>
      </x:c>
      <x:c r="H94" s="190" t="str"/>
      <x:c r="I94" s="190" t="str"/>
      <x:c r="J94" s="190" t="str"/>
      <x:c r="K94" s="190" t="str">
        <x:v>ESMALTE</x:v>
      </x:c>
      <x:c r="L94" s="190" t="str">
        <x:v>BRANCO CARRARA</x:v>
      </x:c>
      <x:c r="M94" s="210" t="n">
        <x:v>16</x:v>
      </x:c>
      <x:c r="N94" s="210" t="str"/>
      <x:c r="O94" s="210" t="str"/>
      <x:c r="P94" s="210" t="str"/>
      <x:c r="Q94" s="211" t="n">
        <x:v>0.706</x:v>
      </x:c>
      <x:c r="R94" s="207" t="str"/>
      <x:c r="S94" s="207" t="str"/>
      <x:c r="T94" s="207" t="str"/>
      <x:c r="U94" s="207" t="n">
        <x:v>16</x:v>
      </x:c>
      <x:c r="V94" s="208" t="n">
        <x:f>MAX(0,M94-U94)</x:f>
        <x:v>0</x:v>
      </x:c>
      <x:c r="W94" s="209" t="n">
        <x:f>IFERROR(U94/M94,0)</x:f>
        <x:v>1</x:v>
      </x:c>
      <x:c r="X94" s="201" t="str">
        <x:f>IF(U94=0,"Não iniciado",IF(U94&gt;=M94,"Concluído","Parcial"))</x:f>
        <x:v>Concluído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26808</x:v>
      </x:c>
      <x:c r="C95" s="218" t="str">
        <x:v>5</x:v>
      </x:c>
      <x:c r="D95" s="218" t="str">
        <x:v>608934</x:v>
      </x:c>
      <x:c r="E95" s="218" t="str">
        <x:v>3041400201</x:v>
      </x:c>
      <x:c r="F95" s="218" t="str">
        <x:v>PORTA</x:v>
      </x:c>
      <x:c r="G95" s="184" t="str">
        <x:v>FO POR S GD RU HDF 3 ESM BCO CAR 2100X80</x:v>
      </x:c>
      <x:c r="H95" s="184" t="str"/>
      <x:c r="I95" s="184" t="str"/>
      <x:c r="J95" s="184" t="str"/>
      <x:c r="K95" s="184" t="str">
        <x:v>ESMALTE</x:v>
      </x:c>
      <x:c r="L95" s="184" t="str">
        <x:v>BRANCO CARRARA</x:v>
      </x:c>
      <x:c r="M95" s="205" t="n">
        <x:v>1</x:v>
      </x:c>
      <x:c r="N95" s="205" t="str"/>
      <x:c r="O95" s="205" t="str"/>
      <x:c r="P95" s="205" t="str"/>
      <x:c r="Q95" s="206" t="n">
        <x:v>0.059</x:v>
      </x:c>
      <x:c r="R95" s="207" t="str"/>
      <x:c r="S95" s="207" t="str"/>
      <x:c r="T95" s="207" t="str"/>
      <x:c r="U95" s="207" t="n">
        <x:v>1</x:v>
      </x:c>
      <x:c r="V95" s="208" t="n">
        <x:f>MAX(0,M95-U95)</x:f>
        <x:v>0</x:v>
      </x:c>
      <x:c r="W95" s="209" t="n">
        <x:f>IFERROR(U95/M95,0)</x:f>
        <x:v>1</x:v>
      </x:c>
      <x:c r="X95" s="201" t="str">
        <x:f>IF(U95=0,"Não iniciado",IF(U95&gt;=M95,"Concluído","Parcial"))</x:f>
        <x:v>Concluído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26808</x:v>
      </x:c>
      <x:c r="C96" s="220" t="str">
        <x:v>6</x:v>
      </x:c>
      <x:c r="D96" s="220" t="str">
        <x:v>608942</x:v>
      </x:c>
      <x:c r="E96" s="220" t="str">
        <x:v>3041400201</x:v>
      </x:c>
      <x:c r="F96" s="220" t="str">
        <x:v>PORTA</x:v>
      </x:c>
      <x:c r="G96" s="190" t="str">
        <x:v>FO POR S GD RU HDF 3 ESM BCO CAR 2100X80</x:v>
      </x:c>
      <x:c r="H96" s="190" t="str"/>
      <x:c r="I96" s="190" t="str"/>
      <x:c r="J96" s="190" t="str"/>
      <x:c r="K96" s="190" t="str">
        <x:v>ESMALTE</x:v>
      </x:c>
      <x:c r="L96" s="190" t="str">
        <x:v>BRANCO CARRARA</x:v>
      </x:c>
      <x:c r="M96" s="210" t="n">
        <x:v>6</x:v>
      </x:c>
      <x:c r="N96" s="210" t="str"/>
      <x:c r="O96" s="210" t="str"/>
      <x:c r="P96" s="210" t="str"/>
      <x:c r="Q96" s="211" t="n">
        <x:v>0.353</x:v>
      </x:c>
      <x:c r="R96" s="207" t="str"/>
      <x:c r="S96" s="207" t="str"/>
      <x:c r="T96" s="207" t="str"/>
      <x:c r="U96" s="207" t="n">
        <x:v>6</x:v>
      </x:c>
      <x:c r="V96" s="208" t="n">
        <x:f>MAX(0,M96-U96)</x:f>
        <x:v>0</x:v>
      </x:c>
      <x:c r="W96" s="209" t="n">
        <x:f>IFERROR(U96/M96,0)</x:f>
        <x:v>1</x:v>
      </x:c>
      <x:c r="X96" s="201" t="str">
        <x:f>IF(U96=0,"Não iniciado",IF(U96&gt;=M96,"Concluído","Parcial"))</x:f>
        <x:v>Concluído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26808</x:v>
      </x:c>
      <x:c r="C97" s="218" t="str">
        <x:v>7</x:v>
      </x:c>
      <x:c r="D97" s="218" t="str">
        <x:v>608950</x:v>
      </x:c>
      <x:c r="E97" s="218" t="str">
        <x:v>3041400201</x:v>
      </x:c>
      <x:c r="F97" s="218" t="str">
        <x:v>PORTA</x:v>
      </x:c>
      <x:c r="G97" s="184" t="str">
        <x:v>FO POR S GD RU HDF 3 ESM BCO CAR 2100X80</x:v>
      </x:c>
      <x:c r="H97" s="184" t="str"/>
      <x:c r="I97" s="184" t="str"/>
      <x:c r="J97" s="184" t="str"/>
      <x:c r="K97" s="184" t="str">
        <x:v>ESMALTE</x:v>
      </x:c>
      <x:c r="L97" s="184" t="str">
        <x:v>BRANCO CARRARA</x:v>
      </x:c>
      <x:c r="M97" s="205" t="n">
        <x:v>4</x:v>
      </x:c>
      <x:c r="N97" s="205" t="str"/>
      <x:c r="O97" s="205" t="str"/>
      <x:c r="P97" s="205" t="str"/>
      <x:c r="Q97" s="206" t="n">
        <x:v>0.235</x:v>
      </x:c>
      <x:c r="R97" s="207" t="str"/>
      <x:c r="S97" s="207" t="str"/>
      <x:c r="T97" s="207" t="str"/>
      <x:c r="U97" s="207" t="n">
        <x:v>4</x:v>
      </x:c>
      <x:c r="V97" s="208" t="n">
        <x:f>MAX(0,M97-U97)</x:f>
        <x:v>0</x:v>
      </x:c>
      <x:c r="W97" s="209" t="n">
        <x:f>IFERROR(U97/M97,0)</x:f>
        <x:v>1</x:v>
      </x:c>
      <x:c r="X97" s="201" t="str">
        <x:f>IF(U97=0,"Não iniciado",IF(U97&gt;=M97,"Concluído","Parcial"))</x:f>
        <x:v>Concluído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26808</x:v>
      </x:c>
      <x:c r="C98" s="220" t="str">
        <x:v>12</x:v>
      </x:c>
      <x:c r="D98" s="220" t="str">
        <x:v>608983</x:v>
      </x:c>
      <x:c r="E98" s="220" t="str">
        <x:v>3051400085</x:v>
      </x:c>
      <x:c r="F98" s="220" t="str">
        <x:v>PORTA</x:v>
      </x:c>
      <x:c r="G98" s="190" t="str">
        <x:v>FO P COR S GD HDF 3 ESM BCO CAR 2060X720</x:v>
      </x:c>
      <x:c r="H98" s="190" t="str">
        <x:v>LISA</x:v>
      </x:c>
      <x:c r="I98" s="190" t="str"/>
      <x:c r="J98" s="190" t="str"/>
      <x:c r="K98" s="190" t="str">
        <x:v>ESMALTE</x:v>
      </x:c>
      <x:c r="L98" s="190" t="str">
        <x:v>BRANCO CARRARA</x:v>
      </x:c>
      <x:c r="M98" s="210" t="n">
        <x:v>2</x:v>
      </x:c>
      <x:c r="N98" s="210" t="str"/>
      <x:c r="O98" s="210" t="str"/>
      <x:c r="P98" s="210" t="str"/>
      <x:c r="Q98" s="211" t="n">
        <x:v>0.104</x:v>
      </x:c>
      <x:c r="R98" s="207" t="str"/>
      <x:c r="S98" s="207" t="str"/>
      <x:c r="T98" s="207" t="str"/>
      <x:c r="U98" s="207" t="n">
        <x:v>1</x:v>
      </x:c>
      <x:c r="V98" s="208" t="n">
        <x:f>MAX(0,M98-U98)</x:f>
        <x:v>1</x:v>
      </x:c>
      <x:c r="W98" s="209" t="n">
        <x:f>IFERROR(U98/M98,0)</x:f>
        <x:v>0.5</x:v>
      </x:c>
      <x:c r="X98" s="201" t="str">
        <x:f>IF(U98=0,"Não iniciado",IF(U98&gt;=M98,"Concluído","Parcial"))</x:f>
        <x:v>Parcial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26825</x:v>
      </x:c>
      <x:c r="C99" s="218" t="str">
        <x:v>1</x:v>
      </x:c>
      <x:c r="D99" s="218" t="str">
        <x:v>609042</x:v>
      </x:c>
      <x:c r="E99" s="218" t="str">
        <x:v>3051500142</x:v>
      </x:c>
      <x:c r="F99" s="218" t="str">
        <x:v>PORTA</x:v>
      </x:c>
      <x:c r="G99" s="184" t="str">
        <x:v>FO P COR S BD HDF 3 ESM BCO CAR 2100X105</x:v>
      </x:c>
      <x:c r="H99" s="184" t="str">
        <x:v>LISA</x:v>
      </x:c>
      <x:c r="I99" s="184" t="str"/>
      <x:c r="J99" s="184" t="str"/>
      <x:c r="K99" s="184" t="str">
        <x:v>ESMALTE</x:v>
      </x:c>
      <x:c r="L99" s="184" t="str">
        <x:v>BRANCO CARRARA</x:v>
      </x:c>
      <x:c r="M99" s="205" t="n">
        <x:v>32</x:v>
      </x:c>
      <x:c r="N99" s="205" t="str"/>
      <x:c r="O99" s="205" t="str"/>
      <x:c r="P99" s="205" t="str"/>
      <x:c r="Q99" s="206" t="n">
        <x:v>2.47</x:v>
      </x:c>
      <x:c r="R99" s="207" t="str"/>
      <x:c r="S99" s="207" t="str"/>
      <x:c r="T99" s="207" t="str"/>
      <x:c r="U99" s="207" t="n">
        <x:v>0</x:v>
      </x:c>
      <x:c r="V99" s="208" t="n">
        <x:f>MAX(0,M99-U99)</x:f>
        <x:v>32</x:v>
      </x:c>
      <x:c r="W99" s="209" t="n">
        <x:f>IFERROR(U99/M99,0)</x:f>
        <x:v>0</x:v>
      </x:c>
      <x:c r="X99" s="201" t="str">
        <x:f>IF(U99=0,"Não iniciado",IF(U99&gt;=M99,"Concluído","Parcial"))</x:f>
        <x:v>Não iniciado</x:v>
      </x:c>
      <x:c r="Y99" s="199" t="str"/>
      <x:c r="Z99" s="188" t="str">
        <x:v>Normal</x:v>
      </x:c>
    </x:row>
    <x:row r="100" ht="22" customHeight="1">
      <x:c r="A100" s="235" t="n">
        <x:v>96</x:v>
      </x:c>
      <x:c r="B100" s="236" t="str">
        <x:v>26809</x:v>
      </x:c>
      <x:c r="C100" s="236" t="str">
        <x:v>3</x:v>
      </x:c>
      <x:c r="D100" s="236" t="str">
        <x:v>609933</x:v>
      </x:c>
      <x:c r="E100" s="236" t="str">
        <x:v>3041400350</x:v>
      </x:c>
      <x:c r="F100" s="236" t="str">
        <x:v>PORTA</x:v>
      </x:c>
      <x:c r="G100" s="230" t="str">
        <x:v>FO POR S GD RU HDF 3 IMP CAP M 2100X900X</x:v>
      </x:c>
      <x:c r="H100" s="230" t="str">
        <x:v>LISA</x:v>
      </x:c>
      <x:c r="I100" s="230" t="str"/>
      <x:c r="J100" s="230" t="str"/>
      <x:c r="K100" s="230" t="str">
        <x:v>IMPRESSO</x:v>
      </x:c>
      <x:c r="L100" s="230" t="str">
        <x:v>CAPUCCINO MARCHE</x:v>
      </x:c>
      <x:c r="M100" s="233" t="n">
        <x:v>11</x:v>
      </x:c>
      <x:c r="N100" s="233" t="str"/>
      <x:c r="O100" s="233" t="str"/>
      <x:c r="P100" s="233" t="str"/>
      <x:c r="Q100" s="234" t="n">
        <x:v>0.728</x:v>
      </x:c>
      <x:c r="R100" s="214" t="str"/>
      <x:c r="S100" s="214" t="str"/>
      <x:c r="T100" s="214" t="str"/>
      <x:c r="U100" s="214" t="n">
        <x:v>5.5</x:v>
      </x:c>
      <x:c r="V100" s="215" t="n">
        <x:f>MAX(0,M100-U100)</x:f>
        <x:v>5.5</x:v>
      </x:c>
      <x:c r="W100" s="216" t="n">
        <x:f>IFERROR(U100/M100,0)</x:f>
        <x:v>0.5</x:v>
      </x:c>
      <x:c r="X100" s="203" t="str">
        <x:f>IF(U100=0,"Não iniciado",IF(U100&gt;=M100,"Concluído","Parcial"))</x:f>
        <x:v>Parcial</x:v>
      </x:c>
      <x:c r="Y100" s="200" t="str"/>
      <x:c r="Z100" s="198" t="str">
        <x:v>Normal</x:v>
      </x:c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  <x:c r="V101" s="84"/>
      <x:c r="W101" s="84"/>
      <x:c r="X101" s="84"/>
      <x:c r="Y101" s="84"/>
      <x:c r="Z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  <x:c r="V102" s="84"/>
      <x:c r="W102" s="84"/>
      <x:c r="X102" s="84"/>
      <x:c r="Y102" s="84"/>
      <x:c r="Z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  <x:c r="V103" s="84"/>
      <x:c r="W103" s="84"/>
      <x:c r="X103" s="84"/>
      <x:c r="Y103" s="84"/>
      <x:c r="Z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  <x:c r="V104" s="84"/>
      <x:c r="W104" s="84"/>
      <x:c r="X104" s="84"/>
      <x:c r="Y104" s="84"/>
      <x:c r="Z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  <x:c r="V105" s="84"/>
      <x:c r="W105" s="84"/>
      <x:c r="X105" s="84"/>
      <x:c r="Y105" s="84"/>
      <x:c r="Z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  <x:c r="V106" s="84"/>
      <x:c r="W106" s="84"/>
      <x:c r="X106" s="84"/>
      <x:c r="Y106" s="84"/>
      <x:c r="Z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  <x:c r="V107" s="84"/>
      <x:c r="W107" s="84"/>
      <x:c r="X107" s="84"/>
      <x:c r="Y107" s="84"/>
      <x:c r="Z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  <x:c r="V108" s="84"/>
      <x:c r="W108" s="84"/>
      <x:c r="X108" s="84"/>
      <x:c r="Y108" s="84"/>
      <x:c r="Z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  <x:c r="V109" s="84"/>
      <x:c r="W109" s="84"/>
      <x:c r="X109" s="84"/>
      <x:c r="Y109" s="84"/>
      <x:c r="Z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  <x:c r="V110" s="84"/>
      <x:c r="W110" s="84"/>
      <x:c r="X110" s="84"/>
      <x:c r="Y110" s="84"/>
      <x:c r="Z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  <x:c r="M111" s="84"/>
      <x:c r="N111" s="84"/>
      <x:c r="O111" s="84"/>
      <x:c r="P111" s="84"/>
      <x:c r="Q111" s="84"/>
      <x:c r="R111" s="84"/>
      <x:c r="S111" s="84"/>
      <x:c r="T111" s="84"/>
      <x:c r="U111" s="84"/>
      <x:c r="V111" s="84"/>
      <x:c r="W111" s="84"/>
      <x:c r="X111" s="84"/>
      <x:c r="Y111" s="84"/>
      <x:c r="Z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  <x:c r="M112" s="84"/>
      <x:c r="N112" s="84"/>
      <x:c r="O112" s="84"/>
      <x:c r="P112" s="84"/>
      <x:c r="Q112" s="84"/>
      <x:c r="R112" s="84"/>
      <x:c r="S112" s="84"/>
      <x:c r="T112" s="84"/>
      <x:c r="U112" s="84"/>
      <x:c r="V112" s="84"/>
      <x:c r="W112" s="84"/>
      <x:c r="X112" s="84"/>
      <x:c r="Y112" s="84"/>
      <x:c r="Z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  <x:c r="M113" s="84"/>
      <x:c r="N113" s="84"/>
      <x:c r="O113" s="84"/>
      <x:c r="P113" s="84"/>
      <x:c r="Q113" s="84"/>
      <x:c r="R113" s="84"/>
      <x:c r="S113" s="84"/>
      <x:c r="T113" s="84"/>
      <x:c r="U113" s="84"/>
      <x:c r="V113" s="84"/>
      <x:c r="W113" s="84"/>
      <x:c r="X113" s="84"/>
      <x:c r="Y113" s="84"/>
      <x:c r="Z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  <x:c r="M114" s="84"/>
      <x:c r="N114" s="84"/>
      <x:c r="O114" s="84"/>
      <x:c r="P114" s="84"/>
      <x:c r="Q114" s="84"/>
      <x:c r="R114" s="84"/>
      <x:c r="S114" s="84"/>
      <x:c r="T114" s="84"/>
      <x:c r="U114" s="84"/>
      <x:c r="V114" s="84"/>
      <x:c r="W114" s="84"/>
      <x:c r="X114" s="84"/>
      <x:c r="Y114" s="84"/>
      <x:c r="Z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  <x:c r="M115" s="84"/>
      <x:c r="N115" s="84"/>
      <x:c r="O115" s="84"/>
      <x:c r="P115" s="84"/>
      <x:c r="Q115" s="84"/>
      <x:c r="R115" s="84"/>
      <x:c r="S115" s="84"/>
      <x:c r="T115" s="84"/>
      <x:c r="U115" s="84"/>
      <x:c r="V115" s="84"/>
      <x:c r="W115" s="84"/>
      <x:c r="X115" s="84"/>
      <x:c r="Y115" s="84"/>
      <x:c r="Z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  <x:c r="M116" s="84"/>
      <x:c r="N116" s="84"/>
      <x:c r="O116" s="84"/>
      <x:c r="P116" s="84"/>
      <x:c r="Q116" s="84"/>
      <x:c r="R116" s="84"/>
      <x:c r="S116" s="84"/>
      <x:c r="T116" s="84"/>
      <x:c r="U116" s="84"/>
      <x:c r="V116" s="84"/>
      <x:c r="W116" s="84"/>
      <x:c r="X116" s="84"/>
      <x:c r="Y116" s="84"/>
      <x:c r="Z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  <x:c r="M117" s="84"/>
      <x:c r="N117" s="84"/>
      <x:c r="O117" s="84"/>
      <x:c r="P117" s="84"/>
      <x:c r="Q117" s="84"/>
      <x:c r="R117" s="84"/>
      <x:c r="S117" s="84"/>
      <x:c r="T117" s="84"/>
      <x:c r="U117" s="84"/>
      <x:c r="V117" s="84"/>
      <x:c r="W117" s="84"/>
      <x:c r="X117" s="84"/>
      <x:c r="Y117" s="84"/>
      <x:c r="Z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  <x:c r="M118" s="84"/>
      <x:c r="N118" s="84"/>
      <x:c r="O118" s="84"/>
      <x:c r="P118" s="84"/>
      <x:c r="Q118" s="84"/>
      <x:c r="R118" s="84"/>
      <x:c r="S118" s="84"/>
      <x:c r="T118" s="84"/>
      <x:c r="U118" s="84"/>
      <x:c r="V118" s="84"/>
      <x:c r="W118" s="84"/>
      <x:c r="X118" s="84"/>
      <x:c r="Y118" s="84"/>
      <x:c r="Z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  <x:c r="M119" s="84"/>
      <x:c r="N119" s="84"/>
      <x:c r="O119" s="84"/>
      <x:c r="P119" s="84"/>
      <x:c r="Q119" s="84"/>
      <x:c r="R119" s="84"/>
      <x:c r="S119" s="84"/>
      <x:c r="T119" s="84"/>
      <x:c r="U119" s="84"/>
      <x:c r="V119" s="84"/>
      <x:c r="W119" s="84"/>
      <x:c r="X119" s="84"/>
      <x:c r="Y119" s="84"/>
      <x:c r="Z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  <x:c r="M120" s="84"/>
      <x:c r="N120" s="84"/>
      <x:c r="O120" s="84"/>
      <x:c r="P120" s="84"/>
      <x:c r="Q120" s="84"/>
      <x:c r="R120" s="84"/>
      <x:c r="S120" s="84"/>
      <x:c r="T120" s="84"/>
      <x:c r="U120" s="84"/>
      <x:c r="V120" s="84"/>
      <x:c r="W120" s="84"/>
      <x:c r="X120" s="84"/>
      <x:c r="Y120" s="84"/>
      <x:c r="Z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  <x:c r="M121" s="84"/>
      <x:c r="N121" s="84"/>
      <x:c r="O121" s="84"/>
      <x:c r="P121" s="84"/>
      <x:c r="Q121" s="84"/>
      <x:c r="R121" s="84"/>
      <x:c r="S121" s="84"/>
      <x:c r="T121" s="84"/>
      <x:c r="U121" s="84"/>
      <x:c r="V121" s="84"/>
      <x:c r="W121" s="84"/>
      <x:c r="X121" s="84"/>
      <x:c r="Y121" s="84"/>
      <x:c r="Z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  <x:c r="M122" s="84"/>
      <x:c r="N122" s="84"/>
      <x:c r="O122" s="84"/>
      <x:c r="P122" s="84"/>
      <x:c r="Q122" s="84"/>
      <x:c r="R122" s="84"/>
      <x:c r="S122" s="84"/>
      <x:c r="T122" s="84"/>
      <x:c r="U122" s="84"/>
      <x:c r="V122" s="84"/>
      <x:c r="W122" s="84"/>
      <x:c r="X122" s="84"/>
      <x:c r="Y122" s="84"/>
      <x:c r="Z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  <x:c r="M123" s="84"/>
      <x:c r="N123" s="84"/>
      <x:c r="O123" s="84"/>
      <x:c r="P123" s="84"/>
      <x:c r="Q123" s="84"/>
      <x:c r="R123" s="84"/>
      <x:c r="S123" s="84"/>
      <x:c r="T123" s="84"/>
      <x:c r="U123" s="84"/>
      <x:c r="V123" s="84"/>
      <x:c r="W123" s="84"/>
      <x:c r="X123" s="84"/>
      <x:c r="Y123" s="84"/>
      <x:c r="Z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  <x:c r="M124" s="84"/>
      <x:c r="N124" s="84"/>
      <x:c r="O124" s="84"/>
      <x:c r="P124" s="84"/>
      <x:c r="Q124" s="84"/>
      <x:c r="R124" s="84"/>
      <x:c r="S124" s="84"/>
      <x:c r="T124" s="84"/>
      <x:c r="U124" s="84"/>
      <x:c r="V124" s="84"/>
      <x:c r="W124" s="84"/>
      <x:c r="X124" s="84"/>
      <x:c r="Y124" s="84"/>
      <x:c r="Z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  <x:c r="S125" s="84"/>
      <x:c r="T125" s="84"/>
      <x:c r="U125" s="84"/>
      <x:c r="V125" s="84"/>
      <x:c r="W125" s="84"/>
      <x:c r="X125" s="84"/>
      <x:c r="Y125" s="84"/>
      <x:c r="Z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  <x:c r="M126" s="84"/>
      <x:c r="N126" s="84"/>
      <x:c r="O126" s="84"/>
      <x:c r="P126" s="84"/>
      <x:c r="Q126" s="84"/>
      <x:c r="R126" s="84"/>
      <x:c r="S126" s="84"/>
      <x:c r="T126" s="84"/>
      <x:c r="U126" s="84"/>
      <x:c r="V126" s="84"/>
      <x:c r="W126" s="84"/>
      <x:c r="X126" s="84"/>
      <x:c r="Y126" s="84"/>
      <x:c r="Z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  <x:c r="M127" s="84"/>
      <x:c r="N127" s="84"/>
      <x:c r="O127" s="84"/>
      <x:c r="P127" s="84"/>
      <x:c r="Q127" s="84"/>
      <x:c r="R127" s="84"/>
      <x:c r="S127" s="84"/>
      <x:c r="T127" s="84"/>
      <x:c r="U127" s="84"/>
      <x:c r="V127" s="84"/>
      <x:c r="W127" s="84"/>
      <x:c r="X127" s="84"/>
      <x:c r="Y127" s="84"/>
      <x:c r="Z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  <x:c r="M128" s="84"/>
      <x:c r="N128" s="84"/>
      <x:c r="O128" s="84"/>
      <x:c r="P128" s="84"/>
      <x:c r="Q128" s="84"/>
      <x:c r="R128" s="84"/>
      <x:c r="S128" s="84"/>
      <x:c r="T128" s="84"/>
      <x:c r="U128" s="84"/>
      <x:c r="V128" s="84"/>
      <x:c r="W128" s="84"/>
      <x:c r="X128" s="84"/>
      <x:c r="Y128" s="84"/>
      <x:c r="Z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  <x:c r="M129" s="84"/>
      <x:c r="N129" s="84"/>
      <x:c r="O129" s="84"/>
      <x:c r="P129" s="84"/>
      <x:c r="Q129" s="84"/>
      <x:c r="R129" s="84"/>
      <x:c r="S129" s="84"/>
      <x:c r="T129" s="84"/>
      <x:c r="U129" s="84"/>
      <x:c r="V129" s="84"/>
      <x:c r="W129" s="84"/>
      <x:c r="X129" s="84"/>
      <x:c r="Y129" s="84"/>
      <x:c r="Z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  <x:c r="M130" s="84"/>
      <x:c r="N130" s="84"/>
      <x:c r="O130" s="84"/>
      <x:c r="P130" s="84"/>
      <x:c r="Q130" s="84"/>
      <x:c r="R130" s="84"/>
      <x:c r="S130" s="84"/>
      <x:c r="T130" s="84"/>
      <x:c r="U130" s="84"/>
      <x:c r="V130" s="84"/>
      <x:c r="W130" s="84"/>
      <x:c r="X130" s="84"/>
      <x:c r="Y130" s="84"/>
      <x:c r="Z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  <x:c r="M131" s="84"/>
      <x:c r="N131" s="84"/>
      <x:c r="O131" s="84"/>
      <x:c r="P131" s="84"/>
      <x:c r="Q131" s="84"/>
      <x:c r="R131" s="84"/>
      <x:c r="S131" s="84"/>
      <x:c r="T131" s="84"/>
      <x:c r="U131" s="84"/>
      <x:c r="V131" s="84"/>
      <x:c r="W131" s="84"/>
      <x:c r="X131" s="84"/>
      <x:c r="Y131" s="84"/>
      <x:c r="Z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  <x:c r="M132" s="84"/>
      <x:c r="N132" s="84"/>
      <x:c r="O132" s="84"/>
      <x:c r="P132" s="84"/>
      <x:c r="Q132" s="84"/>
      <x:c r="R132" s="84"/>
      <x:c r="S132" s="84"/>
      <x:c r="T132" s="84"/>
      <x:c r="U132" s="84"/>
      <x:c r="V132" s="84"/>
      <x:c r="W132" s="84"/>
      <x:c r="X132" s="84"/>
      <x:c r="Y132" s="84"/>
      <x:c r="Z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  <x:c r="M133" s="84"/>
      <x:c r="N133" s="84"/>
      <x:c r="O133" s="84"/>
      <x:c r="P133" s="84"/>
      <x:c r="Q133" s="84"/>
      <x:c r="R133" s="84"/>
      <x:c r="S133" s="84"/>
      <x:c r="T133" s="84"/>
      <x:c r="U133" s="84"/>
      <x:c r="V133" s="84"/>
      <x:c r="W133" s="84"/>
      <x:c r="X133" s="84"/>
      <x:c r="Y133" s="84"/>
      <x:c r="Z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  <x:c r="M134" s="84"/>
      <x:c r="N134" s="84"/>
      <x:c r="O134" s="84"/>
      <x:c r="P134" s="84"/>
      <x:c r="Q134" s="84"/>
      <x:c r="R134" s="84"/>
      <x:c r="S134" s="84"/>
      <x:c r="T134" s="84"/>
      <x:c r="U134" s="84"/>
      <x:c r="V134" s="84"/>
      <x:c r="W134" s="84"/>
      <x:c r="X134" s="84"/>
      <x:c r="Y134" s="84"/>
      <x:c r="Z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84"/>
      <x:c r="W135" s="84"/>
      <x:c r="X135" s="84"/>
      <x:c r="Y135" s="84"/>
      <x:c r="Z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  <x:c r="M136" s="84"/>
      <x:c r="N136" s="84"/>
      <x:c r="O136" s="84"/>
      <x:c r="P136" s="84"/>
      <x:c r="Q136" s="84"/>
      <x:c r="R136" s="84"/>
      <x:c r="S136" s="84"/>
      <x:c r="T136" s="84"/>
      <x:c r="U136" s="84"/>
      <x:c r="V136" s="84"/>
      <x:c r="W136" s="84"/>
      <x:c r="X136" s="84"/>
      <x:c r="Y136" s="84"/>
      <x:c r="Z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  <x:c r="M137" s="84"/>
      <x:c r="N137" s="84"/>
      <x:c r="O137" s="84"/>
      <x:c r="P137" s="84"/>
      <x:c r="Q137" s="84"/>
      <x:c r="R137" s="84"/>
      <x:c r="S137" s="84"/>
      <x:c r="T137" s="84"/>
      <x:c r="U137" s="84"/>
      <x:c r="V137" s="84"/>
      <x:c r="W137" s="84"/>
      <x:c r="X137" s="84"/>
      <x:c r="Y137" s="84"/>
      <x:c r="Z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  <x:c r="M138" s="84"/>
      <x:c r="N138" s="84"/>
      <x:c r="O138" s="84"/>
      <x:c r="P138" s="84"/>
      <x:c r="Q138" s="84"/>
      <x:c r="R138" s="84"/>
      <x:c r="S138" s="84"/>
      <x:c r="T138" s="84"/>
      <x:c r="U138" s="84"/>
      <x:c r="V138" s="84"/>
      <x:c r="W138" s="84"/>
      <x:c r="X138" s="84"/>
      <x:c r="Y138" s="84"/>
      <x:c r="Z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  <x:c r="M139" s="84"/>
      <x:c r="N139" s="84"/>
      <x:c r="O139" s="84"/>
      <x:c r="P139" s="84"/>
      <x:c r="Q139" s="84"/>
      <x:c r="R139" s="84"/>
      <x:c r="S139" s="84"/>
      <x:c r="T139" s="84"/>
      <x:c r="U139" s="84"/>
      <x:c r="V139" s="84"/>
      <x:c r="W139" s="84"/>
      <x:c r="X139" s="84"/>
      <x:c r="Y139" s="84"/>
      <x:c r="Z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  <x:c r="M140" s="84"/>
      <x:c r="N140" s="84"/>
      <x:c r="O140" s="84"/>
      <x:c r="P140" s="84"/>
      <x:c r="Q140" s="84"/>
      <x:c r="R140" s="84"/>
      <x:c r="S140" s="84"/>
      <x:c r="T140" s="84"/>
      <x:c r="U140" s="84"/>
      <x:c r="V140" s="84"/>
      <x:c r="W140" s="84"/>
      <x:c r="X140" s="84"/>
      <x:c r="Y140" s="84"/>
      <x:c r="Z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  <x:c r="M141" s="84"/>
      <x:c r="N141" s="84"/>
      <x:c r="O141" s="84"/>
      <x:c r="P141" s="84"/>
      <x:c r="Q141" s="84"/>
      <x:c r="R141" s="84"/>
      <x:c r="S141" s="84"/>
      <x:c r="T141" s="84"/>
      <x:c r="U141" s="84"/>
      <x:c r="V141" s="84"/>
      <x:c r="W141" s="84"/>
      <x:c r="X141" s="84"/>
      <x:c r="Y141" s="84"/>
      <x:c r="Z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  <x:c r="M142" s="84"/>
      <x:c r="N142" s="84"/>
      <x:c r="O142" s="84"/>
      <x:c r="P142" s="84"/>
      <x:c r="Q142" s="84"/>
      <x:c r="R142" s="84"/>
      <x:c r="S142" s="84"/>
      <x:c r="T142" s="84"/>
      <x:c r="U142" s="84"/>
      <x:c r="V142" s="84"/>
      <x:c r="W142" s="84"/>
      <x:c r="X142" s="84"/>
      <x:c r="Y142" s="84"/>
      <x:c r="Z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  <x:c r="M143" s="84"/>
      <x:c r="N143" s="84"/>
      <x:c r="O143" s="84"/>
      <x:c r="P143" s="84"/>
      <x:c r="Q143" s="84"/>
      <x:c r="R143" s="84"/>
      <x:c r="S143" s="84"/>
      <x:c r="T143" s="84"/>
      <x:c r="U143" s="84"/>
      <x:c r="V143" s="84"/>
      <x:c r="W143" s="84"/>
      <x:c r="X143" s="84"/>
      <x:c r="Y143" s="84"/>
      <x:c r="Z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  <x:c r="M144" s="84"/>
      <x:c r="N144" s="84"/>
      <x:c r="O144" s="84"/>
      <x:c r="P144" s="84"/>
      <x:c r="Q144" s="84"/>
      <x:c r="R144" s="84"/>
      <x:c r="S144" s="84"/>
      <x:c r="T144" s="84"/>
      <x:c r="U144" s="84"/>
      <x:c r="V144" s="84"/>
      <x:c r="W144" s="84"/>
      <x:c r="X144" s="84"/>
      <x:c r="Y144" s="84"/>
      <x:c r="Z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  <x:c r="M145" s="84"/>
      <x:c r="N145" s="84"/>
      <x:c r="O145" s="84"/>
      <x:c r="P145" s="84"/>
      <x:c r="Q145" s="84"/>
      <x:c r="R145" s="84"/>
      <x:c r="S145" s="84"/>
      <x:c r="T145" s="84"/>
      <x:c r="U145" s="84"/>
      <x:c r="V145" s="84"/>
      <x:c r="W145" s="84"/>
      <x:c r="X145" s="84"/>
      <x:c r="Y145" s="84"/>
      <x:c r="Z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  <x:c r="M146" s="84"/>
      <x:c r="N146" s="84"/>
      <x:c r="O146" s="84"/>
      <x:c r="P146" s="84"/>
      <x:c r="Q146" s="84"/>
      <x:c r="R146" s="84"/>
      <x:c r="S146" s="84"/>
      <x:c r="T146" s="84"/>
      <x:c r="U146" s="84"/>
      <x:c r="V146" s="84"/>
      <x:c r="W146" s="84"/>
      <x:c r="X146" s="84"/>
      <x:c r="Y146" s="84"/>
      <x:c r="Z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  <x:c r="M147" s="84"/>
      <x:c r="N147" s="84"/>
      <x:c r="O147" s="84"/>
      <x:c r="P147" s="84"/>
      <x:c r="Q147" s="84"/>
      <x:c r="R147" s="84"/>
      <x:c r="S147" s="84"/>
      <x:c r="T147" s="84"/>
      <x:c r="U147" s="84"/>
      <x:c r="V147" s="84"/>
      <x:c r="W147" s="84"/>
      <x:c r="X147" s="84"/>
      <x:c r="Y147" s="84"/>
      <x:c r="Z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  <x:c r="M148" s="84"/>
      <x:c r="N148" s="84"/>
      <x:c r="O148" s="84"/>
      <x:c r="P148" s="84"/>
      <x:c r="Q148" s="84"/>
      <x:c r="R148" s="84"/>
      <x:c r="S148" s="84"/>
      <x:c r="T148" s="84"/>
      <x:c r="U148" s="84"/>
      <x:c r="V148" s="84"/>
      <x:c r="W148" s="84"/>
      <x:c r="X148" s="84"/>
      <x:c r="Y148" s="84"/>
      <x:c r="Z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  <x:c r="M149" s="84"/>
      <x:c r="N149" s="84"/>
      <x:c r="O149" s="84"/>
      <x:c r="P149" s="84"/>
      <x:c r="Q149" s="84"/>
      <x:c r="R149" s="84"/>
      <x:c r="S149" s="84"/>
      <x:c r="T149" s="84"/>
      <x:c r="U149" s="84"/>
      <x:c r="V149" s="84"/>
      <x:c r="W149" s="84"/>
      <x:c r="X149" s="84"/>
      <x:c r="Y149" s="84"/>
      <x:c r="Z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  <x:c r="M150" s="84"/>
      <x:c r="N150" s="84"/>
      <x:c r="O150" s="84"/>
      <x:c r="P150" s="84"/>
      <x:c r="Q150" s="84"/>
      <x:c r="R150" s="84"/>
      <x:c r="S150" s="84"/>
      <x:c r="T150" s="84"/>
      <x:c r="U150" s="84"/>
      <x:c r="V150" s="84"/>
      <x:c r="W150" s="84"/>
      <x:c r="X150" s="84"/>
      <x:c r="Y150" s="84"/>
      <x:c r="Z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84"/>
      <x:c r="U151" s="84"/>
      <x:c r="V151" s="84"/>
      <x:c r="W151" s="84"/>
      <x:c r="X151" s="84"/>
      <x:c r="Y151" s="84"/>
      <x:c r="Z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84"/>
      <x:c r="U152" s="84"/>
      <x:c r="V152" s="84"/>
      <x:c r="W152" s="84"/>
      <x:c r="X152" s="84"/>
      <x:c r="Y152" s="84"/>
      <x:c r="Z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84"/>
      <x:c r="U153" s="84"/>
      <x:c r="V153" s="84"/>
      <x:c r="W153" s="84"/>
      <x:c r="X153" s="84"/>
      <x:c r="Y153" s="84"/>
      <x:c r="Z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84"/>
      <x:c r="U154" s="84"/>
      <x:c r="V154" s="84"/>
      <x:c r="W154" s="84"/>
      <x:c r="X154" s="84"/>
      <x:c r="Y154" s="84"/>
      <x:c r="Z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84"/>
      <x:c r="U155" s="84"/>
      <x:c r="V155" s="84"/>
      <x:c r="W155" s="84"/>
      <x:c r="X155" s="84"/>
      <x:c r="Y155" s="84"/>
      <x:c r="Z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84"/>
      <x:c r="W156" s="84"/>
      <x:c r="X156" s="84"/>
      <x:c r="Y156" s="84"/>
      <x:c r="Z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84"/>
      <x:c r="U157" s="84"/>
      <x:c r="V157" s="84"/>
      <x:c r="W157" s="84"/>
      <x:c r="X157" s="84"/>
      <x:c r="Y157" s="84"/>
      <x:c r="Z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84"/>
      <x:c r="U158" s="84"/>
      <x:c r="V158" s="84"/>
      <x:c r="W158" s="84"/>
      <x:c r="X158" s="84"/>
      <x:c r="Y158" s="84"/>
      <x:c r="Z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84"/>
      <x:c r="U159" s="84"/>
      <x:c r="V159" s="84"/>
      <x:c r="W159" s="84"/>
      <x:c r="X159" s="84"/>
      <x:c r="Y159" s="84"/>
      <x:c r="Z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84"/>
      <x:c r="U160" s="84"/>
      <x:c r="V160" s="84"/>
      <x:c r="W160" s="84"/>
      <x:c r="X160" s="84"/>
      <x:c r="Y160" s="84"/>
      <x:c r="Z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84"/>
      <x:c r="U161" s="84"/>
      <x:c r="V161" s="84"/>
      <x:c r="W161" s="84"/>
      <x:c r="X161" s="84"/>
      <x:c r="Y161" s="84"/>
      <x:c r="Z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84"/>
      <x:c r="U162" s="84"/>
      <x:c r="V162" s="84"/>
      <x:c r="W162" s="84"/>
      <x:c r="X162" s="84"/>
      <x:c r="Y162" s="84"/>
      <x:c r="Z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84"/>
      <x:c r="U164" s="84"/>
      <x:c r="V164" s="84"/>
      <x:c r="W164" s="84"/>
      <x:c r="X164" s="84"/>
      <x:c r="Y164" s="84"/>
      <x:c r="Z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84"/>
      <x:c r="U165" s="84"/>
      <x:c r="V165" s="84"/>
      <x:c r="W165" s="84"/>
      <x:c r="X165" s="84"/>
      <x:c r="Y165" s="84"/>
      <x:c r="Z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84"/>
      <x:c r="U166" s="84"/>
      <x:c r="V166" s="84"/>
      <x:c r="W166" s="84"/>
      <x:c r="X166" s="84"/>
      <x:c r="Y166" s="84"/>
      <x:c r="Z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84"/>
      <x:c r="U167" s="84"/>
      <x:c r="V167" s="84"/>
      <x:c r="W167" s="84"/>
      <x:c r="X167" s="84"/>
      <x:c r="Y167" s="84"/>
      <x:c r="Z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84"/>
      <x:c r="U168" s="84"/>
      <x:c r="V168" s="84"/>
      <x:c r="W168" s="84"/>
      <x:c r="X168" s="84"/>
      <x:c r="Y168" s="84"/>
      <x:c r="Z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84"/>
      <x:c r="U169" s="84"/>
      <x:c r="V169" s="84"/>
      <x:c r="W169" s="84"/>
      <x:c r="X169" s="84"/>
      <x:c r="Y169" s="84"/>
      <x:c r="Z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84"/>
      <x:c r="U170" s="84"/>
      <x:c r="V170" s="84"/>
      <x:c r="W170" s="84"/>
      <x:c r="X170" s="84"/>
      <x:c r="Y170" s="84"/>
      <x:c r="Z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84"/>
      <x:c r="U171" s="84"/>
      <x:c r="V171" s="84"/>
      <x:c r="W171" s="84"/>
      <x:c r="X171" s="84"/>
      <x:c r="Y171" s="84"/>
      <x:c r="Z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84"/>
      <x:c r="U172" s="84"/>
      <x:c r="V172" s="84"/>
      <x:c r="W172" s="84"/>
      <x:c r="X172" s="84"/>
      <x:c r="Y172" s="84"/>
      <x:c r="Z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84"/>
      <x:c r="U173" s="84"/>
      <x:c r="V173" s="84"/>
      <x:c r="W173" s="84"/>
      <x:c r="X173" s="84"/>
      <x:c r="Y173" s="84"/>
      <x:c r="Z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84"/>
      <x:c r="U174" s="84"/>
      <x:c r="V174" s="84"/>
      <x:c r="W174" s="84"/>
      <x:c r="X174" s="84"/>
      <x:c r="Y174" s="84"/>
      <x:c r="Z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84"/>
      <x:c r="U175" s="84"/>
      <x:c r="V175" s="84"/>
      <x:c r="W175" s="84"/>
      <x:c r="X175" s="84"/>
      <x:c r="Y175" s="84"/>
      <x:c r="Z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84"/>
      <x:c r="U176" s="84"/>
      <x:c r="V176" s="84"/>
      <x:c r="W176" s="84"/>
      <x:c r="X176" s="84"/>
      <x:c r="Y176" s="84"/>
      <x:c r="Z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84"/>
      <x:c r="U177" s="84"/>
      <x:c r="V177" s="84"/>
      <x:c r="W177" s="84"/>
      <x:c r="X177" s="84"/>
      <x:c r="Y177" s="84"/>
      <x:c r="Z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84"/>
      <x:c r="U178" s="84"/>
      <x:c r="V178" s="84"/>
      <x:c r="W178" s="84"/>
      <x:c r="X178" s="84"/>
      <x:c r="Y178" s="84"/>
      <x:c r="Z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84"/>
      <x:c r="U179" s="84"/>
      <x:c r="V179" s="84"/>
      <x:c r="W179" s="84"/>
      <x:c r="X179" s="84"/>
      <x:c r="Y179" s="84"/>
      <x:c r="Z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84"/>
      <x:c r="W180" s="84"/>
      <x:c r="X180" s="84"/>
      <x:c r="Y180" s="84"/>
      <x:c r="Z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84"/>
      <x:c r="U181" s="84"/>
      <x:c r="V181" s="84"/>
      <x:c r="W181" s="84"/>
      <x:c r="X181" s="84"/>
      <x:c r="Y181" s="84"/>
      <x:c r="Z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84"/>
      <x:c r="U182" s="84"/>
      <x:c r="V182" s="84"/>
      <x:c r="W182" s="84"/>
      <x:c r="X182" s="84"/>
      <x:c r="Y182" s="84"/>
      <x:c r="Z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84"/>
      <x:c r="U183" s="84"/>
      <x:c r="V183" s="84"/>
      <x:c r="W183" s="84"/>
      <x:c r="X183" s="84"/>
      <x:c r="Y183" s="84"/>
      <x:c r="Z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84"/>
      <x:c r="U184" s="84"/>
      <x:c r="V184" s="84"/>
      <x:c r="W184" s="84"/>
      <x:c r="X184" s="84"/>
      <x:c r="Y184" s="84"/>
      <x:c r="Z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84"/>
      <x:c r="U185" s="84"/>
      <x:c r="V185" s="84"/>
      <x:c r="W185" s="84"/>
      <x:c r="X185" s="84"/>
      <x:c r="Y185" s="84"/>
      <x:c r="Z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84"/>
      <x:c r="U186" s="84"/>
      <x:c r="V186" s="84"/>
      <x:c r="W186" s="84"/>
      <x:c r="X186" s="84"/>
      <x:c r="Y186" s="84"/>
      <x:c r="Z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84"/>
      <x:c r="U187" s="84"/>
      <x:c r="V187" s="84"/>
      <x:c r="W187" s="84"/>
      <x:c r="X187" s="84"/>
      <x:c r="Y187" s="84"/>
      <x:c r="Z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84"/>
      <x:c r="U188" s="84"/>
      <x:c r="V188" s="84"/>
      <x:c r="W188" s="84"/>
      <x:c r="X188" s="84"/>
      <x:c r="Y188" s="84"/>
      <x:c r="Z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84"/>
      <x:c r="U189" s="84"/>
      <x:c r="V189" s="84"/>
      <x:c r="W189" s="84"/>
      <x:c r="X189" s="84"/>
      <x:c r="Y189" s="84"/>
      <x:c r="Z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84"/>
      <x:c r="U190" s="84"/>
      <x:c r="V190" s="84"/>
      <x:c r="W190" s="84"/>
      <x:c r="X190" s="84"/>
      <x:c r="Y190" s="84"/>
      <x:c r="Z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84"/>
      <x:c r="U191" s="84"/>
      <x:c r="V191" s="84"/>
      <x:c r="W191" s="84"/>
      <x:c r="X191" s="84"/>
      <x:c r="Y191" s="84"/>
      <x:c r="Z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84"/>
      <x:c r="U192" s="84"/>
      <x:c r="V192" s="84"/>
      <x:c r="W192" s="84"/>
      <x:c r="X192" s="84"/>
      <x:c r="Y192" s="84"/>
      <x:c r="Z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84"/>
      <x:c r="U193" s="84"/>
      <x:c r="V193" s="84"/>
      <x:c r="W193" s="84"/>
      <x:c r="X193" s="84"/>
      <x:c r="Y193" s="84"/>
      <x:c r="Z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84"/>
      <x:c r="U194" s="84"/>
      <x:c r="V194" s="84"/>
      <x:c r="W194" s="84"/>
      <x:c r="X194" s="84"/>
      <x:c r="Y194" s="84"/>
      <x:c r="Z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84"/>
      <x:c r="U195" s="84"/>
      <x:c r="V195" s="84"/>
      <x:c r="W195" s="84"/>
      <x:c r="X195" s="84"/>
      <x:c r="Y195" s="84"/>
      <x:c r="Z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84"/>
      <x:c r="U196" s="84"/>
      <x:c r="V196" s="84"/>
      <x:c r="W196" s="84"/>
      <x:c r="X196" s="84"/>
      <x:c r="Y196" s="84"/>
      <x:c r="Z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84"/>
      <x:c r="U197" s="84"/>
      <x:c r="V197" s="84"/>
      <x:c r="W197" s="84"/>
      <x:c r="X197" s="84"/>
      <x:c r="Y197" s="84"/>
      <x:c r="Z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84"/>
      <x:c r="U198" s="84"/>
      <x:c r="V198" s="84"/>
      <x:c r="W198" s="84"/>
      <x:c r="X198" s="84"/>
      <x:c r="Y198" s="84"/>
      <x:c r="Z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84"/>
      <x:c r="U199" s="84"/>
      <x:c r="V199" s="84"/>
      <x:c r="W199" s="84"/>
      <x:c r="X199" s="84"/>
      <x:c r="Y199" s="84"/>
      <x:c r="Z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84"/>
      <x:c r="U200" s="84"/>
      <x:c r="V200" s="84"/>
      <x:c r="W200" s="84"/>
      <x:c r="X200" s="84"/>
      <x:c r="Y200" s="84"/>
      <x:c r="Z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84"/>
      <x:c r="U201" s="84"/>
      <x:c r="V201" s="84"/>
      <x:c r="W201" s="84"/>
      <x:c r="X201" s="84"/>
      <x:c r="Y201" s="84"/>
      <x:c r="Z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84"/>
      <x:c r="U202" s="84"/>
      <x:c r="V202" s="84"/>
      <x:c r="W202" s="84"/>
      <x:c r="X202" s="84"/>
      <x:c r="Y202" s="84"/>
      <x:c r="Z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84"/>
      <x:c r="U203" s="84"/>
      <x:c r="V203" s="84"/>
      <x:c r="W203" s="84"/>
      <x:c r="X203" s="84"/>
      <x:c r="Y203" s="84"/>
      <x:c r="Z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84"/>
      <x:c r="U204" s="84"/>
      <x:c r="V204" s="84"/>
      <x:c r="W204" s="84"/>
      <x:c r="X204" s="84"/>
      <x:c r="Y204" s="84"/>
      <x:c r="Z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  <x:c r="M205" s="84"/>
      <x:c r="N205" s="84"/>
      <x:c r="O205" s="84"/>
      <x:c r="P205" s="84"/>
      <x:c r="Q205" s="84"/>
      <x:c r="R205" s="84"/>
      <x:c r="S205" s="84"/>
      <x:c r="T205" s="84"/>
      <x:c r="U205" s="84"/>
      <x:c r="V205" s="84"/>
      <x:c r="W205" s="84"/>
      <x:c r="X205" s="84"/>
      <x:c r="Y205" s="84"/>
      <x:c r="Z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  <x:c r="M206" s="84"/>
      <x:c r="N206" s="84"/>
      <x:c r="O206" s="84"/>
      <x:c r="P206" s="84"/>
      <x:c r="Q206" s="84"/>
      <x:c r="R206" s="84"/>
      <x:c r="S206" s="84"/>
      <x:c r="T206" s="84"/>
      <x:c r="U206" s="84"/>
      <x:c r="V206" s="84"/>
      <x:c r="W206" s="84"/>
      <x:c r="X206" s="84"/>
      <x:c r="Y206" s="84"/>
      <x:c r="Z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  <x:c r="M207" s="84"/>
      <x:c r="N207" s="84"/>
      <x:c r="O207" s="84"/>
      <x:c r="P207" s="84"/>
      <x:c r="Q207" s="84"/>
      <x:c r="R207" s="84"/>
      <x:c r="S207" s="84"/>
      <x:c r="T207" s="84"/>
      <x:c r="U207" s="84"/>
      <x:c r="V207" s="84"/>
      <x:c r="W207" s="84"/>
      <x:c r="X207" s="84"/>
      <x:c r="Y207" s="84"/>
      <x:c r="Z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  <x:c r="M208" s="84"/>
      <x:c r="N208" s="84"/>
      <x:c r="O208" s="84"/>
      <x:c r="P208" s="84"/>
      <x:c r="Q208" s="84"/>
      <x:c r="R208" s="84"/>
      <x:c r="S208" s="84"/>
      <x:c r="T208" s="84"/>
      <x:c r="U208" s="84"/>
      <x:c r="V208" s="84"/>
      <x:c r="W208" s="84"/>
      <x:c r="X208" s="84"/>
      <x:c r="Y208" s="84"/>
      <x:c r="Z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  <x:c r="M209" s="84"/>
      <x:c r="N209" s="84"/>
      <x:c r="O209" s="84"/>
      <x:c r="P209" s="84"/>
      <x:c r="Q209" s="84"/>
      <x:c r="R209" s="84"/>
      <x:c r="S209" s="84"/>
      <x:c r="T209" s="84"/>
      <x:c r="U209" s="84"/>
      <x:c r="V209" s="84"/>
      <x:c r="W209" s="84"/>
      <x:c r="X209" s="84"/>
      <x:c r="Y209" s="84"/>
      <x:c r="Z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  <x:c r="M210" s="84"/>
      <x:c r="N210" s="84"/>
      <x:c r="O210" s="84"/>
      <x:c r="P210" s="84"/>
      <x:c r="Q210" s="84"/>
      <x:c r="R210" s="84"/>
      <x:c r="S210" s="84"/>
      <x:c r="T210" s="84"/>
      <x:c r="U210" s="84"/>
      <x:c r="V210" s="84"/>
      <x:c r="W210" s="84"/>
      <x:c r="X210" s="84"/>
      <x:c r="Y210" s="84"/>
      <x:c r="Z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  <x:c r="M211" s="84"/>
      <x:c r="N211" s="84"/>
      <x:c r="O211" s="84"/>
      <x:c r="P211" s="84"/>
      <x:c r="Q211" s="84"/>
      <x:c r="R211" s="84"/>
      <x:c r="S211" s="84"/>
      <x:c r="T211" s="84"/>
      <x:c r="U211" s="84"/>
      <x:c r="V211" s="84"/>
      <x:c r="W211" s="84"/>
      <x:c r="X211" s="84"/>
      <x:c r="Y211" s="84"/>
      <x:c r="Z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  <x:c r="M212" s="84"/>
      <x:c r="N212" s="84"/>
      <x:c r="O212" s="84"/>
      <x:c r="P212" s="84"/>
      <x:c r="Q212" s="84"/>
      <x:c r="R212" s="84"/>
      <x:c r="S212" s="84"/>
      <x:c r="T212" s="84"/>
      <x:c r="U212" s="84"/>
      <x:c r="V212" s="84"/>
      <x:c r="W212" s="84"/>
      <x:c r="X212" s="84"/>
      <x:c r="Y212" s="84"/>
      <x:c r="Z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  <x:c r="M213" s="84"/>
      <x:c r="N213" s="84"/>
      <x:c r="O213" s="84"/>
      <x:c r="P213" s="84"/>
      <x:c r="Q213" s="84"/>
      <x:c r="R213" s="84"/>
      <x:c r="S213" s="84"/>
      <x:c r="T213" s="84"/>
      <x:c r="U213" s="84"/>
      <x:c r="V213" s="84"/>
      <x:c r="W213" s="84"/>
      <x:c r="X213" s="84"/>
      <x:c r="Y213" s="84"/>
      <x:c r="Z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  <x:c r="M214" s="84"/>
      <x:c r="N214" s="84"/>
      <x:c r="O214" s="84"/>
      <x:c r="P214" s="84"/>
      <x:c r="Q214" s="84"/>
      <x:c r="R214" s="84"/>
      <x:c r="S214" s="84"/>
      <x:c r="T214" s="84"/>
      <x:c r="U214" s="84"/>
      <x:c r="V214" s="84"/>
      <x:c r="W214" s="84"/>
      <x:c r="X214" s="84"/>
      <x:c r="Y214" s="84"/>
      <x:c r="Z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  <x:c r="M215" s="84"/>
      <x:c r="N215" s="84"/>
      <x:c r="O215" s="84"/>
      <x:c r="P215" s="84"/>
      <x:c r="Q215" s="84"/>
      <x:c r="R215" s="84"/>
      <x:c r="S215" s="84"/>
      <x:c r="T215" s="84"/>
      <x:c r="U215" s="84"/>
      <x:c r="V215" s="84"/>
      <x:c r="W215" s="84"/>
      <x:c r="X215" s="84"/>
      <x:c r="Y215" s="84"/>
      <x:c r="Z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  <x:c r="M216" s="84"/>
      <x:c r="N216" s="84"/>
      <x:c r="O216" s="84"/>
      <x:c r="P216" s="84"/>
      <x:c r="Q216" s="84"/>
      <x:c r="R216" s="84"/>
      <x:c r="S216" s="84"/>
      <x:c r="T216" s="84"/>
      <x:c r="U216" s="84"/>
      <x:c r="V216" s="84"/>
      <x:c r="W216" s="84"/>
      <x:c r="X216" s="84"/>
      <x:c r="Y216" s="84"/>
      <x:c r="Z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  <x:c r="M217" s="84"/>
      <x:c r="N217" s="84"/>
      <x:c r="O217" s="84"/>
      <x:c r="P217" s="84"/>
      <x:c r="Q217" s="84"/>
      <x:c r="R217" s="84"/>
      <x:c r="S217" s="84"/>
      <x:c r="T217" s="84"/>
      <x:c r="U217" s="84"/>
      <x:c r="V217" s="84"/>
      <x:c r="W217" s="84"/>
      <x:c r="X217" s="84"/>
      <x:c r="Y217" s="84"/>
      <x:c r="Z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  <x:c r="M218" s="84"/>
      <x:c r="N218" s="84"/>
      <x:c r="O218" s="84"/>
      <x:c r="P218" s="84"/>
      <x:c r="Q218" s="84"/>
      <x:c r="R218" s="84"/>
      <x:c r="S218" s="84"/>
      <x:c r="T218" s="84"/>
      <x:c r="U218" s="84"/>
      <x:c r="V218" s="84"/>
      <x:c r="W218" s="84"/>
      <x:c r="X218" s="84"/>
      <x:c r="Y218" s="84"/>
      <x:c r="Z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  <x:c r="M219" s="84"/>
      <x:c r="N219" s="84"/>
      <x:c r="O219" s="84"/>
      <x:c r="P219" s="84"/>
      <x:c r="Q219" s="84"/>
      <x:c r="R219" s="84"/>
      <x:c r="S219" s="84"/>
      <x:c r="T219" s="84"/>
      <x:c r="U219" s="84"/>
      <x:c r="V219" s="84"/>
      <x:c r="W219" s="84"/>
      <x:c r="X219" s="84"/>
      <x:c r="Y219" s="84"/>
      <x:c r="Z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  <x:c r="M220" s="84"/>
      <x:c r="N220" s="84"/>
      <x:c r="O220" s="84"/>
      <x:c r="P220" s="84"/>
      <x:c r="Q220" s="84"/>
      <x:c r="R220" s="84"/>
      <x:c r="S220" s="84"/>
      <x:c r="T220" s="84"/>
      <x:c r="U220" s="84"/>
      <x:c r="V220" s="84"/>
      <x:c r="W220" s="84"/>
      <x:c r="X220" s="84"/>
      <x:c r="Y220" s="84"/>
      <x:c r="Z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  <x:c r="M221" s="84"/>
      <x:c r="N221" s="84"/>
      <x:c r="O221" s="84"/>
      <x:c r="P221" s="84"/>
      <x:c r="Q221" s="84"/>
      <x:c r="R221" s="84"/>
      <x:c r="S221" s="84"/>
      <x:c r="T221" s="84"/>
      <x:c r="U221" s="84"/>
      <x:c r="V221" s="84"/>
      <x:c r="W221" s="84"/>
      <x:c r="X221" s="84"/>
      <x:c r="Y221" s="84"/>
      <x:c r="Z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  <x:c r="M222" s="84"/>
      <x:c r="N222" s="84"/>
      <x:c r="O222" s="84"/>
      <x:c r="P222" s="84"/>
      <x:c r="Q222" s="84"/>
      <x:c r="R222" s="84"/>
      <x:c r="S222" s="84"/>
      <x:c r="T222" s="84"/>
      <x:c r="U222" s="84"/>
      <x:c r="V222" s="84"/>
      <x:c r="W222" s="84"/>
      <x:c r="X222" s="84"/>
      <x:c r="Y222" s="84"/>
      <x:c r="Z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  <x:c r="M223" s="84"/>
      <x:c r="N223" s="84"/>
      <x:c r="O223" s="84"/>
      <x:c r="P223" s="84"/>
      <x:c r="Q223" s="84"/>
      <x:c r="R223" s="84"/>
      <x:c r="S223" s="84"/>
      <x:c r="T223" s="84"/>
      <x:c r="U223" s="84"/>
      <x:c r="V223" s="84"/>
      <x:c r="W223" s="84"/>
      <x:c r="X223" s="84"/>
      <x:c r="Y223" s="84"/>
      <x:c r="Z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  <x:c r="M224" s="84"/>
      <x:c r="N224" s="84"/>
      <x:c r="O224" s="84"/>
      <x:c r="P224" s="84"/>
      <x:c r="Q224" s="84"/>
      <x:c r="R224" s="84"/>
      <x:c r="S224" s="84"/>
      <x:c r="T224" s="84"/>
      <x:c r="U224" s="84"/>
      <x:c r="V224" s="84"/>
      <x:c r="W224" s="84"/>
      <x:c r="X224" s="84"/>
      <x:c r="Y224" s="84"/>
      <x:c r="Z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  <x:c r="M225" s="84"/>
      <x:c r="N225" s="84"/>
      <x:c r="O225" s="84"/>
      <x:c r="P225" s="84"/>
      <x:c r="Q225" s="84"/>
      <x:c r="R225" s="84"/>
      <x:c r="S225" s="84"/>
      <x:c r="T225" s="84"/>
      <x:c r="U225" s="84"/>
      <x:c r="V225" s="84"/>
      <x:c r="W225" s="84"/>
      <x:c r="X225" s="84"/>
      <x:c r="Y225" s="84"/>
      <x:c r="Z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  <x:c r="M226" s="84"/>
      <x:c r="N226" s="84"/>
      <x:c r="O226" s="84"/>
      <x:c r="P226" s="84"/>
      <x:c r="Q226" s="84"/>
      <x:c r="R226" s="84"/>
      <x:c r="S226" s="84"/>
      <x:c r="T226" s="84"/>
      <x:c r="U226" s="84"/>
      <x:c r="V226" s="84"/>
      <x:c r="W226" s="84"/>
      <x:c r="X226" s="84"/>
      <x:c r="Y226" s="84"/>
      <x:c r="Z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  <x:c r="M227" s="84"/>
      <x:c r="N227" s="84"/>
      <x:c r="O227" s="84"/>
      <x:c r="P227" s="84"/>
      <x:c r="Q227" s="84"/>
      <x:c r="R227" s="84"/>
      <x:c r="S227" s="84"/>
      <x:c r="T227" s="84"/>
      <x:c r="U227" s="84"/>
      <x:c r="V227" s="84"/>
      <x:c r="W227" s="84"/>
      <x:c r="X227" s="84"/>
      <x:c r="Y227" s="84"/>
      <x:c r="Z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  <x:c r="M228" s="84"/>
      <x:c r="N228" s="84"/>
      <x:c r="O228" s="84"/>
      <x:c r="P228" s="84"/>
      <x:c r="Q228" s="84"/>
      <x:c r="R228" s="84"/>
      <x:c r="S228" s="84"/>
      <x:c r="T228" s="84"/>
      <x:c r="U228" s="84"/>
      <x:c r="V228" s="84"/>
      <x:c r="W228" s="84"/>
      <x:c r="X228" s="84"/>
      <x:c r="Y228" s="84"/>
      <x:c r="Z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  <x:c r="M229" s="84"/>
      <x:c r="N229" s="84"/>
      <x:c r="O229" s="84"/>
      <x:c r="P229" s="84"/>
      <x:c r="Q229" s="84"/>
      <x:c r="R229" s="84"/>
      <x:c r="S229" s="84"/>
      <x:c r="T229" s="84"/>
      <x:c r="U229" s="84"/>
      <x:c r="V229" s="84"/>
      <x:c r="W229" s="84"/>
      <x:c r="X229" s="84"/>
      <x:c r="Y229" s="84"/>
      <x:c r="Z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  <x:c r="M230" s="84"/>
      <x:c r="N230" s="84"/>
      <x:c r="O230" s="84"/>
      <x:c r="P230" s="84"/>
      <x:c r="Q230" s="84"/>
      <x:c r="R230" s="84"/>
      <x:c r="S230" s="84"/>
      <x:c r="T230" s="84"/>
      <x:c r="U230" s="84"/>
      <x:c r="V230" s="84"/>
      <x:c r="W230" s="84"/>
      <x:c r="X230" s="84"/>
      <x:c r="Y230" s="84"/>
      <x:c r="Z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  <x:c r="M231" s="84"/>
      <x:c r="N231" s="84"/>
      <x:c r="O231" s="84"/>
      <x:c r="P231" s="84"/>
      <x:c r="Q231" s="84"/>
      <x:c r="R231" s="84"/>
      <x:c r="S231" s="84"/>
      <x:c r="T231" s="84"/>
      <x:c r="U231" s="84"/>
      <x:c r="V231" s="84"/>
      <x:c r="W231" s="84"/>
      <x:c r="X231" s="84"/>
      <x:c r="Y231" s="84"/>
      <x:c r="Z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  <x:c r="M232" s="84"/>
      <x:c r="N232" s="84"/>
      <x:c r="O232" s="84"/>
      <x:c r="P232" s="84"/>
      <x:c r="Q232" s="84"/>
      <x:c r="R232" s="84"/>
      <x:c r="S232" s="84"/>
      <x:c r="T232" s="84"/>
      <x:c r="U232" s="84"/>
      <x:c r="V232" s="84"/>
      <x:c r="W232" s="84"/>
      <x:c r="X232" s="84"/>
      <x:c r="Y232" s="84"/>
      <x:c r="Z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  <x:c r="M233" s="84"/>
      <x:c r="N233" s="84"/>
      <x:c r="O233" s="84"/>
      <x:c r="P233" s="84"/>
      <x:c r="Q233" s="84"/>
      <x:c r="R233" s="84"/>
      <x:c r="S233" s="84"/>
      <x:c r="T233" s="84"/>
      <x:c r="U233" s="84"/>
      <x:c r="V233" s="84"/>
      <x:c r="W233" s="84"/>
      <x:c r="X233" s="84"/>
      <x:c r="Y233" s="84"/>
      <x:c r="Z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  <x:c r="M234" s="84"/>
      <x:c r="N234" s="84"/>
      <x:c r="O234" s="84"/>
      <x:c r="P234" s="84"/>
      <x:c r="Q234" s="84"/>
      <x:c r="R234" s="84"/>
      <x:c r="S234" s="84"/>
      <x:c r="T234" s="84"/>
      <x:c r="U234" s="84"/>
      <x:c r="V234" s="84"/>
      <x:c r="W234" s="84"/>
      <x:c r="X234" s="84"/>
      <x:c r="Y234" s="84"/>
      <x:c r="Z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  <x:c r="M235" s="84"/>
      <x:c r="N235" s="84"/>
      <x:c r="O235" s="84"/>
      <x:c r="P235" s="84"/>
      <x:c r="Q235" s="84"/>
      <x:c r="R235" s="84"/>
      <x:c r="S235" s="84"/>
      <x:c r="T235" s="84"/>
      <x:c r="U235" s="84"/>
      <x:c r="V235" s="84"/>
      <x:c r="W235" s="84"/>
      <x:c r="X235" s="84"/>
      <x:c r="Y235" s="84"/>
      <x:c r="Z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  <x:c r="M236" s="84"/>
      <x:c r="N236" s="84"/>
      <x:c r="O236" s="84"/>
      <x:c r="P236" s="84"/>
      <x:c r="Q236" s="84"/>
      <x:c r="R236" s="84"/>
      <x:c r="S236" s="84"/>
      <x:c r="T236" s="84"/>
      <x:c r="U236" s="84"/>
      <x:c r="V236" s="84"/>
      <x:c r="W236" s="84"/>
      <x:c r="X236" s="84"/>
      <x:c r="Y236" s="84"/>
      <x:c r="Z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  <x:c r="M237" s="84"/>
      <x:c r="N237" s="84"/>
      <x:c r="O237" s="84"/>
      <x:c r="P237" s="84"/>
      <x:c r="Q237" s="84"/>
      <x:c r="R237" s="84"/>
      <x:c r="S237" s="84"/>
      <x:c r="T237" s="84"/>
      <x:c r="U237" s="84"/>
      <x:c r="V237" s="84"/>
      <x:c r="W237" s="84"/>
      <x:c r="X237" s="84"/>
      <x:c r="Y237" s="84"/>
      <x:c r="Z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  <x:c r="M238" s="84"/>
      <x:c r="N238" s="84"/>
      <x:c r="O238" s="84"/>
      <x:c r="P238" s="84"/>
      <x:c r="Q238" s="84"/>
      <x:c r="R238" s="84"/>
      <x:c r="S238" s="84"/>
      <x:c r="T238" s="84"/>
      <x:c r="U238" s="84"/>
      <x:c r="V238" s="84"/>
      <x:c r="W238" s="84"/>
      <x:c r="X238" s="84"/>
      <x:c r="Y238" s="84"/>
      <x:c r="Z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  <x:c r="M239" s="84"/>
      <x:c r="N239" s="84"/>
      <x:c r="O239" s="84"/>
      <x:c r="P239" s="84"/>
      <x:c r="Q239" s="84"/>
      <x:c r="R239" s="84"/>
      <x:c r="S239" s="84"/>
      <x:c r="T239" s="84"/>
      <x:c r="U239" s="84"/>
      <x:c r="V239" s="84"/>
      <x:c r="W239" s="84"/>
      <x:c r="X239" s="84"/>
      <x:c r="Y239" s="84"/>
      <x:c r="Z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  <x:c r="M240" s="84"/>
      <x:c r="N240" s="84"/>
      <x:c r="O240" s="84"/>
      <x:c r="P240" s="84"/>
      <x:c r="Q240" s="84"/>
      <x:c r="R240" s="84"/>
      <x:c r="S240" s="84"/>
      <x:c r="T240" s="84"/>
      <x:c r="U240" s="84"/>
      <x:c r="V240" s="84"/>
      <x:c r="W240" s="84"/>
      <x:c r="X240" s="84"/>
      <x:c r="Y240" s="84"/>
      <x:c r="Z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  <x:c r="M241" s="84"/>
      <x:c r="N241" s="84"/>
      <x:c r="O241" s="84"/>
      <x:c r="P241" s="84"/>
      <x:c r="Q241" s="84"/>
      <x:c r="R241" s="84"/>
      <x:c r="S241" s="84"/>
      <x:c r="T241" s="84"/>
      <x:c r="U241" s="84"/>
      <x:c r="V241" s="84"/>
      <x:c r="W241" s="84"/>
      <x:c r="X241" s="84"/>
      <x:c r="Y241" s="84"/>
      <x:c r="Z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  <x:c r="M242" s="84"/>
      <x:c r="N242" s="84"/>
      <x:c r="O242" s="84"/>
      <x:c r="P242" s="84"/>
      <x:c r="Q242" s="84"/>
      <x:c r="R242" s="84"/>
      <x:c r="S242" s="84"/>
      <x:c r="T242" s="84"/>
      <x:c r="U242" s="84"/>
      <x:c r="V242" s="84"/>
      <x:c r="W242" s="84"/>
      <x:c r="X242" s="84"/>
      <x:c r="Y242" s="84"/>
      <x:c r="Z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  <x:c r="M243" s="84"/>
      <x:c r="N243" s="84"/>
      <x:c r="O243" s="84"/>
      <x:c r="P243" s="84"/>
      <x:c r="Q243" s="84"/>
      <x:c r="R243" s="84"/>
      <x:c r="S243" s="84"/>
      <x:c r="T243" s="84"/>
      <x:c r="U243" s="84"/>
      <x:c r="V243" s="84"/>
      <x:c r="W243" s="84"/>
      <x:c r="X243" s="84"/>
      <x:c r="Y243" s="84"/>
      <x:c r="Z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  <x:c r="M244" s="84"/>
      <x:c r="N244" s="84"/>
      <x:c r="O244" s="84"/>
      <x:c r="P244" s="84"/>
      <x:c r="Q244" s="84"/>
      <x:c r="R244" s="84"/>
      <x:c r="S244" s="84"/>
      <x:c r="T244" s="84"/>
      <x:c r="U244" s="84"/>
      <x:c r="V244" s="84"/>
      <x:c r="W244" s="84"/>
      <x:c r="X244" s="84"/>
      <x:c r="Y244" s="84"/>
      <x:c r="Z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  <x:c r="M245" s="84"/>
      <x:c r="N245" s="84"/>
      <x:c r="O245" s="84"/>
      <x:c r="P245" s="84"/>
      <x:c r="Q245" s="84"/>
      <x:c r="R245" s="84"/>
      <x:c r="S245" s="84"/>
      <x:c r="T245" s="84"/>
      <x:c r="U245" s="84"/>
      <x:c r="V245" s="84"/>
      <x:c r="W245" s="84"/>
      <x:c r="X245" s="84"/>
      <x:c r="Y245" s="84"/>
      <x:c r="Z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  <x:c r="M246" s="84"/>
      <x:c r="N246" s="84"/>
      <x:c r="O246" s="84"/>
      <x:c r="P246" s="84"/>
      <x:c r="Q246" s="84"/>
      <x:c r="R246" s="84"/>
      <x:c r="S246" s="84"/>
      <x:c r="T246" s="84"/>
      <x:c r="U246" s="84"/>
      <x:c r="V246" s="84"/>
      <x:c r="W246" s="84"/>
      <x:c r="X246" s="84"/>
      <x:c r="Y246" s="84"/>
      <x:c r="Z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  <x:c r="M247" s="84"/>
      <x:c r="N247" s="84"/>
      <x:c r="O247" s="84"/>
      <x:c r="P247" s="84"/>
      <x:c r="Q247" s="84"/>
      <x:c r="R247" s="84"/>
      <x:c r="S247" s="84"/>
      <x:c r="T247" s="84"/>
      <x:c r="U247" s="84"/>
      <x:c r="V247" s="84"/>
      <x:c r="W247" s="84"/>
      <x:c r="X247" s="84"/>
      <x:c r="Y247" s="84"/>
      <x:c r="Z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  <x:c r="M248" s="84"/>
      <x:c r="N248" s="84"/>
      <x:c r="O248" s="84"/>
      <x:c r="P248" s="84"/>
      <x:c r="Q248" s="84"/>
      <x:c r="R248" s="84"/>
      <x:c r="S248" s="84"/>
      <x:c r="T248" s="84"/>
      <x:c r="U248" s="84"/>
      <x:c r="V248" s="84"/>
      <x:c r="W248" s="84"/>
      <x:c r="X248" s="84"/>
      <x:c r="Y248" s="84"/>
      <x:c r="Z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  <x:c r="M249" s="84"/>
      <x:c r="N249" s="84"/>
      <x:c r="O249" s="84"/>
      <x:c r="P249" s="84"/>
      <x:c r="Q249" s="84"/>
      <x:c r="R249" s="84"/>
      <x:c r="S249" s="84"/>
      <x:c r="T249" s="84"/>
      <x:c r="U249" s="84"/>
      <x:c r="V249" s="84"/>
      <x:c r="W249" s="84"/>
      <x:c r="X249" s="84"/>
      <x:c r="Y249" s="84"/>
      <x:c r="Z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  <x:c r="M250" s="84"/>
      <x:c r="N250" s="84"/>
      <x:c r="O250" s="84"/>
      <x:c r="P250" s="84"/>
      <x:c r="Q250" s="84"/>
      <x:c r="R250" s="84"/>
      <x:c r="S250" s="84"/>
      <x:c r="T250" s="84"/>
      <x:c r="U250" s="84"/>
      <x:c r="V250" s="84"/>
      <x:c r="W250" s="84"/>
      <x:c r="X250" s="84"/>
      <x:c r="Y250" s="84"/>
      <x:c r="Z250" s="84"/>
    </x:row>
    <x:row r="25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4"/>
      <x:c r="K251" s="84"/>
      <x:c r="L251" s="84"/>
      <x:c r="M251" s="84"/>
      <x:c r="N251" s="84"/>
      <x:c r="O251" s="84"/>
      <x:c r="P251" s="84"/>
      <x:c r="Q251" s="84"/>
      <x:c r="R251" s="84"/>
      <x:c r="S251" s="84"/>
      <x:c r="T251" s="84"/>
      <x:c r="U251" s="84"/>
      <x:c r="V251" s="84"/>
      <x:c r="W251" s="84"/>
      <x:c r="X251" s="84"/>
      <x:c r="Y251" s="84"/>
      <x:c r="Z251" s="84"/>
    </x:row>
    <x:row r="252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4"/>
      <x:c r="K252" s="84"/>
      <x:c r="L252" s="84"/>
      <x:c r="M252" s="84"/>
      <x:c r="N252" s="84"/>
      <x:c r="O252" s="84"/>
      <x:c r="P252" s="84"/>
      <x:c r="Q252" s="84"/>
      <x:c r="R252" s="84"/>
      <x:c r="S252" s="84"/>
      <x:c r="T252" s="84"/>
      <x:c r="U252" s="84"/>
      <x:c r="V252" s="84"/>
      <x:c r="W252" s="84"/>
      <x:c r="X252" s="84"/>
      <x:c r="Y252" s="84"/>
      <x:c r="Z252" s="84"/>
    </x:row>
    <x:row r="253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4"/>
      <x:c r="K253" s="84"/>
      <x:c r="L253" s="84"/>
      <x:c r="M253" s="84"/>
      <x:c r="N253" s="84"/>
      <x:c r="O253" s="84"/>
      <x:c r="P253" s="84"/>
      <x:c r="Q253" s="84"/>
      <x:c r="R253" s="84"/>
      <x:c r="S253" s="84"/>
      <x:c r="T253" s="84"/>
      <x:c r="U253" s="84"/>
      <x:c r="V253" s="84"/>
      <x:c r="W253" s="84"/>
      <x:c r="X253" s="84"/>
      <x:c r="Y253" s="84"/>
      <x:c r="Z253" s="84"/>
    </x:row>
    <x:row r="254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4"/>
      <x:c r="K254" s="84"/>
      <x:c r="L254" s="84"/>
      <x:c r="M254" s="84"/>
      <x:c r="N254" s="84"/>
      <x:c r="O254" s="84"/>
      <x:c r="P254" s="84"/>
      <x:c r="Q254" s="84"/>
      <x:c r="R254" s="84"/>
      <x:c r="S254" s="84"/>
      <x:c r="T254" s="84"/>
      <x:c r="U254" s="84"/>
      <x:c r="V254" s="84"/>
      <x:c r="W254" s="84"/>
      <x:c r="X254" s="84"/>
      <x:c r="Y254" s="84"/>
      <x:c r="Z254" s="84"/>
    </x:row>
    <x:row r="255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4"/>
      <x:c r="K255" s="84"/>
      <x:c r="L255" s="84"/>
      <x:c r="M255" s="84"/>
      <x:c r="N255" s="84"/>
      <x:c r="O255" s="84"/>
      <x:c r="P255" s="84"/>
      <x:c r="Q255" s="84"/>
      <x:c r="R255" s="84"/>
      <x:c r="S255" s="84"/>
      <x:c r="T255" s="84"/>
      <x:c r="U255" s="84"/>
      <x:c r="V255" s="84"/>
      <x:c r="W255" s="84"/>
      <x:c r="X255" s="84"/>
      <x:c r="Y255" s="84"/>
      <x:c r="Z255" s="84"/>
    </x:row>
    <x:row r="256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4"/>
      <x:c r="K256" s="84"/>
      <x:c r="L256" s="84"/>
      <x:c r="M256" s="84"/>
      <x:c r="N256" s="84"/>
      <x:c r="O256" s="84"/>
      <x:c r="P256" s="84"/>
      <x:c r="Q256" s="84"/>
      <x:c r="R256" s="84"/>
      <x:c r="S256" s="84"/>
      <x:c r="T256" s="84"/>
      <x:c r="U256" s="84"/>
      <x:c r="V256" s="84"/>
      <x:c r="W256" s="84"/>
      <x:c r="X256" s="84"/>
      <x:c r="Y256" s="84"/>
      <x:c r="Z256" s="84"/>
    </x:row>
    <x:row r="257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4"/>
      <x:c r="K257" s="84"/>
      <x:c r="L257" s="84"/>
      <x:c r="M257" s="84"/>
      <x:c r="N257" s="84"/>
      <x:c r="O257" s="84"/>
      <x:c r="P257" s="84"/>
      <x:c r="Q257" s="84"/>
      <x:c r="R257" s="84"/>
      <x:c r="S257" s="84"/>
      <x:c r="T257" s="84"/>
      <x:c r="U257" s="84"/>
      <x:c r="V257" s="84"/>
      <x:c r="W257" s="84"/>
      <x:c r="X257" s="84"/>
      <x:c r="Y257" s="84"/>
      <x:c r="Z257" s="84"/>
    </x:row>
    <x:row r="258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4"/>
      <x:c r="K258" s="84"/>
      <x:c r="L258" s="84"/>
      <x:c r="M258" s="84"/>
      <x:c r="N258" s="84"/>
      <x:c r="O258" s="84"/>
      <x:c r="P258" s="84"/>
      <x:c r="Q258" s="84"/>
      <x:c r="R258" s="84"/>
      <x:c r="S258" s="84"/>
      <x:c r="T258" s="84"/>
      <x:c r="U258" s="84"/>
      <x:c r="V258" s="84"/>
      <x:c r="W258" s="84"/>
      <x:c r="X258" s="84"/>
      <x:c r="Y258" s="84"/>
      <x:c r="Z258" s="84"/>
    </x:row>
    <x:row r="259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4"/>
      <x:c r="K259" s="84"/>
      <x:c r="L259" s="84"/>
      <x:c r="M259" s="84"/>
      <x:c r="N259" s="84"/>
      <x:c r="O259" s="84"/>
      <x:c r="P259" s="84"/>
      <x:c r="Q259" s="84"/>
      <x:c r="R259" s="84"/>
      <x:c r="S259" s="84"/>
      <x:c r="T259" s="84"/>
      <x:c r="U259" s="84"/>
      <x:c r="V259" s="84"/>
      <x:c r="W259" s="84"/>
      <x:c r="X259" s="84"/>
      <x:c r="Y259" s="84"/>
      <x:c r="Z259" s="84"/>
    </x:row>
    <x:row r="260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4"/>
      <x:c r="K260" s="84"/>
      <x:c r="L260" s="84"/>
      <x:c r="M260" s="84"/>
      <x:c r="N260" s="84"/>
      <x:c r="O260" s="84"/>
      <x:c r="P260" s="84"/>
      <x:c r="Q260" s="84"/>
      <x:c r="R260" s="84"/>
      <x:c r="S260" s="84"/>
      <x:c r="T260" s="84"/>
      <x:c r="U260" s="84"/>
      <x:c r="V260" s="84"/>
      <x:c r="W260" s="84"/>
      <x:c r="X260" s="84"/>
      <x:c r="Y260" s="84"/>
      <x:c r="Z260" s="84"/>
    </x:row>
    <x:row r="26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4"/>
      <x:c r="K261" s="84"/>
      <x:c r="L261" s="84"/>
      <x:c r="M261" s="84"/>
      <x:c r="N261" s="84"/>
      <x:c r="O261" s="84"/>
      <x:c r="P261" s="84"/>
      <x:c r="Q261" s="84"/>
      <x:c r="R261" s="84"/>
      <x:c r="S261" s="84"/>
      <x:c r="T261" s="84"/>
      <x:c r="U261" s="84"/>
      <x:c r="V261" s="84"/>
      <x:c r="W261" s="84"/>
      <x:c r="X261" s="84"/>
      <x:c r="Y261" s="84"/>
      <x:c r="Z261" s="84"/>
    </x:row>
    <x:row r="262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4"/>
      <x:c r="K262" s="84"/>
      <x:c r="L262" s="84"/>
      <x:c r="M262" s="84"/>
      <x:c r="N262" s="84"/>
      <x:c r="O262" s="84"/>
      <x:c r="P262" s="84"/>
      <x:c r="Q262" s="84"/>
      <x:c r="R262" s="84"/>
      <x:c r="S262" s="84"/>
      <x:c r="T262" s="84"/>
      <x:c r="U262" s="84"/>
      <x:c r="V262" s="84"/>
      <x:c r="W262" s="84"/>
      <x:c r="X262" s="84"/>
      <x:c r="Y262" s="84"/>
      <x:c r="Z262" s="84"/>
    </x:row>
    <x:row r="263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4"/>
      <x:c r="K263" s="84"/>
      <x:c r="L263" s="84"/>
      <x:c r="M263" s="84"/>
      <x:c r="N263" s="84"/>
      <x:c r="O263" s="84"/>
      <x:c r="P263" s="84"/>
      <x:c r="Q263" s="84"/>
      <x:c r="R263" s="84"/>
      <x:c r="S263" s="84"/>
      <x:c r="T263" s="84"/>
      <x:c r="U263" s="84"/>
      <x:c r="V263" s="84"/>
      <x:c r="W263" s="84"/>
      <x:c r="X263" s="84"/>
      <x:c r="Y263" s="84"/>
      <x:c r="Z263" s="84"/>
    </x:row>
    <x:row r="264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4"/>
      <x:c r="K264" s="84"/>
      <x:c r="L264" s="84"/>
      <x:c r="M264" s="84"/>
      <x:c r="N264" s="84"/>
      <x:c r="O264" s="84"/>
      <x:c r="P264" s="84"/>
      <x:c r="Q264" s="84"/>
      <x:c r="R264" s="84"/>
      <x:c r="S264" s="84"/>
      <x:c r="T264" s="84"/>
      <x:c r="U264" s="84"/>
      <x:c r="V264" s="84"/>
      <x:c r="W264" s="84"/>
      <x:c r="X264" s="84"/>
      <x:c r="Y264" s="84"/>
      <x:c r="Z264" s="84"/>
    </x:row>
    <x:row r="265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4"/>
      <x:c r="K265" s="84"/>
      <x:c r="L265" s="84"/>
      <x:c r="M265" s="84"/>
      <x:c r="N265" s="84"/>
      <x:c r="O265" s="84"/>
      <x:c r="P265" s="84"/>
      <x:c r="Q265" s="84"/>
      <x:c r="R265" s="84"/>
      <x:c r="S265" s="84"/>
      <x:c r="T265" s="84"/>
      <x:c r="U265" s="84"/>
      <x:c r="V265" s="84"/>
      <x:c r="W265" s="84"/>
      <x:c r="X265" s="84"/>
      <x:c r="Y265" s="84"/>
      <x:c r="Z265" s="84"/>
    </x:row>
    <x:row r="266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4"/>
      <x:c r="K266" s="84"/>
      <x:c r="L266" s="84"/>
      <x:c r="M266" s="84"/>
      <x:c r="N266" s="84"/>
      <x:c r="O266" s="84"/>
      <x:c r="P266" s="84"/>
      <x:c r="Q266" s="84"/>
      <x:c r="R266" s="84"/>
      <x:c r="S266" s="84"/>
      <x:c r="T266" s="84"/>
      <x:c r="U266" s="84"/>
      <x:c r="V266" s="84"/>
      <x:c r="W266" s="84"/>
      <x:c r="X266" s="84"/>
      <x:c r="Y266" s="84"/>
      <x:c r="Z266" s="84"/>
    </x:row>
    <x:row r="267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4"/>
      <x:c r="K267" s="84"/>
      <x:c r="L267" s="84"/>
      <x:c r="M267" s="84"/>
      <x:c r="N267" s="84"/>
      <x:c r="O267" s="84"/>
      <x:c r="P267" s="84"/>
      <x:c r="Q267" s="84"/>
      <x:c r="R267" s="84"/>
      <x:c r="S267" s="84"/>
      <x:c r="T267" s="84"/>
      <x:c r="U267" s="84"/>
      <x:c r="V267" s="84"/>
      <x:c r="W267" s="84"/>
      <x:c r="X267" s="84"/>
      <x:c r="Y267" s="84"/>
      <x:c r="Z267" s="84"/>
    </x:row>
    <x:row r="268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4"/>
      <x:c r="K268" s="84"/>
      <x:c r="L268" s="84"/>
      <x:c r="M268" s="84"/>
      <x:c r="N268" s="84"/>
      <x:c r="O268" s="84"/>
      <x:c r="P268" s="84"/>
      <x:c r="Q268" s="84"/>
      <x:c r="R268" s="84"/>
      <x:c r="S268" s="84"/>
      <x:c r="T268" s="84"/>
      <x:c r="U268" s="84"/>
      <x:c r="V268" s="84"/>
      <x:c r="W268" s="84"/>
      <x:c r="X268" s="84"/>
      <x:c r="Y268" s="84"/>
      <x:c r="Z268" s="84"/>
    </x:row>
    <x:row r="269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4"/>
      <x:c r="K269" s="84"/>
      <x:c r="L269" s="84"/>
      <x:c r="M269" s="84"/>
      <x:c r="N269" s="84"/>
      <x:c r="O269" s="84"/>
      <x:c r="P269" s="84"/>
      <x:c r="Q269" s="84"/>
      <x:c r="R269" s="84"/>
      <x:c r="S269" s="84"/>
      <x:c r="T269" s="84"/>
      <x:c r="U269" s="84"/>
      <x:c r="V269" s="84"/>
      <x:c r="W269" s="84"/>
      <x:c r="X269" s="84"/>
      <x:c r="Y269" s="84"/>
      <x:c r="Z269" s="84"/>
    </x:row>
    <x:row r="270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4"/>
      <x:c r="K270" s="84"/>
      <x:c r="L270" s="84"/>
      <x:c r="M270" s="84"/>
      <x:c r="N270" s="84"/>
      <x:c r="O270" s="84"/>
      <x:c r="P270" s="84"/>
      <x:c r="Q270" s="84"/>
      <x:c r="R270" s="84"/>
      <x:c r="S270" s="84"/>
      <x:c r="T270" s="84"/>
      <x:c r="U270" s="84"/>
      <x:c r="V270" s="84"/>
      <x:c r="W270" s="84"/>
      <x:c r="X270" s="84"/>
      <x:c r="Y270" s="84"/>
      <x:c r="Z270" s="84"/>
    </x:row>
    <x:row r="27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4"/>
      <x:c r="K271" s="84"/>
      <x:c r="L271" s="84"/>
      <x:c r="M271" s="84"/>
      <x:c r="N271" s="84"/>
      <x:c r="O271" s="84"/>
      <x:c r="P271" s="84"/>
      <x:c r="Q271" s="84"/>
      <x:c r="R271" s="84"/>
      <x:c r="S271" s="84"/>
      <x:c r="T271" s="84"/>
      <x:c r="U271" s="84"/>
      <x:c r="V271" s="84"/>
      <x:c r="W271" s="84"/>
      <x:c r="X271" s="84"/>
      <x:c r="Y271" s="84"/>
      <x:c r="Z271" s="84"/>
    </x:row>
    <x:row r="272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4"/>
      <x:c r="K272" s="84"/>
      <x:c r="L272" s="84"/>
      <x:c r="M272" s="84"/>
      <x:c r="N272" s="84"/>
      <x:c r="O272" s="84"/>
      <x:c r="P272" s="84"/>
      <x:c r="Q272" s="84"/>
      <x:c r="R272" s="84"/>
      <x:c r="S272" s="84"/>
      <x:c r="T272" s="84"/>
      <x:c r="U272" s="84"/>
      <x:c r="V272" s="84"/>
      <x:c r="W272" s="84"/>
      <x:c r="X272" s="84"/>
      <x:c r="Y272" s="84"/>
      <x:c r="Z272" s="84"/>
    </x:row>
    <x:row r="273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4"/>
      <x:c r="K273" s="84"/>
      <x:c r="L273" s="84"/>
      <x:c r="M273" s="84"/>
      <x:c r="N273" s="84"/>
      <x:c r="O273" s="84"/>
      <x:c r="P273" s="84"/>
      <x:c r="Q273" s="84"/>
      <x:c r="R273" s="84"/>
      <x:c r="S273" s="84"/>
      <x:c r="T273" s="84"/>
      <x:c r="U273" s="84"/>
      <x:c r="V273" s="84"/>
      <x:c r="W273" s="84"/>
      <x:c r="X273" s="84"/>
      <x:c r="Y273" s="84"/>
      <x:c r="Z273" s="84"/>
    </x:row>
    <x:row r="274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4"/>
      <x:c r="K274" s="84"/>
      <x:c r="L274" s="84"/>
      <x:c r="M274" s="84"/>
      <x:c r="N274" s="84"/>
      <x:c r="O274" s="84"/>
      <x:c r="P274" s="84"/>
      <x:c r="Q274" s="84"/>
      <x:c r="R274" s="84"/>
      <x:c r="S274" s="84"/>
      <x:c r="T274" s="84"/>
      <x:c r="U274" s="84"/>
      <x:c r="V274" s="84"/>
      <x:c r="W274" s="84"/>
      <x:c r="X274" s="84"/>
      <x:c r="Y274" s="84"/>
      <x:c r="Z274" s="84"/>
    </x:row>
    <x:row r="275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4"/>
      <x:c r="K275" s="84"/>
      <x:c r="L275" s="84"/>
      <x:c r="M275" s="84"/>
      <x:c r="N275" s="84"/>
      <x:c r="O275" s="84"/>
      <x:c r="P275" s="84"/>
      <x:c r="Q275" s="84"/>
      <x:c r="R275" s="84"/>
      <x:c r="S275" s="84"/>
      <x:c r="T275" s="84"/>
      <x:c r="U275" s="84"/>
      <x:c r="V275" s="84"/>
      <x:c r="W275" s="84"/>
      <x:c r="X275" s="84"/>
      <x:c r="Y275" s="84"/>
      <x:c r="Z275" s="84"/>
    </x:row>
    <x:row r="276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4"/>
      <x:c r="K276" s="84"/>
      <x:c r="L276" s="84"/>
      <x:c r="M276" s="84"/>
      <x:c r="N276" s="84"/>
      <x:c r="O276" s="84"/>
      <x:c r="P276" s="84"/>
      <x:c r="Q276" s="84"/>
      <x:c r="R276" s="84"/>
      <x:c r="S276" s="84"/>
      <x:c r="T276" s="84"/>
      <x:c r="U276" s="84"/>
      <x:c r="V276" s="84"/>
      <x:c r="W276" s="84"/>
      <x:c r="X276" s="84"/>
      <x:c r="Y276" s="84"/>
      <x:c r="Z276" s="84"/>
    </x:row>
    <x:row r="277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4"/>
      <x:c r="K277" s="84"/>
      <x:c r="L277" s="84"/>
      <x:c r="M277" s="84"/>
      <x:c r="N277" s="84"/>
      <x:c r="O277" s="84"/>
      <x:c r="P277" s="84"/>
      <x:c r="Q277" s="84"/>
      <x:c r="R277" s="84"/>
      <x:c r="S277" s="84"/>
      <x:c r="T277" s="84"/>
      <x:c r="U277" s="84"/>
      <x:c r="V277" s="84"/>
      <x:c r="W277" s="84"/>
      <x:c r="X277" s="84"/>
      <x:c r="Y277" s="84"/>
      <x:c r="Z277" s="84"/>
    </x:row>
    <x:row r="278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4"/>
      <x:c r="K278" s="84"/>
      <x:c r="L278" s="84"/>
      <x:c r="M278" s="84"/>
      <x:c r="N278" s="84"/>
      <x:c r="O278" s="84"/>
      <x:c r="P278" s="84"/>
      <x:c r="Q278" s="84"/>
      <x:c r="R278" s="84"/>
      <x:c r="S278" s="84"/>
      <x:c r="T278" s="84"/>
      <x:c r="U278" s="84"/>
      <x:c r="V278" s="84"/>
      <x:c r="W278" s="84"/>
      <x:c r="X278" s="84"/>
      <x:c r="Y278" s="84"/>
      <x:c r="Z278" s="84"/>
    </x:row>
    <x:row r="279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4"/>
      <x:c r="K279" s="84"/>
      <x:c r="L279" s="84"/>
      <x:c r="M279" s="84"/>
      <x:c r="N279" s="84"/>
      <x:c r="O279" s="84"/>
      <x:c r="P279" s="84"/>
      <x:c r="Q279" s="84"/>
      <x:c r="R279" s="84"/>
      <x:c r="S279" s="84"/>
      <x:c r="T279" s="84"/>
      <x:c r="U279" s="84"/>
      <x:c r="V279" s="84"/>
      <x:c r="W279" s="84"/>
      <x:c r="X279" s="84"/>
      <x:c r="Y279" s="84"/>
      <x:c r="Z279" s="84"/>
    </x:row>
    <x:row r="280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4"/>
      <x:c r="K280" s="84"/>
      <x:c r="L280" s="84"/>
      <x:c r="M280" s="84"/>
      <x:c r="N280" s="84"/>
      <x:c r="O280" s="84"/>
      <x:c r="P280" s="84"/>
      <x:c r="Q280" s="84"/>
      <x:c r="R280" s="84"/>
      <x:c r="S280" s="84"/>
      <x:c r="T280" s="84"/>
      <x:c r="U280" s="84"/>
      <x:c r="V280" s="84"/>
      <x:c r="W280" s="84"/>
      <x:c r="X280" s="84"/>
      <x:c r="Y280" s="84"/>
      <x:c r="Z280" s="84"/>
    </x:row>
    <x:row r="28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4"/>
      <x:c r="K281" s="84"/>
      <x:c r="L281" s="84"/>
      <x:c r="M281" s="84"/>
      <x:c r="N281" s="84"/>
      <x:c r="O281" s="84"/>
      <x:c r="P281" s="84"/>
      <x:c r="Q281" s="84"/>
      <x:c r="R281" s="84"/>
      <x:c r="S281" s="84"/>
      <x:c r="T281" s="84"/>
      <x:c r="U281" s="84"/>
      <x:c r="V281" s="84"/>
      <x:c r="W281" s="84"/>
      <x:c r="X281" s="84"/>
      <x:c r="Y281" s="84"/>
      <x:c r="Z281" s="84"/>
    </x:row>
    <x:row r="282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4"/>
      <x:c r="K282" s="84"/>
      <x:c r="L282" s="84"/>
      <x:c r="M282" s="84"/>
      <x:c r="N282" s="84"/>
      <x:c r="O282" s="84"/>
      <x:c r="P282" s="84"/>
      <x:c r="Q282" s="84"/>
      <x:c r="R282" s="84"/>
      <x:c r="S282" s="84"/>
      <x:c r="T282" s="84"/>
      <x:c r="U282" s="84"/>
      <x:c r="V282" s="84"/>
      <x:c r="W282" s="84"/>
      <x:c r="X282" s="84"/>
      <x:c r="Y282" s="84"/>
      <x:c r="Z282" s="84"/>
    </x:row>
    <x:row r="283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4"/>
      <x:c r="K283" s="84"/>
      <x:c r="L283" s="84"/>
      <x:c r="M283" s="84"/>
      <x:c r="N283" s="84"/>
      <x:c r="O283" s="84"/>
      <x:c r="P283" s="84"/>
      <x:c r="Q283" s="84"/>
      <x:c r="R283" s="84"/>
      <x:c r="S283" s="84"/>
      <x:c r="T283" s="84"/>
      <x:c r="U283" s="84"/>
      <x:c r="V283" s="84"/>
      <x:c r="W283" s="84"/>
      <x:c r="X283" s="84"/>
      <x:c r="Y283" s="84"/>
      <x:c r="Z283" s="84"/>
    </x:row>
    <x:row r="284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4"/>
      <x:c r="K284" s="84"/>
      <x:c r="L284" s="84"/>
      <x:c r="M284" s="84"/>
      <x:c r="N284" s="84"/>
      <x:c r="O284" s="84"/>
      <x:c r="P284" s="84"/>
      <x:c r="Q284" s="84"/>
      <x:c r="R284" s="84"/>
      <x:c r="S284" s="84"/>
      <x:c r="T284" s="84"/>
      <x:c r="U284" s="84"/>
      <x:c r="V284" s="84"/>
      <x:c r="W284" s="84"/>
      <x:c r="X284" s="84"/>
      <x:c r="Y284" s="84"/>
      <x:c r="Z284" s="84"/>
    </x:row>
    <x:row r="285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4"/>
      <x:c r="K285" s="84"/>
      <x:c r="L285" s="84"/>
      <x:c r="M285" s="84"/>
      <x:c r="N285" s="84"/>
      <x:c r="O285" s="84"/>
      <x:c r="P285" s="84"/>
      <x:c r="Q285" s="84"/>
      <x:c r="R285" s="84"/>
      <x:c r="S285" s="84"/>
      <x:c r="T285" s="84"/>
      <x:c r="U285" s="84"/>
      <x:c r="V285" s="84"/>
      <x:c r="W285" s="84"/>
      <x:c r="X285" s="84"/>
      <x:c r="Y285" s="84"/>
      <x:c r="Z285" s="84"/>
    </x:row>
    <x:row r="286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4"/>
      <x:c r="K286" s="84"/>
      <x:c r="L286" s="84"/>
      <x:c r="M286" s="84"/>
      <x:c r="N286" s="84"/>
      <x:c r="O286" s="84"/>
      <x:c r="P286" s="84"/>
      <x:c r="Q286" s="84"/>
      <x:c r="R286" s="84"/>
      <x:c r="S286" s="84"/>
      <x:c r="T286" s="84"/>
      <x:c r="U286" s="84"/>
      <x:c r="V286" s="84"/>
      <x:c r="W286" s="84"/>
      <x:c r="X286" s="84"/>
      <x:c r="Y286" s="84"/>
      <x:c r="Z286" s="84"/>
    </x:row>
    <x:row r="287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4"/>
      <x:c r="K287" s="84"/>
      <x:c r="L287" s="84"/>
      <x:c r="M287" s="84"/>
      <x:c r="N287" s="84"/>
      <x:c r="O287" s="84"/>
      <x:c r="P287" s="84"/>
      <x:c r="Q287" s="84"/>
      <x:c r="R287" s="84"/>
      <x:c r="S287" s="84"/>
      <x:c r="T287" s="84"/>
      <x:c r="U287" s="84"/>
      <x:c r="V287" s="84"/>
      <x:c r="W287" s="84"/>
      <x:c r="X287" s="84"/>
      <x:c r="Y287" s="84"/>
      <x:c r="Z287" s="84"/>
    </x:row>
    <x:row r="288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4"/>
      <x:c r="K288" s="84"/>
      <x:c r="L288" s="84"/>
      <x:c r="M288" s="84"/>
      <x:c r="N288" s="84"/>
      <x:c r="O288" s="84"/>
      <x:c r="P288" s="84"/>
      <x:c r="Q288" s="84"/>
      <x:c r="R288" s="84"/>
      <x:c r="S288" s="84"/>
      <x:c r="T288" s="84"/>
      <x:c r="U288" s="84"/>
      <x:c r="V288" s="84"/>
      <x:c r="W288" s="84"/>
      <x:c r="X288" s="84"/>
      <x:c r="Y288" s="84"/>
      <x:c r="Z288" s="84"/>
    </x:row>
    <x:row r="289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4"/>
      <x:c r="K289" s="84"/>
      <x:c r="L289" s="84"/>
      <x:c r="M289" s="84"/>
      <x:c r="N289" s="84"/>
      <x:c r="O289" s="84"/>
      <x:c r="P289" s="84"/>
      <x:c r="Q289" s="84"/>
      <x:c r="R289" s="84"/>
      <x:c r="S289" s="84"/>
      <x:c r="T289" s="84"/>
      <x:c r="U289" s="84"/>
      <x:c r="V289" s="84"/>
      <x:c r="W289" s="84"/>
      <x:c r="X289" s="84"/>
      <x:c r="Y289" s="84"/>
      <x:c r="Z289" s="84"/>
    </x:row>
    <x:row r="290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4"/>
      <x:c r="K290" s="84"/>
      <x:c r="L290" s="84"/>
      <x:c r="M290" s="84"/>
      <x:c r="N290" s="84"/>
      <x:c r="O290" s="84"/>
      <x:c r="P290" s="84"/>
      <x:c r="Q290" s="84"/>
      <x:c r="R290" s="84"/>
      <x:c r="S290" s="84"/>
      <x:c r="T290" s="84"/>
      <x:c r="U290" s="84"/>
      <x:c r="V290" s="84"/>
      <x:c r="W290" s="84"/>
      <x:c r="X290" s="84"/>
      <x:c r="Y290" s="84"/>
      <x:c r="Z290" s="84"/>
    </x:row>
    <x:row r="29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4"/>
      <x:c r="K291" s="84"/>
      <x:c r="L291" s="84"/>
      <x:c r="M291" s="84"/>
      <x:c r="N291" s="84"/>
      <x:c r="O291" s="84"/>
      <x:c r="P291" s="84"/>
      <x:c r="Q291" s="84"/>
      <x:c r="R291" s="84"/>
      <x:c r="S291" s="84"/>
      <x:c r="T291" s="84"/>
      <x:c r="U291" s="84"/>
      <x:c r="V291" s="84"/>
      <x:c r="W291" s="84"/>
      <x:c r="X291" s="84"/>
      <x:c r="Y291" s="84"/>
      <x:c r="Z291" s="84"/>
    </x:row>
    <x:row r="292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4"/>
      <x:c r="K292" s="84"/>
      <x:c r="L292" s="84"/>
      <x:c r="M292" s="84"/>
      <x:c r="N292" s="84"/>
      <x:c r="O292" s="84"/>
      <x:c r="P292" s="84"/>
      <x:c r="Q292" s="84"/>
      <x:c r="R292" s="84"/>
      <x:c r="S292" s="84"/>
      <x:c r="T292" s="84"/>
      <x:c r="U292" s="84"/>
      <x:c r="V292" s="84"/>
      <x:c r="W292" s="84"/>
      <x:c r="X292" s="84"/>
      <x:c r="Y292" s="84"/>
      <x:c r="Z292" s="84"/>
    </x:row>
    <x:row r="293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4"/>
      <x:c r="K293" s="84"/>
      <x:c r="L293" s="84"/>
      <x:c r="M293" s="84"/>
      <x:c r="N293" s="84"/>
      <x:c r="O293" s="84"/>
      <x:c r="P293" s="84"/>
      <x:c r="Q293" s="84"/>
      <x:c r="R293" s="84"/>
      <x:c r="S293" s="84"/>
      <x:c r="T293" s="84"/>
      <x:c r="U293" s="84"/>
      <x:c r="V293" s="84"/>
      <x:c r="W293" s="84"/>
      <x:c r="X293" s="84"/>
      <x:c r="Y293" s="84"/>
      <x:c r="Z293" s="84"/>
    </x:row>
    <x:row r="294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4"/>
      <x:c r="K294" s="84"/>
      <x:c r="L294" s="84"/>
      <x:c r="M294" s="84"/>
      <x:c r="N294" s="84"/>
      <x:c r="O294" s="84"/>
      <x:c r="P294" s="84"/>
      <x:c r="Q294" s="84"/>
      <x:c r="R294" s="84"/>
      <x:c r="S294" s="84"/>
      <x:c r="T294" s="84"/>
      <x:c r="U294" s="84"/>
      <x:c r="V294" s="84"/>
      <x:c r="W294" s="84"/>
      <x:c r="X294" s="84"/>
      <x:c r="Y294" s="84"/>
      <x:c r="Z294" s="84"/>
    </x:row>
    <x:row r="295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4"/>
      <x:c r="K295" s="84"/>
      <x:c r="L295" s="84"/>
      <x:c r="M295" s="84"/>
      <x:c r="N295" s="84"/>
      <x:c r="O295" s="84"/>
      <x:c r="P295" s="84"/>
      <x:c r="Q295" s="84"/>
      <x:c r="R295" s="84"/>
      <x:c r="S295" s="84"/>
      <x:c r="T295" s="84"/>
      <x:c r="U295" s="84"/>
      <x:c r="V295" s="84"/>
      <x:c r="W295" s="84"/>
      <x:c r="X295" s="84"/>
      <x:c r="Y295" s="84"/>
      <x:c r="Z295" s="84"/>
    </x:row>
    <x:row r="296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4"/>
      <x:c r="K296" s="84"/>
      <x:c r="L296" s="84"/>
      <x:c r="M296" s="84"/>
      <x:c r="N296" s="84"/>
      <x:c r="O296" s="84"/>
      <x:c r="P296" s="84"/>
      <x:c r="Q296" s="84"/>
      <x:c r="R296" s="84"/>
      <x:c r="S296" s="84"/>
      <x:c r="T296" s="84"/>
      <x:c r="U296" s="84"/>
      <x:c r="V296" s="84"/>
      <x:c r="W296" s="84"/>
      <x:c r="X296" s="84"/>
      <x:c r="Y296" s="84"/>
      <x:c r="Z296" s="84"/>
    </x:row>
    <x:row r="297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4"/>
      <x:c r="K297" s="84"/>
      <x:c r="L297" s="84"/>
      <x:c r="M297" s="84"/>
      <x:c r="N297" s="84"/>
      <x:c r="O297" s="84"/>
      <x:c r="P297" s="84"/>
      <x:c r="Q297" s="84"/>
      <x:c r="R297" s="84"/>
      <x:c r="S297" s="84"/>
      <x:c r="T297" s="84"/>
      <x:c r="U297" s="84"/>
      <x:c r="V297" s="84"/>
      <x:c r="W297" s="84"/>
      <x:c r="X297" s="84"/>
      <x:c r="Y297" s="84"/>
      <x:c r="Z297" s="84"/>
    </x:row>
    <x:row r="298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4"/>
      <x:c r="K298" s="84"/>
      <x:c r="L298" s="84"/>
      <x:c r="M298" s="84"/>
      <x:c r="N298" s="84"/>
      <x:c r="O298" s="84"/>
      <x:c r="P298" s="84"/>
      <x:c r="Q298" s="84"/>
      <x:c r="R298" s="84"/>
      <x:c r="S298" s="84"/>
      <x:c r="T298" s="84"/>
      <x:c r="U298" s="84"/>
      <x:c r="V298" s="84"/>
      <x:c r="W298" s="84"/>
      <x:c r="X298" s="84"/>
      <x:c r="Y298" s="84"/>
      <x:c r="Z298" s="84"/>
    </x:row>
    <x:row r="299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4"/>
      <x:c r="K299" s="84"/>
      <x:c r="L299" s="84"/>
      <x:c r="M299" s="84"/>
      <x:c r="N299" s="84"/>
      <x:c r="O299" s="84"/>
      <x:c r="P299" s="84"/>
      <x:c r="Q299" s="84"/>
      <x:c r="R299" s="84"/>
      <x:c r="S299" s="84"/>
      <x:c r="T299" s="84"/>
      <x:c r="U299" s="84"/>
      <x:c r="V299" s="84"/>
      <x:c r="W299" s="84"/>
      <x:c r="X299" s="84"/>
      <x:c r="Y299" s="84"/>
      <x:c r="Z299" s="84"/>
    </x:row>
    <x:row r="300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4"/>
      <x:c r="K300" s="84"/>
      <x:c r="L300" s="84"/>
      <x:c r="M300" s="84"/>
      <x:c r="N300" s="84"/>
      <x:c r="O300" s="84"/>
      <x:c r="P300" s="84"/>
      <x:c r="Q300" s="84"/>
      <x:c r="R300" s="84"/>
      <x:c r="S300" s="84"/>
      <x:c r="T300" s="84"/>
      <x:c r="U300" s="84"/>
      <x:c r="V300" s="84"/>
      <x:c r="W300" s="84"/>
      <x:c r="X300" s="84"/>
      <x:c r="Y300" s="84"/>
      <x:c r="Z300" s="84"/>
    </x:row>
    <x:row r="30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4"/>
      <x:c r="K301" s="84"/>
      <x:c r="L301" s="84"/>
      <x:c r="M301" s="84"/>
      <x:c r="N301" s="84"/>
      <x:c r="O301" s="84"/>
      <x:c r="P301" s="84"/>
      <x:c r="Q301" s="84"/>
      <x:c r="R301" s="84"/>
      <x:c r="S301" s="84"/>
      <x:c r="T301" s="84"/>
      <x:c r="U301" s="84"/>
      <x:c r="V301" s="84"/>
      <x:c r="W301" s="84"/>
      <x:c r="X301" s="84"/>
      <x:c r="Y301" s="84"/>
      <x:c r="Z301" s="84"/>
    </x:row>
    <x:row r="302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4"/>
      <x:c r="K302" s="84"/>
      <x:c r="L302" s="84"/>
      <x:c r="M302" s="84"/>
      <x:c r="N302" s="84"/>
      <x:c r="O302" s="84"/>
      <x:c r="P302" s="84"/>
      <x:c r="Q302" s="84"/>
      <x:c r="R302" s="84"/>
      <x:c r="S302" s="84"/>
      <x:c r="T302" s="84"/>
      <x:c r="U302" s="84"/>
      <x:c r="V302" s="84"/>
      <x:c r="W302" s="84"/>
      <x:c r="X302" s="84"/>
      <x:c r="Y302" s="84"/>
      <x:c r="Z302" s="84"/>
    </x:row>
    <x:row r="303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4"/>
      <x:c r="K303" s="84"/>
      <x:c r="L303" s="84"/>
      <x:c r="M303" s="84"/>
      <x:c r="N303" s="84"/>
      <x:c r="O303" s="84"/>
      <x:c r="P303" s="84"/>
      <x:c r="Q303" s="84"/>
      <x:c r="R303" s="84"/>
      <x:c r="S303" s="84"/>
      <x:c r="T303" s="84"/>
      <x:c r="U303" s="84"/>
      <x:c r="V303" s="84"/>
      <x:c r="W303" s="84"/>
      <x:c r="X303" s="84"/>
      <x:c r="Y303" s="84"/>
      <x:c r="Z303" s="84"/>
    </x:row>
    <x:row r="304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4"/>
      <x:c r="K304" s="84"/>
      <x:c r="L304" s="84"/>
      <x:c r="M304" s="84"/>
      <x:c r="N304" s="84"/>
      <x:c r="O304" s="84"/>
      <x:c r="P304" s="84"/>
      <x:c r="Q304" s="84"/>
      <x:c r="R304" s="84"/>
      <x:c r="S304" s="84"/>
      <x:c r="T304" s="84"/>
      <x:c r="U304" s="84"/>
      <x:c r="V304" s="84"/>
      <x:c r="W304" s="84"/>
      <x:c r="X304" s="84"/>
      <x:c r="Y304" s="84"/>
      <x:c r="Z304" s="84"/>
    </x:row>
    <x:row r="305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4"/>
      <x:c r="K305" s="84"/>
      <x:c r="L305" s="84"/>
      <x:c r="M305" s="84"/>
      <x:c r="N305" s="84"/>
      <x:c r="O305" s="84"/>
      <x:c r="P305" s="84"/>
      <x:c r="Q305" s="84"/>
      <x:c r="R305" s="84"/>
      <x:c r="S305" s="84"/>
      <x:c r="T305" s="84"/>
      <x:c r="U305" s="84"/>
      <x:c r="V305" s="84"/>
      <x:c r="W305" s="84"/>
      <x:c r="X305" s="84"/>
      <x:c r="Y305" s="84"/>
      <x:c r="Z305" s="84"/>
    </x:row>
    <x:row r="306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4"/>
      <x:c r="K306" s="84"/>
      <x:c r="L306" s="84"/>
      <x:c r="M306" s="84"/>
      <x:c r="N306" s="84"/>
      <x:c r="O306" s="84"/>
      <x:c r="P306" s="84"/>
      <x:c r="Q306" s="84"/>
      <x:c r="R306" s="84"/>
      <x:c r="S306" s="84"/>
      <x:c r="T306" s="84"/>
      <x:c r="U306" s="84"/>
      <x:c r="V306" s="84"/>
      <x:c r="W306" s="84"/>
      <x:c r="X306" s="84"/>
      <x:c r="Y306" s="84"/>
      <x:c r="Z306" s="84"/>
    </x:row>
    <x:row r="307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4"/>
      <x:c r="K307" s="84"/>
      <x:c r="L307" s="84"/>
      <x:c r="M307" s="84"/>
      <x:c r="N307" s="84"/>
      <x:c r="O307" s="84"/>
      <x:c r="P307" s="84"/>
      <x:c r="Q307" s="84"/>
      <x:c r="R307" s="84"/>
      <x:c r="S307" s="84"/>
      <x:c r="T307" s="84"/>
      <x:c r="U307" s="84"/>
      <x:c r="V307" s="84"/>
      <x:c r="W307" s="84"/>
      <x:c r="X307" s="84"/>
      <x:c r="Y307" s="84"/>
      <x:c r="Z307" s="84"/>
    </x:row>
    <x:row r="308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4"/>
      <x:c r="K308" s="84"/>
      <x:c r="L308" s="84"/>
      <x:c r="M308" s="84"/>
      <x:c r="N308" s="84"/>
      <x:c r="O308" s="84"/>
      <x:c r="P308" s="84"/>
      <x:c r="Q308" s="84"/>
      <x:c r="R308" s="84"/>
      <x:c r="S308" s="84"/>
      <x:c r="T308" s="84"/>
      <x:c r="U308" s="84"/>
      <x:c r="V308" s="84"/>
      <x:c r="W308" s="84"/>
      <x:c r="X308" s="84"/>
      <x:c r="Y308" s="84"/>
      <x:c r="Z308" s="84"/>
    </x:row>
    <x:row r="309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4"/>
      <x:c r="K309" s="84"/>
      <x:c r="L309" s="84"/>
      <x:c r="M309" s="84"/>
      <x:c r="N309" s="84"/>
      <x:c r="O309" s="84"/>
      <x:c r="P309" s="84"/>
      <x:c r="Q309" s="84"/>
      <x:c r="R309" s="84"/>
      <x:c r="S309" s="84"/>
      <x:c r="T309" s="84"/>
      <x:c r="U309" s="84"/>
      <x:c r="V309" s="84"/>
      <x:c r="W309" s="84"/>
      <x:c r="X309" s="84"/>
      <x:c r="Y309" s="84"/>
      <x:c r="Z309" s="84"/>
    </x:row>
    <x:row r="310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4"/>
      <x:c r="K310" s="84"/>
      <x:c r="L310" s="84"/>
      <x:c r="M310" s="84"/>
      <x:c r="N310" s="84"/>
      <x:c r="O310" s="84"/>
      <x:c r="P310" s="84"/>
      <x:c r="Q310" s="84"/>
      <x:c r="R310" s="84"/>
      <x:c r="S310" s="84"/>
      <x:c r="T310" s="84"/>
      <x:c r="U310" s="84"/>
      <x:c r="V310" s="84"/>
      <x:c r="W310" s="84"/>
      <x:c r="X310" s="84"/>
      <x:c r="Y310" s="84"/>
      <x:c r="Z310" s="84"/>
    </x:row>
    <x:row r="31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4"/>
      <x:c r="K311" s="84"/>
      <x:c r="L311" s="84"/>
      <x:c r="M311" s="84"/>
      <x:c r="N311" s="84"/>
      <x:c r="O311" s="84"/>
      <x:c r="P311" s="84"/>
      <x:c r="Q311" s="84"/>
      <x:c r="R311" s="84"/>
      <x:c r="S311" s="84"/>
      <x:c r="T311" s="84"/>
      <x:c r="U311" s="84"/>
      <x:c r="V311" s="84"/>
      <x:c r="W311" s="84"/>
      <x:c r="X311" s="84"/>
      <x:c r="Y311" s="84"/>
      <x:c r="Z311" s="84"/>
    </x:row>
    <x:row r="312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4"/>
      <x:c r="K312" s="84"/>
      <x:c r="L312" s="84"/>
      <x:c r="M312" s="84"/>
      <x:c r="N312" s="84"/>
      <x:c r="O312" s="84"/>
      <x:c r="P312" s="84"/>
      <x:c r="Q312" s="84"/>
      <x:c r="R312" s="84"/>
      <x:c r="S312" s="84"/>
      <x:c r="T312" s="84"/>
      <x:c r="U312" s="84"/>
      <x:c r="V312" s="84"/>
      <x:c r="W312" s="84"/>
      <x:c r="X312" s="84"/>
      <x:c r="Y312" s="84"/>
      <x:c r="Z312" s="84"/>
    </x:row>
    <x:row r="313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4"/>
      <x:c r="K313" s="84"/>
      <x:c r="L313" s="84"/>
      <x:c r="M313" s="84"/>
      <x:c r="N313" s="84"/>
      <x:c r="O313" s="84"/>
      <x:c r="P313" s="84"/>
      <x:c r="Q313" s="84"/>
      <x:c r="R313" s="84"/>
      <x:c r="S313" s="84"/>
      <x:c r="T313" s="84"/>
      <x:c r="U313" s="84"/>
      <x:c r="V313" s="84"/>
      <x:c r="W313" s="84"/>
      <x:c r="X313" s="84"/>
      <x:c r="Y313" s="84"/>
      <x:c r="Z313" s="84"/>
    </x:row>
    <x:row r="314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4"/>
      <x:c r="K314" s="84"/>
      <x:c r="L314" s="84"/>
      <x:c r="M314" s="84"/>
      <x:c r="N314" s="84"/>
      <x:c r="O314" s="84"/>
      <x:c r="P314" s="84"/>
      <x:c r="Q314" s="84"/>
      <x:c r="R314" s="84"/>
      <x:c r="S314" s="84"/>
      <x:c r="T314" s="84"/>
      <x:c r="U314" s="84"/>
      <x:c r="V314" s="84"/>
      <x:c r="W314" s="84"/>
      <x:c r="X314" s="84"/>
      <x:c r="Y314" s="84"/>
      <x:c r="Z314" s="84"/>
    </x:row>
    <x:row r="315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4"/>
      <x:c r="K315" s="84"/>
      <x:c r="L315" s="84"/>
      <x:c r="M315" s="84"/>
      <x:c r="N315" s="84"/>
      <x:c r="O315" s="84"/>
      <x:c r="P315" s="84"/>
      <x:c r="Q315" s="84"/>
      <x:c r="R315" s="84"/>
      <x:c r="S315" s="84"/>
      <x:c r="T315" s="84"/>
      <x:c r="U315" s="84"/>
      <x:c r="V315" s="84"/>
      <x:c r="W315" s="84"/>
      <x:c r="X315" s="84"/>
      <x:c r="Y315" s="84"/>
      <x:c r="Z315" s="84"/>
    </x:row>
    <x:row r="316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4"/>
      <x:c r="K316" s="84"/>
      <x:c r="L316" s="84"/>
      <x:c r="M316" s="84"/>
      <x:c r="N316" s="84"/>
      <x:c r="O316" s="84"/>
      <x:c r="P316" s="84"/>
      <x:c r="Q316" s="84"/>
      <x:c r="R316" s="84"/>
      <x:c r="S316" s="84"/>
      <x:c r="T316" s="84"/>
      <x:c r="U316" s="84"/>
      <x:c r="V316" s="84"/>
      <x:c r="W316" s="84"/>
      <x:c r="X316" s="84"/>
      <x:c r="Y316" s="84"/>
      <x:c r="Z316" s="84"/>
    </x:row>
    <x:row r="317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4"/>
      <x:c r="K317" s="84"/>
      <x:c r="L317" s="84"/>
      <x:c r="M317" s="84"/>
      <x:c r="N317" s="84"/>
      <x:c r="O317" s="84"/>
      <x:c r="P317" s="84"/>
      <x:c r="Q317" s="84"/>
      <x:c r="R317" s="84"/>
      <x:c r="S317" s="84"/>
      <x:c r="T317" s="84"/>
      <x:c r="U317" s="84"/>
      <x:c r="V317" s="84"/>
      <x:c r="W317" s="84"/>
      <x:c r="X317" s="84"/>
      <x:c r="Y317" s="84"/>
      <x:c r="Z317" s="84"/>
    </x:row>
    <x:row r="318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4"/>
      <x:c r="K318" s="84"/>
      <x:c r="L318" s="84"/>
      <x:c r="M318" s="84"/>
      <x:c r="N318" s="84"/>
      <x:c r="O318" s="84"/>
      <x:c r="P318" s="84"/>
      <x:c r="Q318" s="84"/>
      <x:c r="R318" s="84"/>
      <x:c r="S318" s="84"/>
      <x:c r="T318" s="84"/>
      <x:c r="U318" s="84"/>
      <x:c r="V318" s="84"/>
      <x:c r="W318" s="84"/>
      <x:c r="X318" s="84"/>
      <x:c r="Y318" s="84"/>
      <x:c r="Z318" s="84"/>
    </x:row>
    <x:row r="319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4"/>
      <x:c r="K319" s="84"/>
      <x:c r="L319" s="84"/>
      <x:c r="M319" s="84"/>
      <x:c r="N319" s="84"/>
      <x:c r="O319" s="84"/>
      <x:c r="P319" s="84"/>
      <x:c r="Q319" s="84"/>
      <x:c r="R319" s="84"/>
      <x:c r="S319" s="84"/>
      <x:c r="T319" s="84"/>
      <x:c r="U319" s="84"/>
      <x:c r="V319" s="84"/>
      <x:c r="W319" s="84"/>
      <x:c r="X319" s="84"/>
      <x:c r="Y319" s="84"/>
      <x:c r="Z319" s="84"/>
    </x:row>
    <x:row r="320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4"/>
      <x:c r="K320" s="84"/>
      <x:c r="L320" s="84"/>
      <x:c r="M320" s="84"/>
      <x:c r="N320" s="84"/>
      <x:c r="O320" s="84"/>
      <x:c r="P320" s="84"/>
      <x:c r="Q320" s="84"/>
      <x:c r="R320" s="84"/>
      <x:c r="S320" s="84"/>
      <x:c r="T320" s="84"/>
      <x:c r="U320" s="84"/>
      <x:c r="V320" s="84"/>
      <x:c r="W320" s="84"/>
      <x:c r="X320" s="84"/>
      <x:c r="Y320" s="84"/>
      <x:c r="Z320" s="84"/>
    </x:row>
    <x:row r="32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4"/>
      <x:c r="K321" s="84"/>
      <x:c r="L321" s="84"/>
      <x:c r="M321" s="84"/>
      <x:c r="N321" s="84"/>
      <x:c r="O321" s="84"/>
      <x:c r="P321" s="84"/>
      <x:c r="Q321" s="84"/>
      <x:c r="R321" s="84"/>
      <x:c r="S321" s="84"/>
      <x:c r="T321" s="84"/>
      <x:c r="U321" s="84"/>
      <x:c r="V321" s="84"/>
      <x:c r="W321" s="84"/>
      <x:c r="X321" s="84"/>
      <x:c r="Y321" s="84"/>
      <x:c r="Z321" s="84"/>
    </x:row>
    <x:row r="322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4"/>
      <x:c r="K322" s="84"/>
      <x:c r="L322" s="84"/>
      <x:c r="M322" s="84"/>
      <x:c r="N322" s="84"/>
      <x:c r="O322" s="84"/>
      <x:c r="P322" s="84"/>
      <x:c r="Q322" s="84"/>
      <x:c r="R322" s="84"/>
      <x:c r="S322" s="84"/>
      <x:c r="T322" s="84"/>
      <x:c r="U322" s="84"/>
      <x:c r="V322" s="84"/>
      <x:c r="W322" s="84"/>
      <x:c r="X322" s="84"/>
      <x:c r="Y322" s="84"/>
      <x:c r="Z322" s="84"/>
    </x:row>
    <x:row r="323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4"/>
      <x:c r="K323" s="84"/>
      <x:c r="L323" s="84"/>
      <x:c r="M323" s="84"/>
      <x:c r="N323" s="84"/>
      <x:c r="O323" s="84"/>
      <x:c r="P323" s="84"/>
      <x:c r="Q323" s="84"/>
      <x:c r="R323" s="84"/>
      <x:c r="S323" s="84"/>
      <x:c r="T323" s="84"/>
      <x:c r="U323" s="84"/>
      <x:c r="V323" s="84"/>
      <x:c r="W323" s="84"/>
      <x:c r="X323" s="84"/>
      <x:c r="Y323" s="84"/>
      <x:c r="Z323" s="84"/>
    </x:row>
    <x:row r="324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4"/>
      <x:c r="K324" s="84"/>
      <x:c r="L324" s="84"/>
      <x:c r="M324" s="84"/>
      <x:c r="N324" s="84"/>
      <x:c r="O324" s="84"/>
      <x:c r="P324" s="84"/>
      <x:c r="Q324" s="84"/>
      <x:c r="R324" s="84"/>
      <x:c r="S324" s="84"/>
      <x:c r="T324" s="84"/>
      <x:c r="U324" s="84"/>
      <x:c r="V324" s="84"/>
      <x:c r="W324" s="84"/>
      <x:c r="X324" s="84"/>
      <x:c r="Y324" s="84"/>
      <x:c r="Z324" s="84"/>
    </x:row>
    <x:row r="325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4"/>
      <x:c r="K325" s="84"/>
      <x:c r="L325" s="84"/>
      <x:c r="M325" s="84"/>
      <x:c r="N325" s="84"/>
      <x:c r="O325" s="84"/>
      <x:c r="P325" s="84"/>
      <x:c r="Q325" s="84"/>
      <x:c r="R325" s="84"/>
      <x:c r="S325" s="84"/>
      <x:c r="T325" s="84"/>
      <x:c r="U325" s="84"/>
      <x:c r="V325" s="84"/>
      <x:c r="W325" s="84"/>
      <x:c r="X325" s="84"/>
      <x:c r="Y325" s="84"/>
      <x:c r="Z325" s="84"/>
    </x:row>
    <x:row r="326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4"/>
      <x:c r="K326" s="84"/>
      <x:c r="L326" s="84"/>
      <x:c r="M326" s="84"/>
      <x:c r="N326" s="84"/>
      <x:c r="O326" s="84"/>
      <x:c r="P326" s="84"/>
      <x:c r="Q326" s="84"/>
      <x:c r="R326" s="84"/>
      <x:c r="S326" s="84"/>
      <x:c r="T326" s="84"/>
      <x:c r="U326" s="84"/>
      <x:c r="V326" s="84"/>
      <x:c r="W326" s="84"/>
      <x:c r="X326" s="84"/>
      <x:c r="Y326" s="84"/>
      <x:c r="Z326" s="84"/>
    </x:row>
    <x:row r="327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4"/>
      <x:c r="K327" s="84"/>
      <x:c r="L327" s="84"/>
      <x:c r="M327" s="84"/>
      <x:c r="N327" s="84"/>
      <x:c r="O327" s="84"/>
      <x:c r="P327" s="84"/>
      <x:c r="Q327" s="84"/>
      <x:c r="R327" s="84"/>
      <x:c r="S327" s="84"/>
      <x:c r="T327" s="84"/>
      <x:c r="U327" s="84"/>
      <x:c r="V327" s="84"/>
      <x:c r="W327" s="84"/>
      <x:c r="X327" s="84"/>
      <x:c r="Y327" s="84"/>
      <x:c r="Z327" s="84"/>
    </x:row>
    <x:row r="328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4"/>
      <x:c r="K328" s="84"/>
      <x:c r="L328" s="84"/>
      <x:c r="M328" s="84"/>
      <x:c r="N328" s="84"/>
      <x:c r="O328" s="84"/>
      <x:c r="P328" s="84"/>
      <x:c r="Q328" s="84"/>
      <x:c r="R328" s="84"/>
      <x:c r="S328" s="84"/>
      <x:c r="T328" s="84"/>
      <x:c r="U328" s="84"/>
      <x:c r="V328" s="84"/>
      <x:c r="W328" s="84"/>
      <x:c r="X328" s="84"/>
      <x:c r="Y328" s="84"/>
      <x:c r="Z328" s="84"/>
    </x:row>
    <x:row r="329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4"/>
      <x:c r="K329" s="84"/>
      <x:c r="L329" s="84"/>
      <x:c r="M329" s="84"/>
      <x:c r="N329" s="84"/>
      <x:c r="O329" s="84"/>
      <x:c r="P329" s="84"/>
      <x:c r="Q329" s="84"/>
      <x:c r="R329" s="84"/>
      <x:c r="S329" s="84"/>
      <x:c r="T329" s="84"/>
      <x:c r="U329" s="84"/>
      <x:c r="V329" s="84"/>
      <x:c r="W329" s="84"/>
      <x:c r="X329" s="84"/>
      <x:c r="Y329" s="84"/>
      <x:c r="Z329" s="84"/>
    </x:row>
    <x:row r="330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4"/>
      <x:c r="K330" s="84"/>
      <x:c r="L330" s="84"/>
      <x:c r="M330" s="84"/>
      <x:c r="N330" s="84"/>
      <x:c r="O330" s="84"/>
      <x:c r="P330" s="84"/>
      <x:c r="Q330" s="84"/>
      <x:c r="R330" s="84"/>
      <x:c r="S330" s="84"/>
      <x:c r="T330" s="84"/>
      <x:c r="U330" s="84"/>
      <x:c r="V330" s="84"/>
      <x:c r="W330" s="84"/>
      <x:c r="X330" s="84"/>
      <x:c r="Y330" s="84"/>
      <x:c r="Z330" s="84"/>
    </x:row>
    <x:row r="33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4"/>
      <x:c r="K331" s="84"/>
      <x:c r="L331" s="84"/>
      <x:c r="M331" s="84"/>
      <x:c r="N331" s="84"/>
      <x:c r="O331" s="84"/>
      <x:c r="P331" s="84"/>
      <x:c r="Q331" s="84"/>
      <x:c r="R331" s="84"/>
      <x:c r="S331" s="84"/>
      <x:c r="T331" s="84"/>
      <x:c r="U331" s="84"/>
      <x:c r="V331" s="84"/>
      <x:c r="W331" s="84"/>
      <x:c r="X331" s="84"/>
      <x:c r="Y331" s="84"/>
      <x:c r="Z331" s="84"/>
    </x:row>
    <x:row r="332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4"/>
      <x:c r="K332" s="84"/>
      <x:c r="L332" s="84"/>
      <x:c r="M332" s="84"/>
      <x:c r="N332" s="84"/>
      <x:c r="O332" s="84"/>
      <x:c r="P332" s="84"/>
      <x:c r="Q332" s="84"/>
      <x:c r="R332" s="84"/>
      <x:c r="S332" s="84"/>
      <x:c r="T332" s="84"/>
      <x:c r="U332" s="84"/>
      <x:c r="V332" s="84"/>
      <x:c r="W332" s="84"/>
      <x:c r="X332" s="84"/>
      <x:c r="Y332" s="84"/>
      <x:c r="Z332" s="84"/>
    </x:row>
    <x:row r="333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  <x:c r="Q333" s="84"/>
      <x:c r="R333" s="84"/>
      <x:c r="S333" s="84"/>
      <x:c r="T333" s="84"/>
      <x:c r="U333" s="84"/>
      <x:c r="V333" s="84"/>
      <x:c r="W333" s="84"/>
      <x:c r="X333" s="84"/>
      <x:c r="Y333" s="84"/>
      <x:c r="Z333" s="84"/>
    </x:row>
    <x:row r="334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4"/>
      <x:c r="K334" s="84"/>
      <x:c r="L334" s="84"/>
      <x:c r="M334" s="84"/>
      <x:c r="N334" s="84"/>
      <x:c r="O334" s="84"/>
      <x:c r="P334" s="84"/>
      <x:c r="Q334" s="84"/>
      <x:c r="R334" s="84"/>
      <x:c r="S334" s="84"/>
      <x:c r="T334" s="84"/>
      <x:c r="U334" s="84"/>
      <x:c r="V334" s="84"/>
      <x:c r="W334" s="84"/>
      <x:c r="X334" s="84"/>
      <x:c r="Y334" s="84"/>
      <x:c r="Z334" s="84"/>
    </x:row>
    <x:row r="335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4"/>
      <x:c r="K335" s="84"/>
      <x:c r="L335" s="84"/>
      <x:c r="M335" s="84"/>
      <x:c r="N335" s="84"/>
      <x:c r="O335" s="84"/>
      <x:c r="P335" s="84"/>
      <x:c r="Q335" s="84"/>
      <x:c r="R335" s="84"/>
      <x:c r="S335" s="84"/>
      <x:c r="T335" s="84"/>
      <x:c r="U335" s="84"/>
      <x:c r="V335" s="84"/>
      <x:c r="W335" s="84"/>
      <x:c r="X335" s="84"/>
      <x:c r="Y335" s="84"/>
      <x:c r="Z335" s="84"/>
    </x:row>
    <x:row r="336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4"/>
      <x:c r="K336" s="84"/>
      <x:c r="L336" s="84"/>
      <x:c r="M336" s="84"/>
      <x:c r="N336" s="84"/>
      <x:c r="O336" s="84"/>
      <x:c r="P336" s="84"/>
      <x:c r="Q336" s="84"/>
      <x:c r="R336" s="84"/>
      <x:c r="S336" s="84"/>
      <x:c r="T336" s="84"/>
      <x:c r="U336" s="84"/>
      <x:c r="V336" s="84"/>
      <x:c r="W336" s="84"/>
      <x:c r="X336" s="84"/>
      <x:c r="Y336" s="84"/>
      <x:c r="Z336" s="84"/>
    </x:row>
    <x:row r="337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4"/>
      <x:c r="K337" s="84"/>
      <x:c r="L337" s="84"/>
      <x:c r="M337" s="84"/>
      <x:c r="N337" s="84"/>
      <x:c r="O337" s="84"/>
      <x:c r="P337" s="84"/>
      <x:c r="Q337" s="84"/>
      <x:c r="R337" s="84"/>
      <x:c r="S337" s="84"/>
      <x:c r="T337" s="84"/>
      <x:c r="U337" s="84"/>
      <x:c r="V337" s="84"/>
      <x:c r="W337" s="84"/>
      <x:c r="X337" s="84"/>
      <x:c r="Y337" s="84"/>
      <x:c r="Z337" s="84"/>
    </x:row>
    <x:row r="338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4"/>
      <x:c r="K338" s="84"/>
      <x:c r="L338" s="84"/>
      <x:c r="M338" s="84"/>
      <x:c r="N338" s="84"/>
      <x:c r="O338" s="84"/>
      <x:c r="P338" s="84"/>
      <x:c r="Q338" s="84"/>
      <x:c r="R338" s="84"/>
      <x:c r="S338" s="84"/>
      <x:c r="T338" s="84"/>
      <x:c r="U338" s="84"/>
      <x:c r="V338" s="84"/>
      <x:c r="W338" s="84"/>
      <x:c r="X338" s="84"/>
      <x:c r="Y338" s="84"/>
      <x:c r="Z338" s="84"/>
    </x:row>
    <x:row r="339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4"/>
      <x:c r="K339" s="84"/>
      <x:c r="L339" s="84"/>
      <x:c r="M339" s="84"/>
      <x:c r="N339" s="84"/>
      <x:c r="O339" s="84"/>
      <x:c r="P339" s="84"/>
      <x:c r="Q339" s="84"/>
      <x:c r="R339" s="84"/>
      <x:c r="S339" s="84"/>
      <x:c r="T339" s="84"/>
      <x:c r="U339" s="84"/>
      <x:c r="V339" s="84"/>
      <x:c r="W339" s="84"/>
      <x:c r="X339" s="84"/>
      <x:c r="Y339" s="84"/>
      <x:c r="Z339" s="84"/>
    </x:row>
    <x:row r="340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4"/>
      <x:c r="K340" s="84"/>
      <x:c r="L340" s="84"/>
      <x:c r="M340" s="84"/>
      <x:c r="N340" s="84"/>
      <x:c r="O340" s="84"/>
      <x:c r="P340" s="84"/>
      <x:c r="Q340" s="84"/>
      <x:c r="R340" s="84"/>
      <x:c r="S340" s="84"/>
      <x:c r="T340" s="84"/>
      <x:c r="U340" s="84"/>
      <x:c r="V340" s="84"/>
      <x:c r="W340" s="84"/>
      <x:c r="X340" s="84"/>
      <x:c r="Y340" s="84"/>
      <x:c r="Z340" s="84"/>
    </x:row>
    <x:row r="34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4"/>
      <x:c r="K341" s="84"/>
      <x:c r="L341" s="84"/>
      <x:c r="M341" s="84"/>
      <x:c r="N341" s="84"/>
      <x:c r="O341" s="84"/>
      <x:c r="P341" s="84"/>
      <x:c r="Q341" s="84"/>
      <x:c r="R341" s="84"/>
      <x:c r="S341" s="84"/>
      <x:c r="T341" s="84"/>
      <x:c r="U341" s="84"/>
      <x:c r="V341" s="84"/>
      <x:c r="W341" s="84"/>
      <x:c r="X341" s="84"/>
      <x:c r="Y341" s="84"/>
      <x:c r="Z341" s="84"/>
    </x:row>
    <x:row r="342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4"/>
      <x:c r="K342" s="84"/>
      <x:c r="L342" s="84"/>
      <x:c r="M342" s="84"/>
      <x:c r="N342" s="84"/>
      <x:c r="O342" s="84"/>
      <x:c r="P342" s="84"/>
      <x:c r="Q342" s="84"/>
      <x:c r="R342" s="84"/>
      <x:c r="S342" s="84"/>
      <x:c r="T342" s="84"/>
      <x:c r="U342" s="84"/>
      <x:c r="V342" s="84"/>
      <x:c r="W342" s="84"/>
      <x:c r="X342" s="84"/>
      <x:c r="Y342" s="84"/>
      <x:c r="Z342" s="84"/>
    </x:row>
    <x:row r="343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4"/>
      <x:c r="K343" s="84"/>
      <x:c r="L343" s="84"/>
      <x:c r="M343" s="84"/>
      <x:c r="N343" s="84"/>
      <x:c r="O343" s="84"/>
      <x:c r="P343" s="84"/>
      <x:c r="Q343" s="84"/>
      <x:c r="R343" s="84"/>
      <x:c r="S343" s="84"/>
      <x:c r="T343" s="84"/>
      <x:c r="U343" s="84"/>
      <x:c r="V343" s="84"/>
      <x:c r="W343" s="84"/>
      <x:c r="X343" s="84"/>
      <x:c r="Y343" s="84"/>
      <x:c r="Z343" s="84"/>
    </x:row>
    <x:row r="344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4"/>
      <x:c r="K344" s="84"/>
      <x:c r="L344" s="84"/>
      <x:c r="M344" s="84"/>
      <x:c r="N344" s="84"/>
      <x:c r="O344" s="84"/>
      <x:c r="P344" s="84"/>
      <x:c r="Q344" s="84"/>
      <x:c r="R344" s="84"/>
      <x:c r="S344" s="84"/>
      <x:c r="T344" s="84"/>
      <x:c r="U344" s="84"/>
      <x:c r="V344" s="84"/>
      <x:c r="W344" s="84"/>
      <x:c r="X344" s="84"/>
      <x:c r="Y344" s="84"/>
      <x:c r="Z344" s="84"/>
    </x:row>
    <x:row r="345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4"/>
      <x:c r="K345" s="84"/>
      <x:c r="L345" s="84"/>
      <x:c r="M345" s="84"/>
      <x:c r="N345" s="84"/>
      <x:c r="O345" s="84"/>
      <x:c r="P345" s="84"/>
      <x:c r="Q345" s="84"/>
      <x:c r="R345" s="84"/>
      <x:c r="S345" s="84"/>
      <x:c r="T345" s="84"/>
      <x:c r="U345" s="84"/>
      <x:c r="V345" s="84"/>
      <x:c r="W345" s="84"/>
      <x:c r="X345" s="84"/>
      <x:c r="Y345" s="84"/>
      <x:c r="Z345" s="84"/>
    </x:row>
    <x:row r="346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4"/>
      <x:c r="K346" s="84"/>
      <x:c r="L346" s="84"/>
      <x:c r="M346" s="84"/>
      <x:c r="N346" s="84"/>
      <x:c r="O346" s="84"/>
      <x:c r="P346" s="84"/>
      <x:c r="Q346" s="84"/>
      <x:c r="R346" s="84"/>
      <x:c r="S346" s="84"/>
      <x:c r="T346" s="84"/>
      <x:c r="U346" s="84"/>
      <x:c r="V346" s="84"/>
      <x:c r="W346" s="84"/>
      <x:c r="X346" s="84"/>
      <x:c r="Y346" s="84"/>
      <x:c r="Z346" s="84"/>
    </x:row>
    <x:row r="347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4"/>
      <x:c r="K347" s="84"/>
      <x:c r="L347" s="84"/>
      <x:c r="M347" s="84"/>
      <x:c r="N347" s="84"/>
      <x:c r="O347" s="84"/>
      <x:c r="P347" s="84"/>
      <x:c r="Q347" s="84"/>
      <x:c r="R347" s="84"/>
      <x:c r="S347" s="84"/>
      <x:c r="T347" s="84"/>
      <x:c r="U347" s="84"/>
      <x:c r="V347" s="84"/>
      <x:c r="W347" s="84"/>
      <x:c r="X347" s="84"/>
      <x:c r="Y347" s="84"/>
      <x:c r="Z347" s="84"/>
    </x:row>
    <x:row r="348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4"/>
      <x:c r="K348" s="84"/>
      <x:c r="L348" s="84"/>
      <x:c r="M348" s="84"/>
      <x:c r="N348" s="84"/>
      <x:c r="O348" s="84"/>
      <x:c r="P348" s="84"/>
      <x:c r="Q348" s="84"/>
      <x:c r="R348" s="84"/>
      <x:c r="S348" s="84"/>
      <x:c r="T348" s="84"/>
      <x:c r="U348" s="84"/>
      <x:c r="V348" s="84"/>
      <x:c r="W348" s="84"/>
      <x:c r="X348" s="84"/>
      <x:c r="Y348" s="84"/>
      <x:c r="Z348" s="84"/>
    </x:row>
    <x:row r="349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4"/>
      <x:c r="K349" s="84"/>
      <x:c r="L349" s="84"/>
      <x:c r="M349" s="84"/>
      <x:c r="N349" s="84"/>
      <x:c r="O349" s="84"/>
      <x:c r="P349" s="84"/>
      <x:c r="Q349" s="84"/>
      <x:c r="R349" s="84"/>
      <x:c r="S349" s="84"/>
      <x:c r="T349" s="84"/>
      <x:c r="U349" s="84"/>
      <x:c r="V349" s="84"/>
      <x:c r="W349" s="84"/>
      <x:c r="X349" s="84"/>
      <x:c r="Y349" s="84"/>
      <x:c r="Z349" s="84"/>
    </x:row>
    <x:row r="350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4"/>
      <x:c r="K350" s="84"/>
      <x:c r="L350" s="84"/>
      <x:c r="M350" s="84"/>
      <x:c r="N350" s="84"/>
      <x:c r="O350" s="84"/>
      <x:c r="P350" s="84"/>
      <x:c r="Q350" s="84"/>
      <x:c r="R350" s="84"/>
      <x:c r="S350" s="84"/>
      <x:c r="T350" s="84"/>
      <x:c r="U350" s="84"/>
      <x:c r="V350" s="84"/>
      <x:c r="W350" s="84"/>
      <x:c r="X350" s="84"/>
      <x:c r="Y350" s="84"/>
      <x:c r="Z350" s="84"/>
    </x:row>
    <x:row r="35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4"/>
      <x:c r="K351" s="84"/>
      <x:c r="L351" s="84"/>
      <x:c r="M351" s="84"/>
      <x:c r="N351" s="84"/>
      <x:c r="O351" s="84"/>
      <x:c r="P351" s="84"/>
      <x:c r="Q351" s="84"/>
      <x:c r="R351" s="84"/>
      <x:c r="S351" s="84"/>
      <x:c r="T351" s="84"/>
      <x:c r="U351" s="84"/>
      <x:c r="V351" s="84"/>
      <x:c r="W351" s="84"/>
      <x:c r="X351" s="84"/>
      <x:c r="Y351" s="84"/>
      <x:c r="Z351" s="84"/>
    </x:row>
    <x:row r="352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4"/>
      <x:c r="K352" s="84"/>
      <x:c r="L352" s="84"/>
      <x:c r="M352" s="84"/>
      <x:c r="N352" s="84"/>
      <x:c r="O352" s="84"/>
      <x:c r="P352" s="84"/>
      <x:c r="Q352" s="84"/>
      <x:c r="R352" s="84"/>
      <x:c r="S352" s="84"/>
      <x:c r="T352" s="84"/>
      <x:c r="U352" s="84"/>
      <x:c r="V352" s="84"/>
      <x:c r="W352" s="84"/>
      <x:c r="X352" s="84"/>
      <x:c r="Y352" s="84"/>
      <x:c r="Z352" s="84"/>
    </x:row>
    <x:row r="353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4"/>
      <x:c r="K353" s="84"/>
      <x:c r="L353" s="84"/>
      <x:c r="M353" s="84"/>
      <x:c r="N353" s="84"/>
      <x:c r="O353" s="84"/>
      <x:c r="P353" s="84"/>
      <x:c r="Q353" s="84"/>
      <x:c r="R353" s="84"/>
      <x:c r="S353" s="84"/>
      <x:c r="T353" s="84"/>
      <x:c r="U353" s="84"/>
      <x:c r="V353" s="84"/>
      <x:c r="W353" s="84"/>
      <x:c r="X353" s="84"/>
      <x:c r="Y353" s="84"/>
      <x:c r="Z353" s="84"/>
    </x:row>
    <x:row r="354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4"/>
      <x:c r="K354" s="84"/>
      <x:c r="L354" s="84"/>
      <x:c r="M354" s="84"/>
      <x:c r="N354" s="84"/>
      <x:c r="O354" s="84"/>
      <x:c r="P354" s="84"/>
      <x:c r="Q354" s="84"/>
      <x:c r="R354" s="84"/>
      <x:c r="S354" s="84"/>
      <x:c r="T354" s="84"/>
      <x:c r="U354" s="84"/>
      <x:c r="V354" s="84"/>
      <x:c r="W354" s="84"/>
      <x:c r="X354" s="84"/>
      <x:c r="Y354" s="84"/>
      <x:c r="Z354" s="84"/>
    </x:row>
    <x:row r="355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4"/>
      <x:c r="K355" s="84"/>
      <x:c r="L355" s="84"/>
      <x:c r="M355" s="84"/>
      <x:c r="N355" s="84"/>
      <x:c r="O355" s="84"/>
      <x:c r="P355" s="84"/>
      <x:c r="Q355" s="84"/>
      <x:c r="R355" s="84"/>
      <x:c r="S355" s="84"/>
      <x:c r="T355" s="84"/>
      <x:c r="U355" s="84"/>
      <x:c r="V355" s="84"/>
      <x:c r="W355" s="84"/>
      <x:c r="X355" s="84"/>
      <x:c r="Y355" s="84"/>
      <x:c r="Z355" s="84"/>
    </x:row>
    <x:row r="356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4"/>
      <x:c r="K356" s="84"/>
      <x:c r="L356" s="84"/>
      <x:c r="M356" s="84"/>
      <x:c r="N356" s="84"/>
      <x:c r="O356" s="84"/>
      <x:c r="P356" s="84"/>
      <x:c r="Q356" s="84"/>
      <x:c r="R356" s="84"/>
      <x:c r="S356" s="84"/>
      <x:c r="T356" s="84"/>
      <x:c r="U356" s="84"/>
      <x:c r="V356" s="84"/>
      <x:c r="W356" s="84"/>
      <x:c r="X356" s="84"/>
      <x:c r="Y356" s="84"/>
      <x:c r="Z356" s="84"/>
    </x:row>
    <x:row r="357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4"/>
      <x:c r="K357" s="84"/>
      <x:c r="L357" s="84"/>
      <x:c r="M357" s="84"/>
      <x:c r="N357" s="84"/>
      <x:c r="O357" s="84"/>
      <x:c r="P357" s="84"/>
      <x:c r="Q357" s="84"/>
      <x:c r="R357" s="84"/>
      <x:c r="S357" s="84"/>
      <x:c r="T357" s="84"/>
      <x:c r="U357" s="84"/>
      <x:c r="V357" s="84"/>
      <x:c r="W357" s="84"/>
      <x:c r="X357" s="84"/>
      <x:c r="Y357" s="84"/>
      <x:c r="Z357" s="84"/>
    </x:row>
    <x:row r="358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4"/>
      <x:c r="K358" s="84"/>
      <x:c r="L358" s="84"/>
      <x:c r="M358" s="84"/>
      <x:c r="N358" s="84"/>
      <x:c r="O358" s="84"/>
      <x:c r="P358" s="84"/>
      <x:c r="Q358" s="84"/>
      <x:c r="R358" s="84"/>
      <x:c r="S358" s="84"/>
      <x:c r="T358" s="84"/>
      <x:c r="U358" s="84"/>
      <x:c r="V358" s="84"/>
      <x:c r="W358" s="84"/>
      <x:c r="X358" s="84"/>
      <x:c r="Y358" s="84"/>
      <x:c r="Z358" s="84"/>
    </x:row>
    <x:row r="359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4"/>
      <x:c r="K359" s="84"/>
      <x:c r="L359" s="84"/>
      <x:c r="M359" s="84"/>
      <x:c r="N359" s="84"/>
      <x:c r="O359" s="84"/>
      <x:c r="P359" s="84"/>
      <x:c r="Q359" s="84"/>
      <x:c r="R359" s="84"/>
      <x:c r="S359" s="84"/>
      <x:c r="T359" s="84"/>
      <x:c r="U359" s="84"/>
      <x:c r="V359" s="84"/>
      <x:c r="W359" s="84"/>
      <x:c r="X359" s="84"/>
      <x:c r="Y359" s="84"/>
      <x:c r="Z359" s="84"/>
    </x:row>
    <x:row r="360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4"/>
      <x:c r="K360" s="84"/>
      <x:c r="L360" s="84"/>
      <x:c r="M360" s="84"/>
      <x:c r="N360" s="84"/>
      <x:c r="O360" s="84"/>
      <x:c r="P360" s="84"/>
      <x:c r="Q360" s="84"/>
      <x:c r="R360" s="84"/>
      <x:c r="S360" s="84"/>
      <x:c r="T360" s="84"/>
      <x:c r="U360" s="84"/>
      <x:c r="V360" s="84"/>
      <x:c r="W360" s="84"/>
      <x:c r="X360" s="84"/>
      <x:c r="Y360" s="84"/>
      <x:c r="Z360" s="84"/>
    </x:row>
    <x:row r="36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4"/>
      <x:c r="K361" s="84"/>
      <x:c r="L361" s="84"/>
      <x:c r="M361" s="84"/>
      <x:c r="N361" s="84"/>
      <x:c r="O361" s="84"/>
      <x:c r="P361" s="84"/>
      <x:c r="Q361" s="84"/>
      <x:c r="R361" s="84"/>
      <x:c r="S361" s="84"/>
      <x:c r="T361" s="84"/>
      <x:c r="U361" s="84"/>
      <x:c r="V361" s="84"/>
      <x:c r="W361" s="84"/>
      <x:c r="X361" s="84"/>
      <x:c r="Y361" s="84"/>
      <x:c r="Z361" s="84"/>
    </x:row>
    <x:row r="362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4"/>
      <x:c r="K362" s="84"/>
      <x:c r="L362" s="84"/>
      <x:c r="M362" s="84"/>
      <x:c r="N362" s="84"/>
      <x:c r="O362" s="84"/>
      <x:c r="P362" s="84"/>
      <x:c r="Q362" s="84"/>
      <x:c r="R362" s="84"/>
      <x:c r="S362" s="84"/>
      <x:c r="T362" s="84"/>
      <x:c r="U362" s="84"/>
      <x:c r="V362" s="84"/>
      <x:c r="W362" s="84"/>
      <x:c r="X362" s="84"/>
      <x:c r="Y362" s="84"/>
      <x:c r="Z362" s="84"/>
    </x:row>
    <x:row r="363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4"/>
      <x:c r="K363" s="84"/>
      <x:c r="L363" s="84"/>
      <x:c r="M363" s="84"/>
      <x:c r="N363" s="84"/>
      <x:c r="O363" s="84"/>
      <x:c r="P363" s="84"/>
      <x:c r="Q363" s="84"/>
      <x:c r="R363" s="84"/>
      <x:c r="S363" s="84"/>
      <x:c r="T363" s="84"/>
      <x:c r="U363" s="84"/>
      <x:c r="V363" s="84"/>
      <x:c r="W363" s="84"/>
      <x:c r="X363" s="84"/>
      <x:c r="Y363" s="84"/>
      <x:c r="Z363" s="84"/>
    </x:row>
    <x:row r="364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4"/>
      <x:c r="K364" s="84"/>
      <x:c r="L364" s="84"/>
      <x:c r="M364" s="84"/>
      <x:c r="N364" s="84"/>
      <x:c r="O364" s="84"/>
      <x:c r="P364" s="84"/>
      <x:c r="Q364" s="84"/>
      <x:c r="R364" s="84"/>
      <x:c r="S364" s="84"/>
      <x:c r="T364" s="84"/>
      <x:c r="U364" s="84"/>
      <x:c r="V364" s="84"/>
      <x:c r="W364" s="84"/>
      <x:c r="X364" s="84"/>
      <x:c r="Y364" s="84"/>
      <x:c r="Z364" s="84"/>
    </x:row>
    <x:row r="365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4"/>
      <x:c r="K365" s="84"/>
      <x:c r="L365" s="84"/>
      <x:c r="M365" s="84"/>
      <x:c r="N365" s="84"/>
      <x:c r="O365" s="84"/>
      <x:c r="P365" s="84"/>
      <x:c r="Q365" s="84"/>
      <x:c r="R365" s="84"/>
      <x:c r="S365" s="84"/>
      <x:c r="T365" s="84"/>
      <x:c r="U365" s="84"/>
      <x:c r="V365" s="84"/>
      <x:c r="W365" s="84"/>
      <x:c r="X365" s="84"/>
      <x:c r="Y365" s="84"/>
      <x:c r="Z365" s="84"/>
    </x:row>
    <x:row r="366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4"/>
      <x:c r="K366" s="84"/>
      <x:c r="L366" s="84"/>
      <x:c r="M366" s="84"/>
      <x:c r="N366" s="84"/>
      <x:c r="O366" s="84"/>
      <x:c r="P366" s="84"/>
      <x:c r="Q366" s="84"/>
      <x:c r="R366" s="84"/>
      <x:c r="S366" s="84"/>
      <x:c r="T366" s="84"/>
      <x:c r="U366" s="84"/>
      <x:c r="V366" s="84"/>
      <x:c r="W366" s="84"/>
      <x:c r="X366" s="84"/>
      <x:c r="Y366" s="84"/>
      <x:c r="Z366" s="84"/>
    </x:row>
    <x:row r="367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4"/>
      <x:c r="K367" s="84"/>
      <x:c r="L367" s="84"/>
      <x:c r="M367" s="84"/>
      <x:c r="N367" s="84"/>
      <x:c r="O367" s="84"/>
      <x:c r="P367" s="84"/>
      <x:c r="Q367" s="84"/>
      <x:c r="R367" s="84"/>
      <x:c r="S367" s="84"/>
      <x:c r="T367" s="84"/>
      <x:c r="U367" s="84"/>
      <x:c r="V367" s="84"/>
      <x:c r="W367" s="84"/>
      <x:c r="X367" s="84"/>
      <x:c r="Y367" s="84"/>
      <x:c r="Z367" s="84"/>
    </x:row>
    <x:row r="368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4"/>
      <x:c r="K368" s="84"/>
      <x:c r="L368" s="84"/>
      <x:c r="M368" s="84"/>
      <x:c r="N368" s="84"/>
      <x:c r="O368" s="84"/>
      <x:c r="P368" s="84"/>
      <x:c r="Q368" s="84"/>
      <x:c r="R368" s="84"/>
      <x:c r="S368" s="84"/>
      <x:c r="T368" s="84"/>
      <x:c r="U368" s="84"/>
      <x:c r="V368" s="84"/>
      <x:c r="W368" s="84"/>
      <x:c r="X368" s="84"/>
      <x:c r="Y368" s="84"/>
      <x:c r="Z368" s="84"/>
    </x:row>
    <x:row r="369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4"/>
      <x:c r="K369" s="84"/>
      <x:c r="L369" s="84"/>
      <x:c r="M369" s="84"/>
      <x:c r="N369" s="84"/>
      <x:c r="O369" s="84"/>
      <x:c r="P369" s="84"/>
      <x:c r="Q369" s="84"/>
      <x:c r="R369" s="84"/>
      <x:c r="S369" s="84"/>
      <x:c r="T369" s="84"/>
      <x:c r="U369" s="84"/>
      <x:c r="V369" s="84"/>
      <x:c r="W369" s="84"/>
      <x:c r="X369" s="84"/>
      <x:c r="Y369" s="84"/>
      <x:c r="Z369" s="84"/>
    </x:row>
    <x:row r="370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4"/>
      <x:c r="K370" s="84"/>
      <x:c r="L370" s="84"/>
      <x:c r="M370" s="84"/>
      <x:c r="N370" s="84"/>
      <x:c r="O370" s="84"/>
      <x:c r="P370" s="84"/>
      <x:c r="Q370" s="84"/>
      <x:c r="R370" s="84"/>
      <x:c r="S370" s="84"/>
      <x:c r="T370" s="84"/>
      <x:c r="U370" s="84"/>
      <x:c r="V370" s="84"/>
      <x:c r="W370" s="84"/>
      <x:c r="X370" s="84"/>
      <x:c r="Y370" s="84"/>
      <x:c r="Z370" s="84"/>
    </x:row>
    <x:row r="37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4"/>
      <x:c r="K371" s="84"/>
      <x:c r="L371" s="84"/>
      <x:c r="M371" s="84"/>
      <x:c r="N371" s="84"/>
      <x:c r="O371" s="84"/>
      <x:c r="P371" s="84"/>
      <x:c r="Q371" s="84"/>
      <x:c r="R371" s="84"/>
      <x:c r="S371" s="84"/>
      <x:c r="T371" s="84"/>
      <x:c r="U371" s="84"/>
      <x:c r="V371" s="84"/>
      <x:c r="W371" s="84"/>
      <x:c r="X371" s="84"/>
      <x:c r="Y371" s="84"/>
      <x:c r="Z371" s="84"/>
    </x:row>
    <x:row r="372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4"/>
      <x:c r="K372" s="84"/>
      <x:c r="L372" s="84"/>
      <x:c r="M372" s="84"/>
      <x:c r="N372" s="84"/>
      <x:c r="O372" s="84"/>
      <x:c r="P372" s="84"/>
      <x:c r="Q372" s="84"/>
      <x:c r="R372" s="84"/>
      <x:c r="S372" s="84"/>
      <x:c r="T372" s="84"/>
      <x:c r="U372" s="84"/>
      <x:c r="V372" s="84"/>
      <x:c r="W372" s="84"/>
      <x:c r="X372" s="84"/>
      <x:c r="Y372" s="84"/>
      <x:c r="Z372" s="84"/>
    </x:row>
    <x:row r="373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4"/>
      <x:c r="K373" s="84"/>
      <x:c r="L373" s="84"/>
      <x:c r="M373" s="84"/>
      <x:c r="N373" s="84"/>
      <x:c r="O373" s="84"/>
      <x:c r="P373" s="84"/>
      <x:c r="Q373" s="84"/>
      <x:c r="R373" s="84"/>
      <x:c r="S373" s="84"/>
      <x:c r="T373" s="84"/>
      <x:c r="U373" s="84"/>
      <x:c r="V373" s="84"/>
      <x:c r="W373" s="84"/>
      <x:c r="X373" s="84"/>
      <x:c r="Y373" s="84"/>
      <x:c r="Z373" s="84"/>
    </x:row>
    <x:row r="374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4"/>
      <x:c r="K374" s="84"/>
      <x:c r="L374" s="84"/>
      <x:c r="M374" s="84"/>
      <x:c r="N374" s="84"/>
      <x:c r="O374" s="84"/>
      <x:c r="P374" s="84"/>
      <x:c r="Q374" s="84"/>
      <x:c r="R374" s="84"/>
      <x:c r="S374" s="84"/>
      <x:c r="T374" s="84"/>
      <x:c r="U374" s="84"/>
      <x:c r="V374" s="84"/>
      <x:c r="W374" s="84"/>
      <x:c r="X374" s="84"/>
      <x:c r="Y374" s="84"/>
      <x:c r="Z374" s="84"/>
    </x:row>
    <x:row r="375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4"/>
      <x:c r="K375" s="84"/>
      <x:c r="L375" s="84"/>
      <x:c r="M375" s="84"/>
      <x:c r="N375" s="84"/>
      <x:c r="O375" s="84"/>
      <x:c r="P375" s="84"/>
      <x:c r="Q375" s="84"/>
      <x:c r="R375" s="84"/>
      <x:c r="S375" s="84"/>
      <x:c r="T375" s="84"/>
      <x:c r="U375" s="84"/>
      <x:c r="V375" s="84"/>
      <x:c r="W375" s="84"/>
      <x:c r="X375" s="84"/>
      <x:c r="Y375" s="84"/>
      <x:c r="Z375" s="84"/>
    </x:row>
    <x:row r="376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4"/>
      <x:c r="K376" s="84"/>
      <x:c r="L376" s="84"/>
      <x:c r="M376" s="84"/>
      <x:c r="N376" s="84"/>
      <x:c r="O376" s="84"/>
      <x:c r="P376" s="84"/>
      <x:c r="Q376" s="84"/>
      <x:c r="R376" s="84"/>
      <x:c r="S376" s="84"/>
      <x:c r="T376" s="84"/>
      <x:c r="U376" s="84"/>
      <x:c r="V376" s="84"/>
      <x:c r="W376" s="84"/>
      <x:c r="X376" s="84"/>
      <x:c r="Y376" s="84"/>
      <x:c r="Z376" s="84"/>
    </x:row>
    <x:row r="377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4"/>
      <x:c r="K377" s="84"/>
      <x:c r="L377" s="84"/>
      <x:c r="M377" s="84"/>
      <x:c r="N377" s="84"/>
      <x:c r="O377" s="84"/>
      <x:c r="P377" s="84"/>
      <x:c r="Q377" s="84"/>
      <x:c r="R377" s="84"/>
      <x:c r="S377" s="84"/>
      <x:c r="T377" s="84"/>
      <x:c r="U377" s="84"/>
      <x:c r="V377" s="84"/>
      <x:c r="W377" s="84"/>
      <x:c r="X377" s="84"/>
      <x:c r="Y377" s="84"/>
      <x:c r="Z377" s="84"/>
    </x:row>
    <x:row r="378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4"/>
      <x:c r="K378" s="84"/>
      <x:c r="L378" s="84"/>
      <x:c r="M378" s="84"/>
      <x:c r="N378" s="84"/>
      <x:c r="O378" s="84"/>
      <x:c r="P378" s="84"/>
      <x:c r="Q378" s="84"/>
      <x:c r="R378" s="84"/>
      <x:c r="S378" s="84"/>
      <x:c r="T378" s="84"/>
      <x:c r="U378" s="84"/>
      <x:c r="V378" s="84"/>
      <x:c r="W378" s="84"/>
      <x:c r="X378" s="84"/>
      <x:c r="Y378" s="84"/>
      <x:c r="Z378" s="84"/>
    </x:row>
    <x:row r="379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4"/>
      <x:c r="K379" s="84"/>
      <x:c r="L379" s="84"/>
      <x:c r="M379" s="84"/>
      <x:c r="N379" s="84"/>
      <x:c r="O379" s="84"/>
      <x:c r="P379" s="84"/>
      <x:c r="Q379" s="84"/>
      <x:c r="R379" s="84"/>
      <x:c r="S379" s="84"/>
      <x:c r="T379" s="84"/>
      <x:c r="U379" s="84"/>
      <x:c r="V379" s="84"/>
      <x:c r="W379" s="84"/>
      <x:c r="X379" s="84"/>
      <x:c r="Y379" s="84"/>
      <x:c r="Z379" s="84"/>
    </x:row>
    <x:row r="380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4"/>
      <x:c r="K380" s="84"/>
      <x:c r="L380" s="84"/>
      <x:c r="M380" s="84"/>
      <x:c r="N380" s="84"/>
      <x:c r="O380" s="84"/>
      <x:c r="P380" s="84"/>
      <x:c r="Q380" s="84"/>
      <x:c r="R380" s="84"/>
      <x:c r="S380" s="84"/>
      <x:c r="T380" s="84"/>
      <x:c r="U380" s="84"/>
      <x:c r="V380" s="84"/>
      <x:c r="W380" s="84"/>
      <x:c r="X380" s="84"/>
      <x:c r="Y380" s="84"/>
      <x:c r="Z380" s="84"/>
    </x:row>
    <x:row r="38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4"/>
      <x:c r="K381" s="84"/>
      <x:c r="L381" s="84"/>
      <x:c r="M381" s="84"/>
      <x:c r="N381" s="84"/>
      <x:c r="O381" s="84"/>
      <x:c r="P381" s="84"/>
      <x:c r="Q381" s="84"/>
      <x:c r="R381" s="84"/>
      <x:c r="S381" s="84"/>
      <x:c r="T381" s="84"/>
      <x:c r="U381" s="84"/>
      <x:c r="V381" s="84"/>
      <x:c r="W381" s="84"/>
      <x:c r="X381" s="84"/>
      <x:c r="Y381" s="84"/>
      <x:c r="Z381" s="84"/>
    </x:row>
    <x:row r="382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4"/>
      <x:c r="K382" s="84"/>
      <x:c r="L382" s="84"/>
      <x:c r="M382" s="84"/>
      <x:c r="N382" s="84"/>
      <x:c r="O382" s="84"/>
      <x:c r="P382" s="84"/>
      <x:c r="Q382" s="84"/>
      <x:c r="R382" s="84"/>
      <x:c r="S382" s="84"/>
      <x:c r="T382" s="84"/>
      <x:c r="U382" s="84"/>
      <x:c r="V382" s="84"/>
      <x:c r="W382" s="84"/>
      <x:c r="X382" s="84"/>
      <x:c r="Y382" s="84"/>
      <x:c r="Z382" s="84"/>
    </x:row>
    <x:row r="383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4"/>
      <x:c r="K383" s="84"/>
      <x:c r="L383" s="84"/>
      <x:c r="M383" s="84"/>
      <x:c r="N383" s="84"/>
      <x:c r="O383" s="84"/>
      <x:c r="P383" s="84"/>
      <x:c r="Q383" s="84"/>
      <x:c r="R383" s="84"/>
      <x:c r="S383" s="84"/>
      <x:c r="T383" s="84"/>
      <x:c r="U383" s="84"/>
      <x:c r="V383" s="84"/>
      <x:c r="W383" s="84"/>
      <x:c r="X383" s="84"/>
      <x:c r="Y383" s="84"/>
      <x:c r="Z383" s="84"/>
    </x:row>
    <x:row r="384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4"/>
      <x:c r="K384" s="84"/>
      <x:c r="L384" s="84"/>
      <x:c r="M384" s="84"/>
      <x:c r="N384" s="84"/>
      <x:c r="O384" s="84"/>
      <x:c r="P384" s="84"/>
      <x:c r="Q384" s="84"/>
      <x:c r="R384" s="84"/>
      <x:c r="S384" s="84"/>
      <x:c r="T384" s="84"/>
      <x:c r="U384" s="84"/>
      <x:c r="V384" s="84"/>
      <x:c r="W384" s="84"/>
      <x:c r="X384" s="84"/>
      <x:c r="Y384" s="84"/>
      <x:c r="Z384" s="84"/>
    </x:row>
    <x:row r="385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4"/>
      <x:c r="K385" s="84"/>
      <x:c r="L385" s="84"/>
      <x:c r="M385" s="84"/>
      <x:c r="N385" s="84"/>
      <x:c r="O385" s="84"/>
      <x:c r="P385" s="84"/>
      <x:c r="Q385" s="84"/>
      <x:c r="R385" s="84"/>
      <x:c r="S385" s="84"/>
      <x:c r="T385" s="84"/>
      <x:c r="U385" s="84"/>
      <x:c r="V385" s="84"/>
      <x:c r="W385" s="84"/>
      <x:c r="X385" s="84"/>
      <x:c r="Y385" s="84"/>
      <x:c r="Z385" s="84"/>
    </x:row>
    <x:row r="386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4"/>
      <x:c r="K386" s="84"/>
      <x:c r="L386" s="84"/>
      <x:c r="M386" s="84"/>
      <x:c r="N386" s="84"/>
      <x:c r="O386" s="84"/>
      <x:c r="P386" s="84"/>
      <x:c r="Q386" s="84"/>
      <x:c r="R386" s="84"/>
      <x:c r="S386" s="84"/>
      <x:c r="T386" s="84"/>
      <x:c r="U386" s="84"/>
      <x:c r="V386" s="84"/>
      <x:c r="W386" s="84"/>
      <x:c r="X386" s="84"/>
      <x:c r="Y386" s="84"/>
      <x:c r="Z386" s="84"/>
    </x:row>
    <x:row r="387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4"/>
      <x:c r="K387" s="84"/>
      <x:c r="L387" s="84"/>
      <x:c r="M387" s="84"/>
      <x:c r="N387" s="84"/>
      <x:c r="O387" s="84"/>
      <x:c r="P387" s="84"/>
      <x:c r="Q387" s="84"/>
      <x:c r="R387" s="84"/>
      <x:c r="S387" s="84"/>
      <x:c r="T387" s="84"/>
      <x:c r="U387" s="84"/>
      <x:c r="V387" s="84"/>
      <x:c r="W387" s="84"/>
      <x:c r="X387" s="84"/>
      <x:c r="Y387" s="84"/>
      <x:c r="Z387" s="84"/>
    </x:row>
    <x:row r="388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4"/>
      <x:c r="K388" s="84"/>
      <x:c r="L388" s="84"/>
      <x:c r="M388" s="84"/>
      <x:c r="N388" s="84"/>
      <x:c r="O388" s="84"/>
      <x:c r="P388" s="84"/>
      <x:c r="Q388" s="84"/>
      <x:c r="R388" s="84"/>
      <x:c r="S388" s="84"/>
      <x:c r="T388" s="84"/>
      <x:c r="U388" s="84"/>
      <x:c r="V388" s="84"/>
      <x:c r="W388" s="84"/>
      <x:c r="X388" s="84"/>
      <x:c r="Y388" s="84"/>
      <x:c r="Z388" s="84"/>
    </x:row>
    <x:row r="389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4"/>
      <x:c r="K389" s="84"/>
      <x:c r="L389" s="84"/>
      <x:c r="M389" s="84"/>
      <x:c r="N389" s="84"/>
      <x:c r="O389" s="84"/>
      <x:c r="P389" s="84"/>
      <x:c r="Q389" s="84"/>
      <x:c r="R389" s="84"/>
      <x:c r="S389" s="84"/>
      <x:c r="T389" s="84"/>
      <x:c r="U389" s="84"/>
      <x:c r="V389" s="84"/>
      <x:c r="W389" s="84"/>
      <x:c r="X389" s="84"/>
      <x:c r="Y389" s="84"/>
      <x:c r="Z389" s="84"/>
    </x:row>
    <x:row r="390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4"/>
      <x:c r="K390" s="84"/>
      <x:c r="L390" s="84"/>
      <x:c r="M390" s="84"/>
      <x:c r="N390" s="84"/>
      <x:c r="O390" s="84"/>
      <x:c r="P390" s="84"/>
      <x:c r="Q390" s="84"/>
      <x:c r="R390" s="84"/>
      <x:c r="S390" s="84"/>
      <x:c r="T390" s="84"/>
      <x:c r="U390" s="84"/>
      <x:c r="V390" s="84"/>
      <x:c r="W390" s="84"/>
      <x:c r="X390" s="84"/>
      <x:c r="Y390" s="84"/>
      <x:c r="Z390" s="84"/>
    </x:row>
    <x:row r="39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4"/>
      <x:c r="K391" s="84"/>
      <x:c r="L391" s="84"/>
      <x:c r="M391" s="84"/>
      <x:c r="N391" s="84"/>
      <x:c r="O391" s="84"/>
      <x:c r="P391" s="84"/>
      <x:c r="Q391" s="84"/>
      <x:c r="R391" s="84"/>
      <x:c r="S391" s="84"/>
      <x:c r="T391" s="84"/>
      <x:c r="U391" s="84"/>
      <x:c r="V391" s="84"/>
      <x:c r="W391" s="84"/>
      <x:c r="X391" s="84"/>
      <x:c r="Y391" s="84"/>
      <x:c r="Z391" s="84"/>
    </x:row>
    <x:row r="392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4"/>
      <x:c r="K392" s="84"/>
      <x:c r="L392" s="84"/>
      <x:c r="M392" s="84"/>
      <x:c r="N392" s="84"/>
      <x:c r="O392" s="84"/>
      <x:c r="P392" s="84"/>
      <x:c r="Q392" s="84"/>
      <x:c r="R392" s="84"/>
      <x:c r="S392" s="84"/>
      <x:c r="T392" s="84"/>
      <x:c r="U392" s="84"/>
      <x:c r="V392" s="84"/>
      <x:c r="W392" s="84"/>
      <x:c r="X392" s="84"/>
      <x:c r="Y392" s="84"/>
      <x:c r="Z392" s="84"/>
    </x:row>
    <x:row r="393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4"/>
      <x:c r="K393" s="84"/>
      <x:c r="L393" s="84"/>
      <x:c r="M393" s="84"/>
      <x:c r="N393" s="84"/>
      <x:c r="O393" s="84"/>
      <x:c r="P393" s="84"/>
      <x:c r="Q393" s="84"/>
      <x:c r="R393" s="84"/>
      <x:c r="S393" s="84"/>
      <x:c r="T393" s="84"/>
      <x:c r="U393" s="84"/>
      <x:c r="V393" s="84"/>
      <x:c r="W393" s="84"/>
      <x:c r="X393" s="84"/>
      <x:c r="Y393" s="84"/>
      <x:c r="Z393" s="84"/>
    </x:row>
    <x:row r="394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4"/>
      <x:c r="K394" s="84"/>
      <x:c r="L394" s="84"/>
      <x:c r="M394" s="84"/>
      <x:c r="N394" s="84"/>
      <x:c r="O394" s="84"/>
      <x:c r="P394" s="84"/>
      <x:c r="Q394" s="84"/>
      <x:c r="R394" s="84"/>
      <x:c r="S394" s="84"/>
      <x:c r="T394" s="84"/>
      <x:c r="U394" s="84"/>
      <x:c r="V394" s="84"/>
      <x:c r="W394" s="84"/>
      <x:c r="X394" s="84"/>
      <x:c r="Y394" s="84"/>
      <x:c r="Z394" s="84"/>
    </x:row>
    <x:row r="395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4"/>
      <x:c r="K395" s="84"/>
      <x:c r="L395" s="84"/>
      <x:c r="M395" s="84"/>
      <x:c r="N395" s="84"/>
      <x:c r="O395" s="84"/>
      <x:c r="P395" s="84"/>
      <x:c r="Q395" s="84"/>
      <x:c r="R395" s="84"/>
      <x:c r="S395" s="84"/>
      <x:c r="T395" s="84"/>
      <x:c r="U395" s="84"/>
      <x:c r="V395" s="84"/>
      <x:c r="W395" s="84"/>
      <x:c r="X395" s="84"/>
      <x:c r="Y395" s="84"/>
      <x:c r="Z395" s="84"/>
    </x:row>
    <x:row r="396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4"/>
      <x:c r="K396" s="84"/>
      <x:c r="L396" s="84"/>
      <x:c r="M396" s="84"/>
      <x:c r="N396" s="84"/>
      <x:c r="O396" s="84"/>
      <x:c r="P396" s="84"/>
      <x:c r="Q396" s="84"/>
      <x:c r="R396" s="84"/>
      <x:c r="S396" s="84"/>
      <x:c r="T396" s="84"/>
      <x:c r="U396" s="84"/>
      <x:c r="V396" s="84"/>
      <x:c r="W396" s="84"/>
      <x:c r="X396" s="84"/>
      <x:c r="Y396" s="84"/>
      <x:c r="Z396" s="84"/>
    </x:row>
    <x:row r="397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4"/>
      <x:c r="K397" s="84"/>
      <x:c r="L397" s="84"/>
      <x:c r="M397" s="84"/>
      <x:c r="N397" s="84"/>
      <x:c r="O397" s="84"/>
      <x:c r="P397" s="84"/>
      <x:c r="Q397" s="84"/>
      <x:c r="R397" s="84"/>
      <x:c r="S397" s="84"/>
      <x:c r="T397" s="84"/>
      <x:c r="U397" s="84"/>
      <x:c r="V397" s="84"/>
      <x:c r="W397" s="84"/>
      <x:c r="X397" s="84"/>
      <x:c r="Y397" s="84"/>
      <x:c r="Z397" s="84"/>
    </x:row>
    <x:row r="398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4"/>
      <x:c r="K398" s="84"/>
      <x:c r="L398" s="84"/>
      <x:c r="M398" s="84"/>
      <x:c r="N398" s="84"/>
      <x:c r="O398" s="84"/>
      <x:c r="P398" s="84"/>
      <x:c r="Q398" s="84"/>
      <x:c r="R398" s="84"/>
      <x:c r="S398" s="84"/>
      <x:c r="T398" s="84"/>
      <x:c r="U398" s="84"/>
      <x:c r="V398" s="84"/>
      <x:c r="W398" s="84"/>
      <x:c r="X398" s="84"/>
      <x:c r="Y398" s="84"/>
      <x:c r="Z398" s="84"/>
    </x:row>
    <x:row r="399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4"/>
      <x:c r="K399" s="84"/>
      <x:c r="L399" s="84"/>
      <x:c r="M399" s="84"/>
      <x:c r="N399" s="84"/>
      <x:c r="O399" s="84"/>
      <x:c r="P399" s="84"/>
      <x:c r="Q399" s="84"/>
      <x:c r="R399" s="84"/>
      <x:c r="S399" s="84"/>
      <x:c r="T399" s="84"/>
      <x:c r="U399" s="84"/>
      <x:c r="V399" s="84"/>
      <x:c r="W399" s="84"/>
      <x:c r="X399" s="84"/>
      <x:c r="Y399" s="84"/>
      <x:c r="Z399" s="84"/>
    </x:row>
    <x:row r="400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4"/>
      <x:c r="K400" s="84"/>
      <x:c r="L400" s="84"/>
      <x:c r="M400" s="84"/>
      <x:c r="N400" s="84"/>
      <x:c r="O400" s="84"/>
      <x:c r="P400" s="84"/>
      <x:c r="Q400" s="84"/>
      <x:c r="R400" s="84"/>
      <x:c r="S400" s="84"/>
      <x:c r="T400" s="84"/>
      <x:c r="U400" s="84"/>
      <x:c r="V400" s="84"/>
      <x:c r="W400" s="84"/>
      <x:c r="X400" s="84"/>
      <x:c r="Y400" s="84"/>
      <x:c r="Z400" s="84"/>
    </x:row>
    <x:row r="40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4"/>
      <x:c r="K401" s="84"/>
      <x:c r="L401" s="84"/>
      <x:c r="M401" s="84"/>
      <x:c r="N401" s="84"/>
      <x:c r="O401" s="84"/>
      <x:c r="P401" s="84"/>
      <x:c r="Q401" s="84"/>
      <x:c r="R401" s="84"/>
      <x:c r="S401" s="84"/>
      <x:c r="T401" s="84"/>
      <x:c r="U401" s="84"/>
      <x:c r="V401" s="84"/>
      <x:c r="W401" s="84"/>
      <x:c r="X401" s="84"/>
      <x:c r="Y401" s="84"/>
      <x:c r="Z401" s="84"/>
    </x:row>
    <x:row r="402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4"/>
      <x:c r="K402" s="84"/>
      <x:c r="L402" s="84"/>
      <x:c r="M402" s="84"/>
      <x:c r="N402" s="84"/>
      <x:c r="O402" s="84"/>
      <x:c r="P402" s="84"/>
      <x:c r="Q402" s="84"/>
      <x:c r="R402" s="84"/>
      <x:c r="S402" s="84"/>
      <x:c r="T402" s="84"/>
      <x:c r="U402" s="84"/>
      <x:c r="V402" s="84"/>
      <x:c r="W402" s="84"/>
      <x:c r="X402" s="84"/>
      <x:c r="Y402" s="84"/>
      <x:c r="Z402" s="84"/>
    </x:row>
    <x:row r="403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4"/>
      <x:c r="K403" s="84"/>
      <x:c r="L403" s="84"/>
      <x:c r="M403" s="84"/>
      <x:c r="N403" s="84"/>
      <x:c r="O403" s="84"/>
      <x:c r="P403" s="84"/>
      <x:c r="Q403" s="84"/>
      <x:c r="R403" s="84"/>
      <x:c r="S403" s="84"/>
      <x:c r="T403" s="84"/>
      <x:c r="U403" s="84"/>
      <x:c r="V403" s="84"/>
      <x:c r="W403" s="84"/>
      <x:c r="X403" s="84"/>
      <x:c r="Y403" s="84"/>
      <x:c r="Z403" s="84"/>
    </x:row>
    <x:row r="404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4"/>
      <x:c r="K404" s="84"/>
      <x:c r="L404" s="84"/>
      <x:c r="M404" s="84"/>
      <x:c r="N404" s="84"/>
      <x:c r="O404" s="84"/>
      <x:c r="P404" s="84"/>
      <x:c r="Q404" s="84"/>
      <x:c r="R404" s="84"/>
      <x:c r="S404" s="84"/>
      <x:c r="T404" s="84"/>
      <x:c r="U404" s="84"/>
      <x:c r="V404" s="84"/>
      <x:c r="W404" s="84"/>
      <x:c r="X404" s="84"/>
      <x:c r="Y404" s="84"/>
      <x:c r="Z404" s="84"/>
    </x:row>
    <x:row r="405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4"/>
      <x:c r="K405" s="84"/>
      <x:c r="L405" s="84"/>
      <x:c r="M405" s="84"/>
      <x:c r="N405" s="84"/>
      <x:c r="O405" s="84"/>
      <x:c r="P405" s="84"/>
      <x:c r="Q405" s="84"/>
      <x:c r="R405" s="84"/>
      <x:c r="S405" s="84"/>
      <x:c r="T405" s="84"/>
      <x:c r="U405" s="84"/>
      <x:c r="V405" s="84"/>
      <x:c r="W405" s="84"/>
      <x:c r="X405" s="84"/>
      <x:c r="Y405" s="84"/>
      <x:c r="Z405" s="84"/>
    </x:row>
    <x:row r="406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4"/>
      <x:c r="K406" s="84"/>
      <x:c r="L406" s="84"/>
      <x:c r="M406" s="84"/>
      <x:c r="N406" s="84"/>
      <x:c r="O406" s="84"/>
      <x:c r="P406" s="84"/>
      <x:c r="Q406" s="84"/>
      <x:c r="R406" s="84"/>
      <x:c r="S406" s="84"/>
      <x:c r="T406" s="84"/>
      <x:c r="U406" s="84"/>
      <x:c r="V406" s="84"/>
      <x:c r="W406" s="84"/>
      <x:c r="X406" s="84"/>
      <x:c r="Y406" s="84"/>
      <x:c r="Z406" s="84"/>
    </x:row>
    <x:row r="407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4"/>
      <x:c r="K407" s="84"/>
      <x:c r="L407" s="84"/>
      <x:c r="M407" s="84"/>
      <x:c r="N407" s="84"/>
      <x:c r="O407" s="84"/>
      <x:c r="P407" s="84"/>
      <x:c r="Q407" s="84"/>
      <x:c r="R407" s="84"/>
      <x:c r="S407" s="84"/>
      <x:c r="T407" s="84"/>
      <x:c r="U407" s="84"/>
      <x:c r="V407" s="84"/>
      <x:c r="W407" s="84"/>
      <x:c r="X407" s="84"/>
      <x:c r="Y407" s="84"/>
      <x:c r="Z407" s="84"/>
    </x:row>
    <x:row r="408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4"/>
      <x:c r="K408" s="84"/>
      <x:c r="L408" s="84"/>
      <x:c r="M408" s="84"/>
      <x:c r="N408" s="84"/>
      <x:c r="O408" s="84"/>
      <x:c r="P408" s="84"/>
      <x:c r="Q408" s="84"/>
      <x:c r="R408" s="84"/>
      <x:c r="S408" s="84"/>
      <x:c r="T408" s="84"/>
      <x:c r="U408" s="84"/>
      <x:c r="V408" s="84"/>
      <x:c r="W408" s="84"/>
      <x:c r="X408" s="84"/>
      <x:c r="Y408" s="84"/>
      <x:c r="Z408" s="84"/>
    </x:row>
    <x:row r="409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4"/>
      <x:c r="K409" s="84"/>
      <x:c r="L409" s="84"/>
      <x:c r="M409" s="84"/>
      <x:c r="N409" s="84"/>
      <x:c r="O409" s="84"/>
      <x:c r="P409" s="84"/>
      <x:c r="Q409" s="84"/>
      <x:c r="R409" s="84"/>
      <x:c r="S409" s="84"/>
      <x:c r="T409" s="84"/>
      <x:c r="U409" s="84"/>
      <x:c r="V409" s="84"/>
      <x:c r="W409" s="84"/>
      <x:c r="X409" s="84"/>
      <x:c r="Y409" s="84"/>
      <x:c r="Z409" s="84"/>
    </x:row>
    <x:row r="410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4"/>
      <x:c r="K410" s="84"/>
      <x:c r="L410" s="84"/>
      <x:c r="M410" s="84"/>
      <x:c r="N410" s="84"/>
      <x:c r="O410" s="84"/>
      <x:c r="P410" s="84"/>
      <x:c r="Q410" s="84"/>
      <x:c r="R410" s="84"/>
      <x:c r="S410" s="84"/>
      <x:c r="T410" s="84"/>
      <x:c r="U410" s="84"/>
      <x:c r="V410" s="84"/>
      <x:c r="W410" s="84"/>
      <x:c r="X410" s="84"/>
      <x:c r="Y410" s="84"/>
      <x:c r="Z410" s="84"/>
    </x:row>
    <x:row r="41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4"/>
      <x:c r="K411" s="84"/>
      <x:c r="L411" s="84"/>
      <x:c r="M411" s="84"/>
      <x:c r="N411" s="84"/>
      <x:c r="O411" s="84"/>
      <x:c r="P411" s="84"/>
      <x:c r="Q411" s="84"/>
      <x:c r="R411" s="84"/>
      <x:c r="S411" s="84"/>
      <x:c r="T411" s="84"/>
      <x:c r="U411" s="84"/>
      <x:c r="V411" s="84"/>
      <x:c r="W411" s="84"/>
      <x:c r="X411" s="84"/>
      <x:c r="Y411" s="84"/>
      <x:c r="Z411" s="84"/>
    </x:row>
    <x:row r="412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4"/>
      <x:c r="K412" s="84"/>
      <x:c r="L412" s="84"/>
      <x:c r="M412" s="84"/>
      <x:c r="N412" s="84"/>
      <x:c r="O412" s="84"/>
      <x:c r="P412" s="84"/>
      <x:c r="Q412" s="84"/>
      <x:c r="R412" s="84"/>
      <x:c r="S412" s="84"/>
      <x:c r="T412" s="84"/>
      <x:c r="U412" s="84"/>
      <x:c r="V412" s="84"/>
      <x:c r="W412" s="84"/>
      <x:c r="X412" s="84"/>
      <x:c r="Y412" s="84"/>
      <x:c r="Z412" s="84"/>
    </x:row>
    <x:row r="413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4"/>
      <x:c r="K413" s="84"/>
      <x:c r="L413" s="84"/>
      <x:c r="M413" s="84"/>
      <x:c r="N413" s="84"/>
      <x:c r="O413" s="84"/>
      <x:c r="P413" s="84"/>
      <x:c r="Q413" s="84"/>
      <x:c r="R413" s="84"/>
      <x:c r="S413" s="84"/>
      <x:c r="T413" s="84"/>
      <x:c r="U413" s="84"/>
      <x:c r="V413" s="84"/>
      <x:c r="W413" s="84"/>
      <x:c r="X413" s="84"/>
      <x:c r="Y413" s="84"/>
      <x:c r="Z413" s="84"/>
    </x:row>
    <x:row r="414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4"/>
      <x:c r="K414" s="84"/>
      <x:c r="L414" s="84"/>
      <x:c r="M414" s="84"/>
      <x:c r="N414" s="84"/>
      <x:c r="O414" s="84"/>
      <x:c r="P414" s="84"/>
      <x:c r="Q414" s="84"/>
      <x:c r="R414" s="84"/>
      <x:c r="S414" s="84"/>
      <x:c r="T414" s="84"/>
      <x:c r="U414" s="84"/>
      <x:c r="V414" s="84"/>
      <x:c r="W414" s="84"/>
      <x:c r="X414" s="84"/>
      <x:c r="Y414" s="84"/>
      <x:c r="Z414" s="84"/>
    </x:row>
    <x:row r="415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4"/>
      <x:c r="K415" s="84"/>
      <x:c r="L415" s="84"/>
      <x:c r="M415" s="84"/>
      <x:c r="N415" s="84"/>
      <x:c r="O415" s="84"/>
      <x:c r="P415" s="84"/>
      <x:c r="Q415" s="84"/>
      <x:c r="R415" s="84"/>
      <x:c r="S415" s="84"/>
      <x:c r="T415" s="84"/>
      <x:c r="U415" s="84"/>
      <x:c r="V415" s="84"/>
      <x:c r="W415" s="84"/>
      <x:c r="X415" s="84"/>
      <x:c r="Y415" s="84"/>
      <x:c r="Z415" s="84"/>
    </x:row>
    <x:row r="416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4"/>
      <x:c r="K416" s="84"/>
      <x:c r="L416" s="84"/>
      <x:c r="M416" s="84"/>
      <x:c r="N416" s="84"/>
      <x:c r="O416" s="84"/>
      <x:c r="P416" s="84"/>
      <x:c r="Q416" s="84"/>
      <x:c r="R416" s="84"/>
      <x:c r="S416" s="84"/>
      <x:c r="T416" s="84"/>
      <x:c r="U416" s="84"/>
      <x:c r="V416" s="84"/>
      <x:c r="W416" s="84"/>
      <x:c r="X416" s="84"/>
      <x:c r="Y416" s="84"/>
      <x:c r="Z416" s="84"/>
    </x:row>
    <x:row r="417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4"/>
      <x:c r="K417" s="84"/>
      <x:c r="L417" s="84"/>
      <x:c r="M417" s="84"/>
      <x:c r="N417" s="84"/>
      <x:c r="O417" s="84"/>
      <x:c r="P417" s="84"/>
      <x:c r="Q417" s="84"/>
      <x:c r="R417" s="84"/>
      <x:c r="S417" s="84"/>
      <x:c r="T417" s="84"/>
      <x:c r="U417" s="84"/>
      <x:c r="V417" s="84"/>
      <x:c r="W417" s="84"/>
      <x:c r="X417" s="84"/>
      <x:c r="Y417" s="84"/>
      <x:c r="Z417" s="84"/>
    </x:row>
    <x:row r="418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4"/>
      <x:c r="K418" s="84"/>
      <x:c r="L418" s="84"/>
      <x:c r="M418" s="84"/>
      <x:c r="N418" s="84"/>
      <x:c r="O418" s="84"/>
      <x:c r="P418" s="84"/>
      <x:c r="Q418" s="84"/>
      <x:c r="R418" s="84"/>
      <x:c r="S418" s="84"/>
      <x:c r="T418" s="84"/>
      <x:c r="U418" s="84"/>
      <x:c r="V418" s="84"/>
      <x:c r="W418" s="84"/>
      <x:c r="X418" s="84"/>
      <x:c r="Y418" s="84"/>
      <x:c r="Z418" s="84"/>
    </x:row>
    <x:row r="419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4"/>
      <x:c r="K419" s="84"/>
      <x:c r="L419" s="84"/>
      <x:c r="M419" s="84"/>
      <x:c r="N419" s="84"/>
      <x:c r="O419" s="84"/>
      <x:c r="P419" s="84"/>
      <x:c r="Q419" s="84"/>
      <x:c r="R419" s="84"/>
      <x:c r="S419" s="84"/>
      <x:c r="T419" s="84"/>
      <x:c r="U419" s="84"/>
      <x:c r="V419" s="84"/>
      <x:c r="W419" s="84"/>
      <x:c r="X419" s="84"/>
      <x:c r="Y419" s="84"/>
      <x:c r="Z419" s="84"/>
    </x:row>
    <x:row r="420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4"/>
      <x:c r="K420" s="84"/>
      <x:c r="L420" s="84"/>
      <x:c r="M420" s="84"/>
      <x:c r="N420" s="84"/>
      <x:c r="O420" s="84"/>
      <x:c r="P420" s="84"/>
      <x:c r="Q420" s="84"/>
      <x:c r="R420" s="84"/>
      <x:c r="S420" s="84"/>
      <x:c r="T420" s="84"/>
      <x:c r="U420" s="84"/>
      <x:c r="V420" s="84"/>
      <x:c r="W420" s="84"/>
      <x:c r="X420" s="84"/>
      <x:c r="Y420" s="84"/>
      <x:c r="Z420" s="84"/>
    </x:row>
    <x:row r="42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4"/>
      <x:c r="K421" s="84"/>
      <x:c r="L421" s="84"/>
      <x:c r="M421" s="84"/>
      <x:c r="N421" s="84"/>
      <x:c r="O421" s="84"/>
      <x:c r="P421" s="84"/>
      <x:c r="Q421" s="84"/>
      <x:c r="R421" s="84"/>
      <x:c r="S421" s="84"/>
      <x:c r="T421" s="84"/>
      <x:c r="U421" s="84"/>
      <x:c r="V421" s="84"/>
      <x:c r="W421" s="84"/>
      <x:c r="X421" s="84"/>
      <x:c r="Y421" s="84"/>
      <x:c r="Z421" s="84"/>
    </x:row>
    <x:row r="422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4"/>
      <x:c r="K422" s="84"/>
      <x:c r="L422" s="84"/>
      <x:c r="M422" s="84"/>
      <x:c r="N422" s="84"/>
      <x:c r="O422" s="84"/>
      <x:c r="P422" s="84"/>
      <x:c r="Q422" s="84"/>
      <x:c r="R422" s="84"/>
      <x:c r="S422" s="84"/>
      <x:c r="T422" s="84"/>
      <x:c r="U422" s="84"/>
      <x:c r="V422" s="84"/>
      <x:c r="W422" s="84"/>
      <x:c r="X422" s="84"/>
      <x:c r="Y422" s="84"/>
      <x:c r="Z422" s="84"/>
    </x:row>
    <x:row r="423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4"/>
      <x:c r="K423" s="84"/>
      <x:c r="L423" s="84"/>
      <x:c r="M423" s="84"/>
      <x:c r="N423" s="84"/>
      <x:c r="O423" s="84"/>
      <x:c r="P423" s="84"/>
      <x:c r="Q423" s="84"/>
      <x:c r="R423" s="84"/>
      <x:c r="S423" s="84"/>
      <x:c r="T423" s="84"/>
      <x:c r="U423" s="84"/>
      <x:c r="V423" s="84"/>
      <x:c r="W423" s="84"/>
      <x:c r="X423" s="84"/>
      <x:c r="Y423" s="84"/>
      <x:c r="Z423" s="84"/>
    </x:row>
    <x:row r="424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4"/>
      <x:c r="K424" s="84"/>
      <x:c r="L424" s="84"/>
      <x:c r="M424" s="84"/>
      <x:c r="N424" s="84"/>
      <x:c r="O424" s="84"/>
      <x:c r="P424" s="84"/>
      <x:c r="Q424" s="84"/>
      <x:c r="R424" s="84"/>
      <x:c r="S424" s="84"/>
      <x:c r="T424" s="84"/>
      <x:c r="U424" s="84"/>
      <x:c r="V424" s="84"/>
      <x:c r="W424" s="84"/>
      <x:c r="X424" s="84"/>
      <x:c r="Y424" s="84"/>
      <x:c r="Z424" s="84"/>
    </x:row>
    <x:row r="425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4"/>
      <x:c r="K425" s="84"/>
      <x:c r="L425" s="84"/>
      <x:c r="M425" s="84"/>
      <x:c r="N425" s="84"/>
      <x:c r="O425" s="84"/>
      <x:c r="P425" s="84"/>
      <x:c r="Q425" s="84"/>
      <x:c r="R425" s="84"/>
      <x:c r="S425" s="84"/>
      <x:c r="T425" s="84"/>
      <x:c r="U425" s="84"/>
      <x:c r="V425" s="84"/>
      <x:c r="W425" s="84"/>
      <x:c r="X425" s="84"/>
      <x:c r="Y425" s="84"/>
      <x:c r="Z425" s="84"/>
    </x:row>
    <x:row r="426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4"/>
      <x:c r="K426" s="84"/>
      <x:c r="L426" s="84"/>
      <x:c r="M426" s="84"/>
      <x:c r="N426" s="84"/>
      <x:c r="O426" s="84"/>
      <x:c r="P426" s="84"/>
      <x:c r="Q426" s="84"/>
      <x:c r="R426" s="84"/>
      <x:c r="S426" s="84"/>
      <x:c r="T426" s="84"/>
      <x:c r="U426" s="84"/>
      <x:c r="V426" s="84"/>
      <x:c r="W426" s="84"/>
      <x:c r="X426" s="84"/>
      <x:c r="Y426" s="84"/>
      <x:c r="Z426" s="84"/>
    </x:row>
    <x:row r="427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4"/>
      <x:c r="K427" s="84"/>
      <x:c r="L427" s="84"/>
      <x:c r="M427" s="84"/>
      <x:c r="N427" s="84"/>
      <x:c r="O427" s="84"/>
      <x:c r="P427" s="84"/>
      <x:c r="Q427" s="84"/>
      <x:c r="R427" s="84"/>
      <x:c r="S427" s="84"/>
      <x:c r="T427" s="84"/>
      <x:c r="U427" s="84"/>
      <x:c r="V427" s="84"/>
      <x:c r="W427" s="84"/>
      <x:c r="X427" s="84"/>
      <x:c r="Y427" s="84"/>
      <x:c r="Z427" s="84"/>
    </x:row>
    <x:row r="428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4"/>
      <x:c r="K428" s="84"/>
      <x:c r="L428" s="84"/>
      <x:c r="M428" s="84"/>
      <x:c r="N428" s="84"/>
      <x:c r="O428" s="84"/>
      <x:c r="P428" s="84"/>
      <x:c r="Q428" s="84"/>
      <x:c r="R428" s="84"/>
      <x:c r="S428" s="84"/>
      <x:c r="T428" s="84"/>
      <x:c r="U428" s="84"/>
      <x:c r="V428" s="84"/>
      <x:c r="W428" s="84"/>
      <x:c r="X428" s="84"/>
      <x:c r="Y428" s="84"/>
      <x:c r="Z428" s="84"/>
    </x:row>
    <x:row r="429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4"/>
      <x:c r="K429" s="84"/>
      <x:c r="L429" s="84"/>
      <x:c r="M429" s="84"/>
      <x:c r="N429" s="84"/>
      <x:c r="O429" s="84"/>
      <x:c r="P429" s="84"/>
      <x:c r="Q429" s="84"/>
      <x:c r="R429" s="84"/>
      <x:c r="S429" s="84"/>
      <x:c r="T429" s="84"/>
      <x:c r="U429" s="84"/>
      <x:c r="V429" s="84"/>
      <x:c r="W429" s="84"/>
      <x:c r="X429" s="84"/>
      <x:c r="Y429" s="84"/>
      <x:c r="Z429" s="84"/>
    </x:row>
    <x:row r="430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4"/>
      <x:c r="K430" s="84"/>
      <x:c r="L430" s="84"/>
      <x:c r="M430" s="84"/>
      <x:c r="N430" s="84"/>
      <x:c r="O430" s="84"/>
      <x:c r="P430" s="84"/>
      <x:c r="Q430" s="84"/>
      <x:c r="R430" s="84"/>
      <x:c r="S430" s="84"/>
      <x:c r="T430" s="84"/>
      <x:c r="U430" s="84"/>
      <x:c r="V430" s="84"/>
      <x:c r="W430" s="84"/>
      <x:c r="X430" s="84"/>
      <x:c r="Y430" s="84"/>
      <x:c r="Z430" s="84"/>
    </x:row>
    <x:row r="43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4"/>
      <x:c r="K431" s="84"/>
      <x:c r="L431" s="84"/>
      <x:c r="M431" s="84"/>
      <x:c r="N431" s="84"/>
      <x:c r="O431" s="84"/>
      <x:c r="P431" s="84"/>
      <x:c r="Q431" s="84"/>
      <x:c r="R431" s="84"/>
      <x:c r="S431" s="84"/>
      <x:c r="T431" s="84"/>
      <x:c r="U431" s="84"/>
      <x:c r="V431" s="84"/>
      <x:c r="W431" s="84"/>
      <x:c r="X431" s="84"/>
      <x:c r="Y431" s="84"/>
      <x:c r="Z431" s="84"/>
    </x:row>
    <x:row r="432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4"/>
      <x:c r="K432" s="84"/>
      <x:c r="L432" s="84"/>
      <x:c r="M432" s="84"/>
      <x:c r="N432" s="84"/>
      <x:c r="O432" s="84"/>
      <x:c r="P432" s="84"/>
      <x:c r="Q432" s="84"/>
      <x:c r="R432" s="84"/>
      <x:c r="S432" s="84"/>
      <x:c r="T432" s="84"/>
      <x:c r="U432" s="84"/>
      <x:c r="V432" s="84"/>
      <x:c r="W432" s="84"/>
      <x:c r="X432" s="84"/>
      <x:c r="Y432" s="84"/>
      <x:c r="Z432" s="84"/>
    </x:row>
    <x:row r="433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4"/>
      <x:c r="K433" s="84"/>
      <x:c r="L433" s="84"/>
      <x:c r="M433" s="84"/>
      <x:c r="N433" s="84"/>
      <x:c r="O433" s="84"/>
      <x:c r="P433" s="84"/>
      <x:c r="Q433" s="84"/>
      <x:c r="R433" s="84"/>
      <x:c r="S433" s="84"/>
      <x:c r="T433" s="84"/>
      <x:c r="U433" s="84"/>
      <x:c r="V433" s="84"/>
      <x:c r="W433" s="84"/>
      <x:c r="X433" s="84"/>
      <x:c r="Y433" s="84"/>
      <x:c r="Z433" s="84"/>
    </x:row>
    <x:row r="434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4"/>
      <x:c r="K434" s="84"/>
      <x:c r="L434" s="84"/>
      <x:c r="M434" s="84"/>
      <x:c r="N434" s="84"/>
      <x:c r="O434" s="84"/>
      <x:c r="P434" s="84"/>
      <x:c r="Q434" s="84"/>
      <x:c r="R434" s="84"/>
      <x:c r="S434" s="84"/>
      <x:c r="T434" s="84"/>
      <x:c r="U434" s="84"/>
      <x:c r="V434" s="84"/>
      <x:c r="W434" s="84"/>
      <x:c r="X434" s="84"/>
      <x:c r="Y434" s="84"/>
      <x:c r="Z434" s="84"/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TERCEIROS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TERCEIROS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26739</x:v>
      </x:c>
      <x:c r="C5" s="218" t="str">
        <x:v>6</x:v>
      </x:c>
      <x:c r="D5" s="218" t="str">
        <x:v>609637</x:v>
      </x:c>
      <x:c r="E5" s="218" t="str">
        <x:v>3020701844</x:v>
      </x:c>
      <x:c r="F5" s="218" t="str">
        <x:v>OUTROS</x:v>
      </x:c>
      <x:c r="G5" s="184" t="str">
        <x:v>BAND DOB ULTRA 700X1226X9 PVC R BCO RTO</x:v>
      </x:c>
      <x:c r="H5" s="184" t="str"/>
      <x:c r="I5" s="184" t="str"/>
      <x:c r="J5" s="184" t="str"/>
      <x:c r="K5" s="184" t="str">
        <x:v>RECOBERTO PVC RENOLIT</x:v>
      </x:c>
      <x:c r="L5" s="184" t="str">
        <x:v>BRANCO</x:v>
      </x:c>
      <x:c r="M5" s="205" t="n">
        <x:v>4</x:v>
      </x:c>
      <x:c r="N5" s="205" t="n">
        <x:v>700</x:v>
      </x:c>
      <x:c r="O5" s="205" t="n">
        <x:v>1226</x:v>
      </x:c>
      <x:c r="P5" s="205" t="n">
        <x:v>9</x:v>
      </x:c>
      <x:c r="Q5" s="206" t="n">
        <x:v>0.031</x:v>
      </x:c>
      <x:c r="R5" s="207" t="str"/>
      <x:c r="S5" s="207" t="str"/>
      <x:c r="T5" s="207" t="str"/>
      <x:c r="U5" s="207" t="n">
        <x:v>0</x:v>
      </x:c>
      <x:c r="V5" s="208" t="n">
        <x:f>MAX(0,M5-U5)</x:f>
        <x:v>4</x:v>
      </x:c>
      <x:c r="W5" s="209" t="n">
        <x:f>IFERROR(U5/M5,0)</x:f>
        <x:v>0</x:v>
      </x:c>
      <x:c r="X5" s="201" t="str">
        <x:f>IF(U5=0,"Não iniciado",IF(U5&gt;=M5,"Concluído","Parcial"))</x:f>
        <x:v>Não iniciado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26750</x:v>
      </x:c>
      <x:c r="C6" s="220" t="str">
        <x:v>27</x:v>
      </x:c>
      <x:c r="D6" s="220" t="str">
        <x:v>609928</x:v>
      </x:c>
      <x:c r="E6" s="220" t="str">
        <x:v>3020701844</x:v>
      </x:c>
      <x:c r="F6" s="220" t="str">
        <x:v>OUTROS</x:v>
      </x:c>
      <x:c r="G6" s="190" t="str">
        <x:v>BAND DOB ULTRA 700X1226X9 PVC R BCO RTO</x:v>
      </x:c>
      <x:c r="H6" s="190" t="str"/>
      <x:c r="I6" s="190" t="str"/>
      <x:c r="J6" s="190" t="str"/>
      <x:c r="K6" s="190" t="str">
        <x:v>RECOBERTO PVC RENOLIT</x:v>
      </x:c>
      <x:c r="L6" s="190" t="str">
        <x:v>BRANCO</x:v>
      </x:c>
      <x:c r="M6" s="210" t="n">
        <x:v>3</x:v>
      </x:c>
      <x:c r="N6" s="210" t="n">
        <x:v>700</x:v>
      </x:c>
      <x:c r="O6" s="210" t="n">
        <x:v>1226</x:v>
      </x:c>
      <x:c r="P6" s="210" t="n">
        <x:v>9</x:v>
      </x:c>
      <x:c r="Q6" s="211" t="n">
        <x:v>0.023</x:v>
      </x:c>
      <x:c r="R6" s="207" t="str"/>
      <x:c r="S6" s="207" t="str"/>
      <x:c r="T6" s="207" t="str"/>
      <x:c r="U6" s="207" t="n">
        <x:v>0</x:v>
      </x:c>
      <x:c r="V6" s="208" t="n">
        <x:f>MAX(0,M6-U6)</x:f>
        <x:v>3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26739</x:v>
      </x:c>
      <x:c r="C7" s="218" t="str">
        <x:v>27</x:v>
      </x:c>
      <x:c r="D7" s="218" t="str">
        <x:v>609783</x:v>
      </x:c>
      <x:c r="E7" s="218" t="str">
        <x:v>3020701843</x:v>
      </x:c>
      <x:c r="F7" s="218" t="str">
        <x:v>OUTROS</x:v>
      </x:c>
      <x:c r="G7" s="184" t="str">
        <x:v>BAND DOB ULTRA 700X1166X9 PVC R BCO RTO</x:v>
      </x:c>
      <x:c r="H7" s="184" t="str"/>
      <x:c r="I7" s="184" t="str"/>
      <x:c r="J7" s="184" t="str"/>
      <x:c r="K7" s="184" t="str">
        <x:v>RECOBERTO PVC RENOLIT</x:v>
      </x:c>
      <x:c r="L7" s="184" t="str">
        <x:v>BRANCO</x:v>
      </x:c>
      <x:c r="M7" s="205" t="n">
        <x:v>12</x:v>
      </x:c>
      <x:c r="N7" s="205" t="n">
        <x:v>700</x:v>
      </x:c>
      <x:c r="O7" s="205" t="n">
        <x:v>1166</x:v>
      </x:c>
      <x:c r="P7" s="205" t="n">
        <x:v>9</x:v>
      </x:c>
      <x:c r="Q7" s="206" t="n">
        <x:v>0.088</x:v>
      </x:c>
      <x:c r="R7" s="207" t="str"/>
      <x:c r="S7" s="207" t="str"/>
      <x:c r="T7" s="207" t="str"/>
      <x:c r="U7" s="207" t="n">
        <x:v>0</x:v>
      </x:c>
      <x:c r="V7" s="208" t="n">
        <x:f>MAX(0,M7-U7)</x:f>
        <x:v>12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26750</x:v>
      </x:c>
      <x:c r="C8" s="220" t="str">
        <x:v>7</x:v>
      </x:c>
      <x:c r="D8" s="220" t="str">
        <x:v>609800</x:v>
      </x:c>
      <x:c r="E8" s="220" t="str">
        <x:v>3020701843</x:v>
      </x:c>
      <x:c r="F8" s="220" t="str">
        <x:v>OUTROS</x:v>
      </x:c>
      <x:c r="G8" s="190" t="str">
        <x:v>BAND DOB ULTRA 700X1166X9 PVC R BCO RTO</x:v>
      </x:c>
      <x:c r="H8" s="190" t="str"/>
      <x:c r="I8" s="190" t="str"/>
      <x:c r="J8" s="190" t="str"/>
      <x:c r="K8" s="190" t="str">
        <x:v>RECOBERTO PVC RENOLIT</x:v>
      </x:c>
      <x:c r="L8" s="190" t="str">
        <x:v>BRANCO</x:v>
      </x:c>
      <x:c r="M8" s="210" t="n">
        <x:v>8</x:v>
      </x:c>
      <x:c r="N8" s="210" t="n">
        <x:v>700</x:v>
      </x:c>
      <x:c r="O8" s="210" t="n">
        <x:v>1166</x:v>
      </x:c>
      <x:c r="P8" s="210" t="n">
        <x:v>9</x:v>
      </x:c>
      <x:c r="Q8" s="211" t="n">
        <x:v>0.059</x:v>
      </x:c>
      <x:c r="R8" s="207" t="str"/>
      <x:c r="S8" s="207" t="str"/>
      <x:c r="T8" s="207" t="str"/>
      <x:c r="U8" s="207" t="n">
        <x:v>0</x:v>
      </x:c>
      <x:c r="V8" s="208" t="n">
        <x:f>MAX(0,M8-U8)</x:f>
        <x:v>8</x:v>
      </x:c>
      <x:c r="W8" s="209" t="n">
        <x:f>IFERROR(U8/M8,0)</x:f>
        <x:v>0</x:v>
      </x:c>
      <x:c r="X8" s="201" t="str">
        <x:f>IF(U8=0,"Não iniciado",IF(U8&gt;=M8,"Concluído","Parcial"))</x:f>
        <x:v>Não iniciado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26739</x:v>
      </x:c>
      <x:c r="C9" s="218" t="str">
        <x:v>1</x:v>
      </x:c>
      <x:c r="D9" s="218" t="str">
        <x:v>609626</x:v>
      </x:c>
      <x:c r="E9" s="218" t="str">
        <x:v>3220800010</x:v>
      </x:c>
      <x:c r="F9" s="218" t="str">
        <x:v>OUTROS</x:v>
      </x:c>
      <x:c r="G9" s="184" t="str">
        <x:v>F P P EST HDF 6 2100X1000X35 SU PR BCO C</x:v>
      </x:c>
      <x:c r="H9" s="184" t="str"/>
      <x:c r="I9" s="184" t="str"/>
      <x:c r="J9" s="184" t="str"/>
      <x:c r="K9" s="184" t="str">
        <x:v>DUPLO LASER</x:v>
      </x:c>
      <x:c r="L9" s="184" t="str">
        <x:v>BRANCO</x:v>
      </x:c>
      <x:c r="M9" s="205" t="n">
        <x:v>16</x:v>
      </x:c>
      <x:c r="N9" s="205" t="n">
        <x:v>2100</x:v>
      </x:c>
      <x:c r="O9" s="205" t="n">
        <x:v>1000</x:v>
      </x:c>
      <x:c r="P9" s="205" t="n">
        <x:v>35</x:v>
      </x:c>
      <x:c r="Q9" s="206" t="n">
        <x:v>1.176</x:v>
      </x:c>
      <x:c r="R9" s="207" t="str"/>
      <x:c r="S9" s="207" t="str"/>
      <x:c r="T9" s="207" t="str"/>
      <x:c r="U9" s="207" t="n">
        <x:v>0</x:v>
      </x:c>
      <x:c r="V9" s="208" t="n">
        <x:f>MAX(0,M9-U9)</x:f>
        <x:v>16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26750</x:v>
      </x:c>
      <x:c r="C10" s="220" t="str">
        <x:v>1</x:v>
      </x:c>
      <x:c r="D10" s="220" t="str">
        <x:v>609786</x:v>
      </x:c>
      <x:c r="E10" s="220" t="str">
        <x:v>3220800010</x:v>
      </x:c>
      <x:c r="F10" s="220" t="str">
        <x:v>OUTROS</x:v>
      </x:c>
      <x:c r="G10" s="190" t="str">
        <x:v>F P P EST HDF 6 2100X1000X35 SU PR BCO C</x:v>
      </x:c>
      <x:c r="H10" s="190" t="str"/>
      <x:c r="I10" s="190" t="str"/>
      <x:c r="J10" s="190" t="str"/>
      <x:c r="K10" s="190" t="str">
        <x:v>DUPLO LASER</x:v>
      </x:c>
      <x:c r="L10" s="190" t="str">
        <x:v>BRANCO</x:v>
      </x:c>
      <x:c r="M10" s="210" t="n">
        <x:v>11</x:v>
      </x:c>
      <x:c r="N10" s="210" t="n">
        <x:v>2100</x:v>
      </x:c>
      <x:c r="O10" s="210" t="n">
        <x:v>1000</x:v>
      </x:c>
      <x:c r="P10" s="210" t="n">
        <x:v>35</x:v>
      </x:c>
      <x:c r="Q10" s="211" t="n">
        <x:v>0.809</x:v>
      </x:c>
      <x:c r="R10" s="207" t="str"/>
      <x:c r="S10" s="207" t="str"/>
      <x:c r="T10" s="207" t="str"/>
      <x:c r="U10" s="207" t="n">
        <x:v>0</x:v>
      </x:c>
      <x:c r="V10" s="208" t="n">
        <x:f>MAX(0,M10-U10)</x:f>
        <x:v>11</x:v>
      </x:c>
      <x:c r="W10" s="209" t="n">
        <x:f>IFERROR(U10/M10,0)</x:f>
        <x:v>0</x:v>
      </x:c>
      <x:c r="X10" s="201" t="str">
        <x:f>IF(U10=0,"Não iniciado",IF(U10&gt;=M10,"Concluído","Parcial"))</x:f>
        <x:v>Não iniciado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26520</x:v>
      </x:c>
      <x:c r="C11" s="218" t="str">
        <x:v>7</x:v>
      </x:c>
      <x:c r="D11" s="218" t="str">
        <x:v>610110</x:v>
      </x:c>
      <x:c r="E11" s="218" t="str">
        <x:v>3051300070</x:v>
      </x:c>
      <x:c r="F11" s="218" t="str">
        <x:v>PORTA</x:v>
      </x:c>
      <x:c r="G11" s="184" t="str">
        <x:v>FO P COR SEM HDF 3 2100X720X35 PET C RA</x:v>
      </x:c>
      <x:c r="H11" s="184" t="str">
        <x:v>LISA</x:v>
      </x:c>
      <x:c r="I11" s="184" t="str"/>
      <x:c r="J11" s="184" t="str"/>
      <x:c r="K11" s="184" t="str">
        <x:v>RECOBERTO PET</x:v>
      </x:c>
      <x:c r="L11" s="184" t="str">
        <x:v>CURUPIXA RAVENNA</x:v>
      </x:c>
      <x:c r="M11" s="205" t="n">
        <x:v>1</x:v>
      </x:c>
      <x:c r="N11" s="205" t="n">
        <x:v>2100</x:v>
      </x:c>
      <x:c r="O11" s="205" t="n">
        <x:v>720</x:v>
      </x:c>
      <x:c r="P11" s="205" t="n">
        <x:v>35</x:v>
      </x:c>
      <x:c r="Q11" s="206" t="n">
        <x:v>0.053</x:v>
      </x:c>
      <x:c r="R11" s="207" t="str"/>
      <x:c r="S11" s="207" t="str"/>
      <x:c r="T11" s="207" t="str"/>
      <x:c r="U11" s="207" t="n">
        <x:v>0</x:v>
      </x:c>
      <x:c r="V11" s="208" t="n">
        <x:f>MAX(0,M11-U11)</x:f>
        <x:v>1</x:v>
      </x:c>
      <x:c r="W11" s="209" t="n">
        <x:f>IFERROR(U11/M11,0)</x:f>
        <x:v>0</x:v>
      </x:c>
      <x:c r="X11" s="201" t="str">
        <x:f>IF(U11=0,"Não iniciado",IF(U11&gt;=M11,"Concluído","Parcial"))</x:f>
        <x:v>Não iniciado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26744</x:v>
      </x:c>
      <x:c r="C12" s="220" t="str">
        <x:v>4</x:v>
      </x:c>
      <x:c r="D12" s="220" t="str">
        <x:v>610013</x:v>
      </x:c>
      <x:c r="E12" s="220" t="str">
        <x:v>3051500040</x:v>
      </x:c>
      <x:c r="F12" s="220" t="str">
        <x:v>PORTA</x:v>
      </x:c>
      <x:c r="G12" s="190" t="str">
        <x:v>FO P COR S BD HDF 3 2100X700X35 PET BCO</x:v>
      </x:c>
      <x:c r="H12" s="190" t="str">
        <x:v>LISA</x:v>
      </x:c>
      <x:c r="I12" s="190" t="str"/>
      <x:c r="J12" s="190" t="str"/>
      <x:c r="K12" s="190" t="str">
        <x:v>RECOBERTO PET</x:v>
      </x:c>
      <x:c r="L12" s="190" t="str">
        <x:v>BRANCO CARRARA</x:v>
      </x:c>
      <x:c r="M12" s="210" t="n">
        <x:v>2</x:v>
      </x:c>
      <x:c r="N12" s="210" t="n">
        <x:v>2100</x:v>
      </x:c>
      <x:c r="O12" s="210" t="n">
        <x:v>700</x:v>
      </x:c>
      <x:c r="P12" s="210" t="n">
        <x:v>35</x:v>
      </x:c>
      <x:c r="Q12" s="211" t="n">
        <x:v>0.103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2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26739</x:v>
      </x:c>
      <x:c r="C13" s="218" t="str">
        <x:v>13</x:v>
      </x:c>
      <x:c r="D13" s="218" t="str">
        <x:v>609678</x:v>
      </x:c>
      <x:c r="E13" s="218" t="str">
        <x:v>3050300065</x:v>
      </x:c>
      <x:c r="F13" s="218" t="str">
        <x:v>PORTA</x:v>
      </x:c>
      <x:c r="G13" s="184" t="str">
        <x:v>FO P COR COL HDF 3 ESM BCO CAR 2100X700X</x:v>
      </x:c>
      <x:c r="H13" s="184" t="str">
        <x:v>LISA</x:v>
      </x:c>
      <x:c r="I13" s="184" t="str"/>
      <x:c r="J13" s="184" t="str"/>
      <x:c r="K13" s="184" t="str">
        <x:v>ESMALTE</x:v>
      </x:c>
      <x:c r="L13" s="184" t="str">
        <x:v>BRANCO CARRARA</x:v>
      </x:c>
      <x:c r="M13" s="205" t="n">
        <x:v>7</x:v>
      </x:c>
      <x:c r="N13" s="205" t="str"/>
      <x:c r="O13" s="205" t="str"/>
      <x:c r="P13" s="205" t="str"/>
      <x:c r="Q13" s="206" t="n">
        <x:v>0.36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7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26750</x:v>
      </x:c>
      <x:c r="C14" s="220" t="str">
        <x:v>16</x:v>
      </x:c>
      <x:c r="D14" s="220" t="str">
        <x:v>609851</x:v>
      </x:c>
      <x:c r="E14" s="220" t="str">
        <x:v>3050300065</x:v>
      </x:c>
      <x:c r="F14" s="220" t="str">
        <x:v>PORTA</x:v>
      </x:c>
      <x:c r="G14" s="190" t="str">
        <x:v>FO P COR COL HDF 3 ESM BCO CAR 2100X700X</x:v>
      </x:c>
      <x:c r="H14" s="190" t="str">
        <x:v>LISA</x:v>
      </x:c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7</x:v>
      </x:c>
      <x:c r="N14" s="210" t="str"/>
      <x:c r="O14" s="210" t="str"/>
      <x:c r="P14" s="210" t="str"/>
      <x:c r="Q14" s="211" t="n">
        <x:v>0.36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7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21" t="n">
        <x:v>11</x:v>
      </x:c>
      <x:c r="B15" s="222" t="str">
        <x:v>26808</x:v>
      </x:c>
      <x:c r="C15" s="222" t="str">
        <x:v>12</x:v>
      </x:c>
      <x:c r="D15" s="222" t="str">
        <x:v>608983</x:v>
      </x:c>
      <x:c r="E15" s="222" t="str">
        <x:v>3051400085</x:v>
      </x:c>
      <x:c r="F15" s="222" t="str">
        <x:v>PORTA</x:v>
      </x:c>
      <x:c r="G15" s="194" t="str">
        <x:v>FO P COR S GD HDF 3 ESM BCO CAR 2060X720</x:v>
      </x:c>
      <x:c r="H15" s="194" t="str">
        <x:v>LISA</x:v>
      </x:c>
      <x:c r="I15" s="194" t="str"/>
      <x:c r="J15" s="194" t="str"/>
      <x:c r="K15" s="194" t="str">
        <x:v>ESMALTE</x:v>
      </x:c>
      <x:c r="L15" s="194" t="str">
        <x:v>BRANCO CARRARA</x:v>
      </x:c>
      <x:c r="M15" s="212" t="n">
        <x:v>2</x:v>
      </x:c>
      <x:c r="N15" s="212" t="str"/>
      <x:c r="O15" s="212" t="str"/>
      <x:c r="P15" s="212" t="str"/>
      <x:c r="Q15" s="213" t="n">
        <x:v>0.104</x:v>
      </x:c>
      <x:c r="R15" s="214" t="str"/>
      <x:c r="S15" s="214" t="str"/>
      <x:c r="T15" s="214" t="str"/>
      <x:c r="U15" s="214" t="n">
        <x:v>0</x:v>
      </x:c>
      <x:c r="V15" s="215" t="n">
        <x:f>MAX(0,M15-U15)</x:f>
        <x:v>2</x:v>
      </x:c>
      <x:c r="W15" s="216" t="n">
        <x:f>IFERROR(U15/M15,0)</x:f>
        <x:v>0</x:v>
      </x:c>
      <x:c r="X15" s="203" t="str">
        <x:f>IF(U15=0,"Não iniciado",IF(U15&gt;=M15,"Concluído","Parcial"))</x:f>
        <x:v>Não iniciado</x:v>
      </x:c>
      <x:c r="Y15" s="200" t="str"/>
      <x:c r="Z15" s="198" t="str">
        <x:v>Normal</x:v>
      </x:c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  <x:c r="V16" s="84"/>
      <x:c r="W16" s="84"/>
      <x:c r="X16" s="84"/>
      <x:c r="Y16" s="84"/>
      <x:c r="Z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  <x:c r="V17" s="84"/>
      <x:c r="W17" s="84"/>
      <x:c r="X17" s="84"/>
      <x:c r="Y17" s="84"/>
      <x:c r="Z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  <x:c r="V18" s="84"/>
      <x:c r="W18" s="84"/>
      <x:c r="X18" s="84"/>
      <x:c r="Y18" s="84"/>
      <x:c r="Z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  <x:c r="V19" s="84"/>
      <x:c r="W19" s="84"/>
      <x:c r="X19" s="84"/>
      <x:c r="Y19" s="84"/>
      <x:c r="Z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  <x:c r="V20" s="84"/>
      <x:c r="W20" s="84"/>
      <x:c r="X20" s="84"/>
      <x:c r="Y20" s="84"/>
      <x:c r="Z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  <x:c r="V21" s="84"/>
      <x:c r="W21" s="84"/>
      <x:c r="X21" s="84"/>
      <x:c r="Y21" s="84"/>
      <x:c r="Z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  <x:c r="V22" s="84"/>
      <x:c r="W22" s="84"/>
      <x:c r="X22" s="84"/>
      <x:c r="Y22" s="84"/>
      <x:c r="Z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  <x:c r="V23" s="84"/>
      <x:c r="W23" s="84"/>
      <x:c r="X23" s="84"/>
      <x:c r="Y23" s="84"/>
      <x:c r="Z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  <x:c r="V24" s="84"/>
      <x:c r="W24" s="84"/>
      <x:c r="X24" s="84"/>
      <x:c r="Y24" s="84"/>
      <x:c r="Z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  <x:c r="V25" s="84"/>
      <x:c r="W25" s="84"/>
      <x:c r="X25" s="84"/>
      <x:c r="Y25" s="84"/>
      <x:c r="Z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  <x:c r="V26" s="84"/>
      <x:c r="W26" s="84"/>
      <x:c r="X26" s="84"/>
      <x:c r="Y26" s="84"/>
      <x:c r="Z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  <x:c r="V27" s="84"/>
      <x:c r="W27" s="84"/>
      <x:c r="X27" s="84"/>
      <x:c r="Y27" s="84"/>
      <x:c r="Z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  <x:c r="V28" s="84"/>
      <x:c r="W28" s="84"/>
      <x:c r="X28" s="84"/>
      <x:c r="Y28" s="84"/>
      <x:c r="Z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  <x:c r="V29" s="84"/>
      <x:c r="W29" s="84"/>
      <x:c r="X29" s="84"/>
      <x:c r="Y29" s="84"/>
      <x:c r="Z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  <x:c r="V30" s="84"/>
      <x:c r="W30" s="84"/>
      <x:c r="X30" s="84"/>
      <x:c r="Y30" s="84"/>
      <x:c r="Z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  <x:c r="V31" s="84"/>
      <x:c r="W31" s="84"/>
      <x:c r="X31" s="84"/>
      <x:c r="Y31" s="84"/>
      <x:c r="Z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  <x:c r="V32" s="84"/>
      <x:c r="W32" s="84"/>
      <x:c r="X32" s="84"/>
      <x:c r="Y32" s="84"/>
      <x:c r="Z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  <x:c r="V33" s="84"/>
      <x:c r="W33" s="84"/>
      <x:c r="X33" s="84"/>
      <x:c r="Y33" s="84"/>
      <x:c r="Z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  <x:c r="V34" s="84"/>
      <x:c r="W34" s="84"/>
      <x:c r="X34" s="84"/>
      <x:c r="Y34" s="84"/>
      <x:c r="Z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  <x:c r="V35" s="84"/>
      <x:c r="W35" s="84"/>
      <x:c r="X35" s="84"/>
      <x:c r="Y35" s="84"/>
      <x:c r="Z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  <x:c r="V36" s="84"/>
      <x:c r="W36" s="84"/>
      <x:c r="X36" s="84"/>
      <x:c r="Y36" s="84"/>
      <x:c r="Z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  <x:c r="V37" s="84"/>
      <x:c r="W37" s="84"/>
      <x:c r="X37" s="84"/>
      <x:c r="Y37" s="84"/>
      <x:c r="Z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  <x:c r="V38" s="84"/>
      <x:c r="W38" s="84"/>
      <x:c r="X38" s="84"/>
      <x:c r="Y38" s="84"/>
      <x:c r="Z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84"/>
      <x:c r="W39" s="84"/>
      <x:c r="X39" s="84"/>
      <x:c r="Y39" s="84"/>
      <x:c r="Z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  <x:c r="V40" s="84"/>
      <x:c r="W40" s="84"/>
      <x:c r="X40" s="84"/>
      <x:c r="Y40" s="84"/>
      <x:c r="Z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  <x:c r="V41" s="84"/>
      <x:c r="W41" s="84"/>
      <x:c r="X41" s="84"/>
      <x:c r="Y41" s="84"/>
      <x:c r="Z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  <x:c r="V42" s="84"/>
      <x:c r="W42" s="84"/>
      <x:c r="X42" s="84"/>
      <x:c r="Y42" s="84"/>
      <x:c r="Z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  <x:c r="V43" s="84"/>
      <x:c r="W43" s="84"/>
      <x:c r="X43" s="84"/>
      <x:c r="Y43" s="84"/>
      <x:c r="Z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  <x:c r="V44" s="84"/>
      <x:c r="W44" s="84"/>
      <x:c r="X44" s="84"/>
      <x:c r="Y44" s="84"/>
      <x:c r="Z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  <x:c r="V45" s="84"/>
      <x:c r="W45" s="84"/>
      <x:c r="X45" s="84"/>
      <x:c r="Y45" s="84"/>
      <x:c r="Z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  <x:c r="V46" s="84"/>
      <x:c r="W46" s="84"/>
      <x:c r="X46" s="84"/>
      <x:c r="Y46" s="84"/>
      <x:c r="Z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  <x:c r="V47" s="84"/>
      <x:c r="W47" s="84"/>
      <x:c r="X47" s="84"/>
      <x:c r="Y47" s="84"/>
      <x:c r="Z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  <x:c r="V48" s="84"/>
      <x:c r="W48" s="84"/>
      <x:c r="X48" s="84"/>
      <x:c r="Y48" s="84"/>
      <x:c r="Z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  <x:c r="V49" s="84"/>
      <x:c r="W49" s="84"/>
      <x:c r="X49" s="84"/>
      <x:c r="Y49" s="84"/>
      <x:c r="Z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  <x:c r="V50" s="84"/>
      <x:c r="W50" s="84"/>
      <x:c r="X50" s="84"/>
      <x:c r="Y50" s="84"/>
      <x:c r="Z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  <x:c r="V51" s="84"/>
      <x:c r="W51" s="84"/>
      <x:c r="X51" s="84"/>
      <x:c r="Y51" s="84"/>
      <x:c r="Z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  <x:c r="V52" s="84"/>
      <x:c r="W52" s="84"/>
      <x:c r="X52" s="84"/>
      <x:c r="Y52" s="84"/>
      <x:c r="Z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  <x:c r="V53" s="84"/>
      <x:c r="W53" s="84"/>
      <x:c r="X53" s="84"/>
      <x:c r="Y53" s="84"/>
      <x:c r="Z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  <x:c r="V54" s="84"/>
      <x:c r="W54" s="84"/>
      <x:c r="X54" s="84"/>
      <x:c r="Y54" s="84"/>
      <x:c r="Z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  <x:c r="V55" s="84"/>
      <x:c r="W55" s="84"/>
      <x:c r="X55" s="84"/>
      <x:c r="Y55" s="84"/>
      <x:c r="Z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  <x:c r="V56" s="84"/>
      <x:c r="W56" s="84"/>
      <x:c r="X56" s="84"/>
      <x:c r="Y56" s="84"/>
      <x:c r="Z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  <x:c r="V57" s="84"/>
      <x:c r="W57" s="84"/>
      <x:c r="X57" s="84"/>
      <x:c r="Y57" s="84"/>
      <x:c r="Z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  <x:c r="V58" s="84"/>
      <x:c r="W58" s="84"/>
      <x:c r="X58" s="84"/>
      <x:c r="Y58" s="84"/>
      <x:c r="Z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  <x:c r="V59" s="84"/>
      <x:c r="W59" s="84"/>
      <x:c r="X59" s="84"/>
      <x:c r="Y59" s="84"/>
      <x:c r="Z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84"/>
      <x:c r="W60" s="84"/>
      <x:c r="X60" s="84"/>
      <x:c r="Y60" s="84"/>
      <x:c r="Z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  <x:c r="V61" s="84"/>
      <x:c r="W61" s="84"/>
      <x:c r="X61" s="84"/>
      <x:c r="Y61" s="84"/>
      <x:c r="Z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  <x:c r="V62" s="84"/>
      <x:c r="W62" s="84"/>
      <x:c r="X62" s="84"/>
      <x:c r="Y62" s="84"/>
      <x:c r="Z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  <x:c r="V63" s="84"/>
      <x:c r="W63" s="84"/>
      <x:c r="X63" s="84"/>
      <x:c r="Y63" s="84"/>
      <x:c r="Z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  <x:c r="V64" s="84"/>
      <x:c r="W64" s="84"/>
      <x:c r="X64" s="84"/>
      <x:c r="Y64" s="84"/>
      <x:c r="Z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  <x:c r="V65" s="84"/>
      <x:c r="W65" s="84"/>
      <x:c r="X65" s="84"/>
      <x:c r="Y65" s="84"/>
      <x:c r="Z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  <x:c r="V66" s="84"/>
      <x:c r="W66" s="84"/>
      <x:c r="X66" s="84"/>
      <x:c r="Y66" s="84"/>
      <x:c r="Z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  <x:c r="V67" s="84"/>
      <x:c r="W67" s="84"/>
      <x:c r="X67" s="84"/>
      <x:c r="Y67" s="84"/>
      <x:c r="Z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  <x:c r="V68" s="84"/>
      <x:c r="W68" s="84"/>
      <x:c r="X68" s="84"/>
      <x:c r="Y68" s="84"/>
      <x:c r="Z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  <x:c r="V69" s="84"/>
      <x:c r="W69" s="84"/>
      <x:c r="X69" s="84"/>
      <x:c r="Y69" s="84"/>
      <x:c r="Z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  <x:c r="V70" s="84"/>
      <x:c r="W70" s="84"/>
      <x:c r="X70" s="84"/>
      <x:c r="Y70" s="84"/>
      <x:c r="Z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  <x:c r="V71" s="84"/>
      <x:c r="W71" s="84"/>
      <x:c r="X71" s="84"/>
      <x:c r="Y71" s="84"/>
      <x:c r="Z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  <x:c r="V72" s="84"/>
      <x:c r="W72" s="84"/>
      <x:c r="X72" s="84"/>
      <x:c r="Y72" s="84"/>
      <x:c r="Z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  <x:c r="V73" s="84"/>
      <x:c r="W73" s="84"/>
      <x:c r="X73" s="84"/>
      <x:c r="Y73" s="84"/>
      <x:c r="Z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  <x:c r="V74" s="84"/>
      <x:c r="W74" s="84"/>
      <x:c r="X74" s="84"/>
      <x:c r="Y74" s="84"/>
      <x:c r="Z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84"/>
      <x:c r="W75" s="84"/>
      <x:c r="X75" s="84"/>
      <x:c r="Y75" s="84"/>
      <x:c r="Z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  <x:c r="V76" s="84"/>
      <x:c r="W76" s="84"/>
      <x:c r="X76" s="84"/>
      <x:c r="Y76" s="84"/>
      <x:c r="Z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  <x:c r="V77" s="84"/>
      <x:c r="W77" s="84"/>
      <x:c r="X77" s="84"/>
      <x:c r="Y77" s="84"/>
      <x:c r="Z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  <x:c r="V78" s="84"/>
      <x:c r="W78" s="84"/>
      <x:c r="X78" s="84"/>
      <x:c r="Y78" s="84"/>
      <x:c r="Z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  <x:c r="V79" s="84"/>
      <x:c r="W79" s="84"/>
      <x:c r="X79" s="84"/>
      <x:c r="Y79" s="84"/>
      <x:c r="Z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  <x:c r="V80" s="84"/>
      <x:c r="W80" s="84"/>
      <x:c r="X80" s="84"/>
      <x:c r="Y80" s="84"/>
      <x:c r="Z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  <x:c r="V81" s="84"/>
      <x:c r="W81" s="84"/>
      <x:c r="X81" s="84"/>
      <x:c r="Y81" s="84"/>
      <x:c r="Z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  <x:c r="V82" s="84"/>
      <x:c r="W82" s="84"/>
      <x:c r="X82" s="84"/>
      <x:c r="Y82" s="84"/>
      <x:c r="Z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  <x:c r="V83" s="84"/>
      <x:c r="W83" s="84"/>
      <x:c r="X83" s="84"/>
      <x:c r="Y83" s="84"/>
      <x:c r="Z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  <x:c r="V84" s="84"/>
      <x:c r="W84" s="84"/>
      <x:c r="X84" s="84"/>
      <x:c r="Y84" s="84"/>
      <x:c r="Z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  <x:c r="V85" s="84"/>
      <x:c r="W85" s="84"/>
      <x:c r="X85" s="84"/>
      <x:c r="Y85" s="84"/>
      <x:c r="Z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  <x:c r="V86" s="84"/>
      <x:c r="W86" s="84"/>
      <x:c r="X86" s="84"/>
      <x:c r="Y86" s="84"/>
      <x:c r="Z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  <x:c r="V87" s="84"/>
      <x:c r="W87" s="84"/>
      <x:c r="X87" s="84"/>
      <x:c r="Y87" s="84"/>
      <x:c r="Z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  <x:c r="V88" s="84"/>
      <x:c r="W88" s="84"/>
      <x:c r="X88" s="84"/>
      <x:c r="Y88" s="84"/>
      <x:c r="Z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  <x:c r="V89" s="84"/>
      <x:c r="W89" s="84"/>
      <x:c r="X89" s="84"/>
      <x:c r="Y89" s="84"/>
      <x:c r="Z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  <x:c r="V90" s="84"/>
      <x:c r="W90" s="84"/>
      <x:c r="X90" s="84"/>
      <x:c r="Y90" s="84"/>
      <x:c r="Z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  <x:c r="V91" s="84"/>
      <x:c r="W91" s="84"/>
      <x:c r="X91" s="84"/>
      <x:c r="Y91" s="84"/>
      <x:c r="Z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  <x:c r="V92" s="84"/>
      <x:c r="W92" s="84"/>
      <x:c r="X92" s="84"/>
      <x:c r="Y92" s="84"/>
      <x:c r="Z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  <x:c r="V93" s="84"/>
      <x:c r="W93" s="84"/>
      <x:c r="X93" s="84"/>
      <x:c r="Y93" s="84"/>
      <x:c r="Z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  <x:c r="V94" s="84"/>
      <x:c r="W94" s="84"/>
      <x:c r="X94" s="84"/>
      <x:c r="Y94" s="84"/>
      <x:c r="Z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  <x:c r="V95" s="84"/>
      <x:c r="W95" s="84"/>
      <x:c r="X95" s="84"/>
      <x:c r="Y95" s="84"/>
      <x:c r="Z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  <x:c r="V96" s="84"/>
      <x:c r="W96" s="84"/>
      <x:c r="X96" s="84"/>
      <x:c r="Y96" s="84"/>
      <x:c r="Z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  <x:c r="V97" s="84"/>
      <x:c r="W97" s="84"/>
      <x:c r="X97" s="84"/>
      <x:c r="Y97" s="84"/>
      <x:c r="Z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  <x:c r="V98" s="84"/>
      <x:c r="W98" s="84"/>
      <x:c r="X98" s="84"/>
      <x:c r="Y98" s="84"/>
      <x:c r="Z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  <x:c r="V99" s="84"/>
      <x:c r="W99" s="84"/>
      <x:c r="X99" s="84"/>
      <x:c r="Y99" s="84"/>
      <x:c r="Z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  <x:c r="V100" s="84"/>
      <x:c r="W100" s="84"/>
      <x:c r="X100" s="84"/>
      <x:c r="Y100" s="84"/>
      <x:c r="Z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  <x:c r="V101" s="84"/>
      <x:c r="W101" s="84"/>
      <x:c r="X101" s="84"/>
      <x:c r="Y101" s="84"/>
      <x:c r="Z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  <x:c r="V102" s="84"/>
      <x:c r="W102" s="84"/>
      <x:c r="X102" s="84"/>
      <x:c r="Y102" s="84"/>
      <x:c r="Z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  <x:c r="V103" s="84"/>
      <x:c r="W103" s="84"/>
      <x:c r="X103" s="84"/>
      <x:c r="Y103" s="84"/>
      <x:c r="Z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  <x:c r="V104" s="84"/>
      <x:c r="W104" s="84"/>
      <x:c r="X104" s="84"/>
      <x:c r="Y104" s="84"/>
      <x:c r="Z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  <x:c r="V105" s="84"/>
      <x:c r="W105" s="84"/>
      <x:c r="X105" s="84"/>
      <x:c r="Y105" s="84"/>
      <x:c r="Z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  <x:c r="V106" s="84"/>
      <x:c r="W106" s="84"/>
      <x:c r="X106" s="84"/>
      <x:c r="Y106" s="84"/>
      <x:c r="Z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  <x:c r="V107" s="84"/>
      <x:c r="W107" s="84"/>
      <x:c r="X107" s="84"/>
      <x:c r="Y107" s="84"/>
      <x:c r="Z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  <x:c r="V108" s="84"/>
      <x:c r="W108" s="84"/>
      <x:c r="X108" s="84"/>
      <x:c r="Y108" s="84"/>
      <x:c r="Z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  <x:c r="V109" s="84"/>
      <x:c r="W109" s="84"/>
      <x:c r="X109" s="84"/>
      <x:c r="Y109" s="84"/>
      <x:c r="Z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  <x:c r="V110" s="84"/>
      <x:c r="W110" s="84"/>
      <x:c r="X110" s="84"/>
      <x:c r="Y110" s="84"/>
      <x:c r="Z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  <x:c r="M111" s="84"/>
      <x:c r="N111" s="84"/>
      <x:c r="O111" s="84"/>
      <x:c r="P111" s="84"/>
      <x:c r="Q111" s="84"/>
      <x:c r="R111" s="84"/>
      <x:c r="S111" s="84"/>
      <x:c r="T111" s="84"/>
      <x:c r="U111" s="84"/>
      <x:c r="V111" s="84"/>
      <x:c r="W111" s="84"/>
      <x:c r="X111" s="84"/>
      <x:c r="Y111" s="84"/>
      <x:c r="Z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  <x:c r="M112" s="84"/>
      <x:c r="N112" s="84"/>
      <x:c r="O112" s="84"/>
      <x:c r="P112" s="84"/>
      <x:c r="Q112" s="84"/>
      <x:c r="R112" s="84"/>
      <x:c r="S112" s="84"/>
      <x:c r="T112" s="84"/>
      <x:c r="U112" s="84"/>
      <x:c r="V112" s="84"/>
      <x:c r="W112" s="84"/>
      <x:c r="X112" s="84"/>
      <x:c r="Y112" s="84"/>
      <x:c r="Z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  <x:c r="M113" s="84"/>
      <x:c r="N113" s="84"/>
      <x:c r="O113" s="84"/>
      <x:c r="P113" s="84"/>
      <x:c r="Q113" s="84"/>
      <x:c r="R113" s="84"/>
      <x:c r="S113" s="84"/>
      <x:c r="T113" s="84"/>
      <x:c r="U113" s="84"/>
      <x:c r="V113" s="84"/>
      <x:c r="W113" s="84"/>
      <x:c r="X113" s="84"/>
      <x:c r="Y113" s="84"/>
      <x:c r="Z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  <x:c r="M114" s="84"/>
      <x:c r="N114" s="84"/>
      <x:c r="O114" s="84"/>
      <x:c r="P114" s="84"/>
      <x:c r="Q114" s="84"/>
      <x:c r="R114" s="84"/>
      <x:c r="S114" s="84"/>
      <x:c r="T114" s="84"/>
      <x:c r="U114" s="84"/>
      <x:c r="V114" s="84"/>
      <x:c r="W114" s="84"/>
      <x:c r="X114" s="84"/>
      <x:c r="Y114" s="84"/>
      <x:c r="Z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  <x:c r="M115" s="84"/>
      <x:c r="N115" s="84"/>
      <x:c r="O115" s="84"/>
      <x:c r="P115" s="84"/>
      <x:c r="Q115" s="84"/>
      <x:c r="R115" s="84"/>
      <x:c r="S115" s="84"/>
      <x:c r="T115" s="84"/>
      <x:c r="U115" s="84"/>
      <x:c r="V115" s="84"/>
      <x:c r="W115" s="84"/>
      <x:c r="X115" s="84"/>
      <x:c r="Y115" s="84"/>
      <x:c r="Z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  <x:c r="M116" s="84"/>
      <x:c r="N116" s="84"/>
      <x:c r="O116" s="84"/>
      <x:c r="P116" s="84"/>
      <x:c r="Q116" s="84"/>
      <x:c r="R116" s="84"/>
      <x:c r="S116" s="84"/>
      <x:c r="T116" s="84"/>
      <x:c r="U116" s="84"/>
      <x:c r="V116" s="84"/>
      <x:c r="W116" s="84"/>
      <x:c r="X116" s="84"/>
      <x:c r="Y116" s="84"/>
      <x:c r="Z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  <x:c r="M117" s="84"/>
      <x:c r="N117" s="84"/>
      <x:c r="O117" s="84"/>
      <x:c r="P117" s="84"/>
      <x:c r="Q117" s="84"/>
      <x:c r="R117" s="84"/>
      <x:c r="S117" s="84"/>
      <x:c r="T117" s="84"/>
      <x:c r="U117" s="84"/>
      <x:c r="V117" s="84"/>
      <x:c r="W117" s="84"/>
      <x:c r="X117" s="84"/>
      <x:c r="Y117" s="84"/>
      <x:c r="Z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  <x:c r="M118" s="84"/>
      <x:c r="N118" s="84"/>
      <x:c r="O118" s="84"/>
      <x:c r="P118" s="84"/>
      <x:c r="Q118" s="84"/>
      <x:c r="R118" s="84"/>
      <x:c r="S118" s="84"/>
      <x:c r="T118" s="84"/>
      <x:c r="U118" s="84"/>
      <x:c r="V118" s="84"/>
      <x:c r="W118" s="84"/>
      <x:c r="X118" s="84"/>
      <x:c r="Y118" s="84"/>
      <x:c r="Z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  <x:c r="M119" s="84"/>
      <x:c r="N119" s="84"/>
      <x:c r="O119" s="84"/>
      <x:c r="P119" s="84"/>
      <x:c r="Q119" s="84"/>
      <x:c r="R119" s="84"/>
      <x:c r="S119" s="84"/>
      <x:c r="T119" s="84"/>
      <x:c r="U119" s="84"/>
      <x:c r="V119" s="84"/>
      <x:c r="W119" s="84"/>
      <x:c r="X119" s="84"/>
      <x:c r="Y119" s="84"/>
      <x:c r="Z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  <x:c r="M120" s="84"/>
      <x:c r="N120" s="84"/>
      <x:c r="O120" s="84"/>
      <x:c r="P120" s="84"/>
      <x:c r="Q120" s="84"/>
      <x:c r="R120" s="84"/>
      <x:c r="S120" s="84"/>
      <x:c r="T120" s="84"/>
      <x:c r="U120" s="84"/>
      <x:c r="V120" s="84"/>
      <x:c r="W120" s="84"/>
      <x:c r="X120" s="84"/>
      <x:c r="Y120" s="84"/>
      <x:c r="Z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  <x:c r="M121" s="84"/>
      <x:c r="N121" s="84"/>
      <x:c r="O121" s="84"/>
      <x:c r="P121" s="84"/>
      <x:c r="Q121" s="84"/>
      <x:c r="R121" s="84"/>
      <x:c r="S121" s="84"/>
      <x:c r="T121" s="84"/>
      <x:c r="U121" s="84"/>
      <x:c r="V121" s="84"/>
      <x:c r="W121" s="84"/>
      <x:c r="X121" s="84"/>
      <x:c r="Y121" s="84"/>
      <x:c r="Z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  <x:c r="M122" s="84"/>
      <x:c r="N122" s="84"/>
      <x:c r="O122" s="84"/>
      <x:c r="P122" s="84"/>
      <x:c r="Q122" s="84"/>
      <x:c r="R122" s="84"/>
      <x:c r="S122" s="84"/>
      <x:c r="T122" s="84"/>
      <x:c r="U122" s="84"/>
      <x:c r="V122" s="84"/>
      <x:c r="W122" s="84"/>
      <x:c r="X122" s="84"/>
      <x:c r="Y122" s="84"/>
      <x:c r="Z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  <x:c r="M123" s="84"/>
      <x:c r="N123" s="84"/>
      <x:c r="O123" s="84"/>
      <x:c r="P123" s="84"/>
      <x:c r="Q123" s="84"/>
      <x:c r="R123" s="84"/>
      <x:c r="S123" s="84"/>
      <x:c r="T123" s="84"/>
      <x:c r="U123" s="84"/>
      <x:c r="V123" s="84"/>
      <x:c r="W123" s="84"/>
      <x:c r="X123" s="84"/>
      <x:c r="Y123" s="84"/>
      <x:c r="Z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  <x:c r="M124" s="84"/>
      <x:c r="N124" s="84"/>
      <x:c r="O124" s="84"/>
      <x:c r="P124" s="84"/>
      <x:c r="Q124" s="84"/>
      <x:c r="R124" s="84"/>
      <x:c r="S124" s="84"/>
      <x:c r="T124" s="84"/>
      <x:c r="U124" s="84"/>
      <x:c r="V124" s="84"/>
      <x:c r="W124" s="84"/>
      <x:c r="X124" s="84"/>
      <x:c r="Y124" s="84"/>
      <x:c r="Z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  <x:c r="S125" s="84"/>
      <x:c r="T125" s="84"/>
      <x:c r="U125" s="84"/>
      <x:c r="V125" s="84"/>
      <x:c r="W125" s="84"/>
      <x:c r="X125" s="84"/>
      <x:c r="Y125" s="84"/>
      <x:c r="Z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  <x:c r="M126" s="84"/>
      <x:c r="N126" s="84"/>
      <x:c r="O126" s="84"/>
      <x:c r="P126" s="84"/>
      <x:c r="Q126" s="84"/>
      <x:c r="R126" s="84"/>
      <x:c r="S126" s="84"/>
      <x:c r="T126" s="84"/>
      <x:c r="U126" s="84"/>
      <x:c r="V126" s="84"/>
      <x:c r="W126" s="84"/>
      <x:c r="X126" s="84"/>
      <x:c r="Y126" s="84"/>
      <x:c r="Z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  <x:c r="M127" s="84"/>
      <x:c r="N127" s="84"/>
      <x:c r="O127" s="84"/>
      <x:c r="P127" s="84"/>
      <x:c r="Q127" s="84"/>
      <x:c r="R127" s="84"/>
      <x:c r="S127" s="84"/>
      <x:c r="T127" s="84"/>
      <x:c r="U127" s="84"/>
      <x:c r="V127" s="84"/>
      <x:c r="W127" s="84"/>
      <x:c r="X127" s="84"/>
      <x:c r="Y127" s="84"/>
      <x:c r="Z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  <x:c r="M128" s="84"/>
      <x:c r="N128" s="84"/>
      <x:c r="O128" s="84"/>
      <x:c r="P128" s="84"/>
      <x:c r="Q128" s="84"/>
      <x:c r="R128" s="84"/>
      <x:c r="S128" s="84"/>
      <x:c r="T128" s="84"/>
      <x:c r="U128" s="84"/>
      <x:c r="V128" s="84"/>
      <x:c r="W128" s="84"/>
      <x:c r="X128" s="84"/>
      <x:c r="Y128" s="84"/>
      <x:c r="Z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  <x:c r="M129" s="84"/>
      <x:c r="N129" s="84"/>
      <x:c r="O129" s="84"/>
      <x:c r="P129" s="84"/>
      <x:c r="Q129" s="84"/>
      <x:c r="R129" s="84"/>
      <x:c r="S129" s="84"/>
      <x:c r="T129" s="84"/>
      <x:c r="U129" s="84"/>
      <x:c r="V129" s="84"/>
      <x:c r="W129" s="84"/>
      <x:c r="X129" s="84"/>
      <x:c r="Y129" s="84"/>
      <x:c r="Z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  <x:c r="M130" s="84"/>
      <x:c r="N130" s="84"/>
      <x:c r="O130" s="84"/>
      <x:c r="P130" s="84"/>
      <x:c r="Q130" s="84"/>
      <x:c r="R130" s="84"/>
      <x:c r="S130" s="84"/>
      <x:c r="T130" s="84"/>
      <x:c r="U130" s="84"/>
      <x:c r="V130" s="84"/>
      <x:c r="W130" s="84"/>
      <x:c r="X130" s="84"/>
      <x:c r="Y130" s="84"/>
      <x:c r="Z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  <x:c r="M131" s="84"/>
      <x:c r="N131" s="84"/>
      <x:c r="O131" s="84"/>
      <x:c r="P131" s="84"/>
      <x:c r="Q131" s="84"/>
      <x:c r="R131" s="84"/>
      <x:c r="S131" s="84"/>
      <x:c r="T131" s="84"/>
      <x:c r="U131" s="84"/>
      <x:c r="V131" s="84"/>
      <x:c r="W131" s="84"/>
      <x:c r="X131" s="84"/>
      <x:c r="Y131" s="84"/>
      <x:c r="Z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  <x:c r="M132" s="84"/>
      <x:c r="N132" s="84"/>
      <x:c r="O132" s="84"/>
      <x:c r="P132" s="84"/>
      <x:c r="Q132" s="84"/>
      <x:c r="R132" s="84"/>
      <x:c r="S132" s="84"/>
      <x:c r="T132" s="84"/>
      <x:c r="U132" s="84"/>
      <x:c r="V132" s="84"/>
      <x:c r="W132" s="84"/>
      <x:c r="X132" s="84"/>
      <x:c r="Y132" s="84"/>
      <x:c r="Z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  <x:c r="M133" s="84"/>
      <x:c r="N133" s="84"/>
      <x:c r="O133" s="84"/>
      <x:c r="P133" s="84"/>
      <x:c r="Q133" s="84"/>
      <x:c r="R133" s="84"/>
      <x:c r="S133" s="84"/>
      <x:c r="T133" s="84"/>
      <x:c r="U133" s="84"/>
      <x:c r="V133" s="84"/>
      <x:c r="W133" s="84"/>
      <x:c r="X133" s="84"/>
      <x:c r="Y133" s="84"/>
      <x:c r="Z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  <x:c r="M134" s="84"/>
      <x:c r="N134" s="84"/>
      <x:c r="O134" s="84"/>
      <x:c r="P134" s="84"/>
      <x:c r="Q134" s="84"/>
      <x:c r="R134" s="84"/>
      <x:c r="S134" s="84"/>
      <x:c r="T134" s="84"/>
      <x:c r="U134" s="84"/>
      <x:c r="V134" s="84"/>
      <x:c r="W134" s="84"/>
      <x:c r="X134" s="84"/>
      <x:c r="Y134" s="84"/>
      <x:c r="Z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84"/>
      <x:c r="W135" s="84"/>
      <x:c r="X135" s="84"/>
      <x:c r="Y135" s="84"/>
      <x:c r="Z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  <x:c r="M136" s="84"/>
      <x:c r="N136" s="84"/>
      <x:c r="O136" s="84"/>
      <x:c r="P136" s="84"/>
      <x:c r="Q136" s="84"/>
      <x:c r="R136" s="84"/>
      <x:c r="S136" s="84"/>
      <x:c r="T136" s="84"/>
      <x:c r="U136" s="84"/>
      <x:c r="V136" s="84"/>
      <x:c r="W136" s="84"/>
      <x:c r="X136" s="84"/>
      <x:c r="Y136" s="84"/>
      <x:c r="Z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  <x:c r="M137" s="84"/>
      <x:c r="N137" s="84"/>
      <x:c r="O137" s="84"/>
      <x:c r="P137" s="84"/>
      <x:c r="Q137" s="84"/>
      <x:c r="R137" s="84"/>
      <x:c r="S137" s="84"/>
      <x:c r="T137" s="84"/>
      <x:c r="U137" s="84"/>
      <x:c r="V137" s="84"/>
      <x:c r="W137" s="84"/>
      <x:c r="X137" s="84"/>
      <x:c r="Y137" s="84"/>
      <x:c r="Z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  <x:c r="M138" s="84"/>
      <x:c r="N138" s="84"/>
      <x:c r="O138" s="84"/>
      <x:c r="P138" s="84"/>
      <x:c r="Q138" s="84"/>
      <x:c r="R138" s="84"/>
      <x:c r="S138" s="84"/>
      <x:c r="T138" s="84"/>
      <x:c r="U138" s="84"/>
      <x:c r="V138" s="84"/>
      <x:c r="W138" s="84"/>
      <x:c r="X138" s="84"/>
      <x:c r="Y138" s="84"/>
      <x:c r="Z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  <x:c r="M139" s="84"/>
      <x:c r="N139" s="84"/>
      <x:c r="O139" s="84"/>
      <x:c r="P139" s="84"/>
      <x:c r="Q139" s="84"/>
      <x:c r="R139" s="84"/>
      <x:c r="S139" s="84"/>
      <x:c r="T139" s="84"/>
      <x:c r="U139" s="84"/>
      <x:c r="V139" s="84"/>
      <x:c r="W139" s="84"/>
      <x:c r="X139" s="84"/>
      <x:c r="Y139" s="84"/>
      <x:c r="Z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  <x:c r="M140" s="84"/>
      <x:c r="N140" s="84"/>
      <x:c r="O140" s="84"/>
      <x:c r="P140" s="84"/>
      <x:c r="Q140" s="84"/>
      <x:c r="R140" s="84"/>
      <x:c r="S140" s="84"/>
      <x:c r="T140" s="84"/>
      <x:c r="U140" s="84"/>
      <x:c r="V140" s="84"/>
      <x:c r="W140" s="84"/>
      <x:c r="X140" s="84"/>
      <x:c r="Y140" s="84"/>
      <x:c r="Z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  <x:c r="M141" s="84"/>
      <x:c r="N141" s="84"/>
      <x:c r="O141" s="84"/>
      <x:c r="P141" s="84"/>
      <x:c r="Q141" s="84"/>
      <x:c r="R141" s="84"/>
      <x:c r="S141" s="84"/>
      <x:c r="T141" s="84"/>
      <x:c r="U141" s="84"/>
      <x:c r="V141" s="84"/>
      <x:c r="W141" s="84"/>
      <x:c r="X141" s="84"/>
      <x:c r="Y141" s="84"/>
      <x:c r="Z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  <x:c r="M142" s="84"/>
      <x:c r="N142" s="84"/>
      <x:c r="O142" s="84"/>
      <x:c r="P142" s="84"/>
      <x:c r="Q142" s="84"/>
      <x:c r="R142" s="84"/>
      <x:c r="S142" s="84"/>
      <x:c r="T142" s="84"/>
      <x:c r="U142" s="84"/>
      <x:c r="V142" s="84"/>
      <x:c r="W142" s="84"/>
      <x:c r="X142" s="84"/>
      <x:c r="Y142" s="84"/>
      <x:c r="Z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  <x:c r="M143" s="84"/>
      <x:c r="N143" s="84"/>
      <x:c r="O143" s="84"/>
      <x:c r="P143" s="84"/>
      <x:c r="Q143" s="84"/>
      <x:c r="R143" s="84"/>
      <x:c r="S143" s="84"/>
      <x:c r="T143" s="84"/>
      <x:c r="U143" s="84"/>
      <x:c r="V143" s="84"/>
      <x:c r="W143" s="84"/>
      <x:c r="X143" s="84"/>
      <x:c r="Y143" s="84"/>
      <x:c r="Z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  <x:c r="M144" s="84"/>
      <x:c r="N144" s="84"/>
      <x:c r="O144" s="84"/>
      <x:c r="P144" s="84"/>
      <x:c r="Q144" s="84"/>
      <x:c r="R144" s="84"/>
      <x:c r="S144" s="84"/>
      <x:c r="T144" s="84"/>
      <x:c r="U144" s="84"/>
      <x:c r="V144" s="84"/>
      <x:c r="W144" s="84"/>
      <x:c r="X144" s="84"/>
      <x:c r="Y144" s="84"/>
      <x:c r="Z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  <x:c r="M145" s="84"/>
      <x:c r="N145" s="84"/>
      <x:c r="O145" s="84"/>
      <x:c r="P145" s="84"/>
      <x:c r="Q145" s="84"/>
      <x:c r="R145" s="84"/>
      <x:c r="S145" s="84"/>
      <x:c r="T145" s="84"/>
      <x:c r="U145" s="84"/>
      <x:c r="V145" s="84"/>
      <x:c r="W145" s="84"/>
      <x:c r="X145" s="84"/>
      <x:c r="Y145" s="84"/>
      <x:c r="Z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  <x:c r="M146" s="84"/>
      <x:c r="N146" s="84"/>
      <x:c r="O146" s="84"/>
      <x:c r="P146" s="84"/>
      <x:c r="Q146" s="84"/>
      <x:c r="R146" s="84"/>
      <x:c r="S146" s="84"/>
      <x:c r="T146" s="84"/>
      <x:c r="U146" s="84"/>
      <x:c r="V146" s="84"/>
      <x:c r="W146" s="84"/>
      <x:c r="X146" s="84"/>
      <x:c r="Y146" s="84"/>
      <x:c r="Z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  <x:c r="M147" s="84"/>
      <x:c r="N147" s="84"/>
      <x:c r="O147" s="84"/>
      <x:c r="P147" s="84"/>
      <x:c r="Q147" s="84"/>
      <x:c r="R147" s="84"/>
      <x:c r="S147" s="84"/>
      <x:c r="T147" s="84"/>
      <x:c r="U147" s="84"/>
      <x:c r="V147" s="84"/>
      <x:c r="W147" s="84"/>
      <x:c r="X147" s="84"/>
      <x:c r="Y147" s="84"/>
      <x:c r="Z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  <x:c r="M148" s="84"/>
      <x:c r="N148" s="84"/>
      <x:c r="O148" s="84"/>
      <x:c r="P148" s="84"/>
      <x:c r="Q148" s="84"/>
      <x:c r="R148" s="84"/>
      <x:c r="S148" s="84"/>
      <x:c r="T148" s="84"/>
      <x:c r="U148" s="84"/>
      <x:c r="V148" s="84"/>
      <x:c r="W148" s="84"/>
      <x:c r="X148" s="84"/>
      <x:c r="Y148" s="84"/>
      <x:c r="Z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  <x:c r="M149" s="84"/>
      <x:c r="N149" s="84"/>
      <x:c r="O149" s="84"/>
      <x:c r="P149" s="84"/>
      <x:c r="Q149" s="84"/>
      <x:c r="R149" s="84"/>
      <x:c r="S149" s="84"/>
      <x:c r="T149" s="84"/>
      <x:c r="U149" s="84"/>
      <x:c r="V149" s="84"/>
      <x:c r="W149" s="84"/>
      <x:c r="X149" s="84"/>
      <x:c r="Y149" s="84"/>
      <x:c r="Z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  <x:c r="M150" s="84"/>
      <x:c r="N150" s="84"/>
      <x:c r="O150" s="84"/>
      <x:c r="P150" s="84"/>
      <x:c r="Q150" s="84"/>
      <x:c r="R150" s="84"/>
      <x:c r="S150" s="84"/>
      <x:c r="T150" s="84"/>
      <x:c r="U150" s="84"/>
      <x:c r="V150" s="84"/>
      <x:c r="W150" s="84"/>
      <x:c r="X150" s="84"/>
      <x:c r="Y150" s="84"/>
      <x:c r="Z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84"/>
      <x:c r="U151" s="84"/>
      <x:c r="V151" s="84"/>
      <x:c r="W151" s="84"/>
      <x:c r="X151" s="84"/>
      <x:c r="Y151" s="84"/>
      <x:c r="Z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84"/>
      <x:c r="U152" s="84"/>
      <x:c r="V152" s="84"/>
      <x:c r="W152" s="84"/>
      <x:c r="X152" s="84"/>
      <x:c r="Y152" s="84"/>
      <x:c r="Z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84"/>
      <x:c r="U153" s="84"/>
      <x:c r="V153" s="84"/>
      <x:c r="W153" s="84"/>
      <x:c r="X153" s="84"/>
      <x:c r="Y153" s="84"/>
      <x:c r="Z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84"/>
      <x:c r="U154" s="84"/>
      <x:c r="V154" s="84"/>
      <x:c r="W154" s="84"/>
      <x:c r="X154" s="84"/>
      <x:c r="Y154" s="84"/>
      <x:c r="Z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84"/>
      <x:c r="U155" s="84"/>
      <x:c r="V155" s="84"/>
      <x:c r="W155" s="84"/>
      <x:c r="X155" s="84"/>
      <x:c r="Y155" s="84"/>
      <x:c r="Z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84"/>
      <x:c r="W156" s="84"/>
      <x:c r="X156" s="84"/>
      <x:c r="Y156" s="84"/>
      <x:c r="Z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84"/>
      <x:c r="U157" s="84"/>
      <x:c r="V157" s="84"/>
      <x:c r="W157" s="84"/>
      <x:c r="X157" s="84"/>
      <x:c r="Y157" s="84"/>
      <x:c r="Z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84"/>
      <x:c r="U158" s="84"/>
      <x:c r="V158" s="84"/>
      <x:c r="W158" s="84"/>
      <x:c r="X158" s="84"/>
      <x:c r="Y158" s="84"/>
      <x:c r="Z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84"/>
      <x:c r="U159" s="84"/>
      <x:c r="V159" s="84"/>
      <x:c r="W159" s="84"/>
      <x:c r="X159" s="84"/>
      <x:c r="Y159" s="84"/>
      <x:c r="Z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84"/>
      <x:c r="U160" s="84"/>
      <x:c r="V160" s="84"/>
      <x:c r="W160" s="84"/>
      <x:c r="X160" s="84"/>
      <x:c r="Y160" s="84"/>
      <x:c r="Z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84"/>
      <x:c r="U161" s="84"/>
      <x:c r="V161" s="84"/>
      <x:c r="W161" s="84"/>
      <x:c r="X161" s="84"/>
      <x:c r="Y161" s="84"/>
      <x:c r="Z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84"/>
      <x:c r="U162" s="84"/>
      <x:c r="V162" s="84"/>
      <x:c r="W162" s="84"/>
      <x:c r="X162" s="84"/>
      <x:c r="Y162" s="84"/>
      <x:c r="Z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84"/>
      <x:c r="U164" s="84"/>
      <x:c r="V164" s="84"/>
      <x:c r="W164" s="84"/>
      <x:c r="X164" s="84"/>
      <x:c r="Y164" s="84"/>
      <x:c r="Z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84"/>
      <x:c r="U165" s="84"/>
      <x:c r="V165" s="84"/>
      <x:c r="W165" s="84"/>
      <x:c r="X165" s="84"/>
      <x:c r="Y165" s="84"/>
      <x:c r="Z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84"/>
      <x:c r="U166" s="84"/>
      <x:c r="V166" s="84"/>
      <x:c r="W166" s="84"/>
      <x:c r="X166" s="84"/>
      <x:c r="Y166" s="84"/>
      <x:c r="Z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84"/>
      <x:c r="U167" s="84"/>
      <x:c r="V167" s="84"/>
      <x:c r="W167" s="84"/>
      <x:c r="X167" s="84"/>
      <x:c r="Y167" s="84"/>
      <x:c r="Z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84"/>
      <x:c r="U168" s="84"/>
      <x:c r="V168" s="84"/>
      <x:c r="W168" s="84"/>
      <x:c r="X168" s="84"/>
      <x:c r="Y168" s="84"/>
      <x:c r="Z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84"/>
      <x:c r="U169" s="84"/>
      <x:c r="V169" s="84"/>
      <x:c r="W169" s="84"/>
      <x:c r="X169" s="84"/>
      <x:c r="Y169" s="84"/>
      <x:c r="Z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84"/>
      <x:c r="U170" s="84"/>
      <x:c r="V170" s="84"/>
      <x:c r="W170" s="84"/>
      <x:c r="X170" s="84"/>
      <x:c r="Y170" s="84"/>
      <x:c r="Z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84"/>
      <x:c r="U171" s="84"/>
      <x:c r="V171" s="84"/>
      <x:c r="W171" s="84"/>
      <x:c r="X171" s="84"/>
      <x:c r="Y171" s="84"/>
      <x:c r="Z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84"/>
      <x:c r="U172" s="84"/>
      <x:c r="V172" s="84"/>
      <x:c r="W172" s="84"/>
      <x:c r="X172" s="84"/>
      <x:c r="Y172" s="84"/>
      <x:c r="Z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84"/>
      <x:c r="U173" s="84"/>
      <x:c r="V173" s="84"/>
      <x:c r="W173" s="84"/>
      <x:c r="X173" s="84"/>
      <x:c r="Y173" s="84"/>
      <x:c r="Z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84"/>
      <x:c r="U174" s="84"/>
      <x:c r="V174" s="84"/>
      <x:c r="W174" s="84"/>
      <x:c r="X174" s="84"/>
      <x:c r="Y174" s="84"/>
      <x:c r="Z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84"/>
      <x:c r="U175" s="84"/>
      <x:c r="V175" s="84"/>
      <x:c r="W175" s="84"/>
      <x:c r="X175" s="84"/>
      <x:c r="Y175" s="84"/>
      <x:c r="Z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84"/>
      <x:c r="U176" s="84"/>
      <x:c r="V176" s="84"/>
      <x:c r="W176" s="84"/>
      <x:c r="X176" s="84"/>
      <x:c r="Y176" s="84"/>
      <x:c r="Z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84"/>
      <x:c r="U177" s="84"/>
      <x:c r="V177" s="84"/>
      <x:c r="W177" s="84"/>
      <x:c r="X177" s="84"/>
      <x:c r="Y177" s="84"/>
      <x:c r="Z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84"/>
      <x:c r="U178" s="84"/>
      <x:c r="V178" s="84"/>
      <x:c r="W178" s="84"/>
      <x:c r="X178" s="84"/>
      <x:c r="Y178" s="84"/>
      <x:c r="Z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84"/>
      <x:c r="U179" s="84"/>
      <x:c r="V179" s="84"/>
      <x:c r="W179" s="84"/>
      <x:c r="X179" s="84"/>
      <x:c r="Y179" s="84"/>
      <x:c r="Z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84"/>
      <x:c r="W180" s="84"/>
      <x:c r="X180" s="84"/>
      <x:c r="Y180" s="84"/>
      <x:c r="Z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84"/>
      <x:c r="U181" s="84"/>
      <x:c r="V181" s="84"/>
      <x:c r="W181" s="84"/>
      <x:c r="X181" s="84"/>
      <x:c r="Y181" s="84"/>
      <x:c r="Z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84"/>
      <x:c r="U182" s="84"/>
      <x:c r="V182" s="84"/>
      <x:c r="W182" s="84"/>
      <x:c r="X182" s="84"/>
      <x:c r="Y182" s="84"/>
      <x:c r="Z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84"/>
      <x:c r="U183" s="84"/>
      <x:c r="V183" s="84"/>
      <x:c r="W183" s="84"/>
      <x:c r="X183" s="84"/>
      <x:c r="Y183" s="84"/>
      <x:c r="Z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84"/>
      <x:c r="U184" s="84"/>
      <x:c r="V184" s="84"/>
      <x:c r="W184" s="84"/>
      <x:c r="X184" s="84"/>
      <x:c r="Y184" s="84"/>
      <x:c r="Z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84"/>
      <x:c r="U185" s="84"/>
      <x:c r="V185" s="84"/>
      <x:c r="W185" s="84"/>
      <x:c r="X185" s="84"/>
      <x:c r="Y185" s="84"/>
      <x:c r="Z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84"/>
      <x:c r="U186" s="84"/>
      <x:c r="V186" s="84"/>
      <x:c r="W186" s="84"/>
      <x:c r="X186" s="84"/>
      <x:c r="Y186" s="84"/>
      <x:c r="Z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84"/>
      <x:c r="U187" s="84"/>
      <x:c r="V187" s="84"/>
      <x:c r="W187" s="84"/>
      <x:c r="X187" s="84"/>
      <x:c r="Y187" s="84"/>
      <x:c r="Z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84"/>
      <x:c r="U188" s="84"/>
      <x:c r="V188" s="84"/>
      <x:c r="W188" s="84"/>
      <x:c r="X188" s="84"/>
      <x:c r="Y188" s="84"/>
      <x:c r="Z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84"/>
      <x:c r="U189" s="84"/>
      <x:c r="V189" s="84"/>
      <x:c r="W189" s="84"/>
      <x:c r="X189" s="84"/>
      <x:c r="Y189" s="84"/>
      <x:c r="Z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84"/>
      <x:c r="U190" s="84"/>
      <x:c r="V190" s="84"/>
      <x:c r="W190" s="84"/>
      <x:c r="X190" s="84"/>
      <x:c r="Y190" s="84"/>
      <x:c r="Z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84"/>
      <x:c r="U191" s="84"/>
      <x:c r="V191" s="84"/>
      <x:c r="W191" s="84"/>
      <x:c r="X191" s="84"/>
      <x:c r="Y191" s="84"/>
      <x:c r="Z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84"/>
      <x:c r="U192" s="84"/>
      <x:c r="V192" s="84"/>
      <x:c r="W192" s="84"/>
      <x:c r="X192" s="84"/>
      <x:c r="Y192" s="84"/>
      <x:c r="Z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84"/>
      <x:c r="U193" s="84"/>
      <x:c r="V193" s="84"/>
      <x:c r="W193" s="84"/>
      <x:c r="X193" s="84"/>
      <x:c r="Y193" s="84"/>
      <x:c r="Z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84"/>
      <x:c r="U194" s="84"/>
      <x:c r="V194" s="84"/>
      <x:c r="W194" s="84"/>
      <x:c r="X194" s="84"/>
      <x:c r="Y194" s="84"/>
      <x:c r="Z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84"/>
      <x:c r="U195" s="84"/>
      <x:c r="V195" s="84"/>
      <x:c r="W195" s="84"/>
      <x:c r="X195" s="84"/>
      <x:c r="Y195" s="84"/>
      <x:c r="Z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84"/>
      <x:c r="U196" s="84"/>
      <x:c r="V196" s="84"/>
      <x:c r="W196" s="84"/>
      <x:c r="X196" s="84"/>
      <x:c r="Y196" s="84"/>
      <x:c r="Z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84"/>
      <x:c r="U197" s="84"/>
      <x:c r="V197" s="84"/>
      <x:c r="W197" s="84"/>
      <x:c r="X197" s="84"/>
      <x:c r="Y197" s="84"/>
      <x:c r="Z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84"/>
      <x:c r="U198" s="84"/>
      <x:c r="V198" s="84"/>
      <x:c r="W198" s="84"/>
      <x:c r="X198" s="84"/>
      <x:c r="Y198" s="84"/>
      <x:c r="Z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84"/>
      <x:c r="U199" s="84"/>
      <x:c r="V199" s="84"/>
      <x:c r="W199" s="84"/>
      <x:c r="X199" s="84"/>
      <x:c r="Y199" s="84"/>
      <x:c r="Z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84"/>
      <x:c r="U200" s="84"/>
      <x:c r="V200" s="84"/>
      <x:c r="W200" s="84"/>
      <x:c r="X200" s="84"/>
      <x:c r="Y200" s="84"/>
      <x:c r="Z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84"/>
      <x:c r="U201" s="84"/>
      <x:c r="V201" s="84"/>
      <x:c r="W201" s="84"/>
      <x:c r="X201" s="84"/>
      <x:c r="Y201" s="84"/>
      <x:c r="Z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84"/>
      <x:c r="U202" s="84"/>
      <x:c r="V202" s="84"/>
      <x:c r="W202" s="84"/>
      <x:c r="X202" s="84"/>
      <x:c r="Y202" s="84"/>
      <x:c r="Z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84"/>
      <x:c r="U203" s="84"/>
      <x:c r="V203" s="84"/>
      <x:c r="W203" s="84"/>
      <x:c r="X203" s="84"/>
      <x:c r="Y203" s="84"/>
      <x:c r="Z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84"/>
      <x:c r="U204" s="84"/>
      <x:c r="V204" s="84"/>
      <x:c r="W204" s="84"/>
      <x:c r="X204" s="84"/>
      <x:c r="Y204" s="84"/>
      <x:c r="Z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  <x:c r="M205" s="84"/>
      <x:c r="N205" s="84"/>
      <x:c r="O205" s="84"/>
      <x:c r="P205" s="84"/>
      <x:c r="Q205" s="84"/>
      <x:c r="R205" s="84"/>
      <x:c r="S205" s="84"/>
      <x:c r="T205" s="84"/>
      <x:c r="U205" s="84"/>
      <x:c r="V205" s="84"/>
      <x:c r="W205" s="84"/>
      <x:c r="X205" s="84"/>
      <x:c r="Y205" s="84"/>
      <x:c r="Z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  <x:c r="M206" s="84"/>
      <x:c r="N206" s="84"/>
      <x:c r="O206" s="84"/>
      <x:c r="P206" s="84"/>
      <x:c r="Q206" s="84"/>
      <x:c r="R206" s="84"/>
      <x:c r="S206" s="84"/>
      <x:c r="T206" s="84"/>
      <x:c r="U206" s="84"/>
      <x:c r="V206" s="84"/>
      <x:c r="W206" s="84"/>
      <x:c r="X206" s="84"/>
      <x:c r="Y206" s="84"/>
      <x:c r="Z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  <x:c r="M207" s="84"/>
      <x:c r="N207" s="84"/>
      <x:c r="O207" s="84"/>
      <x:c r="P207" s="84"/>
      <x:c r="Q207" s="84"/>
      <x:c r="R207" s="84"/>
      <x:c r="S207" s="84"/>
      <x:c r="T207" s="84"/>
      <x:c r="U207" s="84"/>
      <x:c r="V207" s="84"/>
      <x:c r="W207" s="84"/>
      <x:c r="X207" s="84"/>
      <x:c r="Y207" s="84"/>
      <x:c r="Z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  <x:c r="M208" s="84"/>
      <x:c r="N208" s="84"/>
      <x:c r="O208" s="84"/>
      <x:c r="P208" s="84"/>
      <x:c r="Q208" s="84"/>
      <x:c r="R208" s="84"/>
      <x:c r="S208" s="84"/>
      <x:c r="T208" s="84"/>
      <x:c r="U208" s="84"/>
      <x:c r="V208" s="84"/>
      <x:c r="W208" s="84"/>
      <x:c r="X208" s="84"/>
      <x:c r="Y208" s="84"/>
      <x:c r="Z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  <x:c r="M209" s="84"/>
      <x:c r="N209" s="84"/>
      <x:c r="O209" s="84"/>
      <x:c r="P209" s="84"/>
      <x:c r="Q209" s="84"/>
      <x:c r="R209" s="84"/>
      <x:c r="S209" s="84"/>
      <x:c r="T209" s="84"/>
      <x:c r="U209" s="84"/>
      <x:c r="V209" s="84"/>
      <x:c r="W209" s="84"/>
      <x:c r="X209" s="84"/>
      <x:c r="Y209" s="84"/>
      <x:c r="Z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  <x:c r="M210" s="84"/>
      <x:c r="N210" s="84"/>
      <x:c r="O210" s="84"/>
      <x:c r="P210" s="84"/>
      <x:c r="Q210" s="84"/>
      <x:c r="R210" s="84"/>
      <x:c r="S210" s="84"/>
      <x:c r="T210" s="84"/>
      <x:c r="U210" s="84"/>
      <x:c r="V210" s="84"/>
      <x:c r="W210" s="84"/>
      <x:c r="X210" s="84"/>
      <x:c r="Y210" s="84"/>
      <x:c r="Z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  <x:c r="M211" s="84"/>
      <x:c r="N211" s="84"/>
      <x:c r="O211" s="84"/>
      <x:c r="P211" s="84"/>
      <x:c r="Q211" s="84"/>
      <x:c r="R211" s="84"/>
      <x:c r="S211" s="84"/>
      <x:c r="T211" s="84"/>
      <x:c r="U211" s="84"/>
      <x:c r="V211" s="84"/>
      <x:c r="W211" s="84"/>
      <x:c r="X211" s="84"/>
      <x:c r="Y211" s="84"/>
      <x:c r="Z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  <x:c r="M212" s="84"/>
      <x:c r="N212" s="84"/>
      <x:c r="O212" s="84"/>
      <x:c r="P212" s="84"/>
      <x:c r="Q212" s="84"/>
      <x:c r="R212" s="84"/>
      <x:c r="S212" s="84"/>
      <x:c r="T212" s="84"/>
      <x:c r="U212" s="84"/>
      <x:c r="V212" s="84"/>
      <x:c r="W212" s="84"/>
      <x:c r="X212" s="84"/>
      <x:c r="Y212" s="84"/>
      <x:c r="Z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  <x:c r="M213" s="84"/>
      <x:c r="N213" s="84"/>
      <x:c r="O213" s="84"/>
      <x:c r="P213" s="84"/>
      <x:c r="Q213" s="84"/>
      <x:c r="R213" s="84"/>
      <x:c r="S213" s="84"/>
      <x:c r="T213" s="84"/>
      <x:c r="U213" s="84"/>
      <x:c r="V213" s="84"/>
      <x:c r="W213" s="84"/>
      <x:c r="X213" s="84"/>
      <x:c r="Y213" s="84"/>
      <x:c r="Z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  <x:c r="M214" s="84"/>
      <x:c r="N214" s="84"/>
      <x:c r="O214" s="84"/>
      <x:c r="P214" s="84"/>
      <x:c r="Q214" s="84"/>
      <x:c r="R214" s="84"/>
      <x:c r="S214" s="84"/>
      <x:c r="T214" s="84"/>
      <x:c r="U214" s="84"/>
      <x:c r="V214" s="84"/>
      <x:c r="W214" s="84"/>
      <x:c r="X214" s="84"/>
      <x:c r="Y214" s="84"/>
      <x:c r="Z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  <x:c r="M215" s="84"/>
      <x:c r="N215" s="84"/>
      <x:c r="O215" s="84"/>
      <x:c r="P215" s="84"/>
      <x:c r="Q215" s="84"/>
      <x:c r="R215" s="84"/>
      <x:c r="S215" s="84"/>
      <x:c r="T215" s="84"/>
      <x:c r="U215" s="84"/>
      <x:c r="V215" s="84"/>
      <x:c r="W215" s="84"/>
      <x:c r="X215" s="84"/>
      <x:c r="Y215" s="84"/>
      <x:c r="Z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  <x:c r="M216" s="84"/>
      <x:c r="N216" s="84"/>
      <x:c r="O216" s="84"/>
      <x:c r="P216" s="84"/>
      <x:c r="Q216" s="84"/>
      <x:c r="R216" s="84"/>
      <x:c r="S216" s="84"/>
      <x:c r="T216" s="84"/>
      <x:c r="U216" s="84"/>
      <x:c r="V216" s="84"/>
      <x:c r="W216" s="84"/>
      <x:c r="X216" s="84"/>
      <x:c r="Y216" s="84"/>
      <x:c r="Z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  <x:c r="M217" s="84"/>
      <x:c r="N217" s="84"/>
      <x:c r="O217" s="84"/>
      <x:c r="P217" s="84"/>
      <x:c r="Q217" s="84"/>
      <x:c r="R217" s="84"/>
      <x:c r="S217" s="84"/>
      <x:c r="T217" s="84"/>
      <x:c r="U217" s="84"/>
      <x:c r="V217" s="84"/>
      <x:c r="W217" s="84"/>
      <x:c r="X217" s="84"/>
      <x:c r="Y217" s="84"/>
      <x:c r="Z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  <x:c r="M218" s="84"/>
      <x:c r="N218" s="84"/>
      <x:c r="O218" s="84"/>
      <x:c r="P218" s="84"/>
      <x:c r="Q218" s="84"/>
      <x:c r="R218" s="84"/>
      <x:c r="S218" s="84"/>
      <x:c r="T218" s="84"/>
      <x:c r="U218" s="84"/>
      <x:c r="V218" s="84"/>
      <x:c r="W218" s="84"/>
      <x:c r="X218" s="84"/>
      <x:c r="Y218" s="84"/>
      <x:c r="Z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  <x:c r="M219" s="84"/>
      <x:c r="N219" s="84"/>
      <x:c r="O219" s="84"/>
      <x:c r="P219" s="84"/>
      <x:c r="Q219" s="84"/>
      <x:c r="R219" s="84"/>
      <x:c r="S219" s="84"/>
      <x:c r="T219" s="84"/>
      <x:c r="U219" s="84"/>
      <x:c r="V219" s="84"/>
      <x:c r="W219" s="84"/>
      <x:c r="X219" s="84"/>
      <x:c r="Y219" s="84"/>
      <x:c r="Z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  <x:c r="M220" s="84"/>
      <x:c r="N220" s="84"/>
      <x:c r="O220" s="84"/>
      <x:c r="P220" s="84"/>
      <x:c r="Q220" s="84"/>
      <x:c r="R220" s="84"/>
      <x:c r="S220" s="84"/>
      <x:c r="T220" s="84"/>
      <x:c r="U220" s="84"/>
      <x:c r="V220" s="84"/>
      <x:c r="W220" s="84"/>
      <x:c r="X220" s="84"/>
      <x:c r="Y220" s="84"/>
      <x:c r="Z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  <x:c r="M221" s="84"/>
      <x:c r="N221" s="84"/>
      <x:c r="O221" s="84"/>
      <x:c r="P221" s="84"/>
      <x:c r="Q221" s="84"/>
      <x:c r="R221" s="84"/>
      <x:c r="S221" s="84"/>
      <x:c r="T221" s="84"/>
      <x:c r="U221" s="84"/>
      <x:c r="V221" s="84"/>
      <x:c r="W221" s="84"/>
      <x:c r="X221" s="84"/>
      <x:c r="Y221" s="84"/>
      <x:c r="Z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  <x:c r="M222" s="84"/>
      <x:c r="N222" s="84"/>
      <x:c r="O222" s="84"/>
      <x:c r="P222" s="84"/>
      <x:c r="Q222" s="84"/>
      <x:c r="R222" s="84"/>
      <x:c r="S222" s="84"/>
      <x:c r="T222" s="84"/>
      <x:c r="U222" s="84"/>
      <x:c r="V222" s="84"/>
      <x:c r="W222" s="84"/>
      <x:c r="X222" s="84"/>
      <x:c r="Y222" s="84"/>
      <x:c r="Z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  <x:c r="M223" s="84"/>
      <x:c r="N223" s="84"/>
      <x:c r="O223" s="84"/>
      <x:c r="P223" s="84"/>
      <x:c r="Q223" s="84"/>
      <x:c r="R223" s="84"/>
      <x:c r="S223" s="84"/>
      <x:c r="T223" s="84"/>
      <x:c r="U223" s="84"/>
      <x:c r="V223" s="84"/>
      <x:c r="W223" s="84"/>
      <x:c r="X223" s="84"/>
      <x:c r="Y223" s="84"/>
      <x:c r="Z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  <x:c r="M224" s="84"/>
      <x:c r="N224" s="84"/>
      <x:c r="O224" s="84"/>
      <x:c r="P224" s="84"/>
      <x:c r="Q224" s="84"/>
      <x:c r="R224" s="84"/>
      <x:c r="S224" s="84"/>
      <x:c r="T224" s="84"/>
      <x:c r="U224" s="84"/>
      <x:c r="V224" s="84"/>
      <x:c r="W224" s="84"/>
      <x:c r="X224" s="84"/>
      <x:c r="Y224" s="84"/>
      <x:c r="Z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  <x:c r="M225" s="84"/>
      <x:c r="N225" s="84"/>
      <x:c r="O225" s="84"/>
      <x:c r="P225" s="84"/>
      <x:c r="Q225" s="84"/>
      <x:c r="R225" s="84"/>
      <x:c r="S225" s="84"/>
      <x:c r="T225" s="84"/>
      <x:c r="U225" s="84"/>
      <x:c r="V225" s="84"/>
      <x:c r="W225" s="84"/>
      <x:c r="X225" s="84"/>
      <x:c r="Y225" s="84"/>
      <x:c r="Z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  <x:c r="M226" s="84"/>
      <x:c r="N226" s="84"/>
      <x:c r="O226" s="84"/>
      <x:c r="P226" s="84"/>
      <x:c r="Q226" s="84"/>
      <x:c r="R226" s="84"/>
      <x:c r="S226" s="84"/>
      <x:c r="T226" s="84"/>
      <x:c r="U226" s="84"/>
      <x:c r="V226" s="84"/>
      <x:c r="W226" s="84"/>
      <x:c r="X226" s="84"/>
      <x:c r="Y226" s="84"/>
      <x:c r="Z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  <x:c r="M227" s="84"/>
      <x:c r="N227" s="84"/>
      <x:c r="O227" s="84"/>
      <x:c r="P227" s="84"/>
      <x:c r="Q227" s="84"/>
      <x:c r="R227" s="84"/>
      <x:c r="S227" s="84"/>
      <x:c r="T227" s="84"/>
      <x:c r="U227" s="84"/>
      <x:c r="V227" s="84"/>
      <x:c r="W227" s="84"/>
      <x:c r="X227" s="84"/>
      <x:c r="Y227" s="84"/>
      <x:c r="Z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  <x:c r="M228" s="84"/>
      <x:c r="N228" s="84"/>
      <x:c r="O228" s="84"/>
      <x:c r="P228" s="84"/>
      <x:c r="Q228" s="84"/>
      <x:c r="R228" s="84"/>
      <x:c r="S228" s="84"/>
      <x:c r="T228" s="84"/>
      <x:c r="U228" s="84"/>
      <x:c r="V228" s="84"/>
      <x:c r="W228" s="84"/>
      <x:c r="X228" s="84"/>
      <x:c r="Y228" s="84"/>
      <x:c r="Z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  <x:c r="M229" s="84"/>
      <x:c r="N229" s="84"/>
      <x:c r="O229" s="84"/>
      <x:c r="P229" s="84"/>
      <x:c r="Q229" s="84"/>
      <x:c r="R229" s="84"/>
      <x:c r="S229" s="84"/>
      <x:c r="T229" s="84"/>
      <x:c r="U229" s="84"/>
      <x:c r="V229" s="84"/>
      <x:c r="W229" s="84"/>
      <x:c r="X229" s="84"/>
      <x:c r="Y229" s="84"/>
      <x:c r="Z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  <x:c r="M230" s="84"/>
      <x:c r="N230" s="84"/>
      <x:c r="O230" s="84"/>
      <x:c r="P230" s="84"/>
      <x:c r="Q230" s="84"/>
      <x:c r="R230" s="84"/>
      <x:c r="S230" s="84"/>
      <x:c r="T230" s="84"/>
      <x:c r="U230" s="84"/>
      <x:c r="V230" s="84"/>
      <x:c r="W230" s="84"/>
      <x:c r="X230" s="84"/>
      <x:c r="Y230" s="84"/>
      <x:c r="Z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  <x:c r="M231" s="84"/>
      <x:c r="N231" s="84"/>
      <x:c r="O231" s="84"/>
      <x:c r="P231" s="84"/>
      <x:c r="Q231" s="84"/>
      <x:c r="R231" s="84"/>
      <x:c r="S231" s="84"/>
      <x:c r="T231" s="84"/>
      <x:c r="U231" s="84"/>
      <x:c r="V231" s="84"/>
      <x:c r="W231" s="84"/>
      <x:c r="X231" s="84"/>
      <x:c r="Y231" s="84"/>
      <x:c r="Z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  <x:c r="M232" s="84"/>
      <x:c r="N232" s="84"/>
      <x:c r="O232" s="84"/>
      <x:c r="P232" s="84"/>
      <x:c r="Q232" s="84"/>
      <x:c r="R232" s="84"/>
      <x:c r="S232" s="84"/>
      <x:c r="T232" s="84"/>
      <x:c r="U232" s="84"/>
      <x:c r="V232" s="84"/>
      <x:c r="W232" s="84"/>
      <x:c r="X232" s="84"/>
      <x:c r="Y232" s="84"/>
      <x:c r="Z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  <x:c r="M233" s="84"/>
      <x:c r="N233" s="84"/>
      <x:c r="O233" s="84"/>
      <x:c r="P233" s="84"/>
      <x:c r="Q233" s="84"/>
      <x:c r="R233" s="84"/>
      <x:c r="S233" s="84"/>
      <x:c r="T233" s="84"/>
      <x:c r="U233" s="84"/>
      <x:c r="V233" s="84"/>
      <x:c r="W233" s="84"/>
      <x:c r="X233" s="84"/>
      <x:c r="Y233" s="84"/>
      <x:c r="Z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  <x:c r="M234" s="84"/>
      <x:c r="N234" s="84"/>
      <x:c r="O234" s="84"/>
      <x:c r="P234" s="84"/>
      <x:c r="Q234" s="84"/>
      <x:c r="R234" s="84"/>
      <x:c r="S234" s="84"/>
      <x:c r="T234" s="84"/>
      <x:c r="U234" s="84"/>
      <x:c r="V234" s="84"/>
      <x:c r="W234" s="84"/>
      <x:c r="X234" s="84"/>
      <x:c r="Y234" s="84"/>
      <x:c r="Z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  <x:c r="M235" s="84"/>
      <x:c r="N235" s="84"/>
      <x:c r="O235" s="84"/>
      <x:c r="P235" s="84"/>
      <x:c r="Q235" s="84"/>
      <x:c r="R235" s="84"/>
      <x:c r="S235" s="84"/>
      <x:c r="T235" s="84"/>
      <x:c r="U235" s="84"/>
      <x:c r="V235" s="84"/>
      <x:c r="W235" s="84"/>
      <x:c r="X235" s="84"/>
      <x:c r="Y235" s="84"/>
      <x:c r="Z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  <x:c r="M236" s="84"/>
      <x:c r="N236" s="84"/>
      <x:c r="O236" s="84"/>
      <x:c r="P236" s="84"/>
      <x:c r="Q236" s="84"/>
      <x:c r="R236" s="84"/>
      <x:c r="S236" s="84"/>
      <x:c r="T236" s="84"/>
      <x:c r="U236" s="84"/>
      <x:c r="V236" s="84"/>
      <x:c r="W236" s="84"/>
      <x:c r="X236" s="84"/>
      <x:c r="Y236" s="84"/>
      <x:c r="Z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  <x:c r="M237" s="84"/>
      <x:c r="N237" s="84"/>
      <x:c r="O237" s="84"/>
      <x:c r="P237" s="84"/>
      <x:c r="Q237" s="84"/>
      <x:c r="R237" s="84"/>
      <x:c r="S237" s="84"/>
      <x:c r="T237" s="84"/>
      <x:c r="U237" s="84"/>
      <x:c r="V237" s="84"/>
      <x:c r="W237" s="84"/>
      <x:c r="X237" s="84"/>
      <x:c r="Y237" s="84"/>
      <x:c r="Z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  <x:c r="M238" s="84"/>
      <x:c r="N238" s="84"/>
      <x:c r="O238" s="84"/>
      <x:c r="P238" s="84"/>
      <x:c r="Q238" s="84"/>
      <x:c r="R238" s="84"/>
      <x:c r="S238" s="84"/>
      <x:c r="T238" s="84"/>
      <x:c r="U238" s="84"/>
      <x:c r="V238" s="84"/>
      <x:c r="W238" s="84"/>
      <x:c r="X238" s="84"/>
      <x:c r="Y238" s="84"/>
      <x:c r="Z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  <x:c r="M239" s="84"/>
      <x:c r="N239" s="84"/>
      <x:c r="O239" s="84"/>
      <x:c r="P239" s="84"/>
      <x:c r="Q239" s="84"/>
      <x:c r="R239" s="84"/>
      <x:c r="S239" s="84"/>
      <x:c r="T239" s="84"/>
      <x:c r="U239" s="84"/>
      <x:c r="V239" s="84"/>
      <x:c r="W239" s="84"/>
      <x:c r="X239" s="84"/>
      <x:c r="Y239" s="84"/>
      <x:c r="Z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  <x:c r="M240" s="84"/>
      <x:c r="N240" s="84"/>
      <x:c r="O240" s="84"/>
      <x:c r="P240" s="84"/>
      <x:c r="Q240" s="84"/>
      <x:c r="R240" s="84"/>
      <x:c r="S240" s="84"/>
      <x:c r="T240" s="84"/>
      <x:c r="U240" s="84"/>
      <x:c r="V240" s="84"/>
      <x:c r="W240" s="84"/>
      <x:c r="X240" s="84"/>
      <x:c r="Y240" s="84"/>
      <x:c r="Z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  <x:c r="M241" s="84"/>
      <x:c r="N241" s="84"/>
      <x:c r="O241" s="84"/>
      <x:c r="P241" s="84"/>
      <x:c r="Q241" s="84"/>
      <x:c r="R241" s="84"/>
      <x:c r="S241" s="84"/>
      <x:c r="T241" s="84"/>
      <x:c r="U241" s="84"/>
      <x:c r="V241" s="84"/>
      <x:c r="W241" s="84"/>
      <x:c r="X241" s="84"/>
      <x:c r="Y241" s="84"/>
      <x:c r="Z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  <x:c r="M242" s="84"/>
      <x:c r="N242" s="84"/>
      <x:c r="O242" s="84"/>
      <x:c r="P242" s="84"/>
      <x:c r="Q242" s="84"/>
      <x:c r="R242" s="84"/>
      <x:c r="S242" s="84"/>
      <x:c r="T242" s="84"/>
      <x:c r="U242" s="84"/>
      <x:c r="V242" s="84"/>
      <x:c r="W242" s="84"/>
      <x:c r="X242" s="84"/>
      <x:c r="Y242" s="84"/>
      <x:c r="Z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  <x:c r="M243" s="84"/>
      <x:c r="N243" s="84"/>
      <x:c r="O243" s="84"/>
      <x:c r="P243" s="84"/>
      <x:c r="Q243" s="84"/>
      <x:c r="R243" s="84"/>
      <x:c r="S243" s="84"/>
      <x:c r="T243" s="84"/>
      <x:c r="U243" s="84"/>
      <x:c r="V243" s="84"/>
      <x:c r="W243" s="84"/>
      <x:c r="X243" s="84"/>
      <x:c r="Y243" s="84"/>
      <x:c r="Z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  <x:c r="M244" s="84"/>
      <x:c r="N244" s="84"/>
      <x:c r="O244" s="84"/>
      <x:c r="P244" s="84"/>
      <x:c r="Q244" s="84"/>
      <x:c r="R244" s="84"/>
      <x:c r="S244" s="84"/>
      <x:c r="T244" s="84"/>
      <x:c r="U244" s="84"/>
      <x:c r="V244" s="84"/>
      <x:c r="W244" s="84"/>
      <x:c r="X244" s="84"/>
      <x:c r="Y244" s="84"/>
      <x:c r="Z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  <x:c r="M245" s="84"/>
      <x:c r="N245" s="84"/>
      <x:c r="O245" s="84"/>
      <x:c r="P245" s="84"/>
      <x:c r="Q245" s="84"/>
      <x:c r="R245" s="84"/>
      <x:c r="S245" s="84"/>
      <x:c r="T245" s="84"/>
      <x:c r="U245" s="84"/>
      <x:c r="V245" s="84"/>
      <x:c r="W245" s="84"/>
      <x:c r="X245" s="84"/>
      <x:c r="Y245" s="84"/>
      <x:c r="Z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  <x:c r="M246" s="84"/>
      <x:c r="N246" s="84"/>
      <x:c r="O246" s="84"/>
      <x:c r="P246" s="84"/>
      <x:c r="Q246" s="84"/>
      <x:c r="R246" s="84"/>
      <x:c r="S246" s="84"/>
      <x:c r="T246" s="84"/>
      <x:c r="U246" s="84"/>
      <x:c r="V246" s="84"/>
      <x:c r="W246" s="84"/>
      <x:c r="X246" s="84"/>
      <x:c r="Y246" s="84"/>
      <x:c r="Z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  <x:c r="M247" s="84"/>
      <x:c r="N247" s="84"/>
      <x:c r="O247" s="84"/>
      <x:c r="P247" s="84"/>
      <x:c r="Q247" s="84"/>
      <x:c r="R247" s="84"/>
      <x:c r="S247" s="84"/>
      <x:c r="T247" s="84"/>
      <x:c r="U247" s="84"/>
      <x:c r="V247" s="84"/>
      <x:c r="W247" s="84"/>
      <x:c r="X247" s="84"/>
      <x:c r="Y247" s="84"/>
      <x:c r="Z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  <x:c r="M248" s="84"/>
      <x:c r="N248" s="84"/>
      <x:c r="O248" s="84"/>
      <x:c r="P248" s="84"/>
      <x:c r="Q248" s="84"/>
      <x:c r="R248" s="84"/>
      <x:c r="S248" s="84"/>
      <x:c r="T248" s="84"/>
      <x:c r="U248" s="84"/>
      <x:c r="V248" s="84"/>
      <x:c r="W248" s="84"/>
      <x:c r="X248" s="84"/>
      <x:c r="Y248" s="84"/>
      <x:c r="Z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  <x:c r="M249" s="84"/>
      <x:c r="N249" s="84"/>
      <x:c r="O249" s="84"/>
      <x:c r="P249" s="84"/>
      <x:c r="Q249" s="84"/>
      <x:c r="R249" s="84"/>
      <x:c r="S249" s="84"/>
      <x:c r="T249" s="84"/>
      <x:c r="U249" s="84"/>
      <x:c r="V249" s="84"/>
      <x:c r="W249" s="84"/>
      <x:c r="X249" s="84"/>
      <x:c r="Y249" s="84"/>
      <x:c r="Z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  <x:c r="M250" s="84"/>
      <x:c r="N250" s="84"/>
      <x:c r="O250" s="84"/>
      <x:c r="P250" s="84"/>
      <x:c r="Q250" s="84"/>
      <x:c r="R250" s="84"/>
      <x:c r="S250" s="84"/>
      <x:c r="T250" s="84"/>
      <x:c r="U250" s="84"/>
      <x:c r="V250" s="84"/>
      <x:c r="W250" s="84"/>
      <x:c r="X250" s="84"/>
      <x:c r="Y250" s="84"/>
      <x:c r="Z250" s="84"/>
    </x:row>
    <x:row r="25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4"/>
      <x:c r="K251" s="84"/>
      <x:c r="L251" s="84"/>
      <x:c r="M251" s="84"/>
      <x:c r="N251" s="84"/>
      <x:c r="O251" s="84"/>
      <x:c r="P251" s="84"/>
      <x:c r="Q251" s="84"/>
      <x:c r="R251" s="84"/>
      <x:c r="S251" s="84"/>
      <x:c r="T251" s="84"/>
      <x:c r="U251" s="84"/>
      <x:c r="V251" s="84"/>
      <x:c r="W251" s="84"/>
      <x:c r="X251" s="84"/>
      <x:c r="Y251" s="84"/>
      <x:c r="Z251" s="84"/>
    </x:row>
    <x:row r="252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4"/>
      <x:c r="K252" s="84"/>
      <x:c r="L252" s="84"/>
      <x:c r="M252" s="84"/>
      <x:c r="N252" s="84"/>
      <x:c r="O252" s="84"/>
      <x:c r="P252" s="84"/>
      <x:c r="Q252" s="84"/>
      <x:c r="R252" s="84"/>
      <x:c r="S252" s="84"/>
      <x:c r="T252" s="84"/>
      <x:c r="U252" s="84"/>
      <x:c r="V252" s="84"/>
      <x:c r="W252" s="84"/>
      <x:c r="X252" s="84"/>
      <x:c r="Y252" s="84"/>
      <x:c r="Z252" s="84"/>
    </x:row>
    <x:row r="253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4"/>
      <x:c r="K253" s="84"/>
      <x:c r="L253" s="84"/>
      <x:c r="M253" s="84"/>
      <x:c r="N253" s="84"/>
      <x:c r="O253" s="84"/>
      <x:c r="P253" s="84"/>
      <x:c r="Q253" s="84"/>
      <x:c r="R253" s="84"/>
      <x:c r="S253" s="84"/>
      <x:c r="T253" s="84"/>
      <x:c r="U253" s="84"/>
      <x:c r="V253" s="84"/>
      <x:c r="W253" s="84"/>
      <x:c r="X253" s="84"/>
      <x:c r="Y253" s="84"/>
      <x:c r="Z253" s="84"/>
    </x:row>
    <x:row r="254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4"/>
      <x:c r="K254" s="84"/>
      <x:c r="L254" s="84"/>
      <x:c r="M254" s="84"/>
      <x:c r="N254" s="84"/>
      <x:c r="O254" s="84"/>
      <x:c r="P254" s="84"/>
      <x:c r="Q254" s="84"/>
      <x:c r="R254" s="84"/>
      <x:c r="S254" s="84"/>
      <x:c r="T254" s="84"/>
      <x:c r="U254" s="84"/>
      <x:c r="V254" s="84"/>
      <x:c r="W254" s="84"/>
      <x:c r="X254" s="84"/>
      <x:c r="Y254" s="84"/>
      <x:c r="Z254" s="84"/>
    </x:row>
    <x:row r="255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4"/>
      <x:c r="K255" s="84"/>
      <x:c r="L255" s="84"/>
      <x:c r="M255" s="84"/>
      <x:c r="N255" s="84"/>
      <x:c r="O255" s="84"/>
      <x:c r="P255" s="84"/>
      <x:c r="Q255" s="84"/>
      <x:c r="R255" s="84"/>
      <x:c r="S255" s="84"/>
      <x:c r="T255" s="84"/>
      <x:c r="U255" s="84"/>
      <x:c r="V255" s="84"/>
      <x:c r="W255" s="84"/>
      <x:c r="X255" s="84"/>
      <x:c r="Y255" s="84"/>
      <x:c r="Z255" s="84"/>
    </x:row>
    <x:row r="256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4"/>
      <x:c r="K256" s="84"/>
      <x:c r="L256" s="84"/>
      <x:c r="M256" s="84"/>
      <x:c r="N256" s="84"/>
      <x:c r="O256" s="84"/>
      <x:c r="P256" s="84"/>
      <x:c r="Q256" s="84"/>
      <x:c r="R256" s="84"/>
      <x:c r="S256" s="84"/>
      <x:c r="T256" s="84"/>
      <x:c r="U256" s="84"/>
      <x:c r="V256" s="84"/>
      <x:c r="W256" s="84"/>
      <x:c r="X256" s="84"/>
      <x:c r="Y256" s="84"/>
      <x:c r="Z256" s="84"/>
    </x:row>
    <x:row r="257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4"/>
      <x:c r="K257" s="84"/>
      <x:c r="L257" s="84"/>
      <x:c r="M257" s="84"/>
      <x:c r="N257" s="84"/>
      <x:c r="O257" s="84"/>
      <x:c r="P257" s="84"/>
      <x:c r="Q257" s="84"/>
      <x:c r="R257" s="84"/>
      <x:c r="S257" s="84"/>
      <x:c r="T257" s="84"/>
      <x:c r="U257" s="84"/>
      <x:c r="V257" s="84"/>
      <x:c r="W257" s="84"/>
      <x:c r="X257" s="84"/>
      <x:c r="Y257" s="84"/>
      <x:c r="Z257" s="84"/>
    </x:row>
    <x:row r="258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4"/>
      <x:c r="K258" s="84"/>
      <x:c r="L258" s="84"/>
      <x:c r="M258" s="84"/>
      <x:c r="N258" s="84"/>
      <x:c r="O258" s="84"/>
      <x:c r="P258" s="84"/>
      <x:c r="Q258" s="84"/>
      <x:c r="R258" s="84"/>
      <x:c r="S258" s="84"/>
      <x:c r="T258" s="84"/>
      <x:c r="U258" s="84"/>
      <x:c r="V258" s="84"/>
      <x:c r="W258" s="84"/>
      <x:c r="X258" s="84"/>
      <x:c r="Y258" s="84"/>
      <x:c r="Z258" s="84"/>
    </x:row>
    <x:row r="259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4"/>
      <x:c r="K259" s="84"/>
      <x:c r="L259" s="84"/>
      <x:c r="M259" s="84"/>
      <x:c r="N259" s="84"/>
      <x:c r="O259" s="84"/>
      <x:c r="P259" s="84"/>
      <x:c r="Q259" s="84"/>
      <x:c r="R259" s="84"/>
      <x:c r="S259" s="84"/>
      <x:c r="T259" s="84"/>
      <x:c r="U259" s="84"/>
      <x:c r="V259" s="84"/>
      <x:c r="W259" s="84"/>
      <x:c r="X259" s="84"/>
      <x:c r="Y259" s="84"/>
      <x:c r="Z259" s="84"/>
    </x:row>
    <x:row r="260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4"/>
      <x:c r="K260" s="84"/>
      <x:c r="L260" s="84"/>
      <x:c r="M260" s="84"/>
      <x:c r="N260" s="84"/>
      <x:c r="O260" s="84"/>
      <x:c r="P260" s="84"/>
      <x:c r="Q260" s="84"/>
      <x:c r="R260" s="84"/>
      <x:c r="S260" s="84"/>
      <x:c r="T260" s="84"/>
      <x:c r="U260" s="84"/>
      <x:c r="V260" s="84"/>
      <x:c r="W260" s="84"/>
      <x:c r="X260" s="84"/>
      <x:c r="Y260" s="84"/>
      <x:c r="Z260" s="84"/>
    </x:row>
    <x:row r="26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4"/>
      <x:c r="K261" s="84"/>
      <x:c r="L261" s="84"/>
      <x:c r="M261" s="84"/>
      <x:c r="N261" s="84"/>
      <x:c r="O261" s="84"/>
      <x:c r="P261" s="84"/>
      <x:c r="Q261" s="84"/>
      <x:c r="R261" s="84"/>
      <x:c r="S261" s="84"/>
      <x:c r="T261" s="84"/>
      <x:c r="U261" s="84"/>
      <x:c r="V261" s="84"/>
      <x:c r="W261" s="84"/>
      <x:c r="X261" s="84"/>
      <x:c r="Y261" s="84"/>
      <x:c r="Z261" s="84"/>
    </x:row>
    <x:row r="262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4"/>
      <x:c r="K262" s="84"/>
      <x:c r="L262" s="84"/>
      <x:c r="M262" s="84"/>
      <x:c r="N262" s="84"/>
      <x:c r="O262" s="84"/>
      <x:c r="P262" s="84"/>
      <x:c r="Q262" s="84"/>
      <x:c r="R262" s="84"/>
      <x:c r="S262" s="84"/>
      <x:c r="T262" s="84"/>
      <x:c r="U262" s="84"/>
      <x:c r="V262" s="84"/>
      <x:c r="W262" s="84"/>
      <x:c r="X262" s="84"/>
      <x:c r="Y262" s="84"/>
      <x:c r="Z262" s="84"/>
    </x:row>
    <x:row r="263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4"/>
      <x:c r="K263" s="84"/>
      <x:c r="L263" s="84"/>
      <x:c r="M263" s="84"/>
      <x:c r="N263" s="84"/>
      <x:c r="O263" s="84"/>
      <x:c r="P263" s="84"/>
      <x:c r="Q263" s="84"/>
      <x:c r="R263" s="84"/>
      <x:c r="S263" s="84"/>
      <x:c r="T263" s="84"/>
      <x:c r="U263" s="84"/>
      <x:c r="V263" s="84"/>
      <x:c r="W263" s="84"/>
      <x:c r="X263" s="84"/>
      <x:c r="Y263" s="84"/>
      <x:c r="Z263" s="84"/>
    </x:row>
    <x:row r="264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4"/>
      <x:c r="K264" s="84"/>
      <x:c r="L264" s="84"/>
      <x:c r="M264" s="84"/>
      <x:c r="N264" s="84"/>
      <x:c r="O264" s="84"/>
      <x:c r="P264" s="84"/>
      <x:c r="Q264" s="84"/>
      <x:c r="R264" s="84"/>
      <x:c r="S264" s="84"/>
      <x:c r="T264" s="84"/>
      <x:c r="U264" s="84"/>
      <x:c r="V264" s="84"/>
      <x:c r="W264" s="84"/>
      <x:c r="X264" s="84"/>
      <x:c r="Y264" s="84"/>
      <x:c r="Z264" s="84"/>
    </x:row>
    <x:row r="265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4"/>
      <x:c r="K265" s="84"/>
      <x:c r="L265" s="84"/>
      <x:c r="M265" s="84"/>
      <x:c r="N265" s="84"/>
      <x:c r="O265" s="84"/>
      <x:c r="P265" s="84"/>
      <x:c r="Q265" s="84"/>
      <x:c r="R265" s="84"/>
      <x:c r="S265" s="84"/>
      <x:c r="T265" s="84"/>
      <x:c r="U265" s="84"/>
      <x:c r="V265" s="84"/>
      <x:c r="W265" s="84"/>
      <x:c r="X265" s="84"/>
      <x:c r="Y265" s="84"/>
      <x:c r="Z265" s="84"/>
    </x:row>
    <x:row r="266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4"/>
      <x:c r="K266" s="84"/>
      <x:c r="L266" s="84"/>
      <x:c r="M266" s="84"/>
      <x:c r="N266" s="84"/>
      <x:c r="O266" s="84"/>
      <x:c r="P266" s="84"/>
      <x:c r="Q266" s="84"/>
      <x:c r="R266" s="84"/>
      <x:c r="S266" s="84"/>
      <x:c r="T266" s="84"/>
      <x:c r="U266" s="84"/>
      <x:c r="V266" s="84"/>
      <x:c r="W266" s="84"/>
      <x:c r="X266" s="84"/>
      <x:c r="Y266" s="84"/>
      <x:c r="Z266" s="84"/>
    </x:row>
    <x:row r="267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4"/>
      <x:c r="K267" s="84"/>
      <x:c r="L267" s="84"/>
      <x:c r="M267" s="84"/>
      <x:c r="N267" s="84"/>
      <x:c r="O267" s="84"/>
      <x:c r="P267" s="84"/>
      <x:c r="Q267" s="84"/>
      <x:c r="R267" s="84"/>
      <x:c r="S267" s="84"/>
      <x:c r="T267" s="84"/>
      <x:c r="U267" s="84"/>
      <x:c r="V267" s="84"/>
      <x:c r="W267" s="84"/>
      <x:c r="X267" s="84"/>
      <x:c r="Y267" s="84"/>
      <x:c r="Z267" s="84"/>
    </x:row>
    <x:row r="268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4"/>
      <x:c r="K268" s="84"/>
      <x:c r="L268" s="84"/>
      <x:c r="M268" s="84"/>
      <x:c r="N268" s="84"/>
      <x:c r="O268" s="84"/>
      <x:c r="P268" s="84"/>
      <x:c r="Q268" s="84"/>
      <x:c r="R268" s="84"/>
      <x:c r="S268" s="84"/>
      <x:c r="T268" s="84"/>
      <x:c r="U268" s="84"/>
      <x:c r="V268" s="84"/>
      <x:c r="W268" s="84"/>
      <x:c r="X268" s="84"/>
      <x:c r="Y268" s="84"/>
      <x:c r="Z268" s="84"/>
    </x:row>
    <x:row r="269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4"/>
      <x:c r="K269" s="84"/>
      <x:c r="L269" s="84"/>
      <x:c r="M269" s="84"/>
      <x:c r="N269" s="84"/>
      <x:c r="O269" s="84"/>
      <x:c r="P269" s="84"/>
      <x:c r="Q269" s="84"/>
      <x:c r="R269" s="84"/>
      <x:c r="S269" s="84"/>
      <x:c r="T269" s="84"/>
      <x:c r="U269" s="84"/>
      <x:c r="V269" s="84"/>
      <x:c r="W269" s="84"/>
      <x:c r="X269" s="84"/>
      <x:c r="Y269" s="84"/>
      <x:c r="Z269" s="84"/>
    </x:row>
    <x:row r="270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4"/>
      <x:c r="K270" s="84"/>
      <x:c r="L270" s="84"/>
      <x:c r="M270" s="84"/>
      <x:c r="N270" s="84"/>
      <x:c r="O270" s="84"/>
      <x:c r="P270" s="84"/>
      <x:c r="Q270" s="84"/>
      <x:c r="R270" s="84"/>
      <x:c r="S270" s="84"/>
      <x:c r="T270" s="84"/>
      <x:c r="U270" s="84"/>
      <x:c r="V270" s="84"/>
      <x:c r="W270" s="84"/>
      <x:c r="X270" s="84"/>
      <x:c r="Y270" s="84"/>
      <x:c r="Z270" s="84"/>
    </x:row>
    <x:row r="27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4"/>
      <x:c r="K271" s="84"/>
      <x:c r="L271" s="84"/>
      <x:c r="M271" s="84"/>
      <x:c r="N271" s="84"/>
      <x:c r="O271" s="84"/>
      <x:c r="P271" s="84"/>
      <x:c r="Q271" s="84"/>
      <x:c r="R271" s="84"/>
      <x:c r="S271" s="84"/>
      <x:c r="T271" s="84"/>
      <x:c r="U271" s="84"/>
      <x:c r="V271" s="84"/>
      <x:c r="W271" s="84"/>
      <x:c r="X271" s="84"/>
      <x:c r="Y271" s="84"/>
      <x:c r="Z271" s="84"/>
    </x:row>
    <x:row r="272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4"/>
      <x:c r="K272" s="84"/>
      <x:c r="L272" s="84"/>
      <x:c r="M272" s="84"/>
      <x:c r="N272" s="84"/>
      <x:c r="O272" s="84"/>
      <x:c r="P272" s="84"/>
      <x:c r="Q272" s="84"/>
      <x:c r="R272" s="84"/>
      <x:c r="S272" s="84"/>
      <x:c r="T272" s="84"/>
      <x:c r="U272" s="84"/>
      <x:c r="V272" s="84"/>
      <x:c r="W272" s="84"/>
      <x:c r="X272" s="84"/>
      <x:c r="Y272" s="84"/>
      <x:c r="Z272" s="84"/>
    </x:row>
    <x:row r="273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4"/>
      <x:c r="K273" s="84"/>
      <x:c r="L273" s="84"/>
      <x:c r="M273" s="84"/>
      <x:c r="N273" s="84"/>
      <x:c r="O273" s="84"/>
      <x:c r="P273" s="84"/>
      <x:c r="Q273" s="84"/>
      <x:c r="R273" s="84"/>
      <x:c r="S273" s="84"/>
      <x:c r="T273" s="84"/>
      <x:c r="U273" s="84"/>
      <x:c r="V273" s="84"/>
      <x:c r="W273" s="84"/>
      <x:c r="X273" s="84"/>
      <x:c r="Y273" s="84"/>
      <x:c r="Z273" s="84"/>
    </x:row>
    <x:row r="274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4"/>
      <x:c r="K274" s="84"/>
      <x:c r="L274" s="84"/>
      <x:c r="M274" s="84"/>
      <x:c r="N274" s="84"/>
      <x:c r="O274" s="84"/>
      <x:c r="P274" s="84"/>
      <x:c r="Q274" s="84"/>
      <x:c r="R274" s="84"/>
      <x:c r="S274" s="84"/>
      <x:c r="T274" s="84"/>
      <x:c r="U274" s="84"/>
      <x:c r="V274" s="84"/>
      <x:c r="W274" s="84"/>
      <x:c r="X274" s="84"/>
      <x:c r="Y274" s="84"/>
      <x:c r="Z274" s="84"/>
    </x:row>
    <x:row r="275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4"/>
      <x:c r="K275" s="84"/>
      <x:c r="L275" s="84"/>
      <x:c r="M275" s="84"/>
      <x:c r="N275" s="84"/>
      <x:c r="O275" s="84"/>
      <x:c r="P275" s="84"/>
      <x:c r="Q275" s="84"/>
      <x:c r="R275" s="84"/>
      <x:c r="S275" s="84"/>
      <x:c r="T275" s="84"/>
      <x:c r="U275" s="84"/>
      <x:c r="V275" s="84"/>
      <x:c r="W275" s="84"/>
      <x:c r="X275" s="84"/>
      <x:c r="Y275" s="84"/>
      <x:c r="Z275" s="84"/>
    </x:row>
    <x:row r="276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4"/>
      <x:c r="K276" s="84"/>
      <x:c r="L276" s="84"/>
      <x:c r="M276" s="84"/>
      <x:c r="N276" s="84"/>
      <x:c r="O276" s="84"/>
      <x:c r="P276" s="84"/>
      <x:c r="Q276" s="84"/>
      <x:c r="R276" s="84"/>
      <x:c r="S276" s="84"/>
      <x:c r="T276" s="84"/>
      <x:c r="U276" s="84"/>
      <x:c r="V276" s="84"/>
      <x:c r="W276" s="84"/>
      <x:c r="X276" s="84"/>
      <x:c r="Y276" s="84"/>
      <x:c r="Z276" s="84"/>
    </x:row>
    <x:row r="277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4"/>
      <x:c r="K277" s="84"/>
      <x:c r="L277" s="84"/>
      <x:c r="M277" s="84"/>
      <x:c r="N277" s="84"/>
      <x:c r="O277" s="84"/>
      <x:c r="P277" s="84"/>
      <x:c r="Q277" s="84"/>
      <x:c r="R277" s="84"/>
      <x:c r="S277" s="84"/>
      <x:c r="T277" s="84"/>
      <x:c r="U277" s="84"/>
      <x:c r="V277" s="84"/>
      <x:c r="W277" s="84"/>
      <x:c r="X277" s="84"/>
      <x:c r="Y277" s="84"/>
      <x:c r="Z277" s="84"/>
    </x:row>
    <x:row r="278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4"/>
      <x:c r="K278" s="84"/>
      <x:c r="L278" s="84"/>
      <x:c r="M278" s="84"/>
      <x:c r="N278" s="84"/>
      <x:c r="O278" s="84"/>
      <x:c r="P278" s="84"/>
      <x:c r="Q278" s="84"/>
      <x:c r="R278" s="84"/>
      <x:c r="S278" s="84"/>
      <x:c r="T278" s="84"/>
      <x:c r="U278" s="84"/>
      <x:c r="V278" s="84"/>
      <x:c r="W278" s="84"/>
      <x:c r="X278" s="84"/>
      <x:c r="Y278" s="84"/>
      <x:c r="Z278" s="84"/>
    </x:row>
    <x:row r="279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4"/>
      <x:c r="K279" s="84"/>
      <x:c r="L279" s="84"/>
      <x:c r="M279" s="84"/>
      <x:c r="N279" s="84"/>
      <x:c r="O279" s="84"/>
      <x:c r="P279" s="84"/>
      <x:c r="Q279" s="84"/>
      <x:c r="R279" s="84"/>
      <x:c r="S279" s="84"/>
      <x:c r="T279" s="84"/>
      <x:c r="U279" s="84"/>
      <x:c r="V279" s="84"/>
      <x:c r="W279" s="84"/>
      <x:c r="X279" s="84"/>
      <x:c r="Y279" s="84"/>
      <x:c r="Z279" s="84"/>
    </x:row>
    <x:row r="280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4"/>
      <x:c r="K280" s="84"/>
      <x:c r="L280" s="84"/>
      <x:c r="M280" s="84"/>
      <x:c r="N280" s="84"/>
      <x:c r="O280" s="84"/>
      <x:c r="P280" s="84"/>
      <x:c r="Q280" s="84"/>
      <x:c r="R280" s="84"/>
      <x:c r="S280" s="84"/>
      <x:c r="T280" s="84"/>
      <x:c r="U280" s="84"/>
      <x:c r="V280" s="84"/>
      <x:c r="W280" s="84"/>
      <x:c r="X280" s="84"/>
      <x:c r="Y280" s="84"/>
      <x:c r="Z280" s="84"/>
    </x:row>
    <x:row r="28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4"/>
      <x:c r="K281" s="84"/>
      <x:c r="L281" s="84"/>
      <x:c r="M281" s="84"/>
      <x:c r="N281" s="84"/>
      <x:c r="O281" s="84"/>
      <x:c r="P281" s="84"/>
      <x:c r="Q281" s="84"/>
      <x:c r="R281" s="84"/>
      <x:c r="S281" s="84"/>
      <x:c r="T281" s="84"/>
      <x:c r="U281" s="84"/>
      <x:c r="V281" s="84"/>
      <x:c r="W281" s="84"/>
      <x:c r="X281" s="84"/>
      <x:c r="Y281" s="84"/>
      <x:c r="Z281" s="84"/>
    </x:row>
    <x:row r="282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4"/>
      <x:c r="K282" s="84"/>
      <x:c r="L282" s="84"/>
      <x:c r="M282" s="84"/>
      <x:c r="N282" s="84"/>
      <x:c r="O282" s="84"/>
      <x:c r="P282" s="84"/>
      <x:c r="Q282" s="84"/>
      <x:c r="R282" s="84"/>
      <x:c r="S282" s="84"/>
      <x:c r="T282" s="84"/>
      <x:c r="U282" s="84"/>
      <x:c r="V282" s="84"/>
      <x:c r="W282" s="84"/>
      <x:c r="X282" s="84"/>
      <x:c r="Y282" s="84"/>
      <x:c r="Z282" s="84"/>
    </x:row>
    <x:row r="283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4"/>
      <x:c r="K283" s="84"/>
      <x:c r="L283" s="84"/>
      <x:c r="M283" s="84"/>
      <x:c r="N283" s="84"/>
      <x:c r="O283" s="84"/>
      <x:c r="P283" s="84"/>
      <x:c r="Q283" s="84"/>
      <x:c r="R283" s="84"/>
      <x:c r="S283" s="84"/>
      <x:c r="T283" s="84"/>
      <x:c r="U283" s="84"/>
      <x:c r="V283" s="84"/>
      <x:c r="W283" s="84"/>
      <x:c r="X283" s="84"/>
      <x:c r="Y283" s="84"/>
      <x:c r="Z283" s="84"/>
    </x:row>
    <x:row r="284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4"/>
      <x:c r="K284" s="84"/>
      <x:c r="L284" s="84"/>
      <x:c r="M284" s="84"/>
      <x:c r="N284" s="84"/>
      <x:c r="O284" s="84"/>
      <x:c r="P284" s="84"/>
      <x:c r="Q284" s="84"/>
      <x:c r="R284" s="84"/>
      <x:c r="S284" s="84"/>
      <x:c r="T284" s="84"/>
      <x:c r="U284" s="84"/>
      <x:c r="V284" s="84"/>
      <x:c r="W284" s="84"/>
      <x:c r="X284" s="84"/>
      <x:c r="Y284" s="84"/>
      <x:c r="Z284" s="84"/>
    </x:row>
    <x:row r="285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4"/>
      <x:c r="K285" s="84"/>
      <x:c r="L285" s="84"/>
      <x:c r="M285" s="84"/>
      <x:c r="N285" s="84"/>
      <x:c r="O285" s="84"/>
      <x:c r="P285" s="84"/>
      <x:c r="Q285" s="84"/>
      <x:c r="R285" s="84"/>
      <x:c r="S285" s="84"/>
      <x:c r="T285" s="84"/>
      <x:c r="U285" s="84"/>
      <x:c r="V285" s="84"/>
      <x:c r="W285" s="84"/>
      <x:c r="X285" s="84"/>
      <x:c r="Y285" s="84"/>
      <x:c r="Z285" s="84"/>
    </x:row>
    <x:row r="286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4"/>
      <x:c r="K286" s="84"/>
      <x:c r="L286" s="84"/>
      <x:c r="M286" s="84"/>
      <x:c r="N286" s="84"/>
      <x:c r="O286" s="84"/>
      <x:c r="P286" s="84"/>
      <x:c r="Q286" s="84"/>
      <x:c r="R286" s="84"/>
      <x:c r="S286" s="84"/>
      <x:c r="T286" s="84"/>
      <x:c r="U286" s="84"/>
      <x:c r="V286" s="84"/>
      <x:c r="W286" s="84"/>
      <x:c r="X286" s="84"/>
      <x:c r="Y286" s="84"/>
      <x:c r="Z286" s="84"/>
    </x:row>
    <x:row r="287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4"/>
      <x:c r="K287" s="84"/>
      <x:c r="L287" s="84"/>
      <x:c r="M287" s="84"/>
      <x:c r="N287" s="84"/>
      <x:c r="O287" s="84"/>
      <x:c r="P287" s="84"/>
      <x:c r="Q287" s="84"/>
      <x:c r="R287" s="84"/>
      <x:c r="S287" s="84"/>
      <x:c r="T287" s="84"/>
      <x:c r="U287" s="84"/>
      <x:c r="V287" s="84"/>
      <x:c r="W287" s="84"/>
      <x:c r="X287" s="84"/>
      <x:c r="Y287" s="84"/>
      <x:c r="Z287" s="84"/>
    </x:row>
    <x:row r="288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4"/>
      <x:c r="K288" s="84"/>
      <x:c r="L288" s="84"/>
      <x:c r="M288" s="84"/>
      <x:c r="N288" s="84"/>
      <x:c r="O288" s="84"/>
      <x:c r="P288" s="84"/>
      <x:c r="Q288" s="84"/>
      <x:c r="R288" s="84"/>
      <x:c r="S288" s="84"/>
      <x:c r="T288" s="84"/>
      <x:c r="U288" s="84"/>
      <x:c r="V288" s="84"/>
      <x:c r="W288" s="84"/>
      <x:c r="X288" s="84"/>
      <x:c r="Y288" s="84"/>
      <x:c r="Z288" s="84"/>
    </x:row>
    <x:row r="289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4"/>
      <x:c r="K289" s="84"/>
      <x:c r="L289" s="84"/>
      <x:c r="M289" s="84"/>
      <x:c r="N289" s="84"/>
      <x:c r="O289" s="84"/>
      <x:c r="P289" s="84"/>
      <x:c r="Q289" s="84"/>
      <x:c r="R289" s="84"/>
      <x:c r="S289" s="84"/>
      <x:c r="T289" s="84"/>
      <x:c r="U289" s="84"/>
      <x:c r="V289" s="84"/>
      <x:c r="W289" s="84"/>
      <x:c r="X289" s="84"/>
      <x:c r="Y289" s="84"/>
      <x:c r="Z289" s="84"/>
    </x:row>
    <x:row r="290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4"/>
      <x:c r="K290" s="84"/>
      <x:c r="L290" s="84"/>
      <x:c r="M290" s="84"/>
      <x:c r="N290" s="84"/>
      <x:c r="O290" s="84"/>
      <x:c r="P290" s="84"/>
      <x:c r="Q290" s="84"/>
      <x:c r="R290" s="84"/>
      <x:c r="S290" s="84"/>
      <x:c r="T290" s="84"/>
      <x:c r="U290" s="84"/>
      <x:c r="V290" s="84"/>
      <x:c r="W290" s="84"/>
      <x:c r="X290" s="84"/>
      <x:c r="Y290" s="84"/>
      <x:c r="Z290" s="84"/>
    </x:row>
    <x:row r="29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4"/>
      <x:c r="K291" s="84"/>
      <x:c r="L291" s="84"/>
      <x:c r="M291" s="84"/>
      <x:c r="N291" s="84"/>
      <x:c r="O291" s="84"/>
      <x:c r="P291" s="84"/>
      <x:c r="Q291" s="84"/>
      <x:c r="R291" s="84"/>
      <x:c r="S291" s="84"/>
      <x:c r="T291" s="84"/>
      <x:c r="U291" s="84"/>
      <x:c r="V291" s="84"/>
      <x:c r="W291" s="84"/>
      <x:c r="X291" s="84"/>
      <x:c r="Y291" s="84"/>
      <x:c r="Z291" s="84"/>
    </x:row>
    <x:row r="292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4"/>
      <x:c r="K292" s="84"/>
      <x:c r="L292" s="84"/>
      <x:c r="M292" s="84"/>
      <x:c r="N292" s="84"/>
      <x:c r="O292" s="84"/>
      <x:c r="P292" s="84"/>
      <x:c r="Q292" s="84"/>
      <x:c r="R292" s="84"/>
      <x:c r="S292" s="84"/>
      <x:c r="T292" s="84"/>
      <x:c r="U292" s="84"/>
      <x:c r="V292" s="84"/>
      <x:c r="W292" s="84"/>
      <x:c r="X292" s="84"/>
      <x:c r="Y292" s="84"/>
      <x:c r="Z292" s="84"/>
    </x:row>
    <x:row r="293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4"/>
      <x:c r="K293" s="84"/>
      <x:c r="L293" s="84"/>
      <x:c r="M293" s="84"/>
      <x:c r="N293" s="84"/>
      <x:c r="O293" s="84"/>
      <x:c r="P293" s="84"/>
      <x:c r="Q293" s="84"/>
      <x:c r="R293" s="84"/>
      <x:c r="S293" s="84"/>
      <x:c r="T293" s="84"/>
      <x:c r="U293" s="84"/>
      <x:c r="V293" s="84"/>
      <x:c r="W293" s="84"/>
      <x:c r="X293" s="84"/>
      <x:c r="Y293" s="84"/>
      <x:c r="Z293" s="84"/>
    </x:row>
    <x:row r="294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4"/>
      <x:c r="K294" s="84"/>
      <x:c r="L294" s="84"/>
      <x:c r="M294" s="84"/>
      <x:c r="N294" s="84"/>
      <x:c r="O294" s="84"/>
      <x:c r="P294" s="84"/>
      <x:c r="Q294" s="84"/>
      <x:c r="R294" s="84"/>
      <x:c r="S294" s="84"/>
      <x:c r="T294" s="84"/>
      <x:c r="U294" s="84"/>
      <x:c r="V294" s="84"/>
      <x:c r="W294" s="84"/>
      <x:c r="X294" s="84"/>
      <x:c r="Y294" s="84"/>
      <x:c r="Z294" s="84"/>
    </x:row>
    <x:row r="295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4"/>
      <x:c r="K295" s="84"/>
      <x:c r="L295" s="84"/>
      <x:c r="M295" s="84"/>
      <x:c r="N295" s="84"/>
      <x:c r="O295" s="84"/>
      <x:c r="P295" s="84"/>
      <x:c r="Q295" s="84"/>
      <x:c r="R295" s="84"/>
      <x:c r="S295" s="84"/>
      <x:c r="T295" s="84"/>
      <x:c r="U295" s="84"/>
      <x:c r="V295" s="84"/>
      <x:c r="W295" s="84"/>
      <x:c r="X295" s="84"/>
      <x:c r="Y295" s="84"/>
      <x:c r="Z295" s="84"/>
    </x:row>
    <x:row r="296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4"/>
      <x:c r="K296" s="84"/>
      <x:c r="L296" s="84"/>
      <x:c r="M296" s="84"/>
      <x:c r="N296" s="84"/>
      <x:c r="O296" s="84"/>
      <x:c r="P296" s="84"/>
      <x:c r="Q296" s="84"/>
      <x:c r="R296" s="84"/>
      <x:c r="S296" s="84"/>
      <x:c r="T296" s="84"/>
      <x:c r="U296" s="84"/>
      <x:c r="V296" s="84"/>
      <x:c r="W296" s="84"/>
      <x:c r="X296" s="84"/>
      <x:c r="Y296" s="84"/>
      <x:c r="Z296" s="84"/>
    </x:row>
    <x:row r="297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4"/>
      <x:c r="K297" s="84"/>
      <x:c r="L297" s="84"/>
      <x:c r="M297" s="84"/>
      <x:c r="N297" s="84"/>
      <x:c r="O297" s="84"/>
      <x:c r="P297" s="84"/>
      <x:c r="Q297" s="84"/>
      <x:c r="R297" s="84"/>
      <x:c r="S297" s="84"/>
      <x:c r="T297" s="84"/>
      <x:c r="U297" s="84"/>
      <x:c r="V297" s="84"/>
      <x:c r="W297" s="84"/>
      <x:c r="X297" s="84"/>
      <x:c r="Y297" s="84"/>
      <x:c r="Z297" s="84"/>
    </x:row>
    <x:row r="298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4"/>
      <x:c r="K298" s="84"/>
      <x:c r="L298" s="84"/>
      <x:c r="M298" s="84"/>
      <x:c r="N298" s="84"/>
      <x:c r="O298" s="84"/>
      <x:c r="P298" s="84"/>
      <x:c r="Q298" s="84"/>
      <x:c r="R298" s="84"/>
      <x:c r="S298" s="84"/>
      <x:c r="T298" s="84"/>
      <x:c r="U298" s="84"/>
      <x:c r="V298" s="84"/>
      <x:c r="W298" s="84"/>
      <x:c r="X298" s="84"/>
      <x:c r="Y298" s="84"/>
      <x:c r="Z298" s="84"/>
    </x:row>
    <x:row r="299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4"/>
      <x:c r="K299" s="84"/>
      <x:c r="L299" s="84"/>
      <x:c r="M299" s="84"/>
      <x:c r="N299" s="84"/>
      <x:c r="O299" s="84"/>
      <x:c r="P299" s="84"/>
      <x:c r="Q299" s="84"/>
      <x:c r="R299" s="84"/>
      <x:c r="S299" s="84"/>
      <x:c r="T299" s="84"/>
      <x:c r="U299" s="84"/>
      <x:c r="V299" s="84"/>
      <x:c r="W299" s="84"/>
      <x:c r="X299" s="84"/>
      <x:c r="Y299" s="84"/>
      <x:c r="Z299" s="84"/>
    </x:row>
    <x:row r="300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4"/>
      <x:c r="K300" s="84"/>
      <x:c r="L300" s="84"/>
      <x:c r="M300" s="84"/>
      <x:c r="N300" s="84"/>
      <x:c r="O300" s="84"/>
      <x:c r="P300" s="84"/>
      <x:c r="Q300" s="84"/>
      <x:c r="R300" s="84"/>
      <x:c r="S300" s="84"/>
      <x:c r="T300" s="84"/>
      <x:c r="U300" s="84"/>
      <x:c r="V300" s="84"/>
      <x:c r="W300" s="84"/>
      <x:c r="X300" s="84"/>
      <x:c r="Y300" s="84"/>
      <x:c r="Z300" s="84"/>
    </x:row>
    <x:row r="30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4"/>
      <x:c r="K301" s="84"/>
      <x:c r="L301" s="84"/>
      <x:c r="M301" s="84"/>
      <x:c r="N301" s="84"/>
      <x:c r="O301" s="84"/>
      <x:c r="P301" s="84"/>
      <x:c r="Q301" s="84"/>
      <x:c r="R301" s="84"/>
      <x:c r="S301" s="84"/>
      <x:c r="T301" s="84"/>
      <x:c r="U301" s="84"/>
      <x:c r="V301" s="84"/>
      <x:c r="W301" s="84"/>
      <x:c r="X301" s="84"/>
      <x:c r="Y301" s="84"/>
      <x:c r="Z301" s="84"/>
    </x:row>
    <x:row r="302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4"/>
      <x:c r="K302" s="84"/>
      <x:c r="L302" s="84"/>
      <x:c r="M302" s="84"/>
      <x:c r="N302" s="84"/>
      <x:c r="O302" s="84"/>
      <x:c r="P302" s="84"/>
      <x:c r="Q302" s="84"/>
      <x:c r="R302" s="84"/>
      <x:c r="S302" s="84"/>
      <x:c r="T302" s="84"/>
      <x:c r="U302" s="84"/>
      <x:c r="V302" s="84"/>
      <x:c r="W302" s="84"/>
      <x:c r="X302" s="84"/>
      <x:c r="Y302" s="84"/>
      <x:c r="Z302" s="84"/>
    </x:row>
    <x:row r="303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4"/>
      <x:c r="K303" s="84"/>
      <x:c r="L303" s="84"/>
      <x:c r="M303" s="84"/>
      <x:c r="N303" s="84"/>
      <x:c r="O303" s="84"/>
      <x:c r="P303" s="84"/>
      <x:c r="Q303" s="84"/>
      <x:c r="R303" s="84"/>
      <x:c r="S303" s="84"/>
      <x:c r="T303" s="84"/>
      <x:c r="U303" s="84"/>
      <x:c r="V303" s="84"/>
      <x:c r="W303" s="84"/>
      <x:c r="X303" s="84"/>
      <x:c r="Y303" s="84"/>
      <x:c r="Z303" s="84"/>
    </x:row>
    <x:row r="304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4"/>
      <x:c r="K304" s="84"/>
      <x:c r="L304" s="84"/>
      <x:c r="M304" s="84"/>
      <x:c r="N304" s="84"/>
      <x:c r="O304" s="84"/>
      <x:c r="P304" s="84"/>
      <x:c r="Q304" s="84"/>
      <x:c r="R304" s="84"/>
      <x:c r="S304" s="84"/>
      <x:c r="T304" s="84"/>
      <x:c r="U304" s="84"/>
      <x:c r="V304" s="84"/>
      <x:c r="W304" s="84"/>
      <x:c r="X304" s="84"/>
      <x:c r="Y304" s="84"/>
      <x:c r="Z304" s="84"/>
    </x:row>
    <x:row r="305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4"/>
      <x:c r="K305" s="84"/>
      <x:c r="L305" s="84"/>
      <x:c r="M305" s="84"/>
      <x:c r="N305" s="84"/>
      <x:c r="O305" s="84"/>
      <x:c r="P305" s="84"/>
      <x:c r="Q305" s="84"/>
      <x:c r="R305" s="84"/>
      <x:c r="S305" s="84"/>
      <x:c r="T305" s="84"/>
      <x:c r="U305" s="84"/>
      <x:c r="V305" s="84"/>
      <x:c r="W305" s="84"/>
      <x:c r="X305" s="84"/>
      <x:c r="Y305" s="84"/>
      <x:c r="Z305" s="84"/>
    </x:row>
    <x:row r="306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4"/>
      <x:c r="K306" s="84"/>
      <x:c r="L306" s="84"/>
      <x:c r="M306" s="84"/>
      <x:c r="N306" s="84"/>
      <x:c r="O306" s="84"/>
      <x:c r="P306" s="84"/>
      <x:c r="Q306" s="84"/>
      <x:c r="R306" s="84"/>
      <x:c r="S306" s="84"/>
      <x:c r="T306" s="84"/>
      <x:c r="U306" s="84"/>
      <x:c r="V306" s="84"/>
      <x:c r="W306" s="84"/>
      <x:c r="X306" s="84"/>
      <x:c r="Y306" s="84"/>
      <x:c r="Z306" s="84"/>
    </x:row>
    <x:row r="307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4"/>
      <x:c r="K307" s="84"/>
      <x:c r="L307" s="84"/>
      <x:c r="M307" s="84"/>
      <x:c r="N307" s="84"/>
      <x:c r="O307" s="84"/>
      <x:c r="P307" s="84"/>
      <x:c r="Q307" s="84"/>
      <x:c r="R307" s="84"/>
      <x:c r="S307" s="84"/>
      <x:c r="T307" s="84"/>
      <x:c r="U307" s="84"/>
      <x:c r="V307" s="84"/>
      <x:c r="W307" s="84"/>
      <x:c r="X307" s="84"/>
      <x:c r="Y307" s="84"/>
      <x:c r="Z307" s="84"/>
    </x:row>
    <x:row r="308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4"/>
      <x:c r="K308" s="84"/>
      <x:c r="L308" s="84"/>
      <x:c r="M308" s="84"/>
      <x:c r="N308" s="84"/>
      <x:c r="O308" s="84"/>
      <x:c r="P308" s="84"/>
      <x:c r="Q308" s="84"/>
      <x:c r="R308" s="84"/>
      <x:c r="S308" s="84"/>
      <x:c r="T308" s="84"/>
      <x:c r="U308" s="84"/>
      <x:c r="V308" s="84"/>
      <x:c r="W308" s="84"/>
      <x:c r="X308" s="84"/>
      <x:c r="Y308" s="84"/>
      <x:c r="Z308" s="84"/>
    </x:row>
    <x:row r="309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4"/>
      <x:c r="K309" s="84"/>
      <x:c r="L309" s="84"/>
      <x:c r="M309" s="84"/>
      <x:c r="N309" s="84"/>
      <x:c r="O309" s="84"/>
      <x:c r="P309" s="84"/>
      <x:c r="Q309" s="84"/>
      <x:c r="R309" s="84"/>
      <x:c r="S309" s="84"/>
      <x:c r="T309" s="84"/>
      <x:c r="U309" s="84"/>
      <x:c r="V309" s="84"/>
      <x:c r="W309" s="84"/>
      <x:c r="X309" s="84"/>
      <x:c r="Y309" s="84"/>
      <x:c r="Z309" s="84"/>
    </x:row>
    <x:row r="310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4"/>
      <x:c r="K310" s="84"/>
      <x:c r="L310" s="84"/>
      <x:c r="M310" s="84"/>
      <x:c r="N310" s="84"/>
      <x:c r="O310" s="84"/>
      <x:c r="P310" s="84"/>
      <x:c r="Q310" s="84"/>
      <x:c r="R310" s="84"/>
      <x:c r="S310" s="84"/>
      <x:c r="T310" s="84"/>
      <x:c r="U310" s="84"/>
      <x:c r="V310" s="84"/>
      <x:c r="W310" s="84"/>
      <x:c r="X310" s="84"/>
      <x:c r="Y310" s="84"/>
      <x:c r="Z310" s="84"/>
    </x:row>
    <x:row r="31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4"/>
      <x:c r="K311" s="84"/>
      <x:c r="L311" s="84"/>
      <x:c r="M311" s="84"/>
      <x:c r="N311" s="84"/>
      <x:c r="O311" s="84"/>
      <x:c r="P311" s="84"/>
      <x:c r="Q311" s="84"/>
      <x:c r="R311" s="84"/>
      <x:c r="S311" s="84"/>
      <x:c r="T311" s="84"/>
      <x:c r="U311" s="84"/>
      <x:c r="V311" s="84"/>
      <x:c r="W311" s="84"/>
      <x:c r="X311" s="84"/>
      <x:c r="Y311" s="84"/>
      <x:c r="Z311" s="84"/>
    </x:row>
    <x:row r="312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4"/>
      <x:c r="K312" s="84"/>
      <x:c r="L312" s="84"/>
      <x:c r="M312" s="84"/>
      <x:c r="N312" s="84"/>
      <x:c r="O312" s="84"/>
      <x:c r="P312" s="84"/>
      <x:c r="Q312" s="84"/>
      <x:c r="R312" s="84"/>
      <x:c r="S312" s="84"/>
      <x:c r="T312" s="84"/>
      <x:c r="U312" s="84"/>
      <x:c r="V312" s="84"/>
      <x:c r="W312" s="84"/>
      <x:c r="X312" s="84"/>
      <x:c r="Y312" s="84"/>
      <x:c r="Z312" s="84"/>
    </x:row>
    <x:row r="313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4"/>
      <x:c r="K313" s="84"/>
      <x:c r="L313" s="84"/>
      <x:c r="M313" s="84"/>
      <x:c r="N313" s="84"/>
      <x:c r="O313" s="84"/>
      <x:c r="P313" s="84"/>
      <x:c r="Q313" s="84"/>
      <x:c r="R313" s="84"/>
      <x:c r="S313" s="84"/>
      <x:c r="T313" s="84"/>
      <x:c r="U313" s="84"/>
      <x:c r="V313" s="84"/>
      <x:c r="W313" s="84"/>
      <x:c r="X313" s="84"/>
      <x:c r="Y313" s="84"/>
      <x:c r="Z313" s="84"/>
    </x:row>
    <x:row r="314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4"/>
      <x:c r="K314" s="84"/>
      <x:c r="L314" s="84"/>
      <x:c r="M314" s="84"/>
      <x:c r="N314" s="84"/>
      <x:c r="O314" s="84"/>
      <x:c r="P314" s="84"/>
      <x:c r="Q314" s="84"/>
      <x:c r="R314" s="84"/>
      <x:c r="S314" s="84"/>
      <x:c r="T314" s="84"/>
      <x:c r="U314" s="84"/>
      <x:c r="V314" s="84"/>
      <x:c r="W314" s="84"/>
      <x:c r="X314" s="84"/>
      <x:c r="Y314" s="84"/>
      <x:c r="Z314" s="84"/>
    </x:row>
    <x:row r="315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4"/>
      <x:c r="K315" s="84"/>
      <x:c r="L315" s="84"/>
      <x:c r="M315" s="84"/>
      <x:c r="N315" s="84"/>
      <x:c r="O315" s="84"/>
      <x:c r="P315" s="84"/>
      <x:c r="Q315" s="84"/>
      <x:c r="R315" s="84"/>
      <x:c r="S315" s="84"/>
      <x:c r="T315" s="84"/>
      <x:c r="U315" s="84"/>
      <x:c r="V315" s="84"/>
      <x:c r="W315" s="84"/>
      <x:c r="X315" s="84"/>
      <x:c r="Y315" s="84"/>
      <x:c r="Z315" s="84"/>
    </x:row>
    <x:row r="316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4"/>
      <x:c r="K316" s="84"/>
      <x:c r="L316" s="84"/>
      <x:c r="M316" s="84"/>
      <x:c r="N316" s="84"/>
      <x:c r="O316" s="84"/>
      <x:c r="P316" s="84"/>
      <x:c r="Q316" s="84"/>
      <x:c r="R316" s="84"/>
      <x:c r="S316" s="84"/>
      <x:c r="T316" s="84"/>
      <x:c r="U316" s="84"/>
      <x:c r="V316" s="84"/>
      <x:c r="W316" s="84"/>
      <x:c r="X316" s="84"/>
      <x:c r="Y316" s="84"/>
      <x:c r="Z316" s="84"/>
    </x:row>
    <x:row r="317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4"/>
      <x:c r="K317" s="84"/>
      <x:c r="L317" s="84"/>
      <x:c r="M317" s="84"/>
      <x:c r="N317" s="84"/>
      <x:c r="O317" s="84"/>
      <x:c r="P317" s="84"/>
      <x:c r="Q317" s="84"/>
      <x:c r="R317" s="84"/>
      <x:c r="S317" s="84"/>
      <x:c r="T317" s="84"/>
      <x:c r="U317" s="84"/>
      <x:c r="V317" s="84"/>
      <x:c r="W317" s="84"/>
      <x:c r="X317" s="84"/>
      <x:c r="Y317" s="84"/>
      <x:c r="Z317" s="84"/>
    </x:row>
    <x:row r="318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4"/>
      <x:c r="K318" s="84"/>
      <x:c r="L318" s="84"/>
      <x:c r="M318" s="84"/>
      <x:c r="N318" s="84"/>
      <x:c r="O318" s="84"/>
      <x:c r="P318" s="84"/>
      <x:c r="Q318" s="84"/>
      <x:c r="R318" s="84"/>
      <x:c r="S318" s="84"/>
      <x:c r="T318" s="84"/>
      <x:c r="U318" s="84"/>
      <x:c r="V318" s="84"/>
      <x:c r="W318" s="84"/>
      <x:c r="X318" s="84"/>
      <x:c r="Y318" s="84"/>
      <x:c r="Z318" s="84"/>
    </x:row>
    <x:row r="319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4"/>
      <x:c r="K319" s="84"/>
      <x:c r="L319" s="84"/>
      <x:c r="M319" s="84"/>
      <x:c r="N319" s="84"/>
      <x:c r="O319" s="84"/>
      <x:c r="P319" s="84"/>
      <x:c r="Q319" s="84"/>
      <x:c r="R319" s="84"/>
      <x:c r="S319" s="84"/>
      <x:c r="T319" s="84"/>
      <x:c r="U319" s="84"/>
      <x:c r="V319" s="84"/>
      <x:c r="W319" s="84"/>
      <x:c r="X319" s="84"/>
      <x:c r="Y319" s="84"/>
      <x:c r="Z319" s="84"/>
    </x:row>
    <x:row r="320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4"/>
      <x:c r="K320" s="84"/>
      <x:c r="L320" s="84"/>
      <x:c r="M320" s="84"/>
      <x:c r="N320" s="84"/>
      <x:c r="O320" s="84"/>
      <x:c r="P320" s="84"/>
      <x:c r="Q320" s="84"/>
      <x:c r="R320" s="84"/>
      <x:c r="S320" s="84"/>
      <x:c r="T320" s="84"/>
      <x:c r="U320" s="84"/>
      <x:c r="V320" s="84"/>
      <x:c r="W320" s="84"/>
      <x:c r="X320" s="84"/>
      <x:c r="Y320" s="84"/>
      <x:c r="Z320" s="84"/>
    </x:row>
    <x:row r="32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4"/>
      <x:c r="K321" s="84"/>
      <x:c r="L321" s="84"/>
      <x:c r="M321" s="84"/>
      <x:c r="N321" s="84"/>
      <x:c r="O321" s="84"/>
      <x:c r="P321" s="84"/>
      <x:c r="Q321" s="84"/>
      <x:c r="R321" s="84"/>
      <x:c r="S321" s="84"/>
      <x:c r="T321" s="84"/>
      <x:c r="U321" s="84"/>
      <x:c r="V321" s="84"/>
      <x:c r="W321" s="84"/>
      <x:c r="X321" s="84"/>
      <x:c r="Y321" s="84"/>
      <x:c r="Z321" s="84"/>
    </x:row>
    <x:row r="322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4"/>
      <x:c r="K322" s="84"/>
      <x:c r="L322" s="84"/>
      <x:c r="M322" s="84"/>
      <x:c r="N322" s="84"/>
      <x:c r="O322" s="84"/>
      <x:c r="P322" s="84"/>
      <x:c r="Q322" s="84"/>
      <x:c r="R322" s="84"/>
      <x:c r="S322" s="84"/>
      <x:c r="T322" s="84"/>
      <x:c r="U322" s="84"/>
      <x:c r="V322" s="84"/>
      <x:c r="W322" s="84"/>
      <x:c r="X322" s="84"/>
      <x:c r="Y322" s="84"/>
      <x:c r="Z322" s="84"/>
    </x:row>
    <x:row r="323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4"/>
      <x:c r="K323" s="84"/>
      <x:c r="L323" s="84"/>
      <x:c r="M323" s="84"/>
      <x:c r="N323" s="84"/>
      <x:c r="O323" s="84"/>
      <x:c r="P323" s="84"/>
      <x:c r="Q323" s="84"/>
      <x:c r="R323" s="84"/>
      <x:c r="S323" s="84"/>
      <x:c r="T323" s="84"/>
      <x:c r="U323" s="84"/>
      <x:c r="V323" s="84"/>
      <x:c r="W323" s="84"/>
      <x:c r="X323" s="84"/>
      <x:c r="Y323" s="84"/>
      <x:c r="Z323" s="84"/>
    </x:row>
    <x:row r="324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4"/>
      <x:c r="K324" s="84"/>
      <x:c r="L324" s="84"/>
      <x:c r="M324" s="84"/>
      <x:c r="N324" s="84"/>
      <x:c r="O324" s="84"/>
      <x:c r="P324" s="84"/>
      <x:c r="Q324" s="84"/>
      <x:c r="R324" s="84"/>
      <x:c r="S324" s="84"/>
      <x:c r="T324" s="84"/>
      <x:c r="U324" s="84"/>
      <x:c r="V324" s="84"/>
      <x:c r="W324" s="84"/>
      <x:c r="X324" s="84"/>
      <x:c r="Y324" s="84"/>
      <x:c r="Z324" s="84"/>
    </x:row>
    <x:row r="325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4"/>
      <x:c r="K325" s="84"/>
      <x:c r="L325" s="84"/>
      <x:c r="M325" s="84"/>
      <x:c r="N325" s="84"/>
      <x:c r="O325" s="84"/>
      <x:c r="P325" s="84"/>
      <x:c r="Q325" s="84"/>
      <x:c r="R325" s="84"/>
      <x:c r="S325" s="84"/>
      <x:c r="T325" s="84"/>
      <x:c r="U325" s="84"/>
      <x:c r="V325" s="84"/>
      <x:c r="W325" s="84"/>
      <x:c r="X325" s="84"/>
      <x:c r="Y325" s="84"/>
      <x:c r="Z325" s="84"/>
    </x:row>
    <x:row r="326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4"/>
      <x:c r="K326" s="84"/>
      <x:c r="L326" s="84"/>
      <x:c r="M326" s="84"/>
      <x:c r="N326" s="84"/>
      <x:c r="O326" s="84"/>
      <x:c r="P326" s="84"/>
      <x:c r="Q326" s="84"/>
      <x:c r="R326" s="84"/>
      <x:c r="S326" s="84"/>
      <x:c r="T326" s="84"/>
      <x:c r="U326" s="84"/>
      <x:c r="V326" s="84"/>
      <x:c r="W326" s="84"/>
      <x:c r="X326" s="84"/>
      <x:c r="Y326" s="84"/>
      <x:c r="Z326" s="84"/>
    </x:row>
    <x:row r="327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4"/>
      <x:c r="K327" s="84"/>
      <x:c r="L327" s="84"/>
      <x:c r="M327" s="84"/>
      <x:c r="N327" s="84"/>
      <x:c r="O327" s="84"/>
      <x:c r="P327" s="84"/>
      <x:c r="Q327" s="84"/>
      <x:c r="R327" s="84"/>
      <x:c r="S327" s="84"/>
      <x:c r="T327" s="84"/>
      <x:c r="U327" s="84"/>
      <x:c r="V327" s="84"/>
      <x:c r="W327" s="84"/>
      <x:c r="X327" s="84"/>
      <x:c r="Y327" s="84"/>
      <x:c r="Z327" s="84"/>
    </x:row>
    <x:row r="328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4"/>
      <x:c r="K328" s="84"/>
      <x:c r="L328" s="84"/>
      <x:c r="M328" s="84"/>
      <x:c r="N328" s="84"/>
      <x:c r="O328" s="84"/>
      <x:c r="P328" s="84"/>
      <x:c r="Q328" s="84"/>
      <x:c r="R328" s="84"/>
      <x:c r="S328" s="84"/>
      <x:c r="T328" s="84"/>
      <x:c r="U328" s="84"/>
      <x:c r="V328" s="84"/>
      <x:c r="W328" s="84"/>
      <x:c r="X328" s="84"/>
      <x:c r="Y328" s="84"/>
      <x:c r="Z328" s="84"/>
    </x:row>
    <x:row r="329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4"/>
      <x:c r="K329" s="84"/>
      <x:c r="L329" s="84"/>
      <x:c r="M329" s="84"/>
      <x:c r="N329" s="84"/>
      <x:c r="O329" s="84"/>
      <x:c r="P329" s="84"/>
      <x:c r="Q329" s="84"/>
      <x:c r="R329" s="84"/>
      <x:c r="S329" s="84"/>
      <x:c r="T329" s="84"/>
      <x:c r="U329" s="84"/>
      <x:c r="V329" s="84"/>
      <x:c r="W329" s="84"/>
      <x:c r="X329" s="84"/>
      <x:c r="Y329" s="84"/>
      <x:c r="Z329" s="84"/>
    </x:row>
    <x:row r="330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4"/>
      <x:c r="K330" s="84"/>
      <x:c r="L330" s="84"/>
      <x:c r="M330" s="84"/>
      <x:c r="N330" s="84"/>
      <x:c r="O330" s="84"/>
      <x:c r="P330" s="84"/>
      <x:c r="Q330" s="84"/>
      <x:c r="R330" s="84"/>
      <x:c r="S330" s="84"/>
      <x:c r="T330" s="84"/>
      <x:c r="U330" s="84"/>
      <x:c r="V330" s="84"/>
      <x:c r="W330" s="84"/>
      <x:c r="X330" s="84"/>
      <x:c r="Y330" s="84"/>
      <x:c r="Z330" s="84"/>
    </x:row>
    <x:row r="33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4"/>
      <x:c r="K331" s="84"/>
      <x:c r="L331" s="84"/>
      <x:c r="M331" s="84"/>
      <x:c r="N331" s="84"/>
      <x:c r="O331" s="84"/>
      <x:c r="P331" s="84"/>
      <x:c r="Q331" s="84"/>
      <x:c r="R331" s="84"/>
      <x:c r="S331" s="84"/>
      <x:c r="T331" s="84"/>
      <x:c r="U331" s="84"/>
      <x:c r="V331" s="84"/>
      <x:c r="W331" s="84"/>
      <x:c r="X331" s="84"/>
      <x:c r="Y331" s="84"/>
      <x:c r="Z331" s="84"/>
    </x:row>
    <x:row r="332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4"/>
      <x:c r="K332" s="84"/>
      <x:c r="L332" s="84"/>
      <x:c r="M332" s="84"/>
      <x:c r="N332" s="84"/>
      <x:c r="O332" s="84"/>
      <x:c r="P332" s="84"/>
      <x:c r="Q332" s="84"/>
      <x:c r="R332" s="84"/>
      <x:c r="S332" s="84"/>
      <x:c r="T332" s="84"/>
      <x:c r="U332" s="84"/>
      <x:c r="V332" s="84"/>
      <x:c r="W332" s="84"/>
      <x:c r="X332" s="84"/>
      <x:c r="Y332" s="84"/>
      <x:c r="Z332" s="84"/>
    </x:row>
    <x:row r="333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  <x:c r="Q333" s="84"/>
      <x:c r="R333" s="84"/>
      <x:c r="S333" s="84"/>
      <x:c r="T333" s="84"/>
      <x:c r="U333" s="84"/>
      <x:c r="V333" s="84"/>
      <x:c r="W333" s="84"/>
      <x:c r="X333" s="84"/>
      <x:c r="Y333" s="84"/>
      <x:c r="Z333" s="84"/>
    </x:row>
    <x:row r="334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4"/>
      <x:c r="K334" s="84"/>
      <x:c r="L334" s="84"/>
      <x:c r="M334" s="84"/>
      <x:c r="N334" s="84"/>
      <x:c r="O334" s="84"/>
      <x:c r="P334" s="84"/>
      <x:c r="Q334" s="84"/>
      <x:c r="R334" s="84"/>
      <x:c r="S334" s="84"/>
      <x:c r="T334" s="84"/>
      <x:c r="U334" s="84"/>
      <x:c r="V334" s="84"/>
      <x:c r="W334" s="84"/>
      <x:c r="X334" s="84"/>
      <x:c r="Y334" s="84"/>
      <x:c r="Z334" s="84"/>
    </x:row>
    <x:row r="335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4"/>
      <x:c r="K335" s="84"/>
      <x:c r="L335" s="84"/>
      <x:c r="M335" s="84"/>
      <x:c r="N335" s="84"/>
      <x:c r="O335" s="84"/>
      <x:c r="P335" s="84"/>
      <x:c r="Q335" s="84"/>
      <x:c r="R335" s="84"/>
      <x:c r="S335" s="84"/>
      <x:c r="T335" s="84"/>
      <x:c r="U335" s="84"/>
      <x:c r="V335" s="84"/>
      <x:c r="W335" s="84"/>
      <x:c r="X335" s="84"/>
      <x:c r="Y335" s="84"/>
      <x:c r="Z335" s="84"/>
    </x:row>
    <x:row r="336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4"/>
      <x:c r="K336" s="84"/>
      <x:c r="L336" s="84"/>
      <x:c r="M336" s="84"/>
      <x:c r="N336" s="84"/>
      <x:c r="O336" s="84"/>
      <x:c r="P336" s="84"/>
      <x:c r="Q336" s="84"/>
      <x:c r="R336" s="84"/>
      <x:c r="S336" s="84"/>
      <x:c r="T336" s="84"/>
      <x:c r="U336" s="84"/>
      <x:c r="V336" s="84"/>
      <x:c r="W336" s="84"/>
      <x:c r="X336" s="84"/>
      <x:c r="Y336" s="84"/>
      <x:c r="Z336" s="84"/>
    </x:row>
    <x:row r="337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4"/>
      <x:c r="K337" s="84"/>
      <x:c r="L337" s="84"/>
      <x:c r="M337" s="84"/>
      <x:c r="N337" s="84"/>
      <x:c r="O337" s="84"/>
      <x:c r="P337" s="84"/>
      <x:c r="Q337" s="84"/>
      <x:c r="R337" s="84"/>
      <x:c r="S337" s="84"/>
      <x:c r="T337" s="84"/>
      <x:c r="U337" s="84"/>
      <x:c r="V337" s="84"/>
      <x:c r="W337" s="84"/>
      <x:c r="X337" s="84"/>
      <x:c r="Y337" s="84"/>
      <x:c r="Z337" s="84"/>
    </x:row>
    <x:row r="338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4"/>
      <x:c r="K338" s="84"/>
      <x:c r="L338" s="84"/>
      <x:c r="M338" s="84"/>
      <x:c r="N338" s="84"/>
      <x:c r="O338" s="84"/>
      <x:c r="P338" s="84"/>
      <x:c r="Q338" s="84"/>
      <x:c r="R338" s="84"/>
      <x:c r="S338" s="84"/>
      <x:c r="T338" s="84"/>
      <x:c r="U338" s="84"/>
      <x:c r="V338" s="84"/>
      <x:c r="W338" s="84"/>
      <x:c r="X338" s="84"/>
      <x:c r="Y338" s="84"/>
      <x:c r="Z338" s="84"/>
    </x:row>
    <x:row r="339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4"/>
      <x:c r="K339" s="84"/>
      <x:c r="L339" s="84"/>
      <x:c r="M339" s="84"/>
      <x:c r="N339" s="84"/>
      <x:c r="O339" s="84"/>
      <x:c r="P339" s="84"/>
      <x:c r="Q339" s="84"/>
      <x:c r="R339" s="84"/>
      <x:c r="S339" s="84"/>
      <x:c r="T339" s="84"/>
      <x:c r="U339" s="84"/>
      <x:c r="V339" s="84"/>
      <x:c r="W339" s="84"/>
      <x:c r="X339" s="84"/>
      <x:c r="Y339" s="84"/>
      <x:c r="Z339" s="84"/>
    </x:row>
    <x:row r="340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4"/>
      <x:c r="K340" s="84"/>
      <x:c r="L340" s="84"/>
      <x:c r="M340" s="84"/>
      <x:c r="N340" s="84"/>
      <x:c r="O340" s="84"/>
      <x:c r="P340" s="84"/>
      <x:c r="Q340" s="84"/>
      <x:c r="R340" s="84"/>
      <x:c r="S340" s="84"/>
      <x:c r="T340" s="84"/>
      <x:c r="U340" s="84"/>
      <x:c r="V340" s="84"/>
      <x:c r="W340" s="84"/>
      <x:c r="X340" s="84"/>
      <x:c r="Y340" s="84"/>
      <x:c r="Z340" s="84"/>
    </x:row>
    <x:row r="34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4"/>
      <x:c r="K341" s="84"/>
      <x:c r="L341" s="84"/>
      <x:c r="M341" s="84"/>
      <x:c r="N341" s="84"/>
      <x:c r="O341" s="84"/>
      <x:c r="P341" s="84"/>
      <x:c r="Q341" s="84"/>
      <x:c r="R341" s="84"/>
      <x:c r="S341" s="84"/>
      <x:c r="T341" s="84"/>
      <x:c r="U341" s="84"/>
      <x:c r="V341" s="84"/>
      <x:c r="W341" s="84"/>
      <x:c r="X341" s="84"/>
      <x:c r="Y341" s="84"/>
      <x:c r="Z341" s="84"/>
    </x:row>
    <x:row r="342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4"/>
      <x:c r="K342" s="84"/>
      <x:c r="L342" s="84"/>
      <x:c r="M342" s="84"/>
      <x:c r="N342" s="84"/>
      <x:c r="O342" s="84"/>
      <x:c r="P342" s="84"/>
      <x:c r="Q342" s="84"/>
      <x:c r="R342" s="84"/>
      <x:c r="S342" s="84"/>
      <x:c r="T342" s="84"/>
      <x:c r="U342" s="84"/>
      <x:c r="V342" s="84"/>
      <x:c r="W342" s="84"/>
      <x:c r="X342" s="84"/>
      <x:c r="Y342" s="84"/>
      <x:c r="Z342" s="84"/>
    </x:row>
    <x:row r="343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4"/>
      <x:c r="K343" s="84"/>
      <x:c r="L343" s="84"/>
      <x:c r="M343" s="84"/>
      <x:c r="N343" s="84"/>
      <x:c r="O343" s="84"/>
      <x:c r="P343" s="84"/>
      <x:c r="Q343" s="84"/>
      <x:c r="R343" s="84"/>
      <x:c r="S343" s="84"/>
      <x:c r="T343" s="84"/>
      <x:c r="U343" s="84"/>
      <x:c r="V343" s="84"/>
      <x:c r="W343" s="84"/>
      <x:c r="X343" s="84"/>
      <x:c r="Y343" s="84"/>
      <x:c r="Z343" s="84"/>
    </x:row>
    <x:row r="344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4"/>
      <x:c r="K344" s="84"/>
      <x:c r="L344" s="84"/>
      <x:c r="M344" s="84"/>
      <x:c r="N344" s="84"/>
      <x:c r="O344" s="84"/>
      <x:c r="P344" s="84"/>
      <x:c r="Q344" s="84"/>
      <x:c r="R344" s="84"/>
      <x:c r="S344" s="84"/>
      <x:c r="T344" s="84"/>
      <x:c r="U344" s="84"/>
      <x:c r="V344" s="84"/>
      <x:c r="W344" s="84"/>
      <x:c r="X344" s="84"/>
      <x:c r="Y344" s="84"/>
      <x:c r="Z344" s="84"/>
    </x:row>
    <x:row r="345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4"/>
      <x:c r="K345" s="84"/>
      <x:c r="L345" s="84"/>
      <x:c r="M345" s="84"/>
      <x:c r="N345" s="84"/>
      <x:c r="O345" s="84"/>
      <x:c r="P345" s="84"/>
      <x:c r="Q345" s="84"/>
      <x:c r="R345" s="84"/>
      <x:c r="S345" s="84"/>
      <x:c r="T345" s="84"/>
      <x:c r="U345" s="84"/>
      <x:c r="V345" s="84"/>
      <x:c r="W345" s="84"/>
      <x:c r="X345" s="84"/>
      <x:c r="Y345" s="84"/>
      <x:c r="Z345" s="84"/>
    </x:row>
    <x:row r="346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4"/>
      <x:c r="K346" s="84"/>
      <x:c r="L346" s="84"/>
      <x:c r="M346" s="84"/>
      <x:c r="N346" s="84"/>
      <x:c r="O346" s="84"/>
      <x:c r="P346" s="84"/>
      <x:c r="Q346" s="84"/>
      <x:c r="R346" s="84"/>
      <x:c r="S346" s="84"/>
      <x:c r="T346" s="84"/>
      <x:c r="U346" s="84"/>
      <x:c r="V346" s="84"/>
      <x:c r="W346" s="84"/>
      <x:c r="X346" s="84"/>
      <x:c r="Y346" s="84"/>
      <x:c r="Z346" s="84"/>
    </x:row>
    <x:row r="347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4"/>
      <x:c r="K347" s="84"/>
      <x:c r="L347" s="84"/>
      <x:c r="M347" s="84"/>
      <x:c r="N347" s="84"/>
      <x:c r="O347" s="84"/>
      <x:c r="P347" s="84"/>
      <x:c r="Q347" s="84"/>
      <x:c r="R347" s="84"/>
      <x:c r="S347" s="84"/>
      <x:c r="T347" s="84"/>
      <x:c r="U347" s="84"/>
      <x:c r="V347" s="84"/>
      <x:c r="W347" s="84"/>
      <x:c r="X347" s="84"/>
      <x:c r="Y347" s="84"/>
      <x:c r="Z347" s="84"/>
    </x:row>
    <x:row r="348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4"/>
      <x:c r="K348" s="84"/>
      <x:c r="L348" s="84"/>
      <x:c r="M348" s="84"/>
      <x:c r="N348" s="84"/>
      <x:c r="O348" s="84"/>
      <x:c r="P348" s="84"/>
      <x:c r="Q348" s="84"/>
      <x:c r="R348" s="84"/>
      <x:c r="S348" s="84"/>
      <x:c r="T348" s="84"/>
      <x:c r="U348" s="84"/>
      <x:c r="V348" s="84"/>
      <x:c r="W348" s="84"/>
      <x:c r="X348" s="84"/>
      <x:c r="Y348" s="84"/>
      <x:c r="Z348" s="84"/>
    </x:row>
    <x:row r="349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4"/>
      <x:c r="K349" s="84"/>
      <x:c r="L349" s="84"/>
      <x:c r="M349" s="84"/>
      <x:c r="N349" s="84"/>
      <x:c r="O349" s="84"/>
      <x:c r="P349" s="84"/>
      <x:c r="Q349" s="84"/>
      <x:c r="R349" s="84"/>
      <x:c r="S349" s="84"/>
      <x:c r="T349" s="84"/>
      <x:c r="U349" s="84"/>
      <x:c r="V349" s="84"/>
      <x:c r="W349" s="84"/>
      <x:c r="X349" s="84"/>
      <x:c r="Y349" s="84"/>
      <x:c r="Z349" s="84"/>
    </x:row>
    <x:row r="350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4"/>
      <x:c r="K350" s="84"/>
      <x:c r="L350" s="84"/>
      <x:c r="M350" s="84"/>
      <x:c r="N350" s="84"/>
      <x:c r="O350" s="84"/>
      <x:c r="P350" s="84"/>
      <x:c r="Q350" s="84"/>
      <x:c r="R350" s="84"/>
      <x:c r="S350" s="84"/>
      <x:c r="T350" s="84"/>
      <x:c r="U350" s="84"/>
      <x:c r="V350" s="84"/>
      <x:c r="W350" s="84"/>
      <x:c r="X350" s="84"/>
      <x:c r="Y350" s="84"/>
      <x:c r="Z350" s="84"/>
    </x:row>
    <x:row r="35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4"/>
      <x:c r="K351" s="84"/>
      <x:c r="L351" s="84"/>
      <x:c r="M351" s="84"/>
      <x:c r="N351" s="84"/>
      <x:c r="O351" s="84"/>
      <x:c r="P351" s="84"/>
      <x:c r="Q351" s="84"/>
      <x:c r="R351" s="84"/>
      <x:c r="S351" s="84"/>
      <x:c r="T351" s="84"/>
      <x:c r="U351" s="84"/>
      <x:c r="V351" s="84"/>
      <x:c r="W351" s="84"/>
      <x:c r="X351" s="84"/>
      <x:c r="Y351" s="84"/>
      <x:c r="Z351" s="84"/>
    </x:row>
    <x:row r="352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4"/>
      <x:c r="K352" s="84"/>
      <x:c r="L352" s="84"/>
      <x:c r="M352" s="84"/>
      <x:c r="N352" s="84"/>
      <x:c r="O352" s="84"/>
      <x:c r="P352" s="84"/>
      <x:c r="Q352" s="84"/>
      <x:c r="R352" s="84"/>
      <x:c r="S352" s="84"/>
      <x:c r="T352" s="84"/>
      <x:c r="U352" s="84"/>
      <x:c r="V352" s="84"/>
      <x:c r="W352" s="84"/>
      <x:c r="X352" s="84"/>
      <x:c r="Y352" s="84"/>
      <x:c r="Z352" s="84"/>
    </x:row>
    <x:row r="353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4"/>
      <x:c r="K353" s="84"/>
      <x:c r="L353" s="84"/>
      <x:c r="M353" s="84"/>
      <x:c r="N353" s="84"/>
      <x:c r="O353" s="84"/>
      <x:c r="P353" s="84"/>
      <x:c r="Q353" s="84"/>
      <x:c r="R353" s="84"/>
      <x:c r="S353" s="84"/>
      <x:c r="T353" s="84"/>
      <x:c r="U353" s="84"/>
      <x:c r="V353" s="84"/>
      <x:c r="W353" s="84"/>
      <x:c r="X353" s="84"/>
      <x:c r="Y353" s="84"/>
      <x:c r="Z353" s="84"/>
    </x:row>
    <x:row r="354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4"/>
      <x:c r="K354" s="84"/>
      <x:c r="L354" s="84"/>
      <x:c r="M354" s="84"/>
      <x:c r="N354" s="84"/>
      <x:c r="O354" s="84"/>
      <x:c r="P354" s="84"/>
      <x:c r="Q354" s="84"/>
      <x:c r="R354" s="84"/>
      <x:c r="S354" s="84"/>
      <x:c r="T354" s="84"/>
      <x:c r="U354" s="84"/>
      <x:c r="V354" s="84"/>
      <x:c r="W354" s="84"/>
      <x:c r="X354" s="84"/>
      <x:c r="Y354" s="84"/>
      <x:c r="Z354" s="84"/>
    </x:row>
    <x:row r="355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4"/>
      <x:c r="K355" s="84"/>
      <x:c r="L355" s="84"/>
      <x:c r="M355" s="84"/>
      <x:c r="N355" s="84"/>
      <x:c r="O355" s="84"/>
      <x:c r="P355" s="84"/>
      <x:c r="Q355" s="84"/>
      <x:c r="R355" s="84"/>
      <x:c r="S355" s="84"/>
      <x:c r="T355" s="84"/>
      <x:c r="U355" s="84"/>
      <x:c r="V355" s="84"/>
      <x:c r="W355" s="84"/>
      <x:c r="X355" s="84"/>
      <x:c r="Y355" s="84"/>
      <x:c r="Z355" s="84"/>
    </x:row>
    <x:row r="356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4"/>
      <x:c r="K356" s="84"/>
      <x:c r="L356" s="84"/>
      <x:c r="M356" s="84"/>
      <x:c r="N356" s="84"/>
      <x:c r="O356" s="84"/>
      <x:c r="P356" s="84"/>
      <x:c r="Q356" s="84"/>
      <x:c r="R356" s="84"/>
      <x:c r="S356" s="84"/>
      <x:c r="T356" s="84"/>
      <x:c r="U356" s="84"/>
      <x:c r="V356" s="84"/>
      <x:c r="W356" s="84"/>
      <x:c r="X356" s="84"/>
      <x:c r="Y356" s="84"/>
      <x:c r="Z356" s="84"/>
    </x:row>
    <x:row r="357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4"/>
      <x:c r="K357" s="84"/>
      <x:c r="L357" s="84"/>
      <x:c r="M357" s="84"/>
      <x:c r="N357" s="84"/>
      <x:c r="O357" s="84"/>
      <x:c r="P357" s="84"/>
      <x:c r="Q357" s="84"/>
      <x:c r="R357" s="84"/>
      <x:c r="S357" s="84"/>
      <x:c r="T357" s="84"/>
      <x:c r="U357" s="84"/>
      <x:c r="V357" s="84"/>
      <x:c r="W357" s="84"/>
      <x:c r="X357" s="84"/>
      <x:c r="Y357" s="84"/>
      <x:c r="Z357" s="84"/>
    </x:row>
    <x:row r="358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4"/>
      <x:c r="K358" s="84"/>
      <x:c r="L358" s="84"/>
      <x:c r="M358" s="84"/>
      <x:c r="N358" s="84"/>
      <x:c r="O358" s="84"/>
      <x:c r="P358" s="84"/>
      <x:c r="Q358" s="84"/>
      <x:c r="R358" s="84"/>
      <x:c r="S358" s="84"/>
      <x:c r="T358" s="84"/>
      <x:c r="U358" s="84"/>
      <x:c r="V358" s="84"/>
      <x:c r="W358" s="84"/>
      <x:c r="X358" s="84"/>
      <x:c r="Y358" s="84"/>
      <x:c r="Z358" s="84"/>
    </x:row>
    <x:row r="359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4"/>
      <x:c r="K359" s="84"/>
      <x:c r="L359" s="84"/>
      <x:c r="M359" s="84"/>
      <x:c r="N359" s="84"/>
      <x:c r="O359" s="84"/>
      <x:c r="P359" s="84"/>
      <x:c r="Q359" s="84"/>
      <x:c r="R359" s="84"/>
      <x:c r="S359" s="84"/>
      <x:c r="T359" s="84"/>
      <x:c r="U359" s="84"/>
      <x:c r="V359" s="84"/>
      <x:c r="W359" s="84"/>
      <x:c r="X359" s="84"/>
      <x:c r="Y359" s="84"/>
      <x:c r="Z359" s="84"/>
    </x:row>
    <x:row r="360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4"/>
      <x:c r="K360" s="84"/>
      <x:c r="L360" s="84"/>
      <x:c r="M360" s="84"/>
      <x:c r="N360" s="84"/>
      <x:c r="O360" s="84"/>
      <x:c r="P360" s="84"/>
      <x:c r="Q360" s="84"/>
      <x:c r="R360" s="84"/>
      <x:c r="S360" s="84"/>
      <x:c r="T360" s="84"/>
      <x:c r="U360" s="84"/>
      <x:c r="V360" s="84"/>
      <x:c r="W360" s="84"/>
      <x:c r="X360" s="84"/>
      <x:c r="Y360" s="84"/>
      <x:c r="Z360" s="84"/>
    </x:row>
    <x:row r="36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4"/>
      <x:c r="K361" s="84"/>
      <x:c r="L361" s="84"/>
      <x:c r="M361" s="84"/>
      <x:c r="N361" s="84"/>
      <x:c r="O361" s="84"/>
      <x:c r="P361" s="84"/>
      <x:c r="Q361" s="84"/>
      <x:c r="R361" s="84"/>
      <x:c r="S361" s="84"/>
      <x:c r="T361" s="84"/>
      <x:c r="U361" s="84"/>
      <x:c r="V361" s="84"/>
      <x:c r="W361" s="84"/>
      <x:c r="X361" s="84"/>
      <x:c r="Y361" s="84"/>
      <x:c r="Z361" s="84"/>
    </x:row>
    <x:row r="362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4"/>
      <x:c r="K362" s="84"/>
      <x:c r="L362" s="84"/>
      <x:c r="M362" s="84"/>
      <x:c r="N362" s="84"/>
      <x:c r="O362" s="84"/>
      <x:c r="P362" s="84"/>
      <x:c r="Q362" s="84"/>
      <x:c r="R362" s="84"/>
      <x:c r="S362" s="84"/>
      <x:c r="T362" s="84"/>
      <x:c r="U362" s="84"/>
      <x:c r="V362" s="84"/>
      <x:c r="W362" s="84"/>
      <x:c r="X362" s="84"/>
      <x:c r="Y362" s="84"/>
      <x:c r="Z362" s="84"/>
    </x:row>
    <x:row r="363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4"/>
      <x:c r="K363" s="84"/>
      <x:c r="L363" s="84"/>
      <x:c r="M363" s="84"/>
      <x:c r="N363" s="84"/>
      <x:c r="O363" s="84"/>
      <x:c r="P363" s="84"/>
      <x:c r="Q363" s="84"/>
      <x:c r="R363" s="84"/>
      <x:c r="S363" s="84"/>
      <x:c r="T363" s="84"/>
      <x:c r="U363" s="84"/>
      <x:c r="V363" s="84"/>
      <x:c r="W363" s="84"/>
      <x:c r="X363" s="84"/>
      <x:c r="Y363" s="84"/>
      <x:c r="Z363" s="84"/>
    </x:row>
    <x:row r="364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4"/>
      <x:c r="K364" s="84"/>
      <x:c r="L364" s="84"/>
      <x:c r="M364" s="84"/>
      <x:c r="N364" s="84"/>
      <x:c r="O364" s="84"/>
      <x:c r="P364" s="84"/>
      <x:c r="Q364" s="84"/>
      <x:c r="R364" s="84"/>
      <x:c r="S364" s="84"/>
      <x:c r="T364" s="84"/>
      <x:c r="U364" s="84"/>
      <x:c r="V364" s="84"/>
      <x:c r="W364" s="84"/>
      <x:c r="X364" s="84"/>
      <x:c r="Y364" s="84"/>
      <x:c r="Z364" s="84"/>
    </x:row>
    <x:row r="365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4"/>
      <x:c r="K365" s="84"/>
      <x:c r="L365" s="84"/>
      <x:c r="M365" s="84"/>
      <x:c r="N365" s="84"/>
      <x:c r="O365" s="84"/>
      <x:c r="P365" s="84"/>
      <x:c r="Q365" s="84"/>
      <x:c r="R365" s="84"/>
      <x:c r="S365" s="84"/>
      <x:c r="T365" s="84"/>
      <x:c r="U365" s="84"/>
      <x:c r="V365" s="84"/>
      <x:c r="W365" s="84"/>
      <x:c r="X365" s="84"/>
      <x:c r="Y365" s="84"/>
      <x:c r="Z365" s="84"/>
    </x:row>
    <x:row r="366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4"/>
      <x:c r="K366" s="84"/>
      <x:c r="L366" s="84"/>
      <x:c r="M366" s="84"/>
      <x:c r="N366" s="84"/>
      <x:c r="O366" s="84"/>
      <x:c r="P366" s="84"/>
      <x:c r="Q366" s="84"/>
      <x:c r="R366" s="84"/>
      <x:c r="S366" s="84"/>
      <x:c r="T366" s="84"/>
      <x:c r="U366" s="84"/>
      <x:c r="V366" s="84"/>
      <x:c r="W366" s="84"/>
      <x:c r="X366" s="84"/>
      <x:c r="Y366" s="84"/>
      <x:c r="Z366" s="84"/>
    </x:row>
    <x:row r="367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4"/>
      <x:c r="K367" s="84"/>
      <x:c r="L367" s="84"/>
      <x:c r="M367" s="84"/>
      <x:c r="N367" s="84"/>
      <x:c r="O367" s="84"/>
      <x:c r="P367" s="84"/>
      <x:c r="Q367" s="84"/>
      <x:c r="R367" s="84"/>
      <x:c r="S367" s="84"/>
      <x:c r="T367" s="84"/>
      <x:c r="U367" s="84"/>
      <x:c r="V367" s="84"/>
      <x:c r="W367" s="84"/>
      <x:c r="X367" s="84"/>
      <x:c r="Y367" s="84"/>
      <x:c r="Z367" s="84"/>
    </x:row>
    <x:row r="368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4"/>
      <x:c r="K368" s="84"/>
      <x:c r="L368" s="84"/>
      <x:c r="M368" s="84"/>
      <x:c r="N368" s="84"/>
      <x:c r="O368" s="84"/>
      <x:c r="P368" s="84"/>
      <x:c r="Q368" s="84"/>
      <x:c r="R368" s="84"/>
      <x:c r="S368" s="84"/>
      <x:c r="T368" s="84"/>
      <x:c r="U368" s="84"/>
      <x:c r="V368" s="84"/>
      <x:c r="W368" s="84"/>
      <x:c r="X368" s="84"/>
      <x:c r="Y368" s="84"/>
      <x:c r="Z368" s="84"/>
    </x:row>
    <x:row r="369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4"/>
      <x:c r="K369" s="84"/>
      <x:c r="L369" s="84"/>
      <x:c r="M369" s="84"/>
      <x:c r="N369" s="84"/>
      <x:c r="O369" s="84"/>
      <x:c r="P369" s="84"/>
      <x:c r="Q369" s="84"/>
      <x:c r="R369" s="84"/>
      <x:c r="S369" s="84"/>
      <x:c r="T369" s="84"/>
      <x:c r="U369" s="84"/>
      <x:c r="V369" s="84"/>
      <x:c r="W369" s="84"/>
      <x:c r="X369" s="84"/>
      <x:c r="Y369" s="84"/>
      <x:c r="Z369" s="84"/>
    </x:row>
    <x:row r="370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4"/>
      <x:c r="K370" s="84"/>
      <x:c r="L370" s="84"/>
      <x:c r="M370" s="84"/>
      <x:c r="N370" s="84"/>
      <x:c r="O370" s="84"/>
      <x:c r="P370" s="84"/>
      <x:c r="Q370" s="84"/>
      <x:c r="R370" s="84"/>
      <x:c r="S370" s="84"/>
      <x:c r="T370" s="84"/>
      <x:c r="U370" s="84"/>
      <x:c r="V370" s="84"/>
      <x:c r="W370" s="84"/>
      <x:c r="X370" s="84"/>
      <x:c r="Y370" s="84"/>
      <x:c r="Z370" s="84"/>
    </x:row>
    <x:row r="37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4"/>
      <x:c r="K371" s="84"/>
      <x:c r="L371" s="84"/>
      <x:c r="M371" s="84"/>
      <x:c r="N371" s="84"/>
      <x:c r="O371" s="84"/>
      <x:c r="P371" s="84"/>
      <x:c r="Q371" s="84"/>
      <x:c r="R371" s="84"/>
      <x:c r="S371" s="84"/>
      <x:c r="T371" s="84"/>
      <x:c r="U371" s="84"/>
      <x:c r="V371" s="84"/>
      <x:c r="W371" s="84"/>
      <x:c r="X371" s="84"/>
      <x:c r="Y371" s="84"/>
      <x:c r="Z371" s="84"/>
    </x:row>
    <x:row r="372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4"/>
      <x:c r="K372" s="84"/>
      <x:c r="L372" s="84"/>
      <x:c r="M372" s="84"/>
      <x:c r="N372" s="84"/>
      <x:c r="O372" s="84"/>
      <x:c r="P372" s="84"/>
      <x:c r="Q372" s="84"/>
      <x:c r="R372" s="84"/>
      <x:c r="S372" s="84"/>
      <x:c r="T372" s="84"/>
      <x:c r="U372" s="84"/>
      <x:c r="V372" s="84"/>
      <x:c r="W372" s="84"/>
      <x:c r="X372" s="84"/>
      <x:c r="Y372" s="84"/>
      <x:c r="Z372" s="84"/>
    </x:row>
    <x:row r="373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4"/>
      <x:c r="K373" s="84"/>
      <x:c r="L373" s="84"/>
      <x:c r="M373" s="84"/>
      <x:c r="N373" s="84"/>
      <x:c r="O373" s="84"/>
      <x:c r="P373" s="84"/>
      <x:c r="Q373" s="84"/>
      <x:c r="R373" s="84"/>
      <x:c r="S373" s="84"/>
      <x:c r="T373" s="84"/>
      <x:c r="U373" s="84"/>
      <x:c r="V373" s="84"/>
      <x:c r="W373" s="84"/>
      <x:c r="X373" s="84"/>
      <x:c r="Y373" s="84"/>
      <x:c r="Z373" s="84"/>
    </x:row>
    <x:row r="374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4"/>
      <x:c r="K374" s="84"/>
      <x:c r="L374" s="84"/>
      <x:c r="M374" s="84"/>
      <x:c r="N374" s="84"/>
      <x:c r="O374" s="84"/>
      <x:c r="P374" s="84"/>
      <x:c r="Q374" s="84"/>
      <x:c r="R374" s="84"/>
      <x:c r="S374" s="84"/>
      <x:c r="T374" s="84"/>
      <x:c r="U374" s="84"/>
      <x:c r="V374" s="84"/>
      <x:c r="W374" s="84"/>
      <x:c r="X374" s="84"/>
      <x:c r="Y374" s="84"/>
      <x:c r="Z374" s="84"/>
    </x:row>
    <x:row r="375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4"/>
      <x:c r="K375" s="84"/>
      <x:c r="L375" s="84"/>
      <x:c r="M375" s="84"/>
      <x:c r="N375" s="84"/>
      <x:c r="O375" s="84"/>
      <x:c r="P375" s="84"/>
      <x:c r="Q375" s="84"/>
      <x:c r="R375" s="84"/>
      <x:c r="S375" s="84"/>
      <x:c r="T375" s="84"/>
      <x:c r="U375" s="84"/>
      <x:c r="V375" s="84"/>
      <x:c r="W375" s="84"/>
      <x:c r="X375" s="84"/>
      <x:c r="Y375" s="84"/>
      <x:c r="Z375" s="84"/>
    </x:row>
    <x:row r="376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4"/>
      <x:c r="K376" s="84"/>
      <x:c r="L376" s="84"/>
      <x:c r="M376" s="84"/>
      <x:c r="N376" s="84"/>
      <x:c r="O376" s="84"/>
      <x:c r="P376" s="84"/>
      <x:c r="Q376" s="84"/>
      <x:c r="R376" s="84"/>
      <x:c r="S376" s="84"/>
      <x:c r="T376" s="84"/>
      <x:c r="U376" s="84"/>
      <x:c r="V376" s="84"/>
      <x:c r="W376" s="84"/>
      <x:c r="X376" s="84"/>
      <x:c r="Y376" s="84"/>
      <x:c r="Z376" s="84"/>
    </x:row>
    <x:row r="377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4"/>
      <x:c r="K377" s="84"/>
      <x:c r="L377" s="84"/>
      <x:c r="M377" s="84"/>
      <x:c r="N377" s="84"/>
      <x:c r="O377" s="84"/>
      <x:c r="P377" s="84"/>
      <x:c r="Q377" s="84"/>
      <x:c r="R377" s="84"/>
      <x:c r="S377" s="84"/>
      <x:c r="T377" s="84"/>
      <x:c r="U377" s="84"/>
      <x:c r="V377" s="84"/>
      <x:c r="W377" s="84"/>
      <x:c r="X377" s="84"/>
      <x:c r="Y377" s="84"/>
      <x:c r="Z377" s="84"/>
    </x:row>
    <x:row r="378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4"/>
      <x:c r="K378" s="84"/>
      <x:c r="L378" s="84"/>
      <x:c r="M378" s="84"/>
      <x:c r="N378" s="84"/>
      <x:c r="O378" s="84"/>
      <x:c r="P378" s="84"/>
      <x:c r="Q378" s="84"/>
      <x:c r="R378" s="84"/>
      <x:c r="S378" s="84"/>
      <x:c r="T378" s="84"/>
      <x:c r="U378" s="84"/>
      <x:c r="V378" s="84"/>
      <x:c r="W378" s="84"/>
      <x:c r="X378" s="84"/>
      <x:c r="Y378" s="84"/>
      <x:c r="Z378" s="84"/>
    </x:row>
    <x:row r="379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4"/>
      <x:c r="K379" s="84"/>
      <x:c r="L379" s="84"/>
      <x:c r="M379" s="84"/>
      <x:c r="N379" s="84"/>
      <x:c r="O379" s="84"/>
      <x:c r="P379" s="84"/>
      <x:c r="Q379" s="84"/>
      <x:c r="R379" s="84"/>
      <x:c r="S379" s="84"/>
      <x:c r="T379" s="84"/>
      <x:c r="U379" s="84"/>
      <x:c r="V379" s="84"/>
      <x:c r="W379" s="84"/>
      <x:c r="X379" s="84"/>
      <x:c r="Y379" s="84"/>
      <x:c r="Z379" s="84"/>
    </x:row>
    <x:row r="380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4"/>
      <x:c r="K380" s="84"/>
      <x:c r="L380" s="84"/>
      <x:c r="M380" s="84"/>
      <x:c r="N380" s="84"/>
      <x:c r="O380" s="84"/>
      <x:c r="P380" s="84"/>
      <x:c r="Q380" s="84"/>
      <x:c r="R380" s="84"/>
      <x:c r="S380" s="84"/>
      <x:c r="T380" s="84"/>
      <x:c r="U380" s="84"/>
      <x:c r="V380" s="84"/>
      <x:c r="W380" s="84"/>
      <x:c r="X380" s="84"/>
      <x:c r="Y380" s="84"/>
      <x:c r="Z380" s="84"/>
    </x:row>
    <x:row r="38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4"/>
      <x:c r="K381" s="84"/>
      <x:c r="L381" s="84"/>
      <x:c r="M381" s="84"/>
      <x:c r="N381" s="84"/>
      <x:c r="O381" s="84"/>
      <x:c r="P381" s="84"/>
      <x:c r="Q381" s="84"/>
      <x:c r="R381" s="84"/>
      <x:c r="S381" s="84"/>
      <x:c r="T381" s="84"/>
      <x:c r="U381" s="84"/>
      <x:c r="V381" s="84"/>
      <x:c r="W381" s="84"/>
      <x:c r="X381" s="84"/>
      <x:c r="Y381" s="84"/>
      <x:c r="Z381" s="84"/>
    </x:row>
    <x:row r="382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4"/>
      <x:c r="K382" s="84"/>
      <x:c r="L382" s="84"/>
      <x:c r="M382" s="84"/>
      <x:c r="N382" s="84"/>
      <x:c r="O382" s="84"/>
      <x:c r="P382" s="84"/>
      <x:c r="Q382" s="84"/>
      <x:c r="R382" s="84"/>
      <x:c r="S382" s="84"/>
      <x:c r="T382" s="84"/>
      <x:c r="U382" s="84"/>
      <x:c r="V382" s="84"/>
      <x:c r="W382" s="84"/>
      <x:c r="X382" s="84"/>
      <x:c r="Y382" s="84"/>
      <x:c r="Z382" s="84"/>
    </x:row>
    <x:row r="383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4"/>
      <x:c r="K383" s="84"/>
      <x:c r="L383" s="84"/>
      <x:c r="M383" s="84"/>
      <x:c r="N383" s="84"/>
      <x:c r="O383" s="84"/>
      <x:c r="P383" s="84"/>
      <x:c r="Q383" s="84"/>
      <x:c r="R383" s="84"/>
      <x:c r="S383" s="84"/>
      <x:c r="T383" s="84"/>
      <x:c r="U383" s="84"/>
      <x:c r="V383" s="84"/>
      <x:c r="W383" s="84"/>
      <x:c r="X383" s="84"/>
      <x:c r="Y383" s="84"/>
      <x:c r="Z383" s="84"/>
    </x:row>
    <x:row r="384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4"/>
      <x:c r="K384" s="84"/>
      <x:c r="L384" s="84"/>
      <x:c r="M384" s="84"/>
      <x:c r="N384" s="84"/>
      <x:c r="O384" s="84"/>
      <x:c r="P384" s="84"/>
      <x:c r="Q384" s="84"/>
      <x:c r="R384" s="84"/>
      <x:c r="S384" s="84"/>
      <x:c r="T384" s="84"/>
      <x:c r="U384" s="84"/>
      <x:c r="V384" s="84"/>
      <x:c r="W384" s="84"/>
      <x:c r="X384" s="84"/>
      <x:c r="Y384" s="84"/>
      <x:c r="Z384" s="84"/>
    </x:row>
    <x:row r="385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4"/>
      <x:c r="K385" s="84"/>
      <x:c r="L385" s="84"/>
      <x:c r="M385" s="84"/>
      <x:c r="N385" s="84"/>
      <x:c r="O385" s="84"/>
      <x:c r="P385" s="84"/>
      <x:c r="Q385" s="84"/>
      <x:c r="R385" s="84"/>
      <x:c r="S385" s="84"/>
      <x:c r="T385" s="84"/>
      <x:c r="U385" s="84"/>
      <x:c r="V385" s="84"/>
      <x:c r="W385" s="84"/>
      <x:c r="X385" s="84"/>
      <x:c r="Y385" s="84"/>
      <x:c r="Z385" s="84"/>
    </x:row>
    <x:row r="386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4"/>
      <x:c r="K386" s="84"/>
      <x:c r="L386" s="84"/>
      <x:c r="M386" s="84"/>
      <x:c r="N386" s="84"/>
      <x:c r="O386" s="84"/>
      <x:c r="P386" s="84"/>
      <x:c r="Q386" s="84"/>
      <x:c r="R386" s="84"/>
      <x:c r="S386" s="84"/>
      <x:c r="T386" s="84"/>
      <x:c r="U386" s="84"/>
      <x:c r="V386" s="84"/>
      <x:c r="W386" s="84"/>
      <x:c r="X386" s="84"/>
      <x:c r="Y386" s="84"/>
      <x:c r="Z386" s="84"/>
    </x:row>
    <x:row r="387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4"/>
      <x:c r="K387" s="84"/>
      <x:c r="L387" s="84"/>
      <x:c r="M387" s="84"/>
      <x:c r="N387" s="84"/>
      <x:c r="O387" s="84"/>
      <x:c r="P387" s="84"/>
      <x:c r="Q387" s="84"/>
      <x:c r="R387" s="84"/>
      <x:c r="S387" s="84"/>
      <x:c r="T387" s="84"/>
      <x:c r="U387" s="84"/>
      <x:c r="V387" s="84"/>
      <x:c r="W387" s="84"/>
      <x:c r="X387" s="84"/>
      <x:c r="Y387" s="84"/>
      <x:c r="Z387" s="84"/>
    </x:row>
    <x:row r="388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4"/>
      <x:c r="K388" s="84"/>
      <x:c r="L388" s="84"/>
      <x:c r="M388" s="84"/>
      <x:c r="N388" s="84"/>
      <x:c r="O388" s="84"/>
      <x:c r="P388" s="84"/>
      <x:c r="Q388" s="84"/>
      <x:c r="R388" s="84"/>
      <x:c r="S388" s="84"/>
      <x:c r="T388" s="84"/>
      <x:c r="U388" s="84"/>
      <x:c r="V388" s="84"/>
      <x:c r="W388" s="84"/>
      <x:c r="X388" s="84"/>
      <x:c r="Y388" s="84"/>
      <x:c r="Z388" s="84"/>
    </x:row>
    <x:row r="389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4"/>
      <x:c r="K389" s="84"/>
      <x:c r="L389" s="84"/>
      <x:c r="M389" s="84"/>
      <x:c r="N389" s="84"/>
      <x:c r="O389" s="84"/>
      <x:c r="P389" s="84"/>
      <x:c r="Q389" s="84"/>
      <x:c r="R389" s="84"/>
      <x:c r="S389" s="84"/>
      <x:c r="T389" s="84"/>
      <x:c r="U389" s="84"/>
      <x:c r="V389" s="84"/>
      <x:c r="W389" s="84"/>
      <x:c r="X389" s="84"/>
      <x:c r="Y389" s="84"/>
      <x:c r="Z389" s="84"/>
    </x:row>
    <x:row r="390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4"/>
      <x:c r="K390" s="84"/>
      <x:c r="L390" s="84"/>
      <x:c r="M390" s="84"/>
      <x:c r="N390" s="84"/>
      <x:c r="O390" s="84"/>
      <x:c r="P390" s="84"/>
      <x:c r="Q390" s="84"/>
      <x:c r="R390" s="84"/>
      <x:c r="S390" s="84"/>
      <x:c r="T390" s="84"/>
      <x:c r="U390" s="84"/>
      <x:c r="V390" s="84"/>
      <x:c r="W390" s="84"/>
      <x:c r="X390" s="84"/>
      <x:c r="Y390" s="84"/>
      <x:c r="Z390" s="84"/>
    </x:row>
    <x:row r="39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4"/>
      <x:c r="K391" s="84"/>
      <x:c r="L391" s="84"/>
      <x:c r="M391" s="84"/>
      <x:c r="N391" s="84"/>
      <x:c r="O391" s="84"/>
      <x:c r="P391" s="84"/>
      <x:c r="Q391" s="84"/>
      <x:c r="R391" s="84"/>
      <x:c r="S391" s="84"/>
      <x:c r="T391" s="84"/>
      <x:c r="U391" s="84"/>
      <x:c r="V391" s="84"/>
      <x:c r="W391" s="84"/>
      <x:c r="X391" s="84"/>
      <x:c r="Y391" s="84"/>
      <x:c r="Z391" s="84"/>
    </x:row>
    <x:row r="392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4"/>
      <x:c r="K392" s="84"/>
      <x:c r="L392" s="84"/>
      <x:c r="M392" s="84"/>
      <x:c r="N392" s="84"/>
      <x:c r="O392" s="84"/>
      <x:c r="P392" s="84"/>
      <x:c r="Q392" s="84"/>
      <x:c r="R392" s="84"/>
      <x:c r="S392" s="84"/>
      <x:c r="T392" s="84"/>
      <x:c r="U392" s="84"/>
      <x:c r="V392" s="84"/>
      <x:c r="W392" s="84"/>
      <x:c r="X392" s="84"/>
      <x:c r="Y392" s="84"/>
      <x:c r="Z392" s="84"/>
    </x:row>
    <x:row r="393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4"/>
      <x:c r="K393" s="84"/>
      <x:c r="L393" s="84"/>
      <x:c r="M393" s="84"/>
      <x:c r="N393" s="84"/>
      <x:c r="O393" s="84"/>
      <x:c r="P393" s="84"/>
      <x:c r="Q393" s="84"/>
      <x:c r="R393" s="84"/>
      <x:c r="S393" s="84"/>
      <x:c r="T393" s="84"/>
      <x:c r="U393" s="84"/>
      <x:c r="V393" s="84"/>
      <x:c r="W393" s="84"/>
      <x:c r="X393" s="84"/>
      <x:c r="Y393" s="84"/>
      <x:c r="Z393" s="84"/>
    </x:row>
    <x:row r="394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4"/>
      <x:c r="K394" s="84"/>
      <x:c r="L394" s="84"/>
      <x:c r="M394" s="84"/>
      <x:c r="N394" s="84"/>
      <x:c r="O394" s="84"/>
      <x:c r="P394" s="84"/>
      <x:c r="Q394" s="84"/>
      <x:c r="R394" s="84"/>
      <x:c r="S394" s="84"/>
      <x:c r="T394" s="84"/>
      <x:c r="U394" s="84"/>
      <x:c r="V394" s="84"/>
      <x:c r="W394" s="84"/>
      <x:c r="X394" s="84"/>
      <x:c r="Y394" s="84"/>
      <x:c r="Z394" s="84"/>
    </x:row>
    <x:row r="395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4"/>
      <x:c r="K395" s="84"/>
      <x:c r="L395" s="84"/>
      <x:c r="M395" s="84"/>
      <x:c r="N395" s="84"/>
      <x:c r="O395" s="84"/>
      <x:c r="P395" s="84"/>
      <x:c r="Q395" s="84"/>
      <x:c r="R395" s="84"/>
      <x:c r="S395" s="84"/>
      <x:c r="T395" s="84"/>
      <x:c r="U395" s="84"/>
      <x:c r="V395" s="84"/>
      <x:c r="W395" s="84"/>
      <x:c r="X395" s="84"/>
      <x:c r="Y395" s="84"/>
      <x:c r="Z395" s="84"/>
    </x:row>
    <x:row r="396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4"/>
      <x:c r="K396" s="84"/>
      <x:c r="L396" s="84"/>
      <x:c r="M396" s="84"/>
      <x:c r="N396" s="84"/>
      <x:c r="O396" s="84"/>
      <x:c r="P396" s="84"/>
      <x:c r="Q396" s="84"/>
      <x:c r="R396" s="84"/>
      <x:c r="S396" s="84"/>
      <x:c r="T396" s="84"/>
      <x:c r="U396" s="84"/>
      <x:c r="V396" s="84"/>
      <x:c r="W396" s="84"/>
      <x:c r="X396" s="84"/>
      <x:c r="Y396" s="84"/>
      <x:c r="Z396" s="84"/>
    </x:row>
    <x:row r="397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4"/>
      <x:c r="K397" s="84"/>
      <x:c r="L397" s="84"/>
      <x:c r="M397" s="84"/>
      <x:c r="N397" s="84"/>
      <x:c r="O397" s="84"/>
      <x:c r="P397" s="84"/>
      <x:c r="Q397" s="84"/>
      <x:c r="R397" s="84"/>
      <x:c r="S397" s="84"/>
      <x:c r="T397" s="84"/>
      <x:c r="U397" s="84"/>
      <x:c r="V397" s="84"/>
      <x:c r="W397" s="84"/>
      <x:c r="X397" s="84"/>
      <x:c r="Y397" s="84"/>
      <x:c r="Z397" s="84"/>
    </x:row>
    <x:row r="398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4"/>
      <x:c r="K398" s="84"/>
      <x:c r="L398" s="84"/>
      <x:c r="M398" s="84"/>
      <x:c r="N398" s="84"/>
      <x:c r="O398" s="84"/>
      <x:c r="P398" s="84"/>
      <x:c r="Q398" s="84"/>
      <x:c r="R398" s="84"/>
      <x:c r="S398" s="84"/>
      <x:c r="T398" s="84"/>
      <x:c r="U398" s="84"/>
      <x:c r="V398" s="84"/>
      <x:c r="W398" s="84"/>
      <x:c r="X398" s="84"/>
      <x:c r="Y398" s="84"/>
      <x:c r="Z398" s="84"/>
    </x:row>
    <x:row r="399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4"/>
      <x:c r="K399" s="84"/>
      <x:c r="L399" s="84"/>
      <x:c r="M399" s="84"/>
      <x:c r="N399" s="84"/>
      <x:c r="O399" s="84"/>
      <x:c r="P399" s="84"/>
      <x:c r="Q399" s="84"/>
      <x:c r="R399" s="84"/>
      <x:c r="S399" s="84"/>
      <x:c r="T399" s="84"/>
      <x:c r="U399" s="84"/>
      <x:c r="V399" s="84"/>
      <x:c r="W399" s="84"/>
      <x:c r="X399" s="84"/>
      <x:c r="Y399" s="84"/>
      <x:c r="Z399" s="84"/>
    </x:row>
    <x:row r="400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4"/>
      <x:c r="K400" s="84"/>
      <x:c r="L400" s="84"/>
      <x:c r="M400" s="84"/>
      <x:c r="N400" s="84"/>
      <x:c r="O400" s="84"/>
      <x:c r="P400" s="84"/>
      <x:c r="Q400" s="84"/>
      <x:c r="R400" s="84"/>
      <x:c r="S400" s="84"/>
      <x:c r="T400" s="84"/>
      <x:c r="U400" s="84"/>
      <x:c r="V400" s="84"/>
      <x:c r="W400" s="84"/>
      <x:c r="X400" s="84"/>
      <x:c r="Y400" s="84"/>
      <x:c r="Z400" s="84"/>
    </x:row>
    <x:row r="40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4"/>
      <x:c r="K401" s="84"/>
      <x:c r="L401" s="84"/>
      <x:c r="M401" s="84"/>
      <x:c r="N401" s="84"/>
      <x:c r="O401" s="84"/>
      <x:c r="P401" s="84"/>
      <x:c r="Q401" s="84"/>
      <x:c r="R401" s="84"/>
      <x:c r="S401" s="84"/>
      <x:c r="T401" s="84"/>
      <x:c r="U401" s="84"/>
      <x:c r="V401" s="84"/>
      <x:c r="W401" s="84"/>
      <x:c r="X401" s="84"/>
      <x:c r="Y401" s="84"/>
      <x:c r="Z401" s="84"/>
    </x:row>
    <x:row r="402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4"/>
      <x:c r="K402" s="84"/>
      <x:c r="L402" s="84"/>
      <x:c r="M402" s="84"/>
      <x:c r="N402" s="84"/>
      <x:c r="O402" s="84"/>
      <x:c r="P402" s="84"/>
      <x:c r="Q402" s="84"/>
      <x:c r="R402" s="84"/>
      <x:c r="S402" s="84"/>
      <x:c r="T402" s="84"/>
      <x:c r="U402" s="84"/>
      <x:c r="V402" s="84"/>
      <x:c r="W402" s="84"/>
      <x:c r="X402" s="84"/>
      <x:c r="Y402" s="84"/>
      <x:c r="Z402" s="84"/>
    </x:row>
    <x:row r="403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4"/>
      <x:c r="K403" s="84"/>
      <x:c r="L403" s="84"/>
      <x:c r="M403" s="84"/>
      <x:c r="N403" s="84"/>
      <x:c r="O403" s="84"/>
      <x:c r="P403" s="84"/>
      <x:c r="Q403" s="84"/>
      <x:c r="R403" s="84"/>
      <x:c r="S403" s="84"/>
      <x:c r="T403" s="84"/>
      <x:c r="U403" s="84"/>
      <x:c r="V403" s="84"/>
      <x:c r="W403" s="84"/>
      <x:c r="X403" s="84"/>
      <x:c r="Y403" s="84"/>
      <x:c r="Z403" s="84"/>
    </x:row>
    <x:row r="404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4"/>
      <x:c r="K404" s="84"/>
      <x:c r="L404" s="84"/>
      <x:c r="M404" s="84"/>
      <x:c r="N404" s="84"/>
      <x:c r="O404" s="84"/>
      <x:c r="P404" s="84"/>
      <x:c r="Q404" s="84"/>
      <x:c r="R404" s="84"/>
      <x:c r="S404" s="84"/>
      <x:c r="T404" s="84"/>
      <x:c r="U404" s="84"/>
      <x:c r="V404" s="84"/>
      <x:c r="W404" s="84"/>
      <x:c r="X404" s="84"/>
      <x:c r="Y404" s="84"/>
      <x:c r="Z404" s="84"/>
    </x:row>
    <x:row r="405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4"/>
      <x:c r="K405" s="84"/>
      <x:c r="L405" s="84"/>
      <x:c r="M405" s="84"/>
      <x:c r="N405" s="84"/>
      <x:c r="O405" s="84"/>
      <x:c r="P405" s="84"/>
      <x:c r="Q405" s="84"/>
      <x:c r="R405" s="84"/>
      <x:c r="S405" s="84"/>
      <x:c r="T405" s="84"/>
      <x:c r="U405" s="84"/>
      <x:c r="V405" s="84"/>
      <x:c r="W405" s="84"/>
      <x:c r="X405" s="84"/>
      <x:c r="Y405" s="84"/>
      <x:c r="Z405" s="84"/>
    </x:row>
    <x:row r="406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4"/>
      <x:c r="K406" s="84"/>
      <x:c r="L406" s="84"/>
      <x:c r="M406" s="84"/>
      <x:c r="N406" s="84"/>
      <x:c r="O406" s="84"/>
      <x:c r="P406" s="84"/>
      <x:c r="Q406" s="84"/>
      <x:c r="R406" s="84"/>
      <x:c r="S406" s="84"/>
      <x:c r="T406" s="84"/>
      <x:c r="U406" s="84"/>
      <x:c r="V406" s="84"/>
      <x:c r="W406" s="84"/>
      <x:c r="X406" s="84"/>
      <x:c r="Y406" s="84"/>
      <x:c r="Z406" s="84"/>
    </x:row>
    <x:row r="407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4"/>
      <x:c r="K407" s="84"/>
      <x:c r="L407" s="84"/>
      <x:c r="M407" s="84"/>
      <x:c r="N407" s="84"/>
      <x:c r="O407" s="84"/>
      <x:c r="P407" s="84"/>
      <x:c r="Q407" s="84"/>
      <x:c r="R407" s="84"/>
      <x:c r="S407" s="84"/>
      <x:c r="T407" s="84"/>
      <x:c r="U407" s="84"/>
      <x:c r="V407" s="84"/>
      <x:c r="W407" s="84"/>
      <x:c r="X407" s="84"/>
      <x:c r="Y407" s="84"/>
      <x:c r="Z407" s="84"/>
    </x:row>
    <x:row r="408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4"/>
      <x:c r="K408" s="84"/>
      <x:c r="L408" s="84"/>
      <x:c r="M408" s="84"/>
      <x:c r="N408" s="84"/>
      <x:c r="O408" s="84"/>
      <x:c r="P408" s="84"/>
      <x:c r="Q408" s="84"/>
      <x:c r="R408" s="84"/>
      <x:c r="S408" s="84"/>
      <x:c r="T408" s="84"/>
      <x:c r="U408" s="84"/>
      <x:c r="V408" s="84"/>
      <x:c r="W408" s="84"/>
      <x:c r="X408" s="84"/>
      <x:c r="Y408" s="84"/>
      <x:c r="Z408" s="84"/>
    </x:row>
    <x:row r="409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4"/>
      <x:c r="K409" s="84"/>
      <x:c r="L409" s="84"/>
      <x:c r="M409" s="84"/>
      <x:c r="N409" s="84"/>
      <x:c r="O409" s="84"/>
      <x:c r="P409" s="84"/>
      <x:c r="Q409" s="84"/>
      <x:c r="R409" s="84"/>
      <x:c r="S409" s="84"/>
      <x:c r="T409" s="84"/>
      <x:c r="U409" s="84"/>
      <x:c r="V409" s="84"/>
      <x:c r="W409" s="84"/>
      <x:c r="X409" s="84"/>
      <x:c r="Y409" s="84"/>
      <x:c r="Z409" s="84"/>
    </x:row>
    <x:row r="410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4"/>
      <x:c r="K410" s="84"/>
      <x:c r="L410" s="84"/>
      <x:c r="M410" s="84"/>
      <x:c r="N410" s="84"/>
      <x:c r="O410" s="84"/>
      <x:c r="P410" s="84"/>
      <x:c r="Q410" s="84"/>
      <x:c r="R410" s="84"/>
      <x:c r="S410" s="84"/>
      <x:c r="T410" s="84"/>
      <x:c r="U410" s="84"/>
      <x:c r="V410" s="84"/>
      <x:c r="W410" s="84"/>
      <x:c r="X410" s="84"/>
      <x:c r="Y410" s="84"/>
      <x:c r="Z410" s="84"/>
    </x:row>
    <x:row r="41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4"/>
      <x:c r="K411" s="84"/>
      <x:c r="L411" s="84"/>
      <x:c r="M411" s="84"/>
      <x:c r="N411" s="84"/>
      <x:c r="O411" s="84"/>
      <x:c r="P411" s="84"/>
      <x:c r="Q411" s="84"/>
      <x:c r="R411" s="84"/>
      <x:c r="S411" s="84"/>
      <x:c r="T411" s="84"/>
      <x:c r="U411" s="84"/>
      <x:c r="V411" s="84"/>
      <x:c r="W411" s="84"/>
      <x:c r="X411" s="84"/>
      <x:c r="Y411" s="84"/>
      <x:c r="Z411" s="84"/>
    </x:row>
    <x:row r="412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4"/>
      <x:c r="K412" s="84"/>
      <x:c r="L412" s="84"/>
      <x:c r="M412" s="84"/>
      <x:c r="N412" s="84"/>
      <x:c r="O412" s="84"/>
      <x:c r="P412" s="84"/>
      <x:c r="Q412" s="84"/>
      <x:c r="R412" s="84"/>
      <x:c r="S412" s="84"/>
      <x:c r="T412" s="84"/>
      <x:c r="U412" s="84"/>
      <x:c r="V412" s="84"/>
      <x:c r="W412" s="84"/>
      <x:c r="X412" s="84"/>
      <x:c r="Y412" s="84"/>
      <x:c r="Z412" s="84"/>
    </x:row>
    <x:row r="413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4"/>
      <x:c r="K413" s="84"/>
      <x:c r="L413" s="84"/>
      <x:c r="M413" s="84"/>
      <x:c r="N413" s="84"/>
      <x:c r="O413" s="84"/>
      <x:c r="P413" s="84"/>
      <x:c r="Q413" s="84"/>
      <x:c r="R413" s="84"/>
      <x:c r="S413" s="84"/>
      <x:c r="T413" s="84"/>
      <x:c r="U413" s="84"/>
      <x:c r="V413" s="84"/>
      <x:c r="W413" s="84"/>
      <x:c r="X413" s="84"/>
      <x:c r="Y413" s="84"/>
      <x:c r="Z413" s="84"/>
    </x:row>
    <x:row r="414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4"/>
      <x:c r="K414" s="84"/>
      <x:c r="L414" s="84"/>
      <x:c r="M414" s="84"/>
      <x:c r="N414" s="84"/>
      <x:c r="O414" s="84"/>
      <x:c r="P414" s="84"/>
      <x:c r="Q414" s="84"/>
      <x:c r="R414" s="84"/>
      <x:c r="S414" s="84"/>
      <x:c r="T414" s="84"/>
      <x:c r="U414" s="84"/>
      <x:c r="V414" s="84"/>
      <x:c r="W414" s="84"/>
      <x:c r="X414" s="84"/>
      <x:c r="Y414" s="84"/>
      <x:c r="Z414" s="84"/>
    </x:row>
    <x:row r="415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4"/>
      <x:c r="K415" s="84"/>
      <x:c r="L415" s="84"/>
      <x:c r="M415" s="84"/>
      <x:c r="N415" s="84"/>
      <x:c r="O415" s="84"/>
      <x:c r="P415" s="84"/>
      <x:c r="Q415" s="84"/>
      <x:c r="R415" s="84"/>
      <x:c r="S415" s="84"/>
      <x:c r="T415" s="84"/>
      <x:c r="U415" s="84"/>
      <x:c r="V415" s="84"/>
      <x:c r="W415" s="84"/>
      <x:c r="X415" s="84"/>
      <x:c r="Y415" s="84"/>
      <x:c r="Z415" s="84"/>
    </x:row>
    <x:row r="416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4"/>
      <x:c r="K416" s="84"/>
      <x:c r="L416" s="84"/>
      <x:c r="M416" s="84"/>
      <x:c r="N416" s="84"/>
      <x:c r="O416" s="84"/>
      <x:c r="P416" s="84"/>
      <x:c r="Q416" s="84"/>
      <x:c r="R416" s="84"/>
      <x:c r="S416" s="84"/>
      <x:c r="T416" s="84"/>
      <x:c r="U416" s="84"/>
      <x:c r="V416" s="84"/>
      <x:c r="W416" s="84"/>
      <x:c r="X416" s="84"/>
      <x:c r="Y416" s="84"/>
      <x:c r="Z416" s="84"/>
    </x:row>
    <x:row r="417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4"/>
      <x:c r="K417" s="84"/>
      <x:c r="L417" s="84"/>
      <x:c r="M417" s="84"/>
      <x:c r="N417" s="84"/>
      <x:c r="O417" s="84"/>
      <x:c r="P417" s="84"/>
      <x:c r="Q417" s="84"/>
      <x:c r="R417" s="84"/>
      <x:c r="S417" s="84"/>
      <x:c r="T417" s="84"/>
      <x:c r="U417" s="84"/>
      <x:c r="V417" s="84"/>
      <x:c r="W417" s="84"/>
      <x:c r="X417" s="84"/>
      <x:c r="Y417" s="84"/>
      <x:c r="Z417" s="84"/>
    </x:row>
    <x:row r="418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4"/>
      <x:c r="K418" s="84"/>
      <x:c r="L418" s="84"/>
      <x:c r="M418" s="84"/>
      <x:c r="N418" s="84"/>
      <x:c r="O418" s="84"/>
      <x:c r="P418" s="84"/>
      <x:c r="Q418" s="84"/>
      <x:c r="R418" s="84"/>
      <x:c r="S418" s="84"/>
      <x:c r="T418" s="84"/>
      <x:c r="U418" s="84"/>
      <x:c r="V418" s="84"/>
      <x:c r="W418" s="84"/>
      <x:c r="X418" s="84"/>
      <x:c r="Y418" s="84"/>
      <x:c r="Z418" s="84"/>
    </x:row>
    <x:row r="419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4"/>
      <x:c r="K419" s="84"/>
      <x:c r="L419" s="84"/>
      <x:c r="M419" s="84"/>
      <x:c r="N419" s="84"/>
      <x:c r="O419" s="84"/>
      <x:c r="P419" s="84"/>
      <x:c r="Q419" s="84"/>
      <x:c r="R419" s="84"/>
      <x:c r="S419" s="84"/>
      <x:c r="T419" s="84"/>
      <x:c r="U419" s="84"/>
      <x:c r="V419" s="84"/>
      <x:c r="W419" s="84"/>
      <x:c r="X419" s="84"/>
      <x:c r="Y419" s="84"/>
      <x:c r="Z419" s="84"/>
    </x:row>
    <x:row r="420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4"/>
      <x:c r="K420" s="84"/>
      <x:c r="L420" s="84"/>
      <x:c r="M420" s="84"/>
      <x:c r="N420" s="84"/>
      <x:c r="O420" s="84"/>
      <x:c r="P420" s="84"/>
      <x:c r="Q420" s="84"/>
      <x:c r="R420" s="84"/>
      <x:c r="S420" s="84"/>
      <x:c r="T420" s="84"/>
      <x:c r="U420" s="84"/>
      <x:c r="V420" s="84"/>
      <x:c r="W420" s="84"/>
      <x:c r="X420" s="84"/>
      <x:c r="Y420" s="84"/>
      <x:c r="Z420" s="84"/>
    </x:row>
    <x:row r="42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4"/>
      <x:c r="K421" s="84"/>
      <x:c r="L421" s="84"/>
      <x:c r="M421" s="84"/>
      <x:c r="N421" s="84"/>
      <x:c r="O421" s="84"/>
      <x:c r="P421" s="84"/>
      <x:c r="Q421" s="84"/>
      <x:c r="R421" s="84"/>
      <x:c r="S421" s="84"/>
      <x:c r="T421" s="84"/>
      <x:c r="U421" s="84"/>
      <x:c r="V421" s="84"/>
      <x:c r="W421" s="84"/>
      <x:c r="X421" s="84"/>
      <x:c r="Y421" s="84"/>
      <x:c r="Z421" s="84"/>
    </x:row>
    <x:row r="422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4"/>
      <x:c r="K422" s="84"/>
      <x:c r="L422" s="84"/>
      <x:c r="M422" s="84"/>
      <x:c r="N422" s="84"/>
      <x:c r="O422" s="84"/>
      <x:c r="P422" s="84"/>
      <x:c r="Q422" s="84"/>
      <x:c r="R422" s="84"/>
      <x:c r="S422" s="84"/>
      <x:c r="T422" s="84"/>
      <x:c r="U422" s="84"/>
      <x:c r="V422" s="84"/>
      <x:c r="W422" s="84"/>
      <x:c r="X422" s="84"/>
      <x:c r="Y422" s="84"/>
      <x:c r="Z422" s="84"/>
    </x:row>
    <x:row r="423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4"/>
      <x:c r="K423" s="84"/>
      <x:c r="L423" s="84"/>
      <x:c r="M423" s="84"/>
      <x:c r="N423" s="84"/>
      <x:c r="O423" s="84"/>
      <x:c r="P423" s="84"/>
      <x:c r="Q423" s="84"/>
      <x:c r="R423" s="84"/>
      <x:c r="S423" s="84"/>
      <x:c r="T423" s="84"/>
      <x:c r="U423" s="84"/>
      <x:c r="V423" s="84"/>
      <x:c r="W423" s="84"/>
      <x:c r="X423" s="84"/>
      <x:c r="Y423" s="84"/>
      <x:c r="Z423" s="84"/>
    </x:row>
    <x:row r="424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4"/>
      <x:c r="K424" s="84"/>
      <x:c r="L424" s="84"/>
      <x:c r="M424" s="84"/>
      <x:c r="N424" s="84"/>
      <x:c r="O424" s="84"/>
      <x:c r="P424" s="84"/>
      <x:c r="Q424" s="84"/>
      <x:c r="R424" s="84"/>
      <x:c r="S424" s="84"/>
      <x:c r="T424" s="84"/>
      <x:c r="U424" s="84"/>
      <x:c r="V424" s="84"/>
      <x:c r="W424" s="84"/>
      <x:c r="X424" s="84"/>
      <x:c r="Y424" s="84"/>
      <x:c r="Z424" s="84"/>
    </x:row>
    <x:row r="425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4"/>
      <x:c r="K425" s="84"/>
      <x:c r="L425" s="84"/>
      <x:c r="M425" s="84"/>
      <x:c r="N425" s="84"/>
      <x:c r="O425" s="84"/>
      <x:c r="P425" s="84"/>
      <x:c r="Q425" s="84"/>
      <x:c r="R425" s="84"/>
      <x:c r="S425" s="84"/>
      <x:c r="T425" s="84"/>
      <x:c r="U425" s="84"/>
      <x:c r="V425" s="84"/>
      <x:c r="W425" s="84"/>
      <x:c r="X425" s="84"/>
      <x:c r="Y425" s="84"/>
      <x:c r="Z425" s="84"/>
    </x:row>
    <x:row r="426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4"/>
      <x:c r="K426" s="84"/>
      <x:c r="L426" s="84"/>
      <x:c r="M426" s="84"/>
      <x:c r="N426" s="84"/>
      <x:c r="O426" s="84"/>
      <x:c r="P426" s="84"/>
      <x:c r="Q426" s="84"/>
      <x:c r="R426" s="84"/>
      <x:c r="S426" s="84"/>
      <x:c r="T426" s="84"/>
      <x:c r="U426" s="84"/>
      <x:c r="V426" s="84"/>
      <x:c r="W426" s="84"/>
      <x:c r="X426" s="84"/>
      <x:c r="Y426" s="84"/>
      <x:c r="Z426" s="84"/>
    </x:row>
    <x:row r="427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4"/>
      <x:c r="K427" s="84"/>
      <x:c r="L427" s="84"/>
      <x:c r="M427" s="84"/>
      <x:c r="N427" s="84"/>
      <x:c r="O427" s="84"/>
      <x:c r="P427" s="84"/>
      <x:c r="Q427" s="84"/>
      <x:c r="R427" s="84"/>
      <x:c r="S427" s="84"/>
      <x:c r="T427" s="84"/>
      <x:c r="U427" s="84"/>
      <x:c r="V427" s="84"/>
      <x:c r="W427" s="84"/>
      <x:c r="X427" s="84"/>
      <x:c r="Y427" s="84"/>
      <x:c r="Z427" s="84"/>
    </x:row>
    <x:row r="428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4"/>
      <x:c r="K428" s="84"/>
      <x:c r="L428" s="84"/>
      <x:c r="M428" s="84"/>
      <x:c r="N428" s="84"/>
      <x:c r="O428" s="84"/>
      <x:c r="P428" s="84"/>
      <x:c r="Q428" s="84"/>
      <x:c r="R428" s="84"/>
      <x:c r="S428" s="84"/>
      <x:c r="T428" s="84"/>
      <x:c r="U428" s="84"/>
      <x:c r="V428" s="84"/>
      <x:c r="W428" s="84"/>
      <x:c r="X428" s="84"/>
      <x:c r="Y428" s="84"/>
      <x:c r="Z428" s="84"/>
    </x:row>
    <x:row r="429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4"/>
      <x:c r="K429" s="84"/>
      <x:c r="L429" s="84"/>
      <x:c r="M429" s="84"/>
      <x:c r="N429" s="84"/>
      <x:c r="O429" s="84"/>
      <x:c r="P429" s="84"/>
      <x:c r="Q429" s="84"/>
      <x:c r="R429" s="84"/>
      <x:c r="S429" s="84"/>
      <x:c r="T429" s="84"/>
      <x:c r="U429" s="84"/>
      <x:c r="V429" s="84"/>
      <x:c r="W429" s="84"/>
      <x:c r="X429" s="84"/>
      <x:c r="Y429" s="84"/>
      <x:c r="Z429" s="84"/>
    </x:row>
    <x:row r="430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4"/>
      <x:c r="K430" s="84"/>
      <x:c r="L430" s="84"/>
      <x:c r="M430" s="84"/>
      <x:c r="N430" s="84"/>
      <x:c r="O430" s="84"/>
      <x:c r="P430" s="84"/>
      <x:c r="Q430" s="84"/>
      <x:c r="R430" s="84"/>
      <x:c r="S430" s="84"/>
      <x:c r="T430" s="84"/>
      <x:c r="U430" s="84"/>
      <x:c r="V430" s="84"/>
      <x:c r="W430" s="84"/>
      <x:c r="X430" s="84"/>
      <x:c r="Y430" s="84"/>
      <x:c r="Z430" s="84"/>
    </x:row>
    <x:row r="43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4"/>
      <x:c r="K431" s="84"/>
      <x:c r="L431" s="84"/>
      <x:c r="M431" s="84"/>
      <x:c r="N431" s="84"/>
      <x:c r="O431" s="84"/>
      <x:c r="P431" s="84"/>
      <x:c r="Q431" s="84"/>
      <x:c r="R431" s="84"/>
      <x:c r="S431" s="84"/>
      <x:c r="T431" s="84"/>
      <x:c r="U431" s="84"/>
      <x:c r="V431" s="84"/>
      <x:c r="W431" s="84"/>
      <x:c r="X431" s="84"/>
      <x:c r="Y431" s="84"/>
      <x:c r="Z431" s="84"/>
    </x:row>
    <x:row r="432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4"/>
      <x:c r="K432" s="84"/>
      <x:c r="L432" s="84"/>
      <x:c r="M432" s="84"/>
      <x:c r="N432" s="84"/>
      <x:c r="O432" s="84"/>
      <x:c r="P432" s="84"/>
      <x:c r="Q432" s="84"/>
      <x:c r="R432" s="84"/>
      <x:c r="S432" s="84"/>
      <x:c r="T432" s="84"/>
      <x:c r="U432" s="84"/>
      <x:c r="V432" s="84"/>
      <x:c r="W432" s="84"/>
      <x:c r="X432" s="84"/>
      <x:c r="Y432" s="84"/>
      <x:c r="Z432" s="84"/>
    </x:row>
    <x:row r="433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4"/>
      <x:c r="K433" s="84"/>
      <x:c r="L433" s="84"/>
      <x:c r="M433" s="84"/>
      <x:c r="N433" s="84"/>
      <x:c r="O433" s="84"/>
      <x:c r="P433" s="84"/>
      <x:c r="Q433" s="84"/>
      <x:c r="R433" s="84"/>
      <x:c r="S433" s="84"/>
      <x:c r="T433" s="84"/>
      <x:c r="U433" s="84"/>
      <x:c r="V433" s="84"/>
      <x:c r="W433" s="84"/>
      <x:c r="X433" s="84"/>
      <x:c r="Y433" s="84"/>
      <x:c r="Z433" s="84"/>
    </x:row>
    <x:row r="434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4"/>
      <x:c r="K434" s="84"/>
      <x:c r="L434" s="84"/>
      <x:c r="M434" s="84"/>
      <x:c r="N434" s="84"/>
      <x:c r="O434" s="84"/>
      <x:c r="P434" s="84"/>
      <x:c r="Q434" s="84"/>
      <x:c r="R434" s="84"/>
      <x:c r="S434" s="84"/>
      <x:c r="T434" s="84"/>
      <x:c r="U434" s="84"/>
      <x:c r="V434" s="84"/>
      <x:c r="W434" s="84"/>
      <x:c r="X434" s="84"/>
      <x:c r="Y434" s="84"/>
      <x:c r="Z434" s="84"/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EMBALAGEM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EMBALAGEM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 ht="22" customHeight="1">
      <x:c r="A5" s="217" t="n">
        <x:v>1</x:v>
      </x:c>
      <x:c r="B5" s="218" t="str">
        <x:v>26739</x:v>
      </x:c>
      <x:c r="C5" s="218" t="str">
        <x:v>6</x:v>
      </x:c>
      <x:c r="D5" s="218" t="str">
        <x:v>609637</x:v>
      </x:c>
      <x:c r="E5" s="218" t="str">
        <x:v>3020701844</x:v>
      </x:c>
      <x:c r="F5" s="218" t="str">
        <x:v>OUTROS</x:v>
      </x:c>
      <x:c r="G5" s="184" t="str">
        <x:v>BAND DOB ULTRA 700X1226X9 PVC R BCO RTO</x:v>
      </x:c>
      <x:c r="H5" s="184" t="str"/>
      <x:c r="I5" s="184" t="str"/>
      <x:c r="J5" s="184" t="str"/>
      <x:c r="K5" s="184" t="str">
        <x:v>RECOBERTO PVC RENOLIT</x:v>
      </x:c>
      <x:c r="L5" s="184" t="str">
        <x:v>BRANCO</x:v>
      </x:c>
      <x:c r="M5" s="205" t="n">
        <x:v>4</x:v>
      </x:c>
      <x:c r="N5" s="205" t="n">
        <x:v>700</x:v>
      </x:c>
      <x:c r="O5" s="205" t="n">
        <x:v>1226</x:v>
      </x:c>
      <x:c r="P5" s="205" t="n">
        <x:v>9</x:v>
      </x:c>
      <x:c r="Q5" s="206" t="n">
        <x:v>0.031</x:v>
      </x:c>
      <x:c r="R5" s="207" t="str"/>
      <x:c r="S5" s="207" t="str"/>
      <x:c r="T5" s="207" t="str"/>
      <x:c r="U5" s="207" t="n">
        <x:v>0</x:v>
      </x:c>
      <x:c r="V5" s="208" t="n">
        <x:f>MAX(0,M5-U5)</x:f>
        <x:v>4</x:v>
      </x:c>
      <x:c r="W5" s="209" t="n">
        <x:f>IFERROR(U5/M5,0)</x:f>
        <x:v>0</x:v>
      </x:c>
      <x:c r="X5" s="201" t="str">
        <x:f>IF(U5=0,"Não iniciado",IF(U5&gt;=M5,"Concluído","Parcial"))</x:f>
        <x:v>Não iniciado</x:v>
      </x:c>
      <x:c r="Y5" s="199" t="str"/>
      <x:c r="Z5" s="188" t="str">
        <x:v>Normal</x:v>
      </x:c>
    </x:row>
    <x:row r="6" ht="22" customHeight="1">
      <x:c r="A6" s="219" t="n">
        <x:v>2</x:v>
      </x:c>
      <x:c r="B6" s="220" t="str">
        <x:v>26750</x:v>
      </x:c>
      <x:c r="C6" s="220" t="str">
        <x:v>27</x:v>
      </x:c>
      <x:c r="D6" s="220" t="str">
        <x:v>609928</x:v>
      </x:c>
      <x:c r="E6" s="220" t="str">
        <x:v>3020701844</x:v>
      </x:c>
      <x:c r="F6" s="220" t="str">
        <x:v>OUTROS</x:v>
      </x:c>
      <x:c r="G6" s="190" t="str">
        <x:v>BAND DOB ULTRA 700X1226X9 PVC R BCO RTO</x:v>
      </x:c>
      <x:c r="H6" s="190" t="str"/>
      <x:c r="I6" s="190" t="str"/>
      <x:c r="J6" s="190" t="str"/>
      <x:c r="K6" s="190" t="str">
        <x:v>RECOBERTO PVC RENOLIT</x:v>
      </x:c>
      <x:c r="L6" s="190" t="str">
        <x:v>BRANCO</x:v>
      </x:c>
      <x:c r="M6" s="210" t="n">
        <x:v>3</x:v>
      </x:c>
      <x:c r="N6" s="210" t="n">
        <x:v>700</x:v>
      </x:c>
      <x:c r="O6" s="210" t="n">
        <x:v>1226</x:v>
      </x:c>
      <x:c r="P6" s="210" t="n">
        <x:v>9</x:v>
      </x:c>
      <x:c r="Q6" s="211" t="n">
        <x:v>0.023</x:v>
      </x:c>
      <x:c r="R6" s="207" t="str"/>
      <x:c r="S6" s="207" t="str"/>
      <x:c r="T6" s="207" t="str"/>
      <x:c r="U6" s="207" t="n">
        <x:v>0</x:v>
      </x:c>
      <x:c r="V6" s="208" t="n">
        <x:f>MAX(0,M6-U6)</x:f>
        <x:v>3</x:v>
      </x:c>
      <x:c r="W6" s="209" t="n">
        <x:f>IFERROR(U6/M6,0)</x:f>
        <x:v>0</x:v>
      </x:c>
      <x:c r="X6" s="201" t="str">
        <x:f>IF(U6=0,"Não iniciado",IF(U6&gt;=M6,"Concluído","Parcial"))</x:f>
        <x:v>Não iniciado</x:v>
      </x:c>
      <x:c r="Y6" s="199" t="str"/>
      <x:c r="Z6" s="188" t="str">
        <x:v>Normal</x:v>
      </x:c>
    </x:row>
    <x:row r="7" ht="22" customHeight="1">
      <x:c r="A7" s="217" t="n">
        <x:v>3</x:v>
      </x:c>
      <x:c r="B7" s="218" t="str">
        <x:v>26809</x:v>
      </x:c>
      <x:c r="C7" s="218" t="str">
        <x:v>8</x:v>
      </x:c>
      <x:c r="D7" s="218" t="str">
        <x:v>609946</x:v>
      </x:c>
      <x:c r="E7" s="218" t="str">
        <x:v>3050800095</x:v>
      </x:c>
      <x:c r="F7" s="218" t="str">
        <x:v>PORTA</x:v>
      </x:c>
      <x:c r="G7" s="184" t="str">
        <x:v>FO P COR EST HDF 6 IMP CAP M 2100X1200X3</x:v>
      </x:c>
      <x:c r="H7" s="184" t="str">
        <x:v>LISA</x:v>
      </x:c>
      <x:c r="I7" s="184" t="str"/>
      <x:c r="J7" s="184" t="str"/>
      <x:c r="K7" s="184" t="str">
        <x:v>IMPRESSO</x:v>
      </x:c>
      <x:c r="L7" s="184" t="str">
        <x:v>CAPUCCINO MARCHE</x:v>
      </x:c>
      <x:c r="M7" s="205" t="n">
        <x:v>1</x:v>
      </x:c>
      <x:c r="N7" s="205" t="n">
        <x:v>2100</x:v>
      </x:c>
      <x:c r="O7" s="205" t="n">
        <x:v>1200</x:v>
      </x:c>
      <x:c r="P7" s="205" t="n">
        <x:v>3</x:v>
      </x:c>
      <x:c r="Q7" s="206" t="n">
        <x:v>0.088</x:v>
      </x:c>
      <x:c r="R7" s="207" t="str"/>
      <x:c r="S7" s="207" t="str"/>
      <x:c r="T7" s="207" t="str"/>
      <x:c r="U7" s="207" t="n">
        <x:v>0</x:v>
      </x:c>
      <x:c r="V7" s="208" t="n">
        <x:f>MAX(0,M7-U7)</x:f>
        <x:v>1</x:v>
      </x:c>
      <x:c r="W7" s="209" t="n">
        <x:f>IFERROR(U7/M7,0)</x:f>
        <x:v>0</x:v>
      </x:c>
      <x:c r="X7" s="201" t="str">
        <x:f>IF(U7=0,"Não iniciado",IF(U7&gt;=M7,"Concluído","Parcial"))</x:f>
        <x:v>Não iniciado</x:v>
      </x:c>
      <x:c r="Y7" s="199" t="str"/>
      <x:c r="Z7" s="188" t="str">
        <x:v>Normal</x:v>
      </x:c>
    </x:row>
    <x:row r="8" ht="22" customHeight="1">
      <x:c r="A8" s="219" t="n">
        <x:v>4</x:v>
      </x:c>
      <x:c r="B8" s="220" t="str">
        <x:v>26739</x:v>
      </x:c>
      <x:c r="C8" s="220" t="str">
        <x:v>27</x:v>
      </x:c>
      <x:c r="D8" s="220" t="str">
        <x:v>609783</x:v>
      </x:c>
      <x:c r="E8" s="220" t="str">
        <x:v>3020701843</x:v>
      </x:c>
      <x:c r="F8" s="220" t="str">
        <x:v>OUTROS</x:v>
      </x:c>
      <x:c r="G8" s="190" t="str">
        <x:v>BAND DOB ULTRA 700X1166X9 PVC R BCO RTO</x:v>
      </x:c>
      <x:c r="H8" s="190" t="str"/>
      <x:c r="I8" s="190" t="str"/>
      <x:c r="J8" s="190" t="str"/>
      <x:c r="K8" s="190" t="str">
        <x:v>RECOBERTO PVC RENOLIT</x:v>
      </x:c>
      <x:c r="L8" s="190" t="str">
        <x:v>BRANCO</x:v>
      </x:c>
      <x:c r="M8" s="210" t="n">
        <x:v>12</x:v>
      </x:c>
      <x:c r="N8" s="210" t="n">
        <x:v>700</x:v>
      </x:c>
      <x:c r="O8" s="210" t="n">
        <x:v>1166</x:v>
      </x:c>
      <x:c r="P8" s="210" t="n">
        <x:v>9</x:v>
      </x:c>
      <x:c r="Q8" s="211" t="n">
        <x:v>0.088</x:v>
      </x:c>
      <x:c r="R8" s="207" t="str"/>
      <x:c r="S8" s="207" t="str"/>
      <x:c r="T8" s="207" t="str"/>
      <x:c r="U8" s="207" t="n">
        <x:v>0</x:v>
      </x:c>
      <x:c r="V8" s="208" t="n">
        <x:f>MAX(0,M8-U8)</x:f>
        <x:v>12</x:v>
      </x:c>
      <x:c r="W8" s="209" t="n">
        <x:f>IFERROR(U8/M8,0)</x:f>
        <x:v>0</x:v>
      </x:c>
      <x:c r="X8" s="201" t="str">
        <x:f>IF(U8=0,"Não iniciado",IF(U8&gt;=M8,"Concluído","Parcial"))</x:f>
        <x:v>Não iniciado</x:v>
      </x:c>
      <x:c r="Y8" s="199" t="str"/>
      <x:c r="Z8" s="188" t="str">
        <x:v>Normal</x:v>
      </x:c>
    </x:row>
    <x:row r="9" ht="22" customHeight="1">
      <x:c r="A9" s="217" t="n">
        <x:v>5</x:v>
      </x:c>
      <x:c r="B9" s="218" t="str">
        <x:v>26750</x:v>
      </x:c>
      <x:c r="C9" s="218" t="str">
        <x:v>7</x:v>
      </x:c>
      <x:c r="D9" s="218" t="str">
        <x:v>609800</x:v>
      </x:c>
      <x:c r="E9" s="218" t="str">
        <x:v>3020701843</x:v>
      </x:c>
      <x:c r="F9" s="218" t="str">
        <x:v>OUTROS</x:v>
      </x:c>
      <x:c r="G9" s="184" t="str">
        <x:v>BAND DOB ULTRA 700X1166X9 PVC R BCO RTO</x:v>
      </x:c>
      <x:c r="H9" s="184" t="str"/>
      <x:c r="I9" s="184" t="str"/>
      <x:c r="J9" s="184" t="str"/>
      <x:c r="K9" s="184" t="str">
        <x:v>RECOBERTO PVC RENOLIT</x:v>
      </x:c>
      <x:c r="L9" s="184" t="str">
        <x:v>BRANCO</x:v>
      </x:c>
      <x:c r="M9" s="205" t="n">
        <x:v>8</x:v>
      </x:c>
      <x:c r="N9" s="205" t="n">
        <x:v>700</x:v>
      </x:c>
      <x:c r="O9" s="205" t="n">
        <x:v>1166</x:v>
      </x:c>
      <x:c r="P9" s="205" t="n">
        <x:v>9</x:v>
      </x:c>
      <x:c r="Q9" s="206" t="n">
        <x:v>0.059</x:v>
      </x:c>
      <x:c r="R9" s="207" t="str"/>
      <x:c r="S9" s="207" t="str"/>
      <x:c r="T9" s="207" t="str"/>
      <x:c r="U9" s="207" t="n">
        <x:v>0</x:v>
      </x:c>
      <x:c r="V9" s="208" t="n">
        <x:f>MAX(0,M9-U9)</x:f>
        <x:v>8</x:v>
      </x:c>
      <x:c r="W9" s="209" t="n">
        <x:f>IFERROR(U9/M9,0)</x:f>
        <x:v>0</x:v>
      </x:c>
      <x:c r="X9" s="201" t="str">
        <x:f>IF(U9=0,"Não iniciado",IF(U9&gt;=M9,"Concluído","Parcial"))</x:f>
        <x:v>Não iniciado</x:v>
      </x:c>
      <x:c r="Y9" s="199" t="str"/>
      <x:c r="Z9" s="188" t="str">
        <x:v>Normal</x:v>
      </x:c>
    </x:row>
    <x:row r="10" ht="22" customHeight="1">
      <x:c r="A10" s="219" t="n">
        <x:v>6</x:v>
      </x:c>
      <x:c r="B10" s="220" t="str">
        <x:v>26739</x:v>
      </x:c>
      <x:c r="C10" s="220" t="str">
        <x:v>1</x:v>
      </x:c>
      <x:c r="D10" s="220" t="str">
        <x:v>609626</x:v>
      </x:c>
      <x:c r="E10" s="220" t="str">
        <x:v>3220800010</x:v>
      </x:c>
      <x:c r="F10" s="220" t="str">
        <x:v>OUTROS</x:v>
      </x:c>
      <x:c r="G10" s="190" t="str">
        <x:v>F P P EST HDF 6 2100X1000X35 SU PR BCO C</x:v>
      </x:c>
      <x:c r="H10" s="190" t="str"/>
      <x:c r="I10" s="190" t="str"/>
      <x:c r="J10" s="190" t="str"/>
      <x:c r="K10" s="190" t="str">
        <x:v>DUPLO LASER</x:v>
      </x:c>
      <x:c r="L10" s="190" t="str">
        <x:v>BRANCO</x:v>
      </x:c>
      <x:c r="M10" s="210" t="n">
        <x:v>16</x:v>
      </x:c>
      <x:c r="N10" s="210" t="n">
        <x:v>2100</x:v>
      </x:c>
      <x:c r="O10" s="210" t="n">
        <x:v>1000</x:v>
      </x:c>
      <x:c r="P10" s="210" t="n">
        <x:v>35</x:v>
      </x:c>
      <x:c r="Q10" s="211" t="n">
        <x:v>1.176</x:v>
      </x:c>
      <x:c r="R10" s="207" t="str"/>
      <x:c r="S10" s="207" t="str"/>
      <x:c r="T10" s="207" t="str"/>
      <x:c r="U10" s="207" t="n">
        <x:v>0</x:v>
      </x:c>
      <x:c r="V10" s="208" t="n">
        <x:f>MAX(0,M10-U10)</x:f>
        <x:v>16</x:v>
      </x:c>
      <x:c r="W10" s="209" t="n">
        <x:f>IFERROR(U10/M10,0)</x:f>
        <x:v>0</x:v>
      </x:c>
      <x:c r="X10" s="201" t="str">
        <x:f>IF(U10=0,"Não iniciado",IF(U10&gt;=M10,"Concluído","Parcial"))</x:f>
        <x:v>Não iniciado</x:v>
      </x:c>
      <x:c r="Y10" s="199" t="str"/>
      <x:c r="Z10" s="188" t="str">
        <x:v>Normal</x:v>
      </x:c>
    </x:row>
    <x:row r="11" ht="22" customHeight="1">
      <x:c r="A11" s="217" t="n">
        <x:v>7</x:v>
      </x:c>
      <x:c r="B11" s="218" t="str">
        <x:v>26750</x:v>
      </x:c>
      <x:c r="C11" s="218" t="str">
        <x:v>1</x:v>
      </x:c>
      <x:c r="D11" s="218" t="str">
        <x:v>609786</x:v>
      </x:c>
      <x:c r="E11" s="218" t="str">
        <x:v>3220800010</x:v>
      </x:c>
      <x:c r="F11" s="218" t="str">
        <x:v>OUTROS</x:v>
      </x:c>
      <x:c r="G11" s="184" t="str">
        <x:v>F P P EST HDF 6 2100X1000X35 SU PR BCO C</x:v>
      </x:c>
      <x:c r="H11" s="184" t="str"/>
      <x:c r="I11" s="184" t="str"/>
      <x:c r="J11" s="184" t="str"/>
      <x:c r="K11" s="184" t="str">
        <x:v>DUPLO LASER</x:v>
      </x:c>
      <x:c r="L11" s="184" t="str">
        <x:v>BRANCO</x:v>
      </x:c>
      <x:c r="M11" s="205" t="n">
        <x:v>11</x:v>
      </x:c>
      <x:c r="N11" s="205" t="n">
        <x:v>2100</x:v>
      </x:c>
      <x:c r="O11" s="205" t="n">
        <x:v>1000</x:v>
      </x:c>
      <x:c r="P11" s="205" t="n">
        <x:v>35</x:v>
      </x:c>
      <x:c r="Q11" s="206" t="n">
        <x:v>0.809</x:v>
      </x:c>
      <x:c r="R11" s="207" t="str"/>
      <x:c r="S11" s="207" t="str"/>
      <x:c r="T11" s="207" t="str"/>
      <x:c r="U11" s="207" t="n">
        <x:v>0</x:v>
      </x:c>
      <x:c r="V11" s="208" t="n">
        <x:f>MAX(0,M11-U11)</x:f>
        <x:v>11</x:v>
      </x:c>
      <x:c r="W11" s="209" t="n">
        <x:f>IFERROR(U11/M11,0)</x:f>
        <x:v>0</x:v>
      </x:c>
      <x:c r="X11" s="201" t="str">
        <x:f>IF(U11=0,"Não iniciado",IF(U11&gt;=M11,"Concluído","Parcial"))</x:f>
        <x:v>Não iniciado</x:v>
      </x:c>
      <x:c r="Y11" s="199" t="str"/>
      <x:c r="Z11" s="188" t="str">
        <x:v>Normal</x:v>
      </x:c>
    </x:row>
    <x:row r="12" ht="22" customHeight="1">
      <x:c r="A12" s="219" t="n">
        <x:v>8</x:v>
      </x:c>
      <x:c r="B12" s="220" t="str">
        <x:v>26808</x:v>
      </x:c>
      <x:c r="C12" s="220" t="str">
        <x:v>11</x:v>
      </x:c>
      <x:c r="D12" s="220" t="str">
        <x:v>608982</x:v>
      </x:c>
      <x:c r="E12" s="220" t="str">
        <x:v>4510012080</x:v>
      </x:c>
      <x:c r="F12" s="220" t="str">
        <x:v>PORTA</x:v>
      </x:c>
      <x:c r="G12" s="190" t="str">
        <x:v>FO POR EST HDF 6 2100X1000X35 ESM BCO CA</x:v>
      </x:c>
      <x:c r="H12" s="190" t="str"/>
      <x:c r="I12" s="190" t="str"/>
      <x:c r="J12" s="190" t="str"/>
      <x:c r="K12" s="190" t="str">
        <x:v>ESMALTE</x:v>
      </x:c>
      <x:c r="L12" s="190" t="str">
        <x:v>BRANCO CARRARA</x:v>
      </x:c>
      <x:c r="M12" s="210" t="n">
        <x:v>1</x:v>
      </x:c>
      <x:c r="N12" s="210" t="n">
        <x:v>2100</x:v>
      </x:c>
      <x:c r="O12" s="210" t="n">
        <x:v>1000</x:v>
      </x:c>
      <x:c r="P12" s="210" t="n">
        <x:v>35</x:v>
      </x:c>
      <x:c r="Q12" s="211" t="n">
        <x:v>0.074</x:v>
      </x:c>
      <x:c r="R12" s="207" t="str"/>
      <x:c r="S12" s="207" t="str"/>
      <x:c r="T12" s="207" t="str"/>
      <x:c r="U12" s="207" t="n">
        <x:v>0</x:v>
      </x:c>
      <x:c r="V12" s="208" t="n">
        <x:f>MAX(0,M12-U12)</x:f>
        <x:v>1</x:v>
      </x:c>
      <x:c r="W12" s="209" t="n">
        <x:f>IFERROR(U12/M12,0)</x:f>
        <x:v>0</x:v>
      </x:c>
      <x:c r="X12" s="201" t="str">
        <x:f>IF(U12=0,"Não iniciado",IF(U12&gt;=M12,"Concluído","Parcial"))</x:f>
        <x:v>Não iniciado</x:v>
      </x:c>
      <x:c r="Y12" s="199" t="str"/>
      <x:c r="Z12" s="188" t="str">
        <x:v>Normal</x:v>
      </x:c>
    </x:row>
    <x:row r="13" ht="22" customHeight="1">
      <x:c r="A13" s="217" t="n">
        <x:v>9</x:v>
      </x:c>
      <x:c r="B13" s="218" t="str">
        <x:v>26792</x:v>
      </x:c>
      <x:c r="C13" s="218" t="str">
        <x:v>5</x:v>
      </x:c>
      <x:c r="D13" s="218" t="str">
        <x:v>609464</x:v>
      </x:c>
      <x:c r="E13" s="218" t="str">
        <x:v>3230600004</x:v>
      </x:c>
      <x:c r="F13" s="218" t="str">
        <x:v>OUTROS</x:v>
      </x:c>
      <x:c r="G13" s="184" t="str">
        <x:v>BAND DOB STD 400X906X12 PET TXT BCO RTO</x:v>
      </x:c>
      <x:c r="H13" s="184" t="str"/>
      <x:c r="I13" s="184" t="str"/>
      <x:c r="J13" s="184" t="str"/>
      <x:c r="K13" s="184" t="str">
        <x:v>ESMALTE</x:v>
      </x:c>
      <x:c r="L13" s="184" t="str">
        <x:v>BRANCO CARRARA</x:v>
      </x:c>
      <x:c r="M13" s="205" t="n">
        <x:v>54</x:v>
      </x:c>
      <x:c r="N13" s="205" t="n">
        <x:v>400</x:v>
      </x:c>
      <x:c r="O13" s="205" t="n">
        <x:v>906</x:v>
      </x:c>
      <x:c r="P13" s="205" t="n">
        <x:v>12</x:v>
      </x:c>
      <x:c r="Q13" s="206" t="n">
        <x:v>0.235</x:v>
      </x:c>
      <x:c r="R13" s="207" t="str"/>
      <x:c r="S13" s="207" t="str"/>
      <x:c r="T13" s="207" t="str"/>
      <x:c r="U13" s="207" t="n">
        <x:v>0</x:v>
      </x:c>
      <x:c r="V13" s="208" t="n">
        <x:f>MAX(0,M13-U13)</x:f>
        <x:v>54</x:v>
      </x:c>
      <x:c r="W13" s="209" t="n">
        <x:f>IFERROR(U13/M13,0)</x:f>
        <x:v>0</x:v>
      </x:c>
      <x:c r="X13" s="201" t="str">
        <x:f>IF(U13=0,"Não iniciado",IF(U13&gt;=M13,"Concluído","Parcial"))</x:f>
        <x:v>Não iniciado</x:v>
      </x:c>
      <x:c r="Y13" s="199" t="str"/>
      <x:c r="Z13" s="188" t="str">
        <x:v>Normal</x:v>
      </x:c>
    </x:row>
    <x:row r="14" ht="22" customHeight="1">
      <x:c r="A14" s="219" t="n">
        <x:v>10</x:v>
      </x:c>
      <x:c r="B14" s="220" t="str">
        <x:v>26792</x:v>
      </x:c>
      <x:c r="C14" s="220" t="str">
        <x:v>6</x:v>
      </x:c>
      <x:c r="D14" s="220" t="str">
        <x:v>609481</x:v>
      </x:c>
      <x:c r="E14" s="220" t="str">
        <x:v>3230600005</x:v>
      </x:c>
      <x:c r="F14" s="220" t="str">
        <x:v>OUTROS</x:v>
      </x:c>
      <x:c r="G14" s="190" t="str">
        <x:v>BAND DOB STD 400X906X12 PET TXT BCO RTO</x:v>
      </x:c>
      <x:c r="H14" s="190" t="str"/>
      <x:c r="I14" s="190" t="str"/>
      <x:c r="J14" s="190" t="str"/>
      <x:c r="K14" s="190" t="str">
        <x:v>ESMALTE</x:v>
      </x:c>
      <x:c r="L14" s="190" t="str">
        <x:v>BRANCO CARRARA</x:v>
      </x:c>
      <x:c r="M14" s="210" t="n">
        <x:v>10</x:v>
      </x:c>
      <x:c r="N14" s="210" t="n">
        <x:v>400</x:v>
      </x:c>
      <x:c r="O14" s="210" t="n">
        <x:v>906</x:v>
      </x:c>
      <x:c r="P14" s="210" t="n">
        <x:v>12</x:v>
      </x:c>
      <x:c r="Q14" s="211" t="n">
        <x:v>0.043</x:v>
      </x:c>
      <x:c r="R14" s="207" t="str"/>
      <x:c r="S14" s="207" t="str"/>
      <x:c r="T14" s="207" t="str"/>
      <x:c r="U14" s="207" t="n">
        <x:v>0</x:v>
      </x:c>
      <x:c r="V14" s="208" t="n">
        <x:f>MAX(0,M14-U14)</x:f>
        <x:v>10</x:v>
      </x:c>
      <x:c r="W14" s="209" t="n">
        <x:f>IFERROR(U14/M14,0)</x:f>
        <x:v>0</x:v>
      </x:c>
      <x:c r="X14" s="201" t="str">
        <x:f>IF(U14=0,"Não iniciado",IF(U14&gt;=M14,"Concluído","Parcial"))</x:f>
        <x:v>Não iniciado</x:v>
      </x:c>
      <x:c r="Y14" s="199" t="str"/>
      <x:c r="Z14" s="188" t="str">
        <x:v>Normal</x:v>
      </x:c>
    </x:row>
    <x:row r="15" ht="22" customHeight="1">
      <x:c r="A15" s="217" t="n">
        <x:v>11</x:v>
      </x:c>
      <x:c r="B15" s="218" t="str">
        <x:v>26815</x:v>
      </x:c>
      <x:c r="C15" s="218" t="str">
        <x:v>5</x:v>
      </x:c>
      <x:c r="D15" s="218" t="str">
        <x:v>609542</x:v>
      </x:c>
      <x:c r="E15" s="218" t="str">
        <x:v>3230600004</x:v>
      </x:c>
      <x:c r="F15" s="218" t="str">
        <x:v>OUTROS</x:v>
      </x:c>
      <x:c r="G15" s="184" t="str">
        <x:v>BAND DOB STD 400X906X12 PET TXT BCO RTO</x:v>
      </x:c>
      <x:c r="H15" s="184" t="str"/>
      <x:c r="I15" s="184" t="str"/>
      <x:c r="J15" s="184" t="str"/>
      <x:c r="K15" s="184" t="str">
        <x:v>ESMALTE</x:v>
      </x:c>
      <x:c r="L15" s="184" t="str">
        <x:v>BRANCO CARRARA</x:v>
      </x:c>
      <x:c r="M15" s="205" t="n">
        <x:v>8</x:v>
      </x:c>
      <x:c r="N15" s="205" t="n">
        <x:v>400</x:v>
      </x:c>
      <x:c r="O15" s="205" t="n">
        <x:v>906</x:v>
      </x:c>
      <x:c r="P15" s="205" t="n">
        <x:v>12</x:v>
      </x:c>
      <x:c r="Q15" s="206" t="n">
        <x:v>0.035</x:v>
      </x:c>
      <x:c r="R15" s="207" t="str"/>
      <x:c r="S15" s="207" t="str"/>
      <x:c r="T15" s="207" t="str"/>
      <x:c r="U15" s="207" t="n">
        <x:v>0</x:v>
      </x:c>
      <x:c r="V15" s="208" t="n">
        <x:f>MAX(0,M15-U15)</x:f>
        <x:v>8</x:v>
      </x:c>
      <x:c r="W15" s="209" t="n">
        <x:f>IFERROR(U15/M15,0)</x:f>
        <x:v>0</x:v>
      </x:c>
      <x:c r="X15" s="201" t="str">
        <x:f>IF(U15=0,"Não iniciado",IF(U15&gt;=M15,"Concluído","Parcial"))</x:f>
        <x:v>Não iniciado</x:v>
      </x:c>
      <x:c r="Y15" s="199" t="str"/>
      <x:c r="Z15" s="188" t="str">
        <x:v>Normal</x:v>
      </x:c>
    </x:row>
    <x:row r="16" ht="22" customHeight="1">
      <x:c r="A16" s="219" t="n">
        <x:v>12</x:v>
      </x:c>
      <x:c r="B16" s="220" t="str">
        <x:v>26815</x:v>
      </x:c>
      <x:c r="C16" s="220" t="str">
        <x:v>6</x:v>
      </x:c>
      <x:c r="D16" s="220" t="str">
        <x:v>609559</x:v>
      </x:c>
      <x:c r="E16" s="220" t="str">
        <x:v>3230600004</x:v>
      </x:c>
      <x:c r="F16" s="220" t="str">
        <x:v>OUTROS</x:v>
      </x:c>
      <x:c r="G16" s="190" t="str">
        <x:v>BAND DOB STD 400X906X12 PET TXT BCO RTO</x:v>
      </x:c>
      <x:c r="H16" s="190" t="str"/>
      <x:c r="I16" s="190" t="str"/>
      <x:c r="J16" s="190" t="str"/>
      <x:c r="K16" s="190" t="str">
        <x:v>ESMALTE</x:v>
      </x:c>
      <x:c r="L16" s="190" t="str">
        <x:v>BRANCO CARRARA</x:v>
      </x:c>
      <x:c r="M16" s="210" t="n">
        <x:v>27</x:v>
      </x:c>
      <x:c r="N16" s="210" t="n">
        <x:v>400</x:v>
      </x:c>
      <x:c r="O16" s="210" t="n">
        <x:v>906</x:v>
      </x:c>
      <x:c r="P16" s="210" t="n">
        <x:v>12</x:v>
      </x:c>
      <x:c r="Q16" s="211" t="n">
        <x:v>0.117</x:v>
      </x:c>
      <x:c r="R16" s="207" t="str"/>
      <x:c r="S16" s="207" t="str"/>
      <x:c r="T16" s="207" t="str"/>
      <x:c r="U16" s="207" t="n">
        <x:v>0</x:v>
      </x:c>
      <x:c r="V16" s="208" t="n">
        <x:f>MAX(0,M16-U16)</x:f>
        <x:v>27</x:v>
      </x:c>
      <x:c r="W16" s="209" t="n">
        <x:f>IFERROR(U16/M16,0)</x:f>
        <x:v>0</x:v>
      </x:c>
      <x:c r="X16" s="201" t="str">
        <x:f>IF(U16=0,"Não iniciado",IF(U16&gt;=M16,"Concluído","Parcial"))</x:f>
        <x:v>Não iniciado</x:v>
      </x:c>
      <x:c r="Y16" s="199" t="str"/>
      <x:c r="Z16" s="188" t="str">
        <x:v>Normal</x:v>
      </x:c>
    </x:row>
    <x:row r="17" ht="22" customHeight="1">
      <x:c r="A17" s="217" t="n">
        <x:v>13</x:v>
      </x:c>
      <x:c r="B17" s="218" t="str">
        <x:v>26815</x:v>
      </x:c>
      <x:c r="C17" s="218" t="str">
        <x:v>7</x:v>
      </x:c>
      <x:c r="D17" s="218" t="str">
        <x:v>609576</x:v>
      </x:c>
      <x:c r="E17" s="218" t="str">
        <x:v>3230600005</x:v>
      </x:c>
      <x:c r="F17" s="218" t="str">
        <x:v>OUTROS</x:v>
      </x:c>
      <x:c r="G17" s="184" t="str">
        <x:v>BAND DOB STD 400X906X12 PET TXT BCO RTO</x:v>
      </x:c>
      <x:c r="H17" s="184" t="str"/>
      <x:c r="I17" s="184" t="str"/>
      <x:c r="J17" s="184" t="str"/>
      <x:c r="K17" s="184" t="str">
        <x:v>ESMALTE</x:v>
      </x:c>
      <x:c r="L17" s="184" t="str">
        <x:v>BRANCO CARRARA</x:v>
      </x:c>
      <x:c r="M17" s="205" t="n">
        <x:v>5</x:v>
      </x:c>
      <x:c r="N17" s="205" t="n">
        <x:v>400</x:v>
      </x:c>
      <x:c r="O17" s="205" t="n">
        <x:v>906</x:v>
      </x:c>
      <x:c r="P17" s="205" t="n">
        <x:v>12</x:v>
      </x:c>
      <x:c r="Q17" s="206" t="n">
        <x:v>0.022</x:v>
      </x:c>
      <x:c r="R17" s="207" t="str"/>
      <x:c r="S17" s="207" t="str"/>
      <x:c r="T17" s="207" t="str"/>
      <x:c r="U17" s="207" t="n">
        <x:v>0</x:v>
      </x:c>
      <x:c r="V17" s="208" t="n">
        <x:f>MAX(0,M17-U17)</x:f>
        <x:v>5</x:v>
      </x:c>
      <x:c r="W17" s="209" t="n">
        <x:f>IFERROR(U17/M17,0)</x:f>
        <x:v>0</x:v>
      </x:c>
      <x:c r="X17" s="201" t="str">
        <x:f>IF(U17=0,"Não iniciado",IF(U17&gt;=M17,"Concluído","Parcial"))</x:f>
        <x:v>Não iniciado</x:v>
      </x:c>
      <x:c r="Y17" s="199" t="str"/>
      <x:c r="Z17" s="188" t="str">
        <x:v>Normal</x:v>
      </x:c>
    </x:row>
    <x:row r="18" ht="22" customHeight="1">
      <x:c r="A18" s="219" t="n">
        <x:v>14</x:v>
      </x:c>
      <x:c r="B18" s="220" t="str">
        <x:v>26747</x:v>
      </x:c>
      <x:c r="C18" s="220" t="str">
        <x:v>9</x:v>
      </x:c>
      <x:c r="D18" s="220" t="str">
        <x:v>609017</x:v>
      </x:c>
      <x:c r="E18" s="220" t="str">
        <x:v>5110012094</x:v>
      </x:c>
      <x:c r="F18" s="220" t="str">
        <x:v>PORTA</x:v>
      </x:c>
      <x:c r="G18" s="190" t="str">
        <x:v>FO P COR S GD HDF 3 2100X900X35 ESM BCO</x:v>
      </x:c>
      <x:c r="H18" s="190" t="str">
        <x:v>LISA</x:v>
      </x:c>
      <x:c r="I18" s="190" t="str"/>
      <x:c r="J18" s="190" t="str"/>
      <x:c r="K18" s="190" t="str">
        <x:v>ESMALTE</x:v>
      </x:c>
      <x:c r="L18" s="190" t="str">
        <x:v>BRANCO CARRARA</x:v>
      </x:c>
      <x:c r="M18" s="210" t="n">
        <x:v>1</x:v>
      </x:c>
      <x:c r="N18" s="210" t="n">
        <x:v>2100</x:v>
      </x:c>
      <x:c r="O18" s="210" t="n">
        <x:v>900</x:v>
      </x:c>
      <x:c r="P18" s="210" t="n">
        <x:v>35</x:v>
      </x:c>
      <x:c r="Q18" s="211" t="n">
        <x:v>0.066</x:v>
      </x:c>
      <x:c r="R18" s="207" t="str"/>
      <x:c r="S18" s="207" t="str"/>
      <x:c r="T18" s="207" t="str"/>
      <x:c r="U18" s="207" t="n">
        <x:v>0</x:v>
      </x:c>
      <x:c r="V18" s="208" t="n">
        <x:f>MAX(0,M18-U18)</x:f>
        <x:v>1</x:v>
      </x:c>
      <x:c r="W18" s="209" t="n">
        <x:f>IFERROR(U18/M18,0)</x:f>
        <x:v>0</x:v>
      </x:c>
      <x:c r="X18" s="201" t="str">
        <x:f>IF(U18=0,"Não iniciado",IF(U18&gt;=M18,"Concluído","Parcial"))</x:f>
        <x:v>Não iniciado</x:v>
      </x:c>
      <x:c r="Y18" s="199" t="str"/>
      <x:c r="Z18" s="188" t="str">
        <x:v>Normal</x:v>
      </x:c>
    </x:row>
    <x:row r="19" ht="22" customHeight="1">
      <x:c r="A19" s="217" t="n">
        <x:v>15</x:v>
      </x:c>
      <x:c r="B19" s="218" t="str">
        <x:v>26792</x:v>
      </x:c>
      <x:c r="C19" s="218" t="str">
        <x:v>5</x:v>
      </x:c>
      <x:c r="D19" s="218" t="str">
        <x:v>609460</x:v>
      </x:c>
      <x:c r="E19" s="218" t="str">
        <x:v>3041400419</x:v>
      </x:c>
      <x:c r="F19" s="218" t="str">
        <x:v>PORTA</x:v>
      </x:c>
      <x:c r="G19" s="184" t="str">
        <x:v>FO POR SMT HDF 3 S GD RU 2100X900X35 ESM</x:v>
      </x:c>
      <x:c r="H19" s="184" t="str"/>
      <x:c r="I19" s="184" t="str"/>
      <x:c r="J19" s="184" t="str"/>
      <x:c r="K19" s="184" t="str">
        <x:v>ESMALTE</x:v>
      </x:c>
      <x:c r="L19" s="184" t="str">
        <x:v>BRANCO CARRARA</x:v>
      </x:c>
      <x:c r="M19" s="205" t="n">
        <x:v>54</x:v>
      </x:c>
      <x:c r="N19" s="205" t="n">
        <x:v>2100</x:v>
      </x:c>
      <x:c r="O19" s="205" t="n">
        <x:v>900</x:v>
      </x:c>
      <x:c r="P19" s="205" t="n">
        <x:v>35</x:v>
      </x:c>
      <x:c r="Q19" s="206" t="n">
        <x:v>3.572</x:v>
      </x:c>
      <x:c r="R19" s="207" t="str"/>
      <x:c r="S19" s="207" t="str"/>
      <x:c r="T19" s="207" t="str"/>
      <x:c r="U19" s="207" t="n">
        <x:v>0</x:v>
      </x:c>
      <x:c r="V19" s="208" t="n">
        <x:f>MAX(0,M19-U19)</x:f>
        <x:v>54</x:v>
      </x:c>
      <x:c r="W19" s="209" t="n">
        <x:f>IFERROR(U19/M19,0)</x:f>
        <x:v>0</x:v>
      </x:c>
      <x:c r="X19" s="201" t="str">
        <x:f>IF(U19=0,"Não iniciado",IF(U19&gt;=M19,"Concluído","Parcial"))</x:f>
        <x:v>Não iniciado</x:v>
      </x:c>
      <x:c r="Y19" s="199" t="str"/>
      <x:c r="Z19" s="188" t="str">
        <x:v>Normal</x:v>
      </x:c>
    </x:row>
    <x:row r="20" ht="22" customHeight="1">
      <x:c r="A20" s="219" t="n">
        <x:v>16</x:v>
      </x:c>
      <x:c r="B20" s="220" t="str">
        <x:v>26792</x:v>
      </x:c>
      <x:c r="C20" s="220" t="str">
        <x:v>6</x:v>
      </x:c>
      <x:c r="D20" s="220" t="str">
        <x:v>609477</x:v>
      </x:c>
      <x:c r="E20" s="220" t="str">
        <x:v>3041400419</x:v>
      </x:c>
      <x:c r="F20" s="220" t="str">
        <x:v>PORTA</x:v>
      </x:c>
      <x:c r="G20" s="190" t="str">
        <x:v>FO POR SMT HDF 3 S GD RU 2100X900X35 ESM</x:v>
      </x:c>
      <x:c r="H20" s="190" t="str"/>
      <x:c r="I20" s="190" t="str"/>
      <x:c r="J20" s="190" t="str"/>
      <x:c r="K20" s="190" t="str">
        <x:v>ESMALTE</x:v>
      </x:c>
      <x:c r="L20" s="190" t="str">
        <x:v>BRANCO CARRARA</x:v>
      </x:c>
      <x:c r="M20" s="210" t="n">
        <x:v>10</x:v>
      </x:c>
      <x:c r="N20" s="210" t="n">
        <x:v>2100</x:v>
      </x:c>
      <x:c r="O20" s="210" t="n">
        <x:v>900</x:v>
      </x:c>
      <x:c r="P20" s="210" t="n">
        <x:v>35</x:v>
      </x:c>
      <x:c r="Q20" s="211" t="n">
        <x:v>0.662</x:v>
      </x:c>
      <x:c r="R20" s="207" t="str"/>
      <x:c r="S20" s="207" t="str"/>
      <x:c r="T20" s="207" t="str"/>
      <x:c r="U20" s="207" t="n">
        <x:v>0</x:v>
      </x:c>
      <x:c r="V20" s="208" t="n">
        <x:f>MAX(0,M20-U20)</x:f>
        <x:v>10</x:v>
      </x:c>
      <x:c r="W20" s="209" t="n">
        <x:f>IFERROR(U20/M20,0)</x:f>
        <x:v>0</x:v>
      </x:c>
      <x:c r="X20" s="201" t="str">
        <x:f>IF(U20=0,"Não iniciado",IF(U20&gt;=M20,"Concluído","Parcial"))</x:f>
        <x:v>Não iniciado</x:v>
      </x:c>
      <x:c r="Y20" s="199" t="str"/>
      <x:c r="Z20" s="188" t="str">
        <x:v>Normal</x:v>
      </x:c>
    </x:row>
    <x:row r="21" ht="22" customHeight="1">
      <x:c r="A21" s="217" t="n">
        <x:v>17</x:v>
      </x:c>
      <x:c r="B21" s="218" t="str">
        <x:v>26815</x:v>
      </x:c>
      <x:c r="C21" s="218" t="str">
        <x:v>5</x:v>
      </x:c>
      <x:c r="D21" s="218" t="str">
        <x:v>609538</x:v>
      </x:c>
      <x:c r="E21" s="218" t="str">
        <x:v>3041400419</x:v>
      </x:c>
      <x:c r="F21" s="218" t="str">
        <x:v>PORTA</x:v>
      </x:c>
      <x:c r="G21" s="184" t="str">
        <x:v>FO POR SMT HDF 3 S GD RU 2100X900X35 ESM</x:v>
      </x:c>
      <x:c r="H21" s="184" t="str"/>
      <x:c r="I21" s="184" t="str"/>
      <x:c r="J21" s="184" t="str"/>
      <x:c r="K21" s="184" t="str">
        <x:v>ESMALTE</x:v>
      </x:c>
      <x:c r="L21" s="184" t="str">
        <x:v>BRANCO CARRARA</x:v>
      </x:c>
      <x:c r="M21" s="205" t="n">
        <x:v>8</x:v>
      </x:c>
      <x:c r="N21" s="205" t="n">
        <x:v>2100</x:v>
      </x:c>
      <x:c r="O21" s="205" t="n">
        <x:v>900</x:v>
      </x:c>
      <x:c r="P21" s="205" t="n">
        <x:v>35</x:v>
      </x:c>
      <x:c r="Q21" s="206" t="n">
        <x:v>0.529</x:v>
      </x:c>
      <x:c r="R21" s="207" t="str"/>
      <x:c r="S21" s="207" t="str"/>
      <x:c r="T21" s="207" t="str"/>
      <x:c r="U21" s="207" t="n">
        <x:v>0</x:v>
      </x:c>
      <x:c r="V21" s="208" t="n">
        <x:f>MAX(0,M21-U21)</x:f>
        <x:v>8</x:v>
      </x:c>
      <x:c r="W21" s="209" t="n">
        <x:f>IFERROR(U21/M21,0)</x:f>
        <x:v>0</x:v>
      </x:c>
      <x:c r="X21" s="201" t="str">
        <x:f>IF(U21=0,"Não iniciado",IF(U21&gt;=M21,"Concluído","Parcial"))</x:f>
        <x:v>Não iniciado</x:v>
      </x:c>
      <x:c r="Y21" s="199" t="str"/>
      <x:c r="Z21" s="188" t="str">
        <x:v>Normal</x:v>
      </x:c>
    </x:row>
    <x:row r="22" ht="22" customHeight="1">
      <x:c r="A22" s="219" t="n">
        <x:v>18</x:v>
      </x:c>
      <x:c r="B22" s="220" t="str">
        <x:v>26815</x:v>
      </x:c>
      <x:c r="C22" s="220" t="str">
        <x:v>6</x:v>
      </x:c>
      <x:c r="D22" s="220" t="str">
        <x:v>609555</x:v>
      </x:c>
      <x:c r="E22" s="220" t="str">
        <x:v>3041400419</x:v>
      </x:c>
      <x:c r="F22" s="220" t="str">
        <x:v>PORTA</x:v>
      </x:c>
      <x:c r="G22" s="190" t="str">
        <x:v>FO POR SMT HDF 3 S GD RU 2100X900X35 ESM</x:v>
      </x:c>
      <x:c r="H22" s="190" t="str"/>
      <x:c r="I22" s="190" t="str"/>
      <x:c r="J22" s="190" t="str"/>
      <x:c r="K22" s="190" t="str">
        <x:v>ESMALTE</x:v>
      </x:c>
      <x:c r="L22" s="190" t="str">
        <x:v>BRANCO CARRARA</x:v>
      </x:c>
      <x:c r="M22" s="210" t="n">
        <x:v>27</x:v>
      </x:c>
      <x:c r="N22" s="210" t="n">
        <x:v>2100</x:v>
      </x:c>
      <x:c r="O22" s="210" t="n">
        <x:v>900</x:v>
      </x:c>
      <x:c r="P22" s="210" t="n">
        <x:v>35</x:v>
      </x:c>
      <x:c r="Q22" s="211" t="n">
        <x:v>1.786</x:v>
      </x:c>
      <x:c r="R22" s="207" t="str"/>
      <x:c r="S22" s="207" t="str"/>
      <x:c r="T22" s="207" t="str"/>
      <x:c r="U22" s="207" t="n">
        <x:v>0</x:v>
      </x:c>
      <x:c r="V22" s="208" t="n">
        <x:f>MAX(0,M22-U22)</x:f>
        <x:v>27</x:v>
      </x:c>
      <x:c r="W22" s="209" t="n">
        <x:f>IFERROR(U22/M22,0)</x:f>
        <x:v>0</x:v>
      </x:c>
      <x:c r="X22" s="201" t="str">
        <x:f>IF(U22=0,"Não iniciado",IF(U22&gt;=M22,"Concluído","Parcial"))</x:f>
        <x:v>Não iniciado</x:v>
      </x:c>
      <x:c r="Y22" s="199" t="str"/>
      <x:c r="Z22" s="188" t="str">
        <x:v>Normal</x:v>
      </x:c>
    </x:row>
    <x:row r="23" ht="22" customHeight="1">
      <x:c r="A23" s="217" t="n">
        <x:v>19</x:v>
      </x:c>
      <x:c r="B23" s="218" t="str">
        <x:v>26815</x:v>
      </x:c>
      <x:c r="C23" s="218" t="str">
        <x:v>7</x:v>
      </x:c>
      <x:c r="D23" s="218" t="str">
        <x:v>609572</x:v>
      </x:c>
      <x:c r="E23" s="218" t="str">
        <x:v>3041400419</x:v>
      </x:c>
      <x:c r="F23" s="218" t="str">
        <x:v>PORTA</x:v>
      </x:c>
      <x:c r="G23" s="184" t="str">
        <x:v>FO POR SMT HDF 3 S GD RU 2100X900X35 ESM</x:v>
      </x:c>
      <x:c r="H23" s="184" t="str"/>
      <x:c r="I23" s="184" t="str"/>
      <x:c r="J23" s="184" t="str"/>
      <x:c r="K23" s="184" t="str">
        <x:v>ESMALTE</x:v>
      </x:c>
      <x:c r="L23" s="184" t="str">
        <x:v>BRANCO CARRARA</x:v>
      </x:c>
      <x:c r="M23" s="205" t="n">
        <x:v>5</x:v>
      </x:c>
      <x:c r="N23" s="205" t="n">
        <x:v>2100</x:v>
      </x:c>
      <x:c r="O23" s="205" t="n">
        <x:v>900</x:v>
      </x:c>
      <x:c r="P23" s="205" t="n">
        <x:v>35</x:v>
      </x:c>
      <x:c r="Q23" s="206" t="n">
        <x:v>0.331</x:v>
      </x:c>
      <x:c r="R23" s="207" t="str"/>
      <x:c r="S23" s="207" t="str"/>
      <x:c r="T23" s="207" t="str"/>
      <x:c r="U23" s="207" t="n">
        <x:v>0</x:v>
      </x:c>
      <x:c r="V23" s="208" t="n">
        <x:f>MAX(0,M23-U23)</x:f>
        <x:v>5</x:v>
      </x:c>
      <x:c r="W23" s="209" t="n">
        <x:f>IFERROR(U23/M23,0)</x:f>
        <x:v>0</x:v>
      </x:c>
      <x:c r="X23" s="201" t="str">
        <x:f>IF(U23=0,"Não iniciado",IF(U23&gt;=M23,"Concluído","Parcial"))</x:f>
        <x:v>Não iniciado</x:v>
      </x:c>
      <x:c r="Y23" s="199" t="str"/>
      <x:c r="Z23" s="188" t="str">
        <x:v>Normal</x:v>
      </x:c>
    </x:row>
    <x:row r="24" ht="22" customHeight="1">
      <x:c r="A24" s="219" t="n">
        <x:v>20</x:v>
      </x:c>
      <x:c r="B24" s="220" t="str">
        <x:v>26684</x:v>
      </x:c>
      <x:c r="C24" s="220" t="str">
        <x:v>1</x:v>
      </x:c>
      <x:c r="D24" s="220" t="str">
        <x:v>609116</x:v>
      </x:c>
      <x:c r="E24" s="220" t="str">
        <x:v>4993012047</x:v>
      </x:c>
      <x:c r="F24" s="220" t="str">
        <x:v>OUTROS</x:v>
      </x:c>
      <x:c r="G24" s="190" t="str">
        <x:v>FP S BD HDF 3 2100x820x35 ESM BCO C C/US</x:v>
      </x:c>
      <x:c r="H24" s="190" t="str"/>
      <x:c r="I24" s="190" t="str"/>
      <x:c r="J24" s="190" t="str"/>
      <x:c r="K24" s="190" t="str">
        <x:v>ESMALTE</x:v>
      </x:c>
      <x:c r="L24" s="190" t="str">
        <x:v>BRANCO CARRARA</x:v>
      </x:c>
      <x:c r="M24" s="210" t="n">
        <x:v>1</x:v>
      </x:c>
      <x:c r="N24" s="210" t="n">
        <x:v>2100</x:v>
      </x:c>
      <x:c r="O24" s="210" t="n">
        <x:v>820</x:v>
      </x:c>
      <x:c r="P24" s="210" t="n">
        <x:v>35</x:v>
      </x:c>
      <x:c r="Q24" s="211" t="n">
        <x:v>0.06</x:v>
      </x:c>
      <x:c r="R24" s="207" t="str"/>
      <x:c r="S24" s="207" t="str"/>
      <x:c r="T24" s="207" t="str"/>
      <x:c r="U24" s="207" t="n">
        <x:v>0</x:v>
      </x:c>
      <x:c r="V24" s="208" t="n">
        <x:f>MAX(0,M24-U24)</x:f>
        <x:v>1</x:v>
      </x:c>
      <x:c r="W24" s="209" t="n">
        <x:f>IFERROR(U24/M24,0)</x:f>
        <x:v>0</x:v>
      </x:c>
      <x:c r="X24" s="201" t="str">
        <x:f>IF(U24=0,"Não iniciado",IF(U24&gt;=M24,"Concluído","Parcial"))</x:f>
        <x:v>Não iniciado</x:v>
      </x:c>
      <x:c r="Y24" s="199" t="str"/>
      <x:c r="Z24" s="188" t="str">
        <x:v>Normal</x:v>
      </x:c>
    </x:row>
    <x:row r="25" ht="22" customHeight="1">
      <x:c r="A25" s="217" t="n">
        <x:v>21</x:v>
      </x:c>
      <x:c r="B25" s="218" t="str">
        <x:v>26684</x:v>
      </x:c>
      <x:c r="C25" s="218" t="str">
        <x:v>2</x:v>
      </x:c>
      <x:c r="D25" s="218" t="str">
        <x:v>609124</x:v>
      </x:c>
      <x:c r="E25" s="218" t="str">
        <x:v>4993012047</x:v>
      </x:c>
      <x:c r="F25" s="218" t="str">
        <x:v>OUTROS</x:v>
      </x:c>
      <x:c r="G25" s="184" t="str">
        <x:v>FP S BD HDF 3 2100x820x35 ESM BCO C C/US</x:v>
      </x:c>
      <x:c r="H25" s="184" t="str"/>
      <x:c r="I25" s="184" t="str"/>
      <x:c r="J25" s="184" t="str"/>
      <x:c r="K25" s="184" t="str">
        <x:v>ESMALTE</x:v>
      </x:c>
      <x:c r="L25" s="184" t="str">
        <x:v>BRANCO CARRARA</x:v>
      </x:c>
      <x:c r="M25" s="205" t="n">
        <x:v>28</x:v>
      </x:c>
      <x:c r="N25" s="205" t="n">
        <x:v>2100</x:v>
      </x:c>
      <x:c r="O25" s="205" t="n">
        <x:v>820</x:v>
      </x:c>
      <x:c r="P25" s="205" t="n">
        <x:v>35</x:v>
      </x:c>
      <x:c r="Q25" s="206" t="n">
        <x:v>1.688</x:v>
      </x:c>
      <x:c r="R25" s="207" t="str"/>
      <x:c r="S25" s="207" t="str"/>
      <x:c r="T25" s="207" t="str"/>
      <x:c r="U25" s="207" t="n">
        <x:v>0</x:v>
      </x:c>
      <x:c r="V25" s="208" t="n">
        <x:f>MAX(0,M25-U25)</x:f>
        <x:v>28</x:v>
      </x:c>
      <x:c r="W25" s="209" t="n">
        <x:f>IFERROR(U25/M25,0)</x:f>
        <x:v>0</x:v>
      </x:c>
      <x:c r="X25" s="201" t="str">
        <x:f>IF(U25=0,"Não iniciado",IF(U25&gt;=M25,"Concluído","Parcial"))</x:f>
        <x:v>Não iniciado</x:v>
      </x:c>
      <x:c r="Y25" s="199" t="str"/>
      <x:c r="Z25" s="188" t="str">
        <x:v>Normal</x:v>
      </x:c>
    </x:row>
    <x:row r="26" ht="22" customHeight="1">
      <x:c r="A26" s="219" t="n">
        <x:v>22</x:v>
      </x:c>
      <x:c r="B26" s="220" t="str">
        <x:v>26684</x:v>
      </x:c>
      <x:c r="C26" s="220" t="str">
        <x:v>3</x:v>
      </x:c>
      <x:c r="D26" s="220" t="str">
        <x:v>609132</x:v>
      </x:c>
      <x:c r="E26" s="220" t="str">
        <x:v>4993012047</x:v>
      </x:c>
      <x:c r="F26" s="220" t="str">
        <x:v>OUTROS</x:v>
      </x:c>
      <x:c r="G26" s="190" t="str">
        <x:v>FP S BD HDF 3 2100x820x35 ESM BCO C C/US</x:v>
      </x:c>
      <x:c r="H26" s="190" t="str"/>
      <x:c r="I26" s="190" t="str"/>
      <x:c r="J26" s="190" t="str"/>
      <x:c r="K26" s="190" t="str">
        <x:v>ESMALTE</x:v>
      </x:c>
      <x:c r="L26" s="190" t="str">
        <x:v>BRANCO CARRARA</x:v>
      </x:c>
      <x:c r="M26" s="210" t="n">
        <x:v>3</x:v>
      </x:c>
      <x:c r="N26" s="210" t="n">
        <x:v>2100</x:v>
      </x:c>
      <x:c r="O26" s="210" t="n">
        <x:v>820</x:v>
      </x:c>
      <x:c r="P26" s="210" t="n">
        <x:v>35</x:v>
      </x:c>
      <x:c r="Q26" s="211" t="n">
        <x:v>0.181</x:v>
      </x:c>
      <x:c r="R26" s="207" t="str"/>
      <x:c r="S26" s="207" t="str"/>
      <x:c r="T26" s="207" t="str"/>
      <x:c r="U26" s="207" t="n">
        <x:v>0</x:v>
      </x:c>
      <x:c r="V26" s="208" t="n">
        <x:f>MAX(0,M26-U26)</x:f>
        <x:v>3</x:v>
      </x:c>
      <x:c r="W26" s="209" t="n">
        <x:f>IFERROR(U26/M26,0)</x:f>
        <x:v>0</x:v>
      </x:c>
      <x:c r="X26" s="201" t="str">
        <x:f>IF(U26=0,"Não iniciado",IF(U26&gt;=M26,"Concluído","Parcial"))</x:f>
        <x:v>Não iniciado</x:v>
      </x:c>
      <x:c r="Y26" s="199" t="str"/>
      <x:c r="Z26" s="188" t="str">
        <x:v>Normal</x:v>
      </x:c>
    </x:row>
    <x:row r="27" ht="22" customHeight="1">
      <x:c r="A27" s="217" t="n">
        <x:v>23</x:v>
      </x:c>
      <x:c r="B27" s="218" t="str">
        <x:v>26684</x:v>
      </x:c>
      <x:c r="C27" s="218" t="str">
        <x:v>4</x:v>
      </x:c>
      <x:c r="D27" s="218" t="str">
        <x:v>609140</x:v>
      </x:c>
      <x:c r="E27" s="218" t="str">
        <x:v>4731234381</x:v>
      </x:c>
      <x:c r="F27" s="218" t="str">
        <x:v>OUTROS</x:v>
      </x:c>
      <x:c r="G27" s="184" t="str">
        <x:v>FP COLM HDF 3 2100x820x35 ESM BCO C C/US</x:v>
      </x:c>
      <x:c r="H27" s="184" t="str"/>
      <x:c r="I27" s="184" t="str"/>
      <x:c r="J27" s="184" t="str"/>
      <x:c r="K27" s="184" t="str">
        <x:v>ESMALTE</x:v>
      </x:c>
      <x:c r="L27" s="184" t="str">
        <x:v>BRANCO CARRARA</x:v>
      </x:c>
      <x:c r="M27" s="205" t="n">
        <x:v>55</x:v>
      </x:c>
      <x:c r="N27" s="205" t="n">
        <x:v>2100</x:v>
      </x:c>
      <x:c r="O27" s="205" t="n">
        <x:v>820</x:v>
      </x:c>
      <x:c r="P27" s="205" t="n">
        <x:v>35</x:v>
      </x:c>
      <x:c r="Q27" s="206" t="n">
        <x:v>3.315</x:v>
      </x:c>
      <x:c r="R27" s="207" t="str"/>
      <x:c r="S27" s="207" t="str"/>
      <x:c r="T27" s="207" t="str"/>
      <x:c r="U27" s="207" t="n">
        <x:v>0</x:v>
      </x:c>
      <x:c r="V27" s="208" t="n">
        <x:f>MAX(0,M27-U27)</x:f>
        <x:v>55</x:v>
      </x:c>
      <x:c r="W27" s="209" t="n">
        <x:f>IFERROR(U27/M27,0)</x:f>
        <x:v>0</x:v>
      </x:c>
      <x:c r="X27" s="201" t="str">
        <x:f>IF(U27=0,"Não iniciado",IF(U27&gt;=M27,"Concluído","Parcial"))</x:f>
        <x:v>Não iniciado</x:v>
      </x:c>
      <x:c r="Y27" s="199" t="str"/>
      <x:c r="Z27" s="188" t="str">
        <x:v>Normal</x:v>
      </x:c>
    </x:row>
    <x:row r="28" ht="22" customHeight="1">
      <x:c r="A28" s="219" t="n">
        <x:v>24</x:v>
      </x:c>
      <x:c r="B28" s="220" t="str">
        <x:v>26684</x:v>
      </x:c>
      <x:c r="C28" s="220" t="str">
        <x:v>5</x:v>
      </x:c>
      <x:c r="D28" s="220" t="str">
        <x:v>609148</x:v>
      </x:c>
      <x:c r="E28" s="220" t="str">
        <x:v>4731234381</x:v>
      </x:c>
      <x:c r="F28" s="220" t="str">
        <x:v>OUTROS</x:v>
      </x:c>
      <x:c r="G28" s="190" t="str">
        <x:v>FP COLM HDF 3 2100x820x35 ESM BCO C C/US</x:v>
      </x:c>
      <x:c r="H28" s="190" t="str"/>
      <x:c r="I28" s="190" t="str"/>
      <x:c r="J28" s="190" t="str"/>
      <x:c r="K28" s="190" t="str">
        <x:v>ESMALTE</x:v>
      </x:c>
      <x:c r="L28" s="190" t="str">
        <x:v>BRANCO CARRARA</x:v>
      </x:c>
      <x:c r="M28" s="210" t="n">
        <x:v>6</x:v>
      </x:c>
      <x:c r="N28" s="210" t="n">
        <x:v>2100</x:v>
      </x:c>
      <x:c r="O28" s="210" t="n">
        <x:v>820</x:v>
      </x:c>
      <x:c r="P28" s="210" t="n">
        <x:v>35</x:v>
      </x:c>
      <x:c r="Q28" s="211" t="n">
        <x:v>0.362</x:v>
      </x:c>
      <x:c r="R28" s="207" t="str"/>
      <x:c r="S28" s="207" t="str"/>
      <x:c r="T28" s="207" t="str"/>
      <x:c r="U28" s="207" t="n">
        <x:v>0</x:v>
      </x:c>
      <x:c r="V28" s="208" t="n">
        <x:f>MAX(0,M28-U28)</x:f>
        <x:v>6</x:v>
      </x:c>
      <x:c r="W28" s="209" t="n">
        <x:f>IFERROR(U28/M28,0)</x:f>
        <x:v>0</x:v>
      </x:c>
      <x:c r="X28" s="201" t="str">
        <x:f>IF(U28=0,"Não iniciado",IF(U28&gt;=M28,"Concluído","Parcial"))</x:f>
        <x:v>Não iniciado</x:v>
      </x:c>
      <x:c r="Y28" s="199" t="str"/>
      <x:c r="Z28" s="188" t="str">
        <x:v>Normal</x:v>
      </x:c>
    </x:row>
    <x:row r="29" ht="22" customHeight="1">
      <x:c r="A29" s="217" t="n">
        <x:v>25</x:v>
      </x:c>
      <x:c r="B29" s="218" t="str">
        <x:v>26684</x:v>
      </x:c>
      <x:c r="C29" s="218" t="str">
        <x:v>6</x:v>
      </x:c>
      <x:c r="D29" s="218" t="str">
        <x:v>609156</x:v>
      </x:c>
      <x:c r="E29" s="218" t="str">
        <x:v>4731234381</x:v>
      </x:c>
      <x:c r="F29" s="218" t="str">
        <x:v>OUTROS</x:v>
      </x:c>
      <x:c r="G29" s="184" t="str">
        <x:v>FP COLM HDF 3 2100x820x35 ESM BCO C C/US</x:v>
      </x:c>
      <x:c r="H29" s="184" t="str"/>
      <x:c r="I29" s="184" t="str"/>
      <x:c r="J29" s="184" t="str"/>
      <x:c r="K29" s="184" t="str">
        <x:v>ESMALTE</x:v>
      </x:c>
      <x:c r="L29" s="184" t="str">
        <x:v>BRANCO CARRARA</x:v>
      </x:c>
      <x:c r="M29" s="205" t="n">
        <x:v>2</x:v>
      </x:c>
      <x:c r="N29" s="205" t="n">
        <x:v>2100</x:v>
      </x:c>
      <x:c r="O29" s="205" t="n">
        <x:v>820</x:v>
      </x:c>
      <x:c r="P29" s="205" t="n">
        <x:v>35</x:v>
      </x:c>
      <x:c r="Q29" s="206" t="n">
        <x:v>0.121</x:v>
      </x:c>
      <x:c r="R29" s="207" t="str"/>
      <x:c r="S29" s="207" t="str"/>
      <x:c r="T29" s="207" t="str"/>
      <x:c r="U29" s="207" t="n">
        <x:v>0</x:v>
      </x:c>
      <x:c r="V29" s="208" t="n">
        <x:f>MAX(0,M29-U29)</x:f>
        <x:v>2</x:v>
      </x:c>
      <x:c r="W29" s="209" t="n">
        <x:f>IFERROR(U29/M29,0)</x:f>
        <x:v>0</x:v>
      </x:c>
      <x:c r="X29" s="201" t="str">
        <x:f>IF(U29=0,"Não iniciado",IF(U29&gt;=M29,"Concluído","Parcial"))</x:f>
        <x:v>Não iniciado</x:v>
      </x:c>
      <x:c r="Y29" s="199" t="str"/>
      <x:c r="Z29" s="188" t="str">
        <x:v>Normal</x:v>
      </x:c>
    </x:row>
    <x:row r="30" ht="22" customHeight="1">
      <x:c r="A30" s="219" t="n">
        <x:v>26</x:v>
      </x:c>
      <x:c r="B30" s="220" t="str">
        <x:v>26684</x:v>
      </x:c>
      <x:c r="C30" s="220" t="str">
        <x:v>7</x:v>
      </x:c>
      <x:c r="D30" s="220" t="str">
        <x:v>609164</x:v>
      </x:c>
      <x:c r="E30" s="220" t="str">
        <x:v>4731234381</x:v>
      </x:c>
      <x:c r="F30" s="220" t="str">
        <x:v>OUTROS</x:v>
      </x:c>
      <x:c r="G30" s="190" t="str">
        <x:v>FP COLM HDF 3 2100x820x35 ESM BCO C C/US</x:v>
      </x:c>
      <x:c r="H30" s="190" t="str"/>
      <x:c r="I30" s="190" t="str"/>
      <x:c r="J30" s="190" t="str"/>
      <x:c r="K30" s="190" t="str">
        <x:v>ESMALTE</x:v>
      </x:c>
      <x:c r="L30" s="190" t="str">
        <x:v>BRANCO CARRARA</x:v>
      </x:c>
      <x:c r="M30" s="210" t="n">
        <x:v>1</x:v>
      </x:c>
      <x:c r="N30" s="210" t="n">
        <x:v>2100</x:v>
      </x:c>
      <x:c r="O30" s="210" t="n">
        <x:v>820</x:v>
      </x:c>
      <x:c r="P30" s="210" t="n">
        <x:v>35</x:v>
      </x:c>
      <x:c r="Q30" s="211" t="n">
        <x:v>0.06</x:v>
      </x:c>
      <x:c r="R30" s="207" t="str"/>
      <x:c r="S30" s="207" t="str"/>
      <x:c r="T30" s="207" t="str"/>
      <x:c r="U30" s="207" t="n">
        <x:v>0</x:v>
      </x:c>
      <x:c r="V30" s="208" t="n">
        <x:f>MAX(0,M30-U30)</x:f>
        <x:v>1</x:v>
      </x:c>
      <x:c r="W30" s="209" t="n">
        <x:f>IFERROR(U30/M30,0)</x:f>
        <x:v>0</x:v>
      </x:c>
      <x:c r="X30" s="201" t="str">
        <x:f>IF(U30=0,"Não iniciado",IF(U30&gt;=M30,"Concluído","Parcial"))</x:f>
        <x:v>Não iniciado</x:v>
      </x:c>
      <x:c r="Y30" s="199" t="str"/>
      <x:c r="Z30" s="188" t="str">
        <x:v>Normal</x:v>
      </x:c>
    </x:row>
    <x:row r="31" ht="22" customHeight="1">
      <x:c r="A31" s="217" t="n">
        <x:v>27</x:v>
      </x:c>
      <x:c r="B31" s="218" t="str">
        <x:v>26684</x:v>
      </x:c>
      <x:c r="C31" s="218" t="str">
        <x:v>8</x:v>
      </x:c>
      <x:c r="D31" s="218" t="str">
        <x:v>609172</x:v>
      </x:c>
      <x:c r="E31" s="218" t="str">
        <x:v>421010017</x:v>
      </x:c>
      <x:c r="F31" s="218" t="str">
        <x:v>OUTROS</x:v>
      </x:c>
      <x:c r="G31" s="184" t="str">
        <x:v>FP COLM HDF 3 RU 2100x820x35 ESM BCO C C</x:v>
      </x:c>
      <x:c r="H31" s="184" t="str"/>
      <x:c r="I31" s="184" t="str"/>
      <x:c r="J31" s="184" t="str"/>
      <x:c r="K31" s="184" t="str">
        <x:v>ESMALTE</x:v>
      </x:c>
      <x:c r="L31" s="184" t="str">
        <x:v>BRANCO CARRARA</x:v>
      </x:c>
      <x:c r="M31" s="205" t="n">
        <x:v>5</x:v>
      </x:c>
      <x:c r="N31" s="205" t="n">
        <x:v>2100</x:v>
      </x:c>
      <x:c r="O31" s="205" t="n">
        <x:v>820</x:v>
      </x:c>
      <x:c r="P31" s="205" t="n">
        <x:v>35</x:v>
      </x:c>
      <x:c r="Q31" s="206" t="n">
        <x:v>0.301</x:v>
      </x:c>
      <x:c r="R31" s="207" t="str"/>
      <x:c r="S31" s="207" t="str"/>
      <x:c r="T31" s="207" t="str"/>
      <x:c r="U31" s="207" t="n">
        <x:v>0</x:v>
      </x:c>
      <x:c r="V31" s="208" t="n">
        <x:f>MAX(0,M31-U31)</x:f>
        <x:v>5</x:v>
      </x:c>
      <x:c r="W31" s="209" t="n">
        <x:f>IFERROR(U31/M31,0)</x:f>
        <x:v>0</x:v>
      </x:c>
      <x:c r="X31" s="201" t="str">
        <x:f>IF(U31=0,"Não iniciado",IF(U31&gt;=M31,"Concluído","Parcial"))</x:f>
        <x:v>Não iniciado</x:v>
      </x:c>
      <x:c r="Y31" s="199" t="str"/>
      <x:c r="Z31" s="188" t="str">
        <x:v>Normal</x:v>
      </x:c>
    </x:row>
    <x:row r="32" ht="22" customHeight="1">
      <x:c r="A32" s="219" t="n">
        <x:v>28</x:v>
      </x:c>
      <x:c r="B32" s="220" t="str">
        <x:v>26684</x:v>
      </x:c>
      <x:c r="C32" s="220" t="str">
        <x:v>9</x:v>
      </x:c>
      <x:c r="D32" s="220" t="str">
        <x:v>609180</x:v>
      </x:c>
      <x:c r="E32" s="220" t="str">
        <x:v>421010017</x:v>
      </x:c>
      <x:c r="F32" s="220" t="str">
        <x:v>OUTROS</x:v>
      </x:c>
      <x:c r="G32" s="190" t="str">
        <x:v>FP COLM HDF 3 RU 2100x820x35 ESM BCO C C</x:v>
      </x:c>
      <x:c r="H32" s="190" t="str"/>
      <x:c r="I32" s="190" t="str"/>
      <x:c r="J32" s="190" t="str"/>
      <x:c r="K32" s="190" t="str">
        <x:v>ESMALTE</x:v>
      </x:c>
      <x:c r="L32" s="190" t="str">
        <x:v>BRANCO CARRARA</x:v>
      </x:c>
      <x:c r="M32" s="210" t="n">
        <x:v>57</x:v>
      </x:c>
      <x:c r="N32" s="210" t="n">
        <x:v>2100</x:v>
      </x:c>
      <x:c r="O32" s="210" t="n">
        <x:v>820</x:v>
      </x:c>
      <x:c r="P32" s="210" t="n">
        <x:v>35</x:v>
      </x:c>
      <x:c r="Q32" s="211" t="n">
        <x:v>3.435</x:v>
      </x:c>
      <x:c r="R32" s="207" t="str"/>
      <x:c r="S32" s="207" t="str"/>
      <x:c r="T32" s="207" t="str"/>
      <x:c r="U32" s="207" t="n">
        <x:v>0</x:v>
      </x:c>
      <x:c r="V32" s="208" t="n">
        <x:f>MAX(0,M32-U32)</x:f>
        <x:v>57</x:v>
      </x:c>
      <x:c r="W32" s="209" t="n">
        <x:f>IFERROR(U32/M32,0)</x:f>
        <x:v>0</x:v>
      </x:c>
      <x:c r="X32" s="201" t="str">
        <x:f>IF(U32=0,"Não iniciado",IF(U32&gt;=M32,"Concluído","Parcial"))</x:f>
        <x:v>Não iniciado</x:v>
      </x:c>
      <x:c r="Y32" s="199" t="str"/>
      <x:c r="Z32" s="188" t="str">
        <x:v>Normal</x:v>
      </x:c>
    </x:row>
    <x:row r="33" ht="22" customHeight="1">
      <x:c r="A33" s="217" t="n">
        <x:v>29</x:v>
      </x:c>
      <x:c r="B33" s="218" t="str">
        <x:v>26684</x:v>
      </x:c>
      <x:c r="C33" s="218" t="str">
        <x:v>10</x:v>
      </x:c>
      <x:c r="D33" s="218" t="str">
        <x:v>609188</x:v>
      </x:c>
      <x:c r="E33" s="218" t="str">
        <x:v>421010017</x:v>
      </x:c>
      <x:c r="F33" s="218" t="str">
        <x:v>OUTROS</x:v>
      </x:c>
      <x:c r="G33" s="184" t="str">
        <x:v>FP COLM HDF 3 RU 2100x820x35 ESM BCO C C</x:v>
      </x:c>
      <x:c r="H33" s="184" t="str"/>
      <x:c r="I33" s="184" t="str"/>
      <x:c r="J33" s="184" t="str"/>
      <x:c r="K33" s="184" t="str">
        <x:v>ESMALTE</x:v>
      </x:c>
      <x:c r="L33" s="184" t="str">
        <x:v>BRANCO CARRARA</x:v>
      </x:c>
      <x:c r="M33" s="205" t="n">
        <x:v>2</x:v>
      </x:c>
      <x:c r="N33" s="205" t="n">
        <x:v>2100</x:v>
      </x:c>
      <x:c r="O33" s="205" t="n">
        <x:v>820</x:v>
      </x:c>
      <x:c r="P33" s="205" t="n">
        <x:v>35</x:v>
      </x:c>
      <x:c r="Q33" s="206" t="n">
        <x:v>0.121</x:v>
      </x:c>
      <x:c r="R33" s="207" t="str"/>
      <x:c r="S33" s="207" t="str"/>
      <x:c r="T33" s="207" t="str"/>
      <x:c r="U33" s="207" t="n">
        <x:v>0</x:v>
      </x:c>
      <x:c r="V33" s="208" t="n">
        <x:f>MAX(0,M33-U33)</x:f>
        <x:v>2</x:v>
      </x:c>
      <x:c r="W33" s="209" t="n">
        <x:f>IFERROR(U33/M33,0)</x:f>
        <x:v>0</x:v>
      </x:c>
      <x:c r="X33" s="201" t="str">
        <x:f>IF(U33=0,"Não iniciado",IF(U33&gt;=M33,"Concluído","Parcial"))</x:f>
        <x:v>Não iniciado</x:v>
      </x:c>
      <x:c r="Y33" s="199" t="str"/>
      <x:c r="Z33" s="188" t="str">
        <x:v>Normal</x:v>
      </x:c>
    </x:row>
    <x:row r="34" ht="22" customHeight="1">
      <x:c r="A34" s="219" t="n">
        <x:v>30</x:v>
      </x:c>
      <x:c r="B34" s="220" t="str">
        <x:v>26689</x:v>
      </x:c>
      <x:c r="C34" s="220" t="str">
        <x:v>1</x:v>
      </x:c>
      <x:c r="D34" s="220" t="str">
        <x:v>609083</x:v>
      </x:c>
      <x:c r="E34" s="220" t="str">
        <x:v>4993012047</x:v>
      </x:c>
      <x:c r="F34" s="220" t="str">
        <x:v>OUTROS</x:v>
      </x:c>
      <x:c r="G34" s="190" t="str">
        <x:v>FP S BD HDF 3 2100x820x35 ESM BCO C C/US</x:v>
      </x:c>
      <x:c r="H34" s="190" t="str"/>
      <x:c r="I34" s="190" t="str"/>
      <x:c r="J34" s="190" t="str"/>
      <x:c r="K34" s="190" t="str">
        <x:v>ESMALTE</x:v>
      </x:c>
      <x:c r="L34" s="190" t="str">
        <x:v>BRANCO CARRARA</x:v>
      </x:c>
      <x:c r="M34" s="210" t="n">
        <x:v>32</x:v>
      </x:c>
      <x:c r="N34" s="210" t="n">
        <x:v>2100</x:v>
      </x:c>
      <x:c r="O34" s="210" t="n">
        <x:v>820</x:v>
      </x:c>
      <x:c r="P34" s="210" t="n">
        <x:v>35</x:v>
      </x:c>
      <x:c r="Q34" s="211" t="n">
        <x:v>1.929</x:v>
      </x:c>
      <x:c r="R34" s="207" t="str"/>
      <x:c r="S34" s="207" t="str"/>
      <x:c r="T34" s="207" t="str"/>
      <x:c r="U34" s="207" t="n">
        <x:v>0</x:v>
      </x:c>
      <x:c r="V34" s="208" t="n">
        <x:f>MAX(0,M34-U34)</x:f>
        <x:v>32</x:v>
      </x:c>
      <x:c r="W34" s="209" t="n">
        <x:f>IFERROR(U34/M34,0)</x:f>
        <x:v>0</x:v>
      </x:c>
      <x:c r="X34" s="201" t="str">
        <x:f>IF(U34=0,"Não iniciado",IF(U34&gt;=M34,"Concluído","Parcial"))</x:f>
        <x:v>Não iniciado</x:v>
      </x:c>
      <x:c r="Y34" s="199" t="str"/>
      <x:c r="Z34" s="188" t="str">
        <x:v>Normal</x:v>
      </x:c>
    </x:row>
    <x:row r="35" ht="22" customHeight="1">
      <x:c r="A35" s="217" t="n">
        <x:v>31</x:v>
      </x:c>
      <x:c r="B35" s="218" t="str">
        <x:v>26689</x:v>
      </x:c>
      <x:c r="C35" s="218" t="str">
        <x:v>2</x:v>
      </x:c>
      <x:c r="D35" s="218" t="str">
        <x:v>609091</x:v>
      </x:c>
      <x:c r="E35" s="218" t="str">
        <x:v>4731234381</x:v>
      </x:c>
      <x:c r="F35" s="218" t="str">
        <x:v>OUTROS</x:v>
      </x:c>
      <x:c r="G35" s="184" t="str">
        <x:v>FP COLM HDF 3 2100x820x35 ESM BCO C C/US</x:v>
      </x:c>
      <x:c r="H35" s="184" t="str"/>
      <x:c r="I35" s="184" t="str"/>
      <x:c r="J35" s="184" t="str"/>
      <x:c r="K35" s="184" t="str">
        <x:v>ESMALTE</x:v>
      </x:c>
      <x:c r="L35" s="184" t="str">
        <x:v>BRANCO CARRARA</x:v>
      </x:c>
      <x:c r="M35" s="205" t="n">
        <x:v>64</x:v>
      </x:c>
      <x:c r="N35" s="205" t="n">
        <x:v>2100</x:v>
      </x:c>
      <x:c r="O35" s="205" t="n">
        <x:v>820</x:v>
      </x:c>
      <x:c r="P35" s="205" t="n">
        <x:v>35</x:v>
      </x:c>
      <x:c r="Q35" s="206" t="n">
        <x:v>3.857</x:v>
      </x:c>
      <x:c r="R35" s="207" t="str"/>
      <x:c r="S35" s="207" t="str"/>
      <x:c r="T35" s="207" t="str"/>
      <x:c r="U35" s="207" t="n">
        <x:v>0</x:v>
      </x:c>
      <x:c r="V35" s="208" t="n">
        <x:f>MAX(0,M35-U35)</x:f>
        <x:v>64</x:v>
      </x:c>
      <x:c r="W35" s="209" t="n">
        <x:f>IFERROR(U35/M35,0)</x:f>
        <x:v>0</x:v>
      </x:c>
      <x:c r="X35" s="201" t="str">
        <x:f>IF(U35=0,"Não iniciado",IF(U35&gt;=M35,"Concluído","Parcial"))</x:f>
        <x:v>Não iniciado</x:v>
      </x:c>
      <x:c r="Y35" s="199" t="str"/>
      <x:c r="Z35" s="188" t="str">
        <x:v>Normal</x:v>
      </x:c>
    </x:row>
    <x:row r="36" ht="22" customHeight="1">
      <x:c r="A36" s="219" t="n">
        <x:v>32</x:v>
      </x:c>
      <x:c r="B36" s="220" t="str">
        <x:v>26689</x:v>
      </x:c>
      <x:c r="C36" s="220" t="str">
        <x:v>3</x:v>
      </x:c>
      <x:c r="D36" s="220" t="str">
        <x:v>609099</x:v>
      </x:c>
      <x:c r="E36" s="220" t="str">
        <x:v>421010017</x:v>
      </x:c>
      <x:c r="F36" s="220" t="str">
        <x:v>OUTROS</x:v>
      </x:c>
      <x:c r="G36" s="190" t="str">
        <x:v>FP COLM HDF 3 RU 2100x820x35 ESM BCO C C</x:v>
      </x:c>
      <x:c r="H36" s="190" t="str"/>
      <x:c r="I36" s="190" t="str"/>
      <x:c r="J36" s="190" t="str"/>
      <x:c r="K36" s="190" t="str">
        <x:v>ESMALTE</x:v>
      </x:c>
      <x:c r="L36" s="190" t="str">
        <x:v>BRANCO CARRARA</x:v>
      </x:c>
      <x:c r="M36" s="210" t="n">
        <x:v>61</x:v>
      </x:c>
      <x:c r="N36" s="210" t="n">
        <x:v>2100</x:v>
      </x:c>
      <x:c r="O36" s="210" t="n">
        <x:v>820</x:v>
      </x:c>
      <x:c r="P36" s="210" t="n">
        <x:v>35</x:v>
      </x:c>
      <x:c r="Q36" s="211" t="n">
        <x:v>3.676</x:v>
      </x:c>
      <x:c r="R36" s="207" t="str"/>
      <x:c r="S36" s="207" t="str"/>
      <x:c r="T36" s="207" t="str"/>
      <x:c r="U36" s="207" t="n">
        <x:v>0</x:v>
      </x:c>
      <x:c r="V36" s="208" t="n">
        <x:f>MAX(0,M36-U36)</x:f>
        <x:v>61</x:v>
      </x:c>
      <x:c r="W36" s="209" t="n">
        <x:f>IFERROR(U36/M36,0)</x:f>
        <x:v>0</x:v>
      </x:c>
      <x:c r="X36" s="201" t="str">
        <x:f>IF(U36=0,"Não iniciado",IF(U36&gt;=M36,"Concluído","Parcial"))</x:f>
        <x:v>Não iniciado</x:v>
      </x:c>
      <x:c r="Y36" s="199" t="str"/>
      <x:c r="Z36" s="188" t="str">
        <x:v>Normal</x:v>
      </x:c>
    </x:row>
    <x:row r="37" ht="22" customHeight="1">
      <x:c r="A37" s="217" t="n">
        <x:v>33</x:v>
      </x:c>
      <x:c r="B37" s="218" t="str">
        <x:v>26689</x:v>
      </x:c>
      <x:c r="C37" s="218" t="str">
        <x:v>4</x:v>
      </x:c>
      <x:c r="D37" s="218" t="str">
        <x:v>609107</x:v>
      </x:c>
      <x:c r="E37" s="218" t="str">
        <x:v>421010017</x:v>
      </x:c>
      <x:c r="F37" s="218" t="str">
        <x:v>OUTROS</x:v>
      </x:c>
      <x:c r="G37" s="184" t="str">
        <x:v>FP COLM HDF 3 RU 2100x820x35 ESM BCO C C</x:v>
      </x:c>
      <x:c r="H37" s="184" t="str"/>
      <x:c r="I37" s="184" t="str"/>
      <x:c r="J37" s="184" t="str"/>
      <x:c r="K37" s="184" t="str">
        <x:v>ESMALTE</x:v>
      </x:c>
      <x:c r="L37" s="184" t="str">
        <x:v>BRANCO CARRARA</x:v>
      </x:c>
      <x:c r="M37" s="205" t="n">
        <x:v>3</x:v>
      </x:c>
      <x:c r="N37" s="205" t="n">
        <x:v>2100</x:v>
      </x:c>
      <x:c r="O37" s="205" t="n">
        <x:v>820</x:v>
      </x:c>
      <x:c r="P37" s="205" t="n">
        <x:v>35</x:v>
      </x:c>
      <x:c r="Q37" s="206" t="n">
        <x:v>0.181</x:v>
      </x:c>
      <x:c r="R37" s="207" t="str"/>
      <x:c r="S37" s="207" t="str"/>
      <x:c r="T37" s="207" t="str"/>
      <x:c r="U37" s="207" t="n">
        <x:v>0</x:v>
      </x:c>
      <x:c r="V37" s="208" t="n">
        <x:f>MAX(0,M37-U37)</x:f>
        <x:v>3</x:v>
      </x:c>
      <x:c r="W37" s="209" t="n">
        <x:f>IFERROR(U37/M37,0)</x:f>
        <x:v>0</x:v>
      </x:c>
      <x:c r="X37" s="201" t="str">
        <x:f>IF(U37=0,"Não iniciado",IF(U37&gt;=M37,"Concluído","Parcial"))</x:f>
        <x:v>Não iniciado</x:v>
      </x:c>
      <x:c r="Y37" s="199" t="str"/>
      <x:c r="Z37" s="188" t="str">
        <x:v>Normal</x:v>
      </x:c>
    </x:row>
    <x:row r="38" ht="22" customHeight="1">
      <x:c r="A38" s="219" t="n">
        <x:v>34</x:v>
      </x:c>
      <x:c r="B38" s="220" t="str">
        <x:v>26750</x:v>
      </x:c>
      <x:c r="C38" s="220" t="str">
        <x:v>10</x:v>
      </x:c>
      <x:c r="D38" s="220" t="str">
        <x:v>609810</x:v>
      </x:c>
      <x:c r="E38" s="220" t="str">
        <x:v>3040300443</x:v>
      </x:c>
      <x:c r="F38" s="220" t="str">
        <x:v>PORTA</x:v>
      </x:c>
      <x:c r="G38" s="190" t="str">
        <x:v>FO POR COL HDF 3 ESM BCO CAR 2100X820X35</x:v>
      </x:c>
      <x:c r="H38" s="190" t="str"/>
      <x:c r="I38" s="190" t="str"/>
      <x:c r="J38" s="190" t="str"/>
      <x:c r="K38" s="190" t="str">
        <x:v>ESMALTE</x:v>
      </x:c>
      <x:c r="L38" s="190" t="str">
        <x:v>BRANCO CARRARA</x:v>
      </x:c>
      <x:c r="M38" s="210" t="n">
        <x:v>2</x:v>
      </x:c>
      <x:c r="N38" s="210" t="n">
        <x:v>2100</x:v>
      </x:c>
      <x:c r="O38" s="210" t="n">
        <x:v>820</x:v>
      </x:c>
      <x:c r="P38" s="210" t="n">
        <x:v>35</x:v>
      </x:c>
      <x:c r="Q38" s="211" t="n">
        <x:v>0.121</x:v>
      </x:c>
      <x:c r="R38" s="207" t="str"/>
      <x:c r="S38" s="207" t="str"/>
      <x:c r="T38" s="207" t="str"/>
      <x:c r="U38" s="207" t="n">
        <x:v>0</x:v>
      </x:c>
      <x:c r="V38" s="208" t="n">
        <x:f>MAX(0,M38-U38)</x:f>
        <x:v>2</x:v>
      </x:c>
      <x:c r="W38" s="209" t="n">
        <x:f>IFERROR(U38/M38,0)</x:f>
        <x:v>0</x:v>
      </x:c>
      <x:c r="X38" s="201" t="str">
        <x:f>IF(U38=0,"Não iniciado",IF(U38&gt;=M38,"Concluído","Parcial"))</x:f>
        <x:v>Não iniciado</x:v>
      </x:c>
      <x:c r="Y38" s="199" t="str"/>
      <x:c r="Z38" s="188" t="str">
        <x:v>Normal</x:v>
      </x:c>
    </x:row>
    <x:row r="39" ht="22" customHeight="1">
      <x:c r="A39" s="217" t="n">
        <x:v>35</x:v>
      </x:c>
      <x:c r="B39" s="218" t="str">
        <x:v>26520</x:v>
      </x:c>
      <x:c r="C39" s="218" t="str">
        <x:v>1</x:v>
      </x:c>
      <x:c r="D39" s="218" t="str">
        <x:v>610069</x:v>
      </x:c>
      <x:c r="E39" s="218" t="str">
        <x:v>3041300547</x:v>
      </x:c>
      <x:c r="F39" s="218" t="str">
        <x:v>PORTA</x:v>
      </x:c>
      <x:c r="G39" s="184" t="str">
        <x:v>FO POR SEM HDF 3 2100X820X35 PET CI VE C</x:v>
      </x:c>
      <x:c r="H39" s="184" t="str"/>
      <x:c r="I39" s="184" t="str"/>
      <x:c r="J39" s="184" t="str"/>
      <x:c r="K39" s="184" t="str">
        <x:v>RECOBERTO PET</x:v>
      </x:c>
      <x:c r="L39" s="184" t="str">
        <x:v>CINZA VERONA</x:v>
      </x:c>
      <x:c r="M39" s="205" t="n">
        <x:v>2</x:v>
      </x:c>
      <x:c r="N39" s="205" t="n">
        <x:v>2100</x:v>
      </x:c>
      <x:c r="O39" s="205" t="n">
        <x:v>820</x:v>
      </x:c>
      <x:c r="P39" s="205" t="n">
        <x:v>35</x:v>
      </x:c>
      <x:c r="Q39" s="206" t="n">
        <x:v>0.121</x:v>
      </x:c>
      <x:c r="R39" s="207" t="str"/>
      <x:c r="S39" s="207" t="str"/>
      <x:c r="T39" s="207" t="str"/>
      <x:c r="U39" s="207" t="n">
        <x:v>0</x:v>
      </x:c>
      <x:c r="V39" s="208" t="n">
        <x:f>MAX(0,M39-U39)</x:f>
        <x:v>2</x:v>
      </x:c>
      <x:c r="W39" s="209" t="n">
        <x:f>IFERROR(U39/M39,0)</x:f>
        <x:v>0</x:v>
      </x:c>
      <x:c r="X39" s="201" t="str">
        <x:f>IF(U39=0,"Não iniciado",IF(U39&gt;=M39,"Concluído","Parcial"))</x:f>
        <x:v>Não iniciado</x:v>
      </x:c>
      <x:c r="Y39" s="199" t="str"/>
      <x:c r="Z39" s="188" t="str">
        <x:v>Normal</x:v>
      </x:c>
    </x:row>
    <x:row r="40" ht="22" customHeight="1">
      <x:c r="A40" s="219" t="n">
        <x:v>36</x:v>
      </x:c>
      <x:c r="B40" s="220" t="str">
        <x:v>26520</x:v>
      </x:c>
      <x:c r="C40" s="220" t="str">
        <x:v>2</x:v>
      </x:c>
      <x:c r="D40" s="220" t="str">
        <x:v>610077</x:v>
      </x:c>
      <x:c r="E40" s="220" t="str">
        <x:v>3041300547</x:v>
      </x:c>
      <x:c r="F40" s="220" t="str">
        <x:v>PORTA</x:v>
      </x:c>
      <x:c r="G40" s="190" t="str">
        <x:v>FO POR SEM HDF 3 2100X820X35 PET CI VE C</x:v>
      </x:c>
      <x:c r="H40" s="190" t="str"/>
      <x:c r="I40" s="190" t="str"/>
      <x:c r="J40" s="190" t="str"/>
      <x:c r="K40" s="190" t="str">
        <x:v>RECOBERTO PET</x:v>
      </x:c>
      <x:c r="L40" s="190" t="str">
        <x:v>CINZA VERONA</x:v>
      </x:c>
      <x:c r="M40" s="210" t="n">
        <x:v>6</x:v>
      </x:c>
      <x:c r="N40" s="210" t="n">
        <x:v>2100</x:v>
      </x:c>
      <x:c r="O40" s="210" t="n">
        <x:v>820</x:v>
      </x:c>
      <x:c r="P40" s="210" t="n">
        <x:v>35</x:v>
      </x:c>
      <x:c r="Q40" s="211" t="n">
        <x:v>0.362</x:v>
      </x:c>
      <x:c r="R40" s="207" t="str"/>
      <x:c r="S40" s="207" t="str"/>
      <x:c r="T40" s="207" t="str"/>
      <x:c r="U40" s="207" t="n">
        <x:v>0</x:v>
      </x:c>
      <x:c r="V40" s="208" t="n">
        <x:f>MAX(0,M40-U40)</x:f>
        <x:v>6</x:v>
      </x:c>
      <x:c r="W40" s="209" t="n">
        <x:f>IFERROR(U40/M40,0)</x:f>
        <x:v>0</x:v>
      </x:c>
      <x:c r="X40" s="201" t="str">
        <x:f>IF(U40=0,"Não iniciado",IF(U40&gt;=M40,"Concluído","Parcial"))</x:f>
        <x:v>Não iniciado</x:v>
      </x:c>
      <x:c r="Y40" s="199" t="str"/>
      <x:c r="Z40" s="188" t="str">
        <x:v>Normal</x:v>
      </x:c>
    </x:row>
    <x:row r="41" ht="22" customHeight="1">
      <x:c r="A41" s="217" t="n">
        <x:v>37</x:v>
      </x:c>
      <x:c r="B41" s="218" t="str">
        <x:v>26766</x:v>
      </x:c>
      <x:c r="C41" s="218" t="str">
        <x:v>6</x:v>
      </x:c>
      <x:c r="D41" s="218" t="str">
        <x:v>610152</x:v>
      </x:c>
      <x:c r="E41" s="218" t="str">
        <x:v>3041500098</x:v>
      </x:c>
      <x:c r="F41" s="218" t="str">
        <x:v>PORTA</x:v>
      </x:c>
      <x:c r="G41" s="184" t="str">
        <x:v>FO POR SMT HDF 3 S BD RU 2100X820X35 IMP</x:v>
      </x:c>
      <x:c r="H41" s="184" t="str">
        <x:v>LISA</x:v>
      </x:c>
      <x:c r="I41" s="184" t="str"/>
      <x:c r="J41" s="184" t="str"/>
      <x:c r="K41" s="184" t="str">
        <x:v>IMPRESSO</x:v>
      </x:c>
      <x:c r="L41" s="184" t="str">
        <x:v>MOGNO BRASILEIRO</x:v>
      </x:c>
      <x:c r="M41" s="205" t="n">
        <x:v>144</x:v>
      </x:c>
      <x:c r="N41" s="205" t="n">
        <x:v>2100</x:v>
      </x:c>
      <x:c r="O41" s="205" t="n">
        <x:v>820</x:v>
      </x:c>
      <x:c r="P41" s="205" t="n">
        <x:v>35</x:v>
      </x:c>
      <x:c r="Q41" s="206" t="n">
        <x:v>8.679</x:v>
      </x:c>
      <x:c r="R41" s="207" t="str"/>
      <x:c r="S41" s="207" t="str"/>
      <x:c r="T41" s="207" t="str"/>
      <x:c r="U41" s="207" t="n">
        <x:v>0</x:v>
      </x:c>
      <x:c r="V41" s="208" t="n">
        <x:f>MAX(0,M41-U41)</x:f>
        <x:v>144</x:v>
      </x:c>
      <x:c r="W41" s="209" t="n">
        <x:f>IFERROR(U41/M41,0)</x:f>
        <x:v>0</x:v>
      </x:c>
      <x:c r="X41" s="201" t="str">
        <x:f>IF(U41=0,"Não iniciado",IF(U41&gt;=M41,"Concluído","Parcial"))</x:f>
        <x:v>Não iniciado</x:v>
      </x:c>
      <x:c r="Y41" s="199" t="str"/>
      <x:c r="Z41" s="188" t="str">
        <x:v>Normal</x:v>
      </x:c>
    </x:row>
    <x:row r="42" ht="22" customHeight="1">
      <x:c r="A42" s="219" t="n">
        <x:v>38</x:v>
      </x:c>
      <x:c r="B42" s="220" t="str">
        <x:v>26815</x:v>
      </x:c>
      <x:c r="C42" s="220" t="str">
        <x:v>4</x:v>
      </x:c>
      <x:c r="D42" s="220" t="str">
        <x:v>609525</x:v>
      </x:c>
      <x:c r="E42" s="220" t="str">
        <x:v>3230600006</x:v>
      </x:c>
      <x:c r="F42" s="220" t="str">
        <x:v>OUTROS</x:v>
      </x:c>
      <x:c r="G42" s="190" t="str">
        <x:v>BAND DOB STD 400X806X12 PET TXT BCO RTO</x:v>
      </x:c>
      <x:c r="H42" s="190" t="str"/>
      <x:c r="I42" s="190" t="str"/>
      <x:c r="J42" s="190" t="str"/>
      <x:c r="K42" s="190" t="str">
        <x:v>ESMALTE</x:v>
      </x:c>
      <x:c r="L42" s="190" t="str">
        <x:v>BRANCO CARRARA</x:v>
      </x:c>
      <x:c r="M42" s="210" t="n">
        <x:v>67</x:v>
      </x:c>
      <x:c r="N42" s="210" t="n">
        <x:v>400</x:v>
      </x:c>
      <x:c r="O42" s="210" t="n">
        <x:v>806</x:v>
      </x:c>
      <x:c r="P42" s="210" t="n">
        <x:v>12</x:v>
      </x:c>
      <x:c r="Q42" s="211" t="n">
        <x:v>0</x:v>
      </x:c>
      <x:c r="R42" s="207" t="str"/>
      <x:c r="S42" s="207" t="str"/>
      <x:c r="T42" s="207" t="str"/>
      <x:c r="U42" s="207" t="n">
        <x:v>0</x:v>
      </x:c>
      <x:c r="V42" s="208" t="n">
        <x:f>MAX(0,M42-U42)</x:f>
        <x:v>67</x:v>
      </x:c>
      <x:c r="W42" s="209" t="n">
        <x:f>IFERROR(U42/M42,0)</x:f>
        <x:v>0</x:v>
      </x:c>
      <x:c r="X42" s="201" t="str">
        <x:f>IF(U42=0,"Não iniciado",IF(U42&gt;=M42,"Concluído","Parcial"))</x:f>
        <x:v>Não iniciado</x:v>
      </x:c>
      <x:c r="Y42" s="199" t="str"/>
      <x:c r="Z42" s="188" t="str">
        <x:v>Normal</x:v>
      </x:c>
    </x:row>
    <x:row r="43" ht="22" customHeight="1">
      <x:c r="A43" s="217" t="n">
        <x:v>39</x:v>
      </x:c>
      <x:c r="B43" s="218" t="str">
        <x:v>26747</x:v>
      </x:c>
      <x:c r="C43" s="218" t="str">
        <x:v>7</x:v>
      </x:c>
      <x:c r="D43" s="218" t="str">
        <x:v>609013</x:v>
      </x:c>
      <x:c r="E43" s="218" t="str">
        <x:v>4210012026</x:v>
      </x:c>
      <x:c r="F43" s="218" t="str">
        <x:v>OUTROS</x:v>
      </x:c>
      <x:c r="G43" s="184" t="str">
        <x:v>FOL.POR.COL.LIS2100x800x0 ESM.BRC PLS</x:v>
      </x:c>
      <x:c r="H43" s="184" t="str">
        <x:v>LISA</x:v>
      </x:c>
      <x:c r="I43" s="184" t="str"/>
      <x:c r="J43" s="184" t="str"/>
      <x:c r="K43" s="184" t="str">
        <x:v>ESMALTE</x:v>
      </x:c>
      <x:c r="L43" s="184" t="str">
        <x:v>BRANCO CARRARA</x:v>
      </x:c>
      <x:c r="M43" s="205" t="n">
        <x:v>4</x:v>
      </x:c>
      <x:c r="N43" s="205" t="n">
        <x:v>2100</x:v>
      </x:c>
      <x:c r="O43" s="205" t="n">
        <x:v>800</x:v>
      </x:c>
      <x:c r="P43" s="205" t="str"/>
      <x:c r="Q43" s="206" t="n">
        <x:v>0.235</x:v>
      </x:c>
      <x:c r="R43" s="207" t="str"/>
      <x:c r="S43" s="207" t="str"/>
      <x:c r="T43" s="207" t="str"/>
      <x:c r="U43" s="207" t="n">
        <x:v>0</x:v>
      </x:c>
      <x:c r="V43" s="208" t="n">
        <x:f>MAX(0,M43-U43)</x:f>
        <x:v>4</x:v>
      </x:c>
      <x:c r="W43" s="209" t="n">
        <x:f>IFERROR(U43/M43,0)</x:f>
        <x:v>0</x:v>
      </x:c>
      <x:c r="X43" s="201" t="str">
        <x:f>IF(U43=0,"Não iniciado",IF(U43&gt;=M43,"Concluído","Parcial"))</x:f>
        <x:v>Não iniciado</x:v>
      </x:c>
      <x:c r="Y43" s="199" t="str"/>
      <x:c r="Z43" s="188" t="str">
        <x:v>Normal</x:v>
      </x:c>
    </x:row>
    <x:row r="44" ht="22" customHeight="1">
      <x:c r="A44" s="219" t="n">
        <x:v>40</x:v>
      </x:c>
      <x:c r="B44" s="220" t="str">
        <x:v>26808</x:v>
      </x:c>
      <x:c r="C44" s="220" t="str">
        <x:v>8</x:v>
      </x:c>
      <x:c r="D44" s="220" t="str">
        <x:v>608958</x:v>
      </x:c>
      <x:c r="E44" s="220" t="str">
        <x:v>4731234915</x:v>
      </x:c>
      <x:c r="F44" s="220" t="str">
        <x:v>OUTROS</x:v>
      </x:c>
      <x:c r="G44" s="190" t="str">
        <x:v>FOL.POR.SAR.US.2100x800x0 ESM.BRC PLS</x:v>
      </x:c>
      <x:c r="H44" s="190" t="str"/>
      <x:c r="I44" s="190" t="str"/>
      <x:c r="J44" s="190" t="str"/>
      <x:c r="K44" s="190" t="str">
        <x:v>ESMALTE</x:v>
      </x:c>
      <x:c r="L44" s="190" t="str">
        <x:v>BRANCO CARRARA</x:v>
      </x:c>
      <x:c r="M44" s="210" t="n">
        <x:v>22</x:v>
      </x:c>
      <x:c r="N44" s="210" t="n">
        <x:v>2100</x:v>
      </x:c>
      <x:c r="O44" s="210" t="n">
        <x:v>800</x:v>
      </x:c>
      <x:c r="P44" s="210" t="str"/>
      <x:c r="Q44" s="211" t="n">
        <x:v>1.294</x:v>
      </x:c>
      <x:c r="R44" s="207" t="str"/>
      <x:c r="S44" s="207" t="str"/>
      <x:c r="T44" s="207" t="str"/>
      <x:c r="U44" s="207" t="n">
        <x:v>0</x:v>
      </x:c>
      <x:c r="V44" s="208" t="n">
        <x:f>MAX(0,M44-U44)</x:f>
        <x:v>22</x:v>
      </x:c>
      <x:c r="W44" s="209" t="n">
        <x:f>IFERROR(U44/M44,0)</x:f>
        <x:v>0</x:v>
      </x:c>
      <x:c r="X44" s="201" t="str">
        <x:f>IF(U44=0,"Não iniciado",IF(U44&gt;=M44,"Concluído","Parcial"))</x:f>
        <x:v>Não iniciado</x:v>
      </x:c>
      <x:c r="Y44" s="199" t="str"/>
      <x:c r="Z44" s="188" t="str">
        <x:v>Normal</x:v>
      </x:c>
    </x:row>
    <x:row r="45" ht="22" customHeight="1">
      <x:c r="A45" s="217" t="n">
        <x:v>41</x:v>
      </x:c>
      <x:c r="B45" s="218" t="str">
        <x:v>26808</x:v>
      </x:c>
      <x:c r="C45" s="218" t="str">
        <x:v>9</x:v>
      </x:c>
      <x:c r="D45" s="218" t="str">
        <x:v>610981</x:v>
      </x:c>
      <x:c r="E45" s="218" t="str">
        <x:v>4731234915</x:v>
      </x:c>
      <x:c r="F45" s="218" t="str">
        <x:v>OUTROS</x:v>
      </x:c>
      <x:c r="G45" s="184" t="str">
        <x:v>FOL.POR.SAR.US.2100x800x0 ESM.BRC PLS</x:v>
      </x:c>
      <x:c r="H45" s="184" t="str"/>
      <x:c r="I45" s="184" t="str"/>
      <x:c r="J45" s="184" t="str"/>
      <x:c r="K45" s="184" t="str">
        <x:v>ESMALTE</x:v>
      </x:c>
      <x:c r="L45" s="184" t="str">
        <x:v>BRANCO CARRARA</x:v>
      </x:c>
      <x:c r="M45" s="205" t="n">
        <x:v>71</x:v>
      </x:c>
      <x:c r="N45" s="205" t="n">
        <x:v>2100</x:v>
      </x:c>
      <x:c r="O45" s="205" t="n">
        <x:v>800</x:v>
      </x:c>
      <x:c r="P45" s="205" t="str"/>
      <x:c r="Q45" s="206" t="n">
        <x:v>4.175</x:v>
      </x:c>
      <x:c r="R45" s="207" t="str"/>
      <x:c r="S45" s="207" t="str"/>
      <x:c r="T45" s="207" t="str"/>
      <x:c r="U45" s="207" t="n">
        <x:v>0</x:v>
      </x:c>
      <x:c r="V45" s="208" t="n">
        <x:f>MAX(0,M45-U45)</x:f>
        <x:v>71</x:v>
      </x:c>
      <x:c r="W45" s="209" t="n">
        <x:f>IFERROR(U45/M45,0)</x:f>
        <x:v>0</x:v>
      </x:c>
      <x:c r="X45" s="201" t="str">
        <x:f>IF(U45=0,"Não iniciado",IF(U45&gt;=M45,"Concluído","Parcial"))</x:f>
        <x:v>Não iniciado</x:v>
      </x:c>
      <x:c r="Y45" s="199" t="str"/>
      <x:c r="Z45" s="188" t="str">
        <x:v>Normal</x:v>
      </x:c>
    </x:row>
    <x:row r="46" ht="22" customHeight="1">
      <x:c r="A46" s="219" t="n">
        <x:v>42</x:v>
      </x:c>
      <x:c r="B46" s="220" t="str">
        <x:v>26796</x:v>
      </x:c>
      <x:c r="C46" s="220" t="str">
        <x:v>3</x:v>
      </x:c>
      <x:c r="D46" s="220" t="str">
        <x:v>609306</x:v>
      </x:c>
      <x:c r="E46" s="220" t="str">
        <x:v>3041400218</x:v>
      </x:c>
      <x:c r="F46" s="220" t="str">
        <x:v>PORTA</x:v>
      </x:c>
      <x:c r="G46" s="190" t="str">
        <x:v>FO POR SMT HDF 3 S GD RU 2100X800X35 ESM</x:v>
      </x:c>
      <x:c r="H46" s="190" t="str"/>
      <x:c r="I46" s="190" t="str"/>
      <x:c r="J46" s="190" t="str"/>
      <x:c r="K46" s="190" t="str">
        <x:v>ESMALTE</x:v>
      </x:c>
      <x:c r="L46" s="190" t="str">
        <x:v>BRANCO CARRARA</x:v>
      </x:c>
      <x:c r="M46" s="210" t="n">
        <x:v>192</x:v>
      </x:c>
      <x:c r="N46" s="210" t="n">
        <x:v>2100</x:v>
      </x:c>
      <x:c r="O46" s="210" t="n">
        <x:v>800</x:v>
      </x:c>
      <x:c r="P46" s="210" t="n">
        <x:v>35</x:v>
      </x:c>
      <x:c r="Q46" s="211" t="n">
        <x:v>11.29</x:v>
      </x:c>
      <x:c r="R46" s="207" t="str"/>
      <x:c r="S46" s="207" t="str"/>
      <x:c r="T46" s="207" t="str"/>
      <x:c r="U46" s="207" t="n">
        <x:v>0</x:v>
      </x:c>
      <x:c r="V46" s="208" t="n">
        <x:f>MAX(0,M46-U46)</x:f>
        <x:v>192</x:v>
      </x:c>
      <x:c r="W46" s="209" t="n">
        <x:f>IFERROR(U46/M46,0)</x:f>
        <x:v>0</x:v>
      </x:c>
      <x:c r="X46" s="201" t="str">
        <x:f>IF(U46=0,"Não iniciado",IF(U46&gt;=M46,"Concluído","Parcial"))</x:f>
        <x:v>Não iniciado</x:v>
      </x:c>
      <x:c r="Y46" s="199" t="str"/>
      <x:c r="Z46" s="188" t="str">
        <x:v>Normal</x:v>
      </x:c>
    </x:row>
    <x:row r="47" ht="22" customHeight="1">
      <x:c r="A47" s="217" t="n">
        <x:v>43</x:v>
      </x:c>
      <x:c r="B47" s="218" t="str">
        <x:v>26799</x:v>
      </x:c>
      <x:c r="C47" s="218" t="str">
        <x:v>3</x:v>
      </x:c>
      <x:c r="D47" s="218" t="str">
        <x:v>609411</x:v>
      </x:c>
      <x:c r="E47" s="218" t="str">
        <x:v>3041400218</x:v>
      </x:c>
      <x:c r="F47" s="218" t="str">
        <x:v>PORTA</x:v>
      </x:c>
      <x:c r="G47" s="184" t="str">
        <x:v>FO POR SMT HDF 3 S GD RU 2100X800X35 ESM</x:v>
      </x:c>
      <x:c r="H47" s="184" t="str"/>
      <x:c r="I47" s="184" t="str"/>
      <x:c r="J47" s="184" t="str"/>
      <x:c r="K47" s="184" t="str">
        <x:v>ESMALTE</x:v>
      </x:c>
      <x:c r="L47" s="184" t="str">
        <x:v>BRANCO CARRARA</x:v>
      </x:c>
      <x:c r="M47" s="205" t="n">
        <x:v>64</x:v>
      </x:c>
      <x:c r="N47" s="205" t="n">
        <x:v>2100</x:v>
      </x:c>
      <x:c r="O47" s="205" t="n">
        <x:v>800</x:v>
      </x:c>
      <x:c r="P47" s="205" t="n">
        <x:v>35</x:v>
      </x:c>
      <x:c r="Q47" s="206" t="n">
        <x:v>3.763</x:v>
      </x:c>
      <x:c r="R47" s="207" t="str"/>
      <x:c r="S47" s="207" t="str"/>
      <x:c r="T47" s="207" t="str"/>
      <x:c r="U47" s="207" t="n">
        <x:v>0</x:v>
      </x:c>
      <x:c r="V47" s="208" t="n">
        <x:f>MAX(0,M47-U47)</x:f>
        <x:v>64</x:v>
      </x:c>
      <x:c r="W47" s="209" t="n">
        <x:f>IFERROR(U47/M47,0)</x:f>
        <x:v>0</x:v>
      </x:c>
      <x:c r="X47" s="201" t="str">
        <x:f>IF(U47=0,"Não iniciado",IF(U47&gt;=M47,"Concluído","Parcial"))</x:f>
        <x:v>Não iniciado</x:v>
      </x:c>
      <x:c r="Y47" s="199" t="str"/>
      <x:c r="Z47" s="188" t="str">
        <x:v>Normal</x:v>
      </x:c>
    </x:row>
    <x:row r="48" ht="22" customHeight="1">
      <x:c r="A48" s="219" t="n">
        <x:v>44</x:v>
      </x:c>
      <x:c r="B48" s="220" t="str">
        <x:v>26808</x:v>
      </x:c>
      <x:c r="C48" s="220" t="str">
        <x:v>10</x:v>
      </x:c>
      <x:c r="D48" s="220" t="str">
        <x:v>608974</x:v>
      </x:c>
      <x:c r="E48" s="220" t="str">
        <x:v>3041400235</x:v>
      </x:c>
      <x:c r="F48" s="220" t="str">
        <x:v>PORTA</x:v>
      </x:c>
      <x:c r="G48" s="190" t="str">
        <x:v>FO POR S GD HDF 3 ESM BCO CAR 2100X800X3</x:v>
      </x:c>
      <x:c r="H48" s="190" t="str"/>
      <x:c r="I48" s="190" t="str"/>
      <x:c r="J48" s="190" t="str"/>
      <x:c r="K48" s="190" t="str">
        <x:v>ESMALTE</x:v>
      </x:c>
      <x:c r="L48" s="190" t="str">
        <x:v>BRANCO CARRARA</x:v>
      </x:c>
      <x:c r="M48" s="210" t="n">
        <x:v>1</x:v>
      </x:c>
      <x:c r="N48" s="210" t="n">
        <x:v>2100</x:v>
      </x:c>
      <x:c r="O48" s="210" t="n">
        <x:v>800</x:v>
      </x:c>
      <x:c r="P48" s="210" t="n">
        <x:v>3</x:v>
      </x:c>
      <x:c r="Q48" s="211" t="n">
        <x:v>0.059</x:v>
      </x:c>
      <x:c r="R48" s="207" t="str"/>
      <x:c r="S48" s="207" t="str"/>
      <x:c r="T48" s="207" t="str"/>
      <x:c r="U48" s="207" t="n">
        <x:v>0</x:v>
      </x:c>
      <x:c r="V48" s="208" t="n">
        <x:f>MAX(0,M48-U48)</x:f>
        <x:v>1</x:v>
      </x:c>
      <x:c r="W48" s="209" t="n">
        <x:f>IFERROR(U48/M48,0)</x:f>
        <x:v>0</x:v>
      </x:c>
      <x:c r="X48" s="201" t="str">
        <x:f>IF(U48=0,"Não iniciado",IF(U48&gt;=M48,"Concluído","Parcial"))</x:f>
        <x:v>Não iniciado</x:v>
      </x:c>
      <x:c r="Y48" s="199" t="str"/>
      <x:c r="Z48" s="188" t="str">
        <x:v>Normal</x:v>
      </x:c>
    </x:row>
    <x:row r="49" ht="22" customHeight="1">
      <x:c r="A49" s="217" t="n">
        <x:v>45</x:v>
      </x:c>
      <x:c r="B49" s="218" t="str">
        <x:v>26815</x:v>
      </x:c>
      <x:c r="C49" s="218" t="str">
        <x:v>4</x:v>
      </x:c>
      <x:c r="D49" s="218" t="str">
        <x:v>610297</x:v>
      </x:c>
      <x:c r="E49" s="218" t="str">
        <x:v>3041400418</x:v>
      </x:c>
      <x:c r="F49" s="218" t="str">
        <x:v>PORTA</x:v>
      </x:c>
      <x:c r="G49" s="184" t="str">
        <x:v>FO POR SMT HDF 3 S GD RU 2100X800X35 ESM</x:v>
      </x:c>
      <x:c r="H49" s="184" t="str"/>
      <x:c r="I49" s="184" t="str"/>
      <x:c r="J49" s="184" t="str"/>
      <x:c r="K49" s="184" t="str">
        <x:v>ESMALTE</x:v>
      </x:c>
      <x:c r="L49" s="184" t="str">
        <x:v>BRANCO CARRARA</x:v>
      </x:c>
      <x:c r="M49" s="205" t="n">
        <x:v>67</x:v>
      </x:c>
      <x:c r="N49" s="205" t="n">
        <x:v>2100</x:v>
      </x:c>
      <x:c r="O49" s="205" t="n">
        <x:v>800</x:v>
      </x:c>
      <x:c r="P49" s="205" t="n">
        <x:v>35</x:v>
      </x:c>
      <x:c r="Q49" s="206" t="n">
        <x:v>3.94</x:v>
      </x:c>
      <x:c r="R49" s="207" t="str"/>
      <x:c r="S49" s="207" t="str"/>
      <x:c r="T49" s="207" t="str"/>
      <x:c r="U49" s="207" t="n">
        <x:v>0</x:v>
      </x:c>
      <x:c r="V49" s="208" t="n">
        <x:f>MAX(0,M49-U49)</x:f>
        <x:v>67</x:v>
      </x:c>
      <x:c r="W49" s="209" t="n">
        <x:f>IFERROR(U49/M49,0)</x:f>
        <x:v>0</x:v>
      </x:c>
      <x:c r="X49" s="201" t="str">
        <x:f>IF(U49=0,"Não iniciado",IF(U49&gt;=M49,"Concluído","Parcial"))</x:f>
        <x:v>Não iniciado</x:v>
      </x:c>
      <x:c r="Y49" s="199" t="str"/>
      <x:c r="Z49" s="188" t="str">
        <x:v>Normal</x:v>
      </x:c>
    </x:row>
    <x:row r="50" ht="22" customHeight="1">
      <x:c r="A50" s="219" t="n">
        <x:v>46</x:v>
      </x:c>
      <x:c r="B50" s="220" t="str">
        <x:v>26824</x:v>
      </x:c>
      <x:c r="C50" s="220" t="str">
        <x:v>3</x:v>
      </x:c>
      <x:c r="D50" s="220" t="str">
        <x:v>609601</x:v>
      </x:c>
      <x:c r="E50" s="220" t="str">
        <x:v>3040300297</x:v>
      </x:c>
      <x:c r="F50" s="220" t="str">
        <x:v>PORTA</x:v>
      </x:c>
      <x:c r="G50" s="190" t="str">
        <x:v>FO POR SMT HDF 3 COL RU 2100X800X35 ESM</x:v>
      </x:c>
      <x:c r="H50" s="190" t="str"/>
      <x:c r="I50" s="190" t="str"/>
      <x:c r="J50" s="190" t="str"/>
      <x:c r="K50" s="190" t="str">
        <x:v>ESMALTE</x:v>
      </x:c>
      <x:c r="L50" s="190" t="str">
        <x:v>BRANCO CARRARA</x:v>
      </x:c>
      <x:c r="M50" s="210" t="n">
        <x:v>5</x:v>
      </x:c>
      <x:c r="N50" s="210" t="n">
        <x:v>2100</x:v>
      </x:c>
      <x:c r="O50" s="210" t="n">
        <x:v>800</x:v>
      </x:c>
      <x:c r="P50" s="210" t="n">
        <x:v>35</x:v>
      </x:c>
      <x:c r="Q50" s="211" t="n">
        <x:v>0.294</x:v>
      </x:c>
      <x:c r="R50" s="207" t="str"/>
      <x:c r="S50" s="207" t="str"/>
      <x:c r="T50" s="207" t="str"/>
      <x:c r="U50" s="207" t="n">
        <x:v>0</x:v>
      </x:c>
      <x:c r="V50" s="208" t="n">
        <x:f>MAX(0,M50-U50)</x:f>
        <x:v>5</x:v>
      </x:c>
      <x:c r="W50" s="209" t="n">
        <x:f>IFERROR(U50/M50,0)</x:f>
        <x:v>0</x:v>
      </x:c>
      <x:c r="X50" s="201" t="str">
        <x:f>IF(U50=0,"Não iniciado",IF(U50&gt;=M50,"Concluído","Parcial"))</x:f>
        <x:v>Não iniciado</x:v>
      </x:c>
      <x:c r="Y50" s="199" t="str"/>
      <x:c r="Z50" s="188" t="str">
        <x:v>Normal</x:v>
      </x:c>
    </x:row>
    <x:row r="51" ht="22" customHeight="1">
      <x:c r="A51" s="217" t="n">
        <x:v>47</x:v>
      </x:c>
      <x:c r="B51" s="218" t="str">
        <x:v>26826</x:v>
      </x:c>
      <x:c r="C51" s="218" t="str">
        <x:v>3</x:v>
      </x:c>
      <x:c r="D51" s="218" t="str">
        <x:v>609061</x:v>
      </x:c>
      <x:c r="E51" s="218" t="str">
        <x:v>3050300049</x:v>
      </x:c>
      <x:c r="F51" s="218" t="str">
        <x:v>PORTA</x:v>
      </x:c>
      <x:c r="G51" s="184" t="str">
        <x:v>FO P COR SMT HDF 3 COL B2 L 2100X800X35</x:v>
      </x:c>
      <x:c r="H51" s="184" t="str">
        <x:v>LISA</x:v>
      </x:c>
      <x:c r="I51" s="184" t="str">
        <x:v>C/USINAGEM COMPLETA</x:v>
      </x:c>
      <x:c r="J51" s="184" t="str"/>
      <x:c r="K51" s="184" t="str">
        <x:v>ESMALTE</x:v>
      </x:c>
      <x:c r="L51" s="184" t="str">
        <x:v>BRANCO CARRARA</x:v>
      </x:c>
      <x:c r="M51" s="205" t="n">
        <x:v>53</x:v>
      </x:c>
      <x:c r="N51" s="205" t="n">
        <x:v>2100</x:v>
      </x:c>
      <x:c r="O51" s="205" t="n">
        <x:v>800</x:v>
      </x:c>
      <x:c r="P51" s="205" t="n">
        <x:v>35</x:v>
      </x:c>
      <x:c r="Q51" s="206" t="n">
        <x:v>3.116</x:v>
      </x:c>
      <x:c r="R51" s="207" t="str"/>
      <x:c r="S51" s="207" t="str"/>
      <x:c r="T51" s="207" t="str"/>
      <x:c r="U51" s="207" t="n">
        <x:v>0</x:v>
      </x:c>
      <x:c r="V51" s="208" t="n">
        <x:f>MAX(0,M51-U51)</x:f>
        <x:v>53</x:v>
      </x:c>
      <x:c r="W51" s="209" t="n">
        <x:f>IFERROR(U51/M51,0)</x:f>
        <x:v>0</x:v>
      </x:c>
      <x:c r="X51" s="201" t="str">
        <x:f>IF(U51=0,"Não iniciado",IF(U51&gt;=M51,"Concluído","Parcial"))</x:f>
        <x:v>Não iniciado</x:v>
      </x:c>
      <x:c r="Y51" s="199" t="str"/>
      <x:c r="Z51" s="188" t="str">
        <x:v>Normal</x:v>
      </x:c>
    </x:row>
    <x:row r="52" ht="22" customHeight="1">
      <x:c r="A52" s="219" t="n">
        <x:v>48</x:v>
      </x:c>
      <x:c r="B52" s="220" t="str">
        <x:v>26766</x:v>
      </x:c>
      <x:c r="C52" s="220" t="str">
        <x:v>4</x:v>
      </x:c>
      <x:c r="D52" s="220" t="str">
        <x:v>610148</x:v>
      </x:c>
      <x:c r="E52" s="220" t="str">
        <x:v>3040300003</x:v>
      </x:c>
      <x:c r="F52" s="220" t="str">
        <x:v>PORTA</x:v>
      </x:c>
      <x:c r="G52" s="190" t="str">
        <x:v>FO POR SMT HDF 3 COL RU 2100X800X35 IMP</x:v>
      </x:c>
      <x:c r="H52" s="190" t="str">
        <x:v>LISA</x:v>
      </x:c>
      <x:c r="I52" s="190" t="str"/>
      <x:c r="J52" s="190" t="str"/>
      <x:c r="K52" s="190" t="str">
        <x:v>IMPRESSO</x:v>
      </x:c>
      <x:c r="L52" s="190" t="str">
        <x:v>MOGNO BRASILEIRO</x:v>
      </x:c>
      <x:c r="M52" s="210" t="n">
        <x:v>324</x:v>
      </x:c>
      <x:c r="N52" s="210" t="n">
        <x:v>2100</x:v>
      </x:c>
      <x:c r="O52" s="210" t="n">
        <x:v>800</x:v>
      </x:c>
      <x:c r="P52" s="210" t="n">
        <x:v>35</x:v>
      </x:c>
      <x:c r="Q52" s="211" t="n">
        <x:v>19.051</x:v>
      </x:c>
      <x:c r="R52" s="207" t="str"/>
      <x:c r="S52" s="207" t="str"/>
      <x:c r="T52" s="207" t="str"/>
      <x:c r="U52" s="207" t="n">
        <x:v>0</x:v>
      </x:c>
      <x:c r="V52" s="208" t="n">
        <x:f>MAX(0,M52-U52)</x:f>
        <x:v>324</x:v>
      </x:c>
      <x:c r="W52" s="209" t="n">
        <x:f>IFERROR(U52/M52,0)</x:f>
        <x:v>0</x:v>
      </x:c>
      <x:c r="X52" s="201" t="str">
        <x:f>IF(U52=0,"Não iniciado",IF(U52&gt;=M52,"Concluído","Parcial"))</x:f>
        <x:v>Não iniciado</x:v>
      </x:c>
      <x:c r="Y52" s="199" t="str"/>
      <x:c r="Z52" s="188" t="str">
        <x:v>Normal</x:v>
      </x:c>
    </x:row>
    <x:row r="53" ht="22" customHeight="1">
      <x:c r="A53" s="217" t="n">
        <x:v>49</x:v>
      </x:c>
      <x:c r="B53" s="218" t="str">
        <x:v>26739</x:v>
      </x:c>
      <x:c r="C53" s="218" t="str">
        <x:v>8</x:v>
      </x:c>
      <x:c r="D53" s="218" t="str">
        <x:v>609645</x:v>
      </x:c>
      <x:c r="E53" s="218" t="str">
        <x:v>4210012023</x:v>
      </x:c>
      <x:c r="F53" s="218" t="str">
        <x:v>OUTROS</x:v>
      </x:c>
      <x:c r="G53" s="184" t="str">
        <x:v>FP COLM HDF 3 2100x720x35 ESM BCO C C/US</x:v>
      </x:c>
      <x:c r="H53" s="184" t="str"/>
      <x:c r="I53" s="184" t="str">
        <x:v>C/USINAGEM COMPLETA</x:v>
      </x:c>
      <x:c r="J53" s="184" t="str"/>
      <x:c r="K53" s="184" t="str">
        <x:v>ESMALTE</x:v>
      </x:c>
      <x:c r="L53" s="184" t="str">
        <x:v>BRANCO CARRARA</x:v>
      </x:c>
      <x:c r="M53" s="205" t="n">
        <x:v>18</x:v>
      </x:c>
      <x:c r="N53" s="205" t="n">
        <x:v>2100</x:v>
      </x:c>
      <x:c r="O53" s="205" t="n">
        <x:v>720</x:v>
      </x:c>
      <x:c r="P53" s="205" t="n">
        <x:v>35</x:v>
      </x:c>
      <x:c r="Q53" s="206" t="n">
        <x:v>0.953</x:v>
      </x:c>
      <x:c r="R53" s="207" t="str"/>
      <x:c r="S53" s="207" t="str"/>
      <x:c r="T53" s="207" t="str"/>
      <x:c r="U53" s="207" t="n">
        <x:v>0</x:v>
      </x:c>
      <x:c r="V53" s="208" t="n">
        <x:f>MAX(0,M53-U53)</x:f>
        <x:v>18</x:v>
      </x:c>
      <x:c r="W53" s="209" t="n">
        <x:f>IFERROR(U53/M53,0)</x:f>
        <x:v>0</x:v>
      </x:c>
      <x:c r="X53" s="201" t="str">
        <x:f>IF(U53=0,"Não iniciado",IF(U53&gt;=M53,"Concluído","Parcial"))</x:f>
        <x:v>Não iniciado</x:v>
      </x:c>
      <x:c r="Y53" s="199" t="str"/>
      <x:c r="Z53" s="188" t="str">
        <x:v>Normal</x:v>
      </x:c>
    </x:row>
    <x:row r="54" ht="22" customHeight="1">
      <x:c r="A54" s="219" t="n">
        <x:v>50</x:v>
      </x:c>
      <x:c r="B54" s="220" t="str">
        <x:v>26739</x:v>
      </x:c>
      <x:c r="C54" s="220" t="str">
        <x:v>9</x:v>
      </x:c>
      <x:c r="D54" s="220" t="str">
        <x:v>609653</x:v>
      </x:c>
      <x:c r="E54" s="220" t="str">
        <x:v>4210012023</x:v>
      </x:c>
      <x:c r="F54" s="220" t="str">
        <x:v>OUTROS</x:v>
      </x:c>
      <x:c r="G54" s="190" t="str">
        <x:v>FP COLM HDF 3 2100x720x35 ESM BCO C C/US</x:v>
      </x:c>
      <x:c r="H54" s="190" t="str"/>
      <x:c r="I54" s="190" t="str">
        <x:v>C/USINAGEM COMPLETA</x:v>
      </x:c>
      <x:c r="J54" s="190" t="str"/>
      <x:c r="K54" s="190" t="str">
        <x:v>ESMALTE</x:v>
      </x:c>
      <x:c r="L54" s="190" t="str">
        <x:v>BRANCO CARRARA</x:v>
      </x:c>
      <x:c r="M54" s="210" t="n">
        <x:v>6</x:v>
      </x:c>
      <x:c r="N54" s="210" t="n">
        <x:v>2100</x:v>
      </x:c>
      <x:c r="O54" s="210" t="n">
        <x:v>720</x:v>
      </x:c>
      <x:c r="P54" s="210" t="n">
        <x:v>35</x:v>
      </x:c>
      <x:c r="Q54" s="211" t="n">
        <x:v>0.318</x:v>
      </x:c>
      <x:c r="R54" s="207" t="str"/>
      <x:c r="S54" s="207" t="str"/>
      <x:c r="T54" s="207" t="str"/>
      <x:c r="U54" s="207" t="n">
        <x:v>0</x:v>
      </x:c>
      <x:c r="V54" s="208" t="n">
        <x:f>MAX(0,M54-U54)</x:f>
        <x:v>6</x:v>
      </x:c>
      <x:c r="W54" s="209" t="n">
        <x:f>IFERROR(U54/M54,0)</x:f>
        <x:v>0</x:v>
      </x:c>
      <x:c r="X54" s="201" t="str">
        <x:f>IF(U54=0,"Não iniciado",IF(U54&gt;=M54,"Concluído","Parcial"))</x:f>
        <x:v>Não iniciado</x:v>
      </x:c>
      <x:c r="Y54" s="199" t="str"/>
      <x:c r="Z54" s="188" t="str">
        <x:v>Normal</x:v>
      </x:c>
    </x:row>
    <x:row r="55" ht="22" customHeight="1">
      <x:c r="A55" s="217" t="n">
        <x:v>51</x:v>
      </x:c>
      <x:c r="B55" s="218" t="str">
        <x:v>26739</x:v>
      </x:c>
      <x:c r="C55" s="218" t="str">
        <x:v>10</x:v>
      </x:c>
      <x:c r="D55" s="218" t="str">
        <x:v>609661</x:v>
      </x:c>
      <x:c r="E55" s="218" t="str">
        <x:v>4210012023</x:v>
      </x:c>
      <x:c r="F55" s="218" t="str">
        <x:v>OUTROS</x:v>
      </x:c>
      <x:c r="G55" s="184" t="str">
        <x:v>FP COLM HDF 3 2100x720x35 ESM BCO C C/US</x:v>
      </x:c>
      <x:c r="H55" s="184" t="str"/>
      <x:c r="I55" s="184" t="str">
        <x:v>C/USINAGEM COMPLETA</x:v>
      </x:c>
      <x:c r="J55" s="184" t="str"/>
      <x:c r="K55" s="184" t="str">
        <x:v>ESMALTE</x:v>
      </x:c>
      <x:c r="L55" s="184" t="str">
        <x:v>BRANCO CARRARA</x:v>
      </x:c>
      <x:c r="M55" s="205" t="n">
        <x:v>22</x:v>
      </x:c>
      <x:c r="N55" s="205" t="n">
        <x:v>2100</x:v>
      </x:c>
      <x:c r="O55" s="205" t="n">
        <x:v>720</x:v>
      </x:c>
      <x:c r="P55" s="205" t="n">
        <x:v>35</x:v>
      </x:c>
      <x:c r="Q55" s="206" t="n">
        <x:v>1.164</x:v>
      </x:c>
      <x:c r="R55" s="207" t="str"/>
      <x:c r="S55" s="207" t="str"/>
      <x:c r="T55" s="207" t="str"/>
      <x:c r="U55" s="207" t="n">
        <x:v>0</x:v>
      </x:c>
      <x:c r="V55" s="208" t="n">
        <x:f>MAX(0,M55-U55)</x:f>
        <x:v>22</x:v>
      </x:c>
      <x:c r="W55" s="209" t="n">
        <x:f>IFERROR(U55/M55,0)</x:f>
        <x:v>0</x:v>
      </x:c>
      <x:c r="X55" s="201" t="str">
        <x:f>IF(U55=0,"Não iniciado",IF(U55&gt;=M55,"Concluído","Parcial"))</x:f>
        <x:v>Não iniciado</x:v>
      </x:c>
      <x:c r="Y55" s="199" t="str"/>
      <x:c r="Z55" s="188" t="str">
        <x:v>Normal</x:v>
      </x:c>
    </x:row>
    <x:row r="56" ht="22" customHeight="1">
      <x:c r="A56" s="219" t="n">
        <x:v>52</x:v>
      </x:c>
      <x:c r="B56" s="220" t="str">
        <x:v>26739</x:v>
      </x:c>
      <x:c r="C56" s="220" t="str">
        <x:v>11</x:v>
      </x:c>
      <x:c r="D56" s="220" t="str">
        <x:v>609669</x:v>
      </x:c>
      <x:c r="E56" s="220" t="str">
        <x:v>4210012023</x:v>
      </x:c>
      <x:c r="F56" s="220" t="str">
        <x:v>OUTROS</x:v>
      </x:c>
      <x:c r="G56" s="190" t="str">
        <x:v>FP COLM HDF 3 2100x720x35 ESM BCO C C/US</x:v>
      </x:c>
      <x:c r="H56" s="190" t="str"/>
      <x:c r="I56" s="190" t="str">
        <x:v>C/USINAGEM COMPLETA</x:v>
      </x:c>
      <x:c r="J56" s="190" t="str"/>
      <x:c r="K56" s="190" t="str">
        <x:v>ESMALTE</x:v>
      </x:c>
      <x:c r="L56" s="190" t="str">
        <x:v>BRANCO CARRARA</x:v>
      </x:c>
      <x:c r="M56" s="210" t="n">
        <x:v>16</x:v>
      </x:c>
      <x:c r="N56" s="210" t="n">
        <x:v>2100</x:v>
      </x:c>
      <x:c r="O56" s="210" t="n">
        <x:v>720</x:v>
      </x:c>
      <x:c r="P56" s="210" t="n">
        <x:v>35</x:v>
      </x:c>
      <x:c r="Q56" s="211" t="n">
        <x:v>0.847</x:v>
      </x:c>
      <x:c r="R56" s="207" t="str"/>
      <x:c r="S56" s="207" t="str"/>
      <x:c r="T56" s="207" t="str"/>
      <x:c r="U56" s="207" t="n">
        <x:v>0</x:v>
      </x:c>
      <x:c r="V56" s="208" t="n">
        <x:f>MAX(0,M56-U56)</x:f>
        <x:v>16</x:v>
      </x:c>
      <x:c r="W56" s="209" t="n">
        <x:f>IFERROR(U56/M56,0)</x:f>
        <x:v>0</x:v>
      </x:c>
      <x:c r="X56" s="201" t="str">
        <x:f>IF(U56=0,"Não iniciado",IF(U56&gt;=M56,"Concluído","Parcial"))</x:f>
        <x:v>Não iniciado</x:v>
      </x:c>
      <x:c r="Y56" s="199" t="str"/>
      <x:c r="Z56" s="188" t="str">
        <x:v>Normal</x:v>
      </x:c>
    </x:row>
    <x:row r="57" ht="22" customHeight="1">
      <x:c r="A57" s="217" t="n">
        <x:v>53</x:v>
      </x:c>
      <x:c r="B57" s="218" t="str">
        <x:v>26739</x:v>
      </x:c>
      <x:c r="C57" s="218" t="str">
        <x:v>12</x:v>
      </x:c>
      <x:c r="D57" s="218" t="str">
        <x:v>609677</x:v>
      </x:c>
      <x:c r="E57" s="218" t="str">
        <x:v>4210012023</x:v>
      </x:c>
      <x:c r="F57" s="218" t="str">
        <x:v>OUTROS</x:v>
      </x:c>
      <x:c r="G57" s="184" t="str">
        <x:v>FP COLM HDF 3 2100x720x35 ESM BCO C C/US</x:v>
      </x:c>
      <x:c r="H57" s="184" t="str"/>
      <x:c r="I57" s="184" t="str">
        <x:v>C/USINAGEM COMPLETA</x:v>
      </x:c>
      <x:c r="J57" s="184" t="str"/>
      <x:c r="K57" s="184" t="str">
        <x:v>ESMALTE</x:v>
      </x:c>
      <x:c r="L57" s="184" t="str">
        <x:v>BRANCO CARRARA</x:v>
      </x:c>
      <x:c r="M57" s="205" t="n">
        <x:v>1</x:v>
      </x:c>
      <x:c r="N57" s="205" t="n">
        <x:v>2100</x:v>
      </x:c>
      <x:c r="O57" s="205" t="n">
        <x:v>720</x:v>
      </x:c>
      <x:c r="P57" s="205" t="n">
        <x:v>35</x:v>
      </x:c>
      <x:c r="Q57" s="206" t="n">
        <x:v>0.053</x:v>
      </x:c>
      <x:c r="R57" s="207" t="str"/>
      <x:c r="S57" s="207" t="str"/>
      <x:c r="T57" s="207" t="str"/>
      <x:c r="U57" s="207" t="n">
        <x:v>0</x:v>
      </x:c>
      <x:c r="V57" s="208" t="n">
        <x:f>MAX(0,M57-U57)</x:f>
        <x:v>1</x:v>
      </x:c>
      <x:c r="W57" s="209" t="n">
        <x:f>IFERROR(U57/M57,0)</x:f>
        <x:v>0</x:v>
      </x:c>
      <x:c r="X57" s="201" t="str">
        <x:f>IF(U57=0,"Não iniciado",IF(U57&gt;=M57,"Concluído","Parcial"))</x:f>
        <x:v>Não iniciado</x:v>
      </x:c>
      <x:c r="Y57" s="199" t="str"/>
      <x:c r="Z57" s="188" t="str">
        <x:v>Normal</x:v>
      </x:c>
    </x:row>
    <x:row r="58" ht="22" customHeight="1">
      <x:c r="A58" s="219" t="n">
        <x:v>54</x:v>
      </x:c>
      <x:c r="B58" s="220" t="str">
        <x:v>26750</x:v>
      </x:c>
      <x:c r="C58" s="220" t="str">
        <x:v>11</x:v>
      </x:c>
      <x:c r="D58" s="220" t="str">
        <x:v>609818</x:v>
      </x:c>
      <x:c r="E58" s="220" t="str">
        <x:v>4210012023</x:v>
      </x:c>
      <x:c r="F58" s="220" t="str">
        <x:v>OUTROS</x:v>
      </x:c>
      <x:c r="G58" s="190" t="str">
        <x:v>FP COLM HDF 3 2100x720x35 ESM BCO C C/US</x:v>
      </x:c>
      <x:c r="H58" s="190" t="str"/>
      <x:c r="I58" s="190" t="str">
        <x:v>C/USINAGEM COMPLETA</x:v>
      </x:c>
      <x:c r="J58" s="190" t="str"/>
      <x:c r="K58" s="190" t="str">
        <x:v>ESMALTE</x:v>
      </x:c>
      <x:c r="L58" s="190" t="str">
        <x:v>BRANCO CARRARA</x:v>
      </x:c>
      <x:c r="M58" s="210" t="n">
        <x:v>12</x:v>
      </x:c>
      <x:c r="N58" s="210" t="n">
        <x:v>2100</x:v>
      </x:c>
      <x:c r="O58" s="210" t="n">
        <x:v>720</x:v>
      </x:c>
      <x:c r="P58" s="210" t="n">
        <x:v>35</x:v>
      </x:c>
      <x:c r="Q58" s="211" t="n">
        <x:v>0.635</x:v>
      </x:c>
      <x:c r="R58" s="207" t="str"/>
      <x:c r="S58" s="207" t="str"/>
      <x:c r="T58" s="207" t="str"/>
      <x:c r="U58" s="207" t="n">
        <x:v>0</x:v>
      </x:c>
      <x:c r="V58" s="208" t="n">
        <x:f>MAX(0,M58-U58)</x:f>
        <x:v>12</x:v>
      </x:c>
      <x:c r="W58" s="209" t="n">
        <x:f>IFERROR(U58/M58,0)</x:f>
        <x:v>0</x:v>
      </x:c>
      <x:c r="X58" s="201" t="str">
        <x:f>IF(U58=0,"Não iniciado",IF(U58&gt;=M58,"Concluído","Parcial"))</x:f>
        <x:v>Não iniciado</x:v>
      </x:c>
      <x:c r="Y58" s="199" t="str"/>
      <x:c r="Z58" s="188" t="str">
        <x:v>Normal</x:v>
      </x:c>
    </x:row>
    <x:row r="59" ht="22" customHeight="1">
      <x:c r="A59" s="217" t="n">
        <x:v>55</x:v>
      </x:c>
      <x:c r="B59" s="218" t="str">
        <x:v>26750</x:v>
      </x:c>
      <x:c r="C59" s="218" t="str">
        <x:v>12</x:v>
      </x:c>
      <x:c r="D59" s="218" t="str">
        <x:v>609826</x:v>
      </x:c>
      <x:c r="E59" s="218" t="str">
        <x:v>4210012023</x:v>
      </x:c>
      <x:c r="F59" s="218" t="str">
        <x:v>OUTROS</x:v>
      </x:c>
      <x:c r="G59" s="184" t="str">
        <x:v>FP COLM HDF 3 2100x720x35 ESM BCO C C/US</x:v>
      </x:c>
      <x:c r="H59" s="184" t="str"/>
      <x:c r="I59" s="184" t="str">
        <x:v>C/USINAGEM COMPLETA</x:v>
      </x:c>
      <x:c r="J59" s="184" t="str"/>
      <x:c r="K59" s="184" t="str">
        <x:v>ESMALTE</x:v>
      </x:c>
      <x:c r="L59" s="184" t="str">
        <x:v>BRANCO CARRARA</x:v>
      </x:c>
      <x:c r="M59" s="205" t="n">
        <x:v>4</x:v>
      </x:c>
      <x:c r="N59" s="205" t="n">
        <x:v>2100</x:v>
      </x:c>
      <x:c r="O59" s="205" t="n">
        <x:v>720</x:v>
      </x:c>
      <x:c r="P59" s="205" t="n">
        <x:v>35</x:v>
      </x:c>
      <x:c r="Q59" s="206" t="n">
        <x:v>0.212</x:v>
      </x:c>
      <x:c r="R59" s="207" t="str"/>
      <x:c r="S59" s="207" t="str"/>
      <x:c r="T59" s="207" t="str"/>
      <x:c r="U59" s="207" t="n">
        <x:v>0</x:v>
      </x:c>
      <x:c r="V59" s="208" t="n">
        <x:f>MAX(0,M59-U59)</x:f>
        <x:v>4</x:v>
      </x:c>
      <x:c r="W59" s="209" t="n">
        <x:f>IFERROR(U59/M59,0)</x:f>
        <x:v>0</x:v>
      </x:c>
      <x:c r="X59" s="201" t="str">
        <x:f>IF(U59=0,"Não iniciado",IF(U59&gt;=M59,"Concluído","Parcial"))</x:f>
        <x:v>Não iniciado</x:v>
      </x:c>
      <x:c r="Y59" s="199" t="str"/>
      <x:c r="Z59" s="188" t="str">
        <x:v>Normal</x:v>
      </x:c>
    </x:row>
    <x:row r="60" ht="22" customHeight="1">
      <x:c r="A60" s="219" t="n">
        <x:v>56</x:v>
      </x:c>
      <x:c r="B60" s="220" t="str">
        <x:v>26750</x:v>
      </x:c>
      <x:c r="C60" s="220" t="str">
        <x:v>13</x:v>
      </x:c>
      <x:c r="D60" s="220" t="str">
        <x:v>609834</x:v>
      </x:c>
      <x:c r="E60" s="220" t="str">
        <x:v>4210012023</x:v>
      </x:c>
      <x:c r="F60" s="220" t="str">
        <x:v>OUTROS</x:v>
      </x:c>
      <x:c r="G60" s="190" t="str">
        <x:v>FP COLM HDF 3 2100x720x35 ESM BCO C C/US</x:v>
      </x:c>
      <x:c r="H60" s="190" t="str"/>
      <x:c r="I60" s="190" t="str">
        <x:v>C/USINAGEM COMPLETA</x:v>
      </x:c>
      <x:c r="J60" s="190" t="str"/>
      <x:c r="K60" s="190" t="str">
        <x:v>ESMALTE</x:v>
      </x:c>
      <x:c r="L60" s="190" t="str">
        <x:v>BRANCO CARRARA</x:v>
      </x:c>
      <x:c r="M60" s="210" t="n">
        <x:v>28</x:v>
      </x:c>
      <x:c r="N60" s="210" t="n">
        <x:v>2100</x:v>
      </x:c>
      <x:c r="O60" s="210" t="n">
        <x:v>720</x:v>
      </x:c>
      <x:c r="P60" s="210" t="n">
        <x:v>35</x:v>
      </x:c>
      <x:c r="Q60" s="211" t="n">
        <x:v>1.482</x:v>
      </x:c>
      <x:c r="R60" s="207" t="str"/>
      <x:c r="S60" s="207" t="str"/>
      <x:c r="T60" s="207" t="str"/>
      <x:c r="U60" s="207" t="n">
        <x:v>0</x:v>
      </x:c>
      <x:c r="V60" s="208" t="n">
        <x:f>MAX(0,M60-U60)</x:f>
        <x:v>28</x:v>
      </x:c>
      <x:c r="W60" s="209" t="n">
        <x:f>IFERROR(U60/M60,0)</x:f>
        <x:v>0</x:v>
      </x:c>
      <x:c r="X60" s="201" t="str">
        <x:f>IF(U60=0,"Não iniciado",IF(U60&gt;=M60,"Concluído","Parcial"))</x:f>
        <x:v>Não iniciado</x:v>
      </x:c>
      <x:c r="Y60" s="199" t="str"/>
      <x:c r="Z60" s="188" t="str">
        <x:v>Normal</x:v>
      </x:c>
    </x:row>
    <x:row r="61" ht="22" customHeight="1">
      <x:c r="A61" s="217" t="n">
        <x:v>57</x:v>
      </x:c>
      <x:c r="B61" s="218" t="str">
        <x:v>26750</x:v>
      </x:c>
      <x:c r="C61" s="218" t="str">
        <x:v>14</x:v>
      </x:c>
      <x:c r="D61" s="218" t="str">
        <x:v>609842</x:v>
      </x:c>
      <x:c r="E61" s="218" t="str">
        <x:v>4210012023</x:v>
      </x:c>
      <x:c r="F61" s="218" t="str">
        <x:v>OUTROS</x:v>
      </x:c>
      <x:c r="G61" s="184" t="str">
        <x:v>FP COLM HDF 3 2100x720x35 ESM BCO C C/US</x:v>
      </x:c>
      <x:c r="H61" s="184" t="str"/>
      <x:c r="I61" s="184" t="str">
        <x:v>C/USINAGEM COMPLETA</x:v>
      </x:c>
      <x:c r="J61" s="184" t="str"/>
      <x:c r="K61" s="184" t="str">
        <x:v>ESMALTE</x:v>
      </x:c>
      <x:c r="L61" s="184" t="str">
        <x:v>BRANCO CARRARA</x:v>
      </x:c>
      <x:c r="M61" s="205" t="n">
        <x:v>19</x:v>
      </x:c>
      <x:c r="N61" s="205" t="n">
        <x:v>2100</x:v>
      </x:c>
      <x:c r="O61" s="205" t="n">
        <x:v>720</x:v>
      </x:c>
      <x:c r="P61" s="205" t="n">
        <x:v>35</x:v>
      </x:c>
      <x:c r="Q61" s="206" t="n">
        <x:v>1.005</x:v>
      </x:c>
      <x:c r="R61" s="207" t="str"/>
      <x:c r="S61" s="207" t="str"/>
      <x:c r="T61" s="207" t="str"/>
      <x:c r="U61" s="207" t="n">
        <x:v>0</x:v>
      </x:c>
      <x:c r="V61" s="208" t="n">
        <x:f>MAX(0,M61-U61)</x:f>
        <x:v>19</x:v>
      </x:c>
      <x:c r="W61" s="209" t="n">
        <x:f>IFERROR(U61/M61,0)</x:f>
        <x:v>0</x:v>
      </x:c>
      <x:c r="X61" s="201" t="str">
        <x:f>IF(U61=0,"Não iniciado",IF(U61&gt;=M61,"Concluído","Parcial"))</x:f>
        <x:v>Não iniciado</x:v>
      </x:c>
      <x:c r="Y61" s="199" t="str"/>
      <x:c r="Z61" s="188" t="str">
        <x:v>Normal</x:v>
      </x:c>
    </x:row>
    <x:row r="62" ht="22" customHeight="1">
      <x:c r="A62" s="219" t="n">
        <x:v>58</x:v>
      </x:c>
      <x:c r="B62" s="220" t="str">
        <x:v>26750</x:v>
      </x:c>
      <x:c r="C62" s="220" t="str">
        <x:v>15</x:v>
      </x:c>
      <x:c r="D62" s="220" t="str">
        <x:v>609850</x:v>
      </x:c>
      <x:c r="E62" s="220" t="str">
        <x:v>4210012023</x:v>
      </x:c>
      <x:c r="F62" s="220" t="str">
        <x:v>OUTROS</x:v>
      </x:c>
      <x:c r="G62" s="190" t="str">
        <x:v>FP COLM HDF 3 2100x720x35 ESM BCO C C/US</x:v>
      </x:c>
      <x:c r="H62" s="190" t="str"/>
      <x:c r="I62" s="190" t="str">
        <x:v>C/USINAGEM COMPLETA</x:v>
      </x:c>
      <x:c r="J62" s="190" t="str"/>
      <x:c r="K62" s="190" t="str">
        <x:v>ESMALTE</x:v>
      </x:c>
      <x:c r="L62" s="190" t="str">
        <x:v>BRANCO CARRARA</x:v>
      </x:c>
      <x:c r="M62" s="210" t="n">
        <x:v>4</x:v>
      </x:c>
      <x:c r="N62" s="210" t="n">
        <x:v>2100</x:v>
      </x:c>
      <x:c r="O62" s="210" t="n">
        <x:v>720</x:v>
      </x:c>
      <x:c r="P62" s="210" t="n">
        <x:v>35</x:v>
      </x:c>
      <x:c r="Q62" s="211" t="n">
        <x:v>0.212</x:v>
      </x:c>
      <x:c r="R62" s="207" t="str"/>
      <x:c r="S62" s="207" t="str"/>
      <x:c r="T62" s="207" t="str"/>
      <x:c r="U62" s="207" t="n">
        <x:v>0</x:v>
      </x:c>
      <x:c r="V62" s="208" t="n">
        <x:f>MAX(0,M62-U62)</x:f>
        <x:v>4</x:v>
      </x:c>
      <x:c r="W62" s="209" t="n">
        <x:f>IFERROR(U62/M62,0)</x:f>
        <x:v>0</x:v>
      </x:c>
      <x:c r="X62" s="201" t="str">
        <x:f>IF(U62=0,"Não iniciado",IF(U62&gt;=M62,"Concluído","Parcial"))</x:f>
        <x:v>Não iniciado</x:v>
      </x:c>
      <x:c r="Y62" s="199" t="str"/>
      <x:c r="Z62" s="188" t="str">
        <x:v>Normal</x:v>
      </x:c>
    </x:row>
    <x:row r="63" ht="22" customHeight="1">
      <x:c r="A63" s="217" t="n">
        <x:v>59</x:v>
      </x:c>
      <x:c r="B63" s="218" t="str">
        <x:v>26520</x:v>
      </x:c>
      <x:c r="C63" s="218" t="str">
        <x:v>3</x:v>
      </x:c>
      <x:c r="D63" s="218" t="str">
        <x:v>610085</x:v>
      </x:c>
      <x:c r="E63" s="218" t="str">
        <x:v>3041300548</x:v>
      </x:c>
      <x:c r="F63" s="218" t="str">
        <x:v>PORTA</x:v>
      </x:c>
      <x:c r="G63" s="184" t="str">
        <x:v>FO POR SEM HDF 3 2100X720X35 PET CI VE C</x:v>
      </x:c>
      <x:c r="H63" s="184" t="str"/>
      <x:c r="I63" s="184" t="str"/>
      <x:c r="J63" s="184" t="str"/>
      <x:c r="K63" s="184" t="str">
        <x:v>RECOBERTO PET</x:v>
      </x:c>
      <x:c r="L63" s="184" t="str">
        <x:v>CINZA VERONA</x:v>
      </x:c>
      <x:c r="M63" s="205" t="n">
        <x:v>4</x:v>
      </x:c>
      <x:c r="N63" s="205" t="n">
        <x:v>2100</x:v>
      </x:c>
      <x:c r="O63" s="205" t="n">
        <x:v>720</x:v>
      </x:c>
      <x:c r="P63" s="205" t="n">
        <x:v>35</x:v>
      </x:c>
      <x:c r="Q63" s="206" t="n">
        <x:v>0.212</x:v>
      </x:c>
      <x:c r="R63" s="207" t="str"/>
      <x:c r="S63" s="207" t="str"/>
      <x:c r="T63" s="207" t="str"/>
      <x:c r="U63" s="207" t="n">
        <x:v>0</x:v>
      </x:c>
      <x:c r="V63" s="208" t="n">
        <x:f>MAX(0,M63-U63)</x:f>
        <x:v>4</x:v>
      </x:c>
      <x:c r="W63" s="209" t="n">
        <x:f>IFERROR(U63/M63,0)</x:f>
        <x:v>0</x:v>
      </x:c>
      <x:c r="X63" s="201" t="str">
        <x:f>IF(U63=0,"Não iniciado",IF(U63&gt;=M63,"Concluído","Parcial"))</x:f>
        <x:v>Não iniciado</x:v>
      </x:c>
      <x:c r="Y63" s="199" t="str"/>
      <x:c r="Z63" s="188" t="str">
        <x:v>Normal</x:v>
      </x:c>
    </x:row>
    <x:row r="64" ht="22" customHeight="1">
      <x:c r="A64" s="219" t="n">
        <x:v>60</x:v>
      </x:c>
      <x:c r="B64" s="220" t="str">
        <x:v>26520</x:v>
      </x:c>
      <x:c r="C64" s="220" t="str">
        <x:v>4</x:v>
      </x:c>
      <x:c r="D64" s="220" t="str">
        <x:v>610093</x:v>
      </x:c>
      <x:c r="E64" s="220" t="str">
        <x:v>3041300548</x:v>
      </x:c>
      <x:c r="F64" s="220" t="str">
        <x:v>PORTA</x:v>
      </x:c>
      <x:c r="G64" s="190" t="str">
        <x:v>FO POR SEM HDF 3 2100X720X35 PET CI VE C</x:v>
      </x:c>
      <x:c r="H64" s="190" t="str"/>
      <x:c r="I64" s="190" t="str"/>
      <x:c r="J64" s="190" t="str"/>
      <x:c r="K64" s="190" t="str">
        <x:v>RECOBERTO PET</x:v>
      </x:c>
      <x:c r="L64" s="190" t="str">
        <x:v>CINZA VERONA</x:v>
      </x:c>
      <x:c r="M64" s="210" t="n">
        <x:v>4</x:v>
      </x:c>
      <x:c r="N64" s="210" t="n">
        <x:v>2100</x:v>
      </x:c>
      <x:c r="O64" s="210" t="n">
        <x:v>720</x:v>
      </x:c>
      <x:c r="P64" s="210" t="n">
        <x:v>35</x:v>
      </x:c>
      <x:c r="Q64" s="211" t="n">
        <x:v>0.212</x:v>
      </x:c>
      <x:c r="R64" s="207" t="str"/>
      <x:c r="S64" s="207" t="str"/>
      <x:c r="T64" s="207" t="str"/>
      <x:c r="U64" s="207" t="n">
        <x:v>0</x:v>
      </x:c>
      <x:c r="V64" s="208" t="n">
        <x:f>MAX(0,M64-U64)</x:f>
        <x:v>4</x:v>
      </x:c>
      <x:c r="W64" s="209" t="n">
        <x:f>IFERROR(U64/M64,0)</x:f>
        <x:v>0</x:v>
      </x:c>
      <x:c r="X64" s="201" t="str">
        <x:f>IF(U64=0,"Não iniciado",IF(U64&gt;=M64,"Concluído","Parcial"))</x:f>
        <x:v>Não iniciado</x:v>
      </x:c>
      <x:c r="Y64" s="199" t="str"/>
      <x:c r="Z64" s="188" t="str">
        <x:v>Normal</x:v>
      </x:c>
    </x:row>
    <x:row r="65" ht="22" customHeight="1">
      <x:c r="A65" s="217" t="n">
        <x:v>61</x:v>
      </x:c>
      <x:c r="B65" s="218" t="str">
        <x:v>26520</x:v>
      </x:c>
      <x:c r="C65" s="218" t="str">
        <x:v>7</x:v>
      </x:c>
      <x:c r="D65" s="218" t="str">
        <x:v>610110</x:v>
      </x:c>
      <x:c r="E65" s="218" t="str">
        <x:v>3051300070</x:v>
      </x:c>
      <x:c r="F65" s="218" t="str">
        <x:v>PORTA</x:v>
      </x:c>
      <x:c r="G65" s="184" t="str">
        <x:v>FO P COR SEM HDF 3 2100X720X35 PET C RA</x:v>
      </x:c>
      <x:c r="H65" s="184" t="str">
        <x:v>LISA</x:v>
      </x:c>
      <x:c r="I65" s="184" t="str"/>
      <x:c r="J65" s="184" t="str"/>
      <x:c r="K65" s="184" t="str">
        <x:v>RECOBERTO PET</x:v>
      </x:c>
      <x:c r="L65" s="184" t="str">
        <x:v>CURUPIXA RAVENNA</x:v>
      </x:c>
      <x:c r="M65" s="205" t="n">
        <x:v>1</x:v>
      </x:c>
      <x:c r="N65" s="205" t="n">
        <x:v>2100</x:v>
      </x:c>
      <x:c r="O65" s="205" t="n">
        <x:v>720</x:v>
      </x:c>
      <x:c r="P65" s="205" t="n">
        <x:v>35</x:v>
      </x:c>
      <x:c r="Q65" s="206" t="n">
        <x:v>0.053</x:v>
      </x:c>
      <x:c r="R65" s="207" t="str"/>
      <x:c r="S65" s="207" t="str"/>
      <x:c r="T65" s="207" t="str"/>
      <x:c r="U65" s="207" t="n">
        <x:v>0</x:v>
      </x:c>
      <x:c r="V65" s="208" t="n">
        <x:f>MAX(0,M65-U65)</x:f>
        <x:v>1</x:v>
      </x:c>
      <x:c r="W65" s="209" t="n">
        <x:f>IFERROR(U65/M65,0)</x:f>
        <x:v>0</x:v>
      </x:c>
      <x:c r="X65" s="201" t="str">
        <x:f>IF(U65=0,"Não iniciado",IF(U65&gt;=M65,"Concluído","Parcial"))</x:f>
        <x:v>Não iniciado</x:v>
      </x:c>
      <x:c r="Y65" s="199" t="str"/>
      <x:c r="Z65" s="188" t="str">
        <x:v>Normal</x:v>
      </x:c>
    </x:row>
    <x:row r="66" ht="22" customHeight="1">
      <x:c r="A66" s="219" t="n">
        <x:v>62</x:v>
      </x:c>
      <x:c r="B66" s="220" t="str">
        <x:v>26520</x:v>
      </x:c>
      <x:c r="C66" s="220" t="str">
        <x:v>11</x:v>
      </x:c>
      <x:c r="D66" s="220" t="str">
        <x:v>610130</x:v>
      </x:c>
      <x:c r="E66" s="220" t="str">
        <x:v>3041300550</x:v>
      </x:c>
      <x:c r="F66" s="220" t="str">
        <x:v>PORTA</x:v>
      </x:c>
      <x:c r="G66" s="190" t="str">
        <x:v>FO POR SEM HDF 3 2100X720X35 PET C RA C/</x:v>
      </x:c>
      <x:c r="H66" s="190" t="str"/>
      <x:c r="I66" s="190" t="str"/>
      <x:c r="J66" s="190" t="str"/>
      <x:c r="K66" s="190" t="str">
        <x:v>RECOBERTO PET</x:v>
      </x:c>
      <x:c r="L66" s="190" t="str">
        <x:v>CURUPIXA RAVENNA</x:v>
      </x:c>
      <x:c r="M66" s="210" t="n">
        <x:v>3</x:v>
      </x:c>
      <x:c r="N66" s="210" t="n">
        <x:v>2100</x:v>
      </x:c>
      <x:c r="O66" s="210" t="n">
        <x:v>720</x:v>
      </x:c>
      <x:c r="P66" s="210" t="n">
        <x:v>35</x:v>
      </x:c>
      <x:c r="Q66" s="211" t="n">
        <x:v>0.159</x:v>
      </x:c>
      <x:c r="R66" s="207" t="str"/>
      <x:c r="S66" s="207" t="str"/>
      <x:c r="T66" s="207" t="str"/>
      <x:c r="U66" s="207" t="n">
        <x:v>0</x:v>
      </x:c>
      <x:c r="V66" s="208" t="n">
        <x:f>MAX(0,M66-U66)</x:f>
        <x:v>3</x:v>
      </x:c>
      <x:c r="W66" s="209" t="n">
        <x:f>IFERROR(U66/M66,0)</x:f>
        <x:v>0</x:v>
      </x:c>
      <x:c r="X66" s="201" t="str">
        <x:f>IF(U66=0,"Não iniciado",IF(U66&gt;=M66,"Concluído","Parcial"))</x:f>
        <x:v>Não iniciado</x:v>
      </x:c>
      <x:c r="Y66" s="199" t="str"/>
      <x:c r="Z66" s="188" t="str">
        <x:v>Normal</x:v>
      </x:c>
    </x:row>
    <x:row r="67" ht="22" customHeight="1">
      <x:c r="A67" s="217" t="n">
        <x:v>63</x:v>
      </x:c>
      <x:c r="B67" s="218" t="str">
        <x:v>26747</x:v>
      </x:c>
      <x:c r="C67" s="218" t="str">
        <x:v>4</x:v>
      </x:c>
      <x:c r="D67" s="218" t="str">
        <x:v>609006</x:v>
      </x:c>
      <x:c r="E67" s="218" t="str">
        <x:v>4210012020</x:v>
      </x:c>
      <x:c r="F67" s="218" t="str">
        <x:v>OUTROS</x:v>
      </x:c>
      <x:c r="G67" s="184" t="str">
        <x:v>FP COLM HDF 3 2100x700x35 ESM BCO C C/US</x:v>
      </x:c>
      <x:c r="H67" s="184" t="str">
        <x:v>LISA</x:v>
      </x:c>
      <x:c r="I67" s="184" t="str">
        <x:v>C/USINAGEM COMPLETA</x:v>
      </x:c>
      <x:c r="J67" s="184" t="str"/>
      <x:c r="K67" s="184" t="str">
        <x:v>ESMALTE</x:v>
      </x:c>
      <x:c r="L67" s="184" t="str">
        <x:v>BRANCO CARRARA</x:v>
      </x:c>
      <x:c r="M67" s="205" t="n">
        <x:v>2</x:v>
      </x:c>
      <x:c r="N67" s="205" t="n">
        <x:v>2100</x:v>
      </x:c>
      <x:c r="O67" s="205" t="n">
        <x:v>700</x:v>
      </x:c>
      <x:c r="P67" s="205" t="n">
        <x:v>35</x:v>
      </x:c>
      <x:c r="Q67" s="206" t="n">
        <x:v>0.103</x:v>
      </x:c>
      <x:c r="R67" s="207" t="str"/>
      <x:c r="S67" s="207" t="str"/>
      <x:c r="T67" s="207" t="str"/>
      <x:c r="U67" s="207" t="n">
        <x:v>0</x:v>
      </x:c>
      <x:c r="V67" s="208" t="n">
        <x:f>MAX(0,M67-U67)</x:f>
        <x:v>2</x:v>
      </x:c>
      <x:c r="W67" s="209" t="n">
        <x:f>IFERROR(U67/M67,0)</x:f>
        <x:v>0</x:v>
      </x:c>
      <x:c r="X67" s="201" t="str">
        <x:f>IF(U67=0,"Não iniciado",IF(U67&gt;=M67,"Concluído","Parcial"))</x:f>
        <x:v>Não iniciado</x:v>
      </x:c>
      <x:c r="Y67" s="199" t="str"/>
      <x:c r="Z67" s="188" t="str">
        <x:v>Normal</x:v>
      </x:c>
    </x:row>
    <x:row r="68" ht="22" customHeight="1">
      <x:c r="A68" s="219" t="n">
        <x:v>64</x:v>
      </x:c>
      <x:c r="B68" s="220" t="str">
        <x:v>26747</x:v>
      </x:c>
      <x:c r="C68" s="220" t="str">
        <x:v>10</x:v>
      </x:c>
      <x:c r="D68" s="220" t="str">
        <x:v>609018</x:v>
      </x:c>
      <x:c r="E68" s="220" t="str">
        <x:v>5210192006</x:v>
      </x:c>
      <x:c r="F68" s="220" t="str">
        <x:v>OUTROS</x:v>
      </x:c>
      <x:c r="G68" s="190" t="str">
        <x:v>FPC COLM HDF 3 2100x700x35 ESM BCO C C/U</x:v>
      </x:c>
      <x:c r="H68" s="190" t="str">
        <x:v>LISA</x:v>
      </x:c>
      <x:c r="I68" s="190" t="str"/>
      <x:c r="J68" s="190" t="str"/>
      <x:c r="K68" s="190" t="str">
        <x:v>ESMALTE</x:v>
      </x:c>
      <x:c r="L68" s="190" t="str">
        <x:v>BRANCO CARRARA</x:v>
      </x:c>
      <x:c r="M68" s="210" t="n">
        <x:v>1</x:v>
      </x:c>
      <x:c r="N68" s="210" t="n">
        <x:v>2100</x:v>
      </x:c>
      <x:c r="O68" s="210" t="n">
        <x:v>700</x:v>
      </x:c>
      <x:c r="P68" s="210" t="n">
        <x:v>35</x:v>
      </x:c>
      <x:c r="Q68" s="211" t="n">
        <x:v>0.051</x:v>
      </x:c>
      <x:c r="R68" s="207" t="str"/>
      <x:c r="S68" s="207" t="str"/>
      <x:c r="T68" s="207" t="str"/>
      <x:c r="U68" s="207" t="n">
        <x:v>0</x:v>
      </x:c>
      <x:c r="V68" s="208" t="n">
        <x:f>MAX(0,M68-U68)</x:f>
        <x:v>1</x:v>
      </x:c>
      <x:c r="W68" s="209" t="n">
        <x:f>IFERROR(U68/M68,0)</x:f>
        <x:v>0</x:v>
      </x:c>
      <x:c r="X68" s="201" t="str">
        <x:f>IF(U68=0,"Não iniciado",IF(U68&gt;=M68,"Concluído","Parcial"))</x:f>
        <x:v>Não iniciado</x:v>
      </x:c>
      <x:c r="Y68" s="199" t="str"/>
      <x:c r="Z68" s="188" t="str">
        <x:v>Normal</x:v>
      </x:c>
    </x:row>
    <x:row r="69" ht="22" customHeight="1">
      <x:c r="A69" s="217" t="n">
        <x:v>65</x:v>
      </x:c>
      <x:c r="B69" s="218" t="str">
        <x:v>26744</x:v>
      </x:c>
      <x:c r="C69" s="218" t="str">
        <x:v>2</x:v>
      </x:c>
      <x:c r="D69" s="218" t="str">
        <x:v>610003</x:v>
      </x:c>
      <x:c r="E69" s="218" t="str">
        <x:v>3041500675</x:v>
      </x:c>
      <x:c r="F69" s="218" t="str">
        <x:v>PORTA</x:v>
      </x:c>
      <x:c r="G69" s="184" t="str">
        <x:v>FO POR S BD HDF 3 RU 2100X700X35 PET BCO</x:v>
      </x:c>
      <x:c r="H69" s="184" t="str"/>
      <x:c r="I69" s="184" t="str"/>
      <x:c r="J69" s="184" t="str"/>
      <x:c r="K69" s="184" t="str">
        <x:v>RECOBERTO PET</x:v>
      </x:c>
      <x:c r="L69" s="184" t="str">
        <x:v>BRANCO CARRARA</x:v>
      </x:c>
      <x:c r="M69" s="205" t="n">
        <x:v>5</x:v>
      </x:c>
      <x:c r="N69" s="205" t="n">
        <x:v>2100</x:v>
      </x:c>
      <x:c r="O69" s="205" t="n">
        <x:v>700</x:v>
      </x:c>
      <x:c r="P69" s="205" t="n">
        <x:v>35</x:v>
      </x:c>
      <x:c r="Q69" s="206" t="n">
        <x:v>0.257</x:v>
      </x:c>
      <x:c r="R69" s="207" t="str"/>
      <x:c r="S69" s="207" t="str"/>
      <x:c r="T69" s="207" t="str"/>
      <x:c r="U69" s="207" t="n">
        <x:v>0</x:v>
      </x:c>
      <x:c r="V69" s="208" t="n">
        <x:f>MAX(0,M69-U69)</x:f>
        <x:v>5</x:v>
      </x:c>
      <x:c r="W69" s="209" t="n">
        <x:f>IFERROR(U69/M69,0)</x:f>
        <x:v>0</x:v>
      </x:c>
      <x:c r="X69" s="201" t="str">
        <x:f>IF(U69=0,"Não iniciado",IF(U69&gt;=M69,"Concluído","Parcial"))</x:f>
        <x:v>Não iniciado</x:v>
      </x:c>
      <x:c r="Y69" s="199" t="str"/>
      <x:c r="Z69" s="188" t="str">
        <x:v>Normal</x:v>
      </x:c>
    </x:row>
    <x:row r="70" ht="22" customHeight="1">
      <x:c r="A70" s="219" t="n">
        <x:v>66</x:v>
      </x:c>
      <x:c r="B70" s="220" t="str">
        <x:v>26744</x:v>
      </x:c>
      <x:c r="C70" s="220" t="str">
        <x:v>3</x:v>
      </x:c>
      <x:c r="D70" s="220" t="str">
        <x:v>610012</x:v>
      </x:c>
      <x:c r="E70" s="220" t="str">
        <x:v>3041500675</x:v>
      </x:c>
      <x:c r="F70" s="220" t="str">
        <x:v>PORTA</x:v>
      </x:c>
      <x:c r="G70" s="190" t="str">
        <x:v>FO POR S BD HDF 3 RU 2100X700X35 PET BCO</x:v>
      </x:c>
      <x:c r="H70" s="190" t="str"/>
      <x:c r="I70" s="190" t="str"/>
      <x:c r="J70" s="190" t="str"/>
      <x:c r="K70" s="190" t="str">
        <x:v>RECOBERTO PET</x:v>
      </x:c>
      <x:c r="L70" s="190" t="str">
        <x:v>BRANCO CARRARA</x:v>
      </x:c>
      <x:c r="M70" s="210" t="n">
        <x:v>1</x:v>
      </x:c>
      <x:c r="N70" s="210" t="n">
        <x:v>2100</x:v>
      </x:c>
      <x:c r="O70" s="210" t="n">
        <x:v>700</x:v>
      </x:c>
      <x:c r="P70" s="210" t="n">
        <x:v>35</x:v>
      </x:c>
      <x:c r="Q70" s="211" t="n">
        <x:v>0.051</x:v>
      </x:c>
      <x:c r="R70" s="207" t="str"/>
      <x:c r="S70" s="207" t="str"/>
      <x:c r="T70" s="207" t="str"/>
      <x:c r="U70" s="207" t="n">
        <x:v>0</x:v>
      </x:c>
      <x:c r="V70" s="208" t="n">
        <x:f>MAX(0,M70-U70)</x:f>
        <x:v>1</x:v>
      </x:c>
      <x:c r="W70" s="209" t="n">
        <x:f>IFERROR(U70/M70,0)</x:f>
        <x:v>0</x:v>
      </x:c>
      <x:c r="X70" s="201" t="str">
        <x:f>IF(U70=0,"Não iniciado",IF(U70&gt;=M70,"Concluído","Parcial"))</x:f>
        <x:v>Não iniciado</x:v>
      </x:c>
      <x:c r="Y70" s="199" t="str"/>
      <x:c r="Z70" s="188" t="str">
        <x:v>Normal</x:v>
      </x:c>
    </x:row>
    <x:row r="71" ht="22" customHeight="1">
      <x:c r="A71" s="217" t="n">
        <x:v>67</x:v>
      </x:c>
      <x:c r="B71" s="218" t="str">
        <x:v>26744</x:v>
      </x:c>
      <x:c r="C71" s="218" t="str">
        <x:v>4</x:v>
      </x:c>
      <x:c r="D71" s="218" t="str">
        <x:v>610013</x:v>
      </x:c>
      <x:c r="E71" s="218" t="str">
        <x:v>3051500040</x:v>
      </x:c>
      <x:c r="F71" s="218" t="str">
        <x:v>PORTA</x:v>
      </x:c>
      <x:c r="G71" s="184" t="str">
        <x:v>FO P COR S BD HDF 3 2100X700X35 PET BCO</x:v>
      </x:c>
      <x:c r="H71" s="184" t="str">
        <x:v>LISA</x:v>
      </x:c>
      <x:c r="I71" s="184" t="str"/>
      <x:c r="J71" s="184" t="str"/>
      <x:c r="K71" s="184" t="str">
        <x:v>RECOBERTO PET</x:v>
      </x:c>
      <x:c r="L71" s="184" t="str">
        <x:v>BRANCO CARRARA</x:v>
      </x:c>
      <x:c r="M71" s="205" t="n">
        <x:v>2</x:v>
      </x:c>
      <x:c r="N71" s="205" t="n">
        <x:v>2100</x:v>
      </x:c>
      <x:c r="O71" s="205" t="n">
        <x:v>700</x:v>
      </x:c>
      <x:c r="P71" s="205" t="n">
        <x:v>35</x:v>
      </x:c>
      <x:c r="Q71" s="206" t="n">
        <x:v>0.103</x:v>
      </x:c>
      <x:c r="R71" s="207" t="str"/>
      <x:c r="S71" s="207" t="str"/>
      <x:c r="T71" s="207" t="str"/>
      <x:c r="U71" s="207" t="n">
        <x:v>0</x:v>
      </x:c>
      <x:c r="V71" s="208" t="n">
        <x:f>MAX(0,M71-U71)</x:f>
        <x:v>2</x:v>
      </x:c>
      <x:c r="W71" s="209" t="n">
        <x:f>IFERROR(U71/M71,0)</x:f>
        <x:v>0</x:v>
      </x:c>
      <x:c r="X71" s="201" t="str">
        <x:f>IF(U71=0,"Não iniciado",IF(U71&gt;=M71,"Concluído","Parcial"))</x:f>
        <x:v>Não iniciado</x:v>
      </x:c>
      <x:c r="Y71" s="199" t="str"/>
      <x:c r="Z71" s="188" t="str">
        <x:v>Normal</x:v>
      </x:c>
    </x:row>
    <x:row r="72" ht="22" customHeight="1">
      <x:c r="A72" s="219" t="n">
        <x:v>68</x:v>
      </x:c>
      <x:c r="B72" s="220" t="str">
        <x:v>26808</x:v>
      </x:c>
      <x:c r="C72" s="220" t="str">
        <x:v>3</x:v>
      </x:c>
      <x:c r="D72" s="220" t="str">
        <x:v>608918/611889/612148</x:v>
      </x:c>
      <x:c r="E72" s="220" t="str">
        <x:v>4110012028</x:v>
      </x:c>
      <x:c r="F72" s="220" t="str">
        <x:v>PORTA</x:v>
      </x:c>
      <x:c r="G72" s="190" t="str">
        <x:v>FO POR S GD HDF 3 2100X700X35 ESM BCO CA</x:v>
      </x:c>
      <x:c r="H72" s="190" t="str"/>
      <x:c r="I72" s="190" t="str"/>
      <x:c r="J72" s="190" t="str"/>
      <x:c r="K72" s="190" t="str">
        <x:v>ESMALTE</x:v>
      </x:c>
      <x:c r="L72" s="190" t="str">
        <x:v>BRANCO CARRARA</x:v>
      </x:c>
      <x:c r="M72" s="210" t="n">
        <x:v>60</x:v>
      </x:c>
      <x:c r="N72" s="210" t="n">
        <x:v>2100</x:v>
      </x:c>
      <x:c r="O72" s="210" t="n">
        <x:v>700</x:v>
      </x:c>
      <x:c r="P72" s="210" t="n">
        <x:v>35</x:v>
      </x:c>
      <x:c r="Q72" s="211" t="n">
        <x:v>3.087</x:v>
      </x:c>
      <x:c r="R72" s="207" t="str"/>
      <x:c r="S72" s="207" t="str"/>
      <x:c r="T72" s="207" t="str"/>
      <x:c r="U72" s="207" t="n">
        <x:v>0</x:v>
      </x:c>
      <x:c r="V72" s="208" t="n">
        <x:f>MAX(0,M72-U72)</x:f>
        <x:v>60</x:v>
      </x:c>
      <x:c r="W72" s="209" t="n">
        <x:f>IFERROR(U72/M72,0)</x:f>
        <x:v>0</x:v>
      </x:c>
      <x:c r="X72" s="201" t="str">
        <x:f>IF(U72=0,"Não iniciado",IF(U72&gt;=M72,"Concluído","Parcial"))</x:f>
        <x:v>Não iniciado</x:v>
      </x:c>
      <x:c r="Y72" s="199" t="str"/>
      <x:c r="Z72" s="188" t="str">
        <x:v>Normal</x:v>
      </x:c>
    </x:row>
    <x:row r="73" ht="22" customHeight="1">
      <x:c r="A73" s="217" t="n">
        <x:v>69</x:v>
      </x:c>
      <x:c r="B73" s="218" t="str">
        <x:v>26808</x:v>
      </x:c>
      <x:c r="C73" s="218" t="str">
        <x:v>4</x:v>
      </x:c>
      <x:c r="D73" s="218" t="str">
        <x:v>608926</x:v>
      </x:c>
      <x:c r="E73" s="218" t="str">
        <x:v>4110012028</x:v>
      </x:c>
      <x:c r="F73" s="218" t="str">
        <x:v>PORTA</x:v>
      </x:c>
      <x:c r="G73" s="184" t="str">
        <x:v>FO POR S GD HDF 3 2100X700X35 ESM BCO CA</x:v>
      </x:c>
      <x:c r="H73" s="184" t="str"/>
      <x:c r="I73" s="184" t="str"/>
      <x:c r="J73" s="184" t="str"/>
      <x:c r="K73" s="184" t="str">
        <x:v>ESMALTE</x:v>
      </x:c>
      <x:c r="L73" s="184" t="str">
        <x:v>BRANCO CARRARA</x:v>
      </x:c>
      <x:c r="M73" s="205" t="n">
        <x:v>63</x:v>
      </x:c>
      <x:c r="N73" s="205" t="n">
        <x:v>2100</x:v>
      </x:c>
      <x:c r="O73" s="205" t="n">
        <x:v>700</x:v>
      </x:c>
      <x:c r="P73" s="205" t="n">
        <x:v>35</x:v>
      </x:c>
      <x:c r="Q73" s="206" t="n">
        <x:v>3.241</x:v>
      </x:c>
      <x:c r="R73" s="207" t="str"/>
      <x:c r="S73" s="207" t="str"/>
      <x:c r="T73" s="207" t="str"/>
      <x:c r="U73" s="207" t="n">
        <x:v>0</x:v>
      </x:c>
      <x:c r="V73" s="208" t="n">
        <x:f>MAX(0,M73-U73)</x:f>
        <x:v>63</x:v>
      </x:c>
      <x:c r="W73" s="209" t="n">
        <x:f>IFERROR(U73/M73,0)</x:f>
        <x:v>0</x:v>
      </x:c>
      <x:c r="X73" s="201" t="str">
        <x:f>IF(U73=0,"Não iniciado",IF(U73&gt;=M73,"Concluído","Parcial"))</x:f>
        <x:v>Não iniciado</x:v>
      </x:c>
      <x:c r="Y73" s="199" t="str"/>
      <x:c r="Z73" s="188" t="str">
        <x:v>Normal</x:v>
      </x:c>
    </x:row>
    <x:row r="74" ht="22" customHeight="1">
      <x:c r="A74" s="219" t="n">
        <x:v>70</x:v>
      </x:c>
      <x:c r="B74" s="220" t="str">
        <x:v>26809</x:v>
      </x:c>
      <x:c r="C74" s="220" t="str">
        <x:v>1</x:v>
      </x:c>
      <x:c r="D74" s="220" t="str">
        <x:v>609929</x:v>
      </x:c>
      <x:c r="E74" s="220" t="str">
        <x:v>3040300026</x:v>
      </x:c>
      <x:c r="F74" s="220" t="str">
        <x:v>PORTA</x:v>
      </x:c>
      <x:c r="G74" s="190" t="str">
        <x:v>FO POR COL HDF 3 RU 2100X700X35 IMP CAP</x:v>
      </x:c>
      <x:c r="H74" s="190" t="str">
        <x:v>LISA</x:v>
      </x:c>
      <x:c r="I74" s="190" t="str"/>
      <x:c r="J74" s="190" t="str"/>
      <x:c r="K74" s="190" t="str">
        <x:v>IMPRESSO</x:v>
      </x:c>
      <x:c r="L74" s="190" t="str">
        <x:v>CAPUCCINO MARCHE</x:v>
      </x:c>
      <x:c r="M74" s="210" t="n">
        <x:v>1</x:v>
      </x:c>
      <x:c r="N74" s="210" t="n">
        <x:v>2100</x:v>
      </x:c>
      <x:c r="O74" s="210" t="n">
        <x:v>700</x:v>
      </x:c>
      <x:c r="P74" s="210" t="n">
        <x:v>35</x:v>
      </x:c>
      <x:c r="Q74" s="211" t="n">
        <x:v>0.051</x:v>
      </x:c>
      <x:c r="R74" s="207" t="str"/>
      <x:c r="S74" s="207" t="str"/>
      <x:c r="T74" s="207" t="str"/>
      <x:c r="U74" s="207" t="n">
        <x:v>0</x:v>
      </x:c>
      <x:c r="V74" s="208" t="n">
        <x:f>MAX(0,M74-U74)</x:f>
        <x:v>1</x:v>
      </x:c>
      <x:c r="W74" s="209" t="n">
        <x:f>IFERROR(U74/M74,0)</x:f>
        <x:v>0</x:v>
      </x:c>
      <x:c r="X74" s="201" t="str">
        <x:f>IF(U74=0,"Não iniciado",IF(U74&gt;=M74,"Concluído","Parcial"))</x:f>
        <x:v>Não iniciado</x:v>
      </x:c>
      <x:c r="Y74" s="199" t="str"/>
      <x:c r="Z74" s="188" t="str">
        <x:v>Normal</x:v>
      </x:c>
    </x:row>
    <x:row r="75" ht="22" customHeight="1">
      <x:c r="A75" s="217" t="n">
        <x:v>71</x:v>
      </x:c>
      <x:c r="B75" s="218" t="str">
        <x:v>26800</x:v>
      </x:c>
      <x:c r="C75" s="218" t="str">
        <x:v>3</x:v>
      </x:c>
      <x:c r="D75" s="218" t="str">
        <x:v>612116</x:v>
      </x:c>
      <x:c r="E75" s="218" t="str">
        <x:v>3040900436</x:v>
      </x:c>
      <x:c r="F75" s="218" t="str">
        <x:v>PORTA</x:v>
      </x:c>
      <x:c r="G75" s="184" t="str">
        <x:v>FO POR HI C HDF 6 RU 2100X700X35 PET CA</x:v>
      </x:c>
      <x:c r="H75" s="184" t="str">
        <x:v>LISA</x:v>
      </x:c>
      <x:c r="I75" s="184" t="str"/>
      <x:c r="J75" s="184" t="str"/>
      <x:c r="K75" s="184" t="str">
        <x:v>RECOBERTO PET</x:v>
      </x:c>
      <x:c r="L75" s="184" t="str">
        <x:v>CARVALHO MALVA</x:v>
      </x:c>
      <x:c r="M75" s="205" t="n">
        <x:v>5</x:v>
      </x:c>
      <x:c r="N75" s="205" t="n">
        <x:v>2100</x:v>
      </x:c>
      <x:c r="O75" s="205" t="n">
        <x:v>700</x:v>
      </x:c>
      <x:c r="P75" s="205" t="n">
        <x:v>35</x:v>
      </x:c>
      <x:c r="Q75" s="206" t="n">
        <x:v>0.257</x:v>
      </x:c>
      <x:c r="R75" s="207" t="str"/>
      <x:c r="S75" s="207" t="str"/>
      <x:c r="T75" s="207" t="str"/>
      <x:c r="U75" s="207" t="n">
        <x:v>0</x:v>
      </x:c>
      <x:c r="V75" s="208" t="n">
        <x:f>MAX(0,M75-U75)</x:f>
        <x:v>5</x:v>
      </x:c>
      <x:c r="W75" s="209" t="n">
        <x:f>IFERROR(U75/M75,0)</x:f>
        <x:v>0</x:v>
      </x:c>
      <x:c r="X75" s="201" t="str">
        <x:f>IF(U75=0,"Não iniciado",IF(U75&gt;=M75,"Concluído","Parcial"))</x:f>
        <x:v>Não iniciado</x:v>
      </x:c>
      <x:c r="Y75" s="199" t="str"/>
      <x:c r="Z75" s="188" t="str">
        <x:v>Normal</x:v>
      </x:c>
    </x:row>
    <x:row r="76" ht="22" customHeight="1">
      <x:c r="A76" s="219" t="n">
        <x:v>72</x:v>
      </x:c>
      <x:c r="B76" s="220" t="str">
        <x:v>26766</x:v>
      </x:c>
      <x:c r="C76" s="220" t="str">
        <x:v>1</x:v>
      </x:c>
      <x:c r="D76" s="220" t="str">
        <x:v>610141</x:v>
      </x:c>
      <x:c r="E76" s="220" t="str">
        <x:v>3040300002</x:v>
      </x:c>
      <x:c r="F76" s="220" t="str">
        <x:v>PORTA</x:v>
      </x:c>
      <x:c r="G76" s="190" t="str">
        <x:v>FO POR SMT HDF 3 COL RU 2100X700X35 IMP</x:v>
      </x:c>
      <x:c r="H76" s="190" t="str">
        <x:v>LISA</x:v>
      </x:c>
      <x:c r="I76" s="190" t="str"/>
      <x:c r="J76" s="190" t="str"/>
      <x:c r="K76" s="190" t="str">
        <x:v>IMPRESSO</x:v>
      </x:c>
      <x:c r="L76" s="190" t="str">
        <x:v>MOGNO BRASILEIRO</x:v>
      </x:c>
      <x:c r="M76" s="210" t="n">
        <x:v>288</x:v>
      </x:c>
      <x:c r="N76" s="210" t="n">
        <x:v>2100</x:v>
      </x:c>
      <x:c r="O76" s="210" t="n">
        <x:v>700</x:v>
      </x:c>
      <x:c r="P76" s="210" t="n">
        <x:v>35</x:v>
      </x:c>
      <x:c r="Q76" s="211" t="n">
        <x:v>14.818</x:v>
      </x:c>
      <x:c r="R76" s="207" t="str"/>
      <x:c r="S76" s="207" t="str"/>
      <x:c r="T76" s="207" t="str"/>
      <x:c r="U76" s="207" t="n">
        <x:v>0</x:v>
      </x:c>
      <x:c r="V76" s="208" t="n">
        <x:f>MAX(0,M76-U76)</x:f>
        <x:v>288</x:v>
      </x:c>
      <x:c r="W76" s="209" t="n">
        <x:f>IFERROR(U76/M76,0)</x:f>
        <x:v>0</x:v>
      </x:c>
      <x:c r="X76" s="201" t="str">
        <x:f>IF(U76=0,"Não iniciado",IF(U76&gt;=M76,"Concluído","Parcial"))</x:f>
        <x:v>Não iniciado</x:v>
      </x:c>
      <x:c r="Y76" s="199" t="str"/>
      <x:c r="Z76" s="188" t="str">
        <x:v>Normal</x:v>
      </x:c>
    </x:row>
    <x:row r="77" ht="22" customHeight="1">
      <x:c r="A77" s="217" t="n">
        <x:v>73</x:v>
      </x:c>
      <x:c r="B77" s="218" t="str">
        <x:v>26739</x:v>
      </x:c>
      <x:c r="C77" s="218" t="str">
        <x:v>17</x:v>
      </x:c>
      <x:c r="D77" s="218" t="str">
        <x:v>609698</x:v>
      </x:c>
      <x:c r="E77" s="218" t="str">
        <x:v>421010005</x:v>
      </x:c>
      <x:c r="F77" s="218" t="str">
        <x:v>PORTA</x:v>
      </x:c>
      <x:c r="G77" s="184" t="str">
        <x:v>FO POR COL HDF 3 RU 2100X620X35 ESM BCO</x:v>
      </x:c>
      <x:c r="H77" s="184" t="str"/>
      <x:c r="I77" s="184" t="str"/>
      <x:c r="J77" s="184" t="str"/>
      <x:c r="K77" s="184" t="str">
        <x:v>ESMALTE</x:v>
      </x:c>
      <x:c r="L77" s="184" t="str">
        <x:v>BRANCO CARRARA</x:v>
      </x:c>
      <x:c r="M77" s="205" t="n">
        <x:v>9</x:v>
      </x:c>
      <x:c r="N77" s="205" t="n">
        <x:v>2100</x:v>
      </x:c>
      <x:c r="O77" s="205" t="n">
        <x:v>620</x:v>
      </x:c>
      <x:c r="P77" s="205" t="n">
        <x:v>35</x:v>
      </x:c>
      <x:c r="Q77" s="206" t="n">
        <x:v>0.41</x:v>
      </x:c>
      <x:c r="R77" s="207" t="str"/>
      <x:c r="S77" s="207" t="str"/>
      <x:c r="T77" s="207" t="str"/>
      <x:c r="U77" s="207" t="n">
        <x:v>0</x:v>
      </x:c>
      <x:c r="V77" s="208" t="n">
        <x:f>MAX(0,M77-U77)</x:f>
        <x:v>9</x:v>
      </x:c>
      <x:c r="W77" s="209" t="n">
        <x:f>IFERROR(U77/M77,0)</x:f>
        <x:v>0</x:v>
      </x:c>
      <x:c r="X77" s="201" t="str">
        <x:f>IF(U77=0,"Não iniciado",IF(U77&gt;=M77,"Concluído","Parcial"))</x:f>
        <x:v>Não iniciado</x:v>
      </x:c>
      <x:c r="Y77" s="199" t="str"/>
      <x:c r="Z77" s="188" t="str">
        <x:v>Normal</x:v>
      </x:c>
    </x:row>
    <x:row r="78" ht="22" customHeight="1">
      <x:c r="A78" s="219" t="n">
        <x:v>74</x:v>
      </x:c>
      <x:c r="B78" s="220" t="str">
        <x:v>26739</x:v>
      </x:c>
      <x:c r="C78" s="220" t="str">
        <x:v>18</x:v>
      </x:c>
      <x:c r="D78" s="220" t="str">
        <x:v>609706</x:v>
      </x:c>
      <x:c r="E78" s="220" t="str">
        <x:v>421010005</x:v>
      </x:c>
      <x:c r="F78" s="220" t="str">
        <x:v>PORTA</x:v>
      </x:c>
      <x:c r="G78" s="190" t="str">
        <x:v>FO POR COL HDF 3 RU 2100X620X35 ESM BCO</x:v>
      </x:c>
      <x:c r="H78" s="190" t="str"/>
      <x:c r="I78" s="190" t="str"/>
      <x:c r="J78" s="190" t="str"/>
      <x:c r="K78" s="190" t="str">
        <x:v>ESMALTE</x:v>
      </x:c>
      <x:c r="L78" s="190" t="str">
        <x:v>BRANCO CARRARA</x:v>
      </x:c>
      <x:c r="M78" s="210" t="n">
        <x:v>5</x:v>
      </x:c>
      <x:c r="N78" s="210" t="n">
        <x:v>2100</x:v>
      </x:c>
      <x:c r="O78" s="210" t="n">
        <x:v>620</x:v>
      </x:c>
      <x:c r="P78" s="210" t="n">
        <x:v>35</x:v>
      </x:c>
      <x:c r="Q78" s="211" t="n">
        <x:v>0.228</x:v>
      </x:c>
      <x:c r="R78" s="207" t="str"/>
      <x:c r="S78" s="207" t="str"/>
      <x:c r="T78" s="207" t="str"/>
      <x:c r="U78" s="207" t="n">
        <x:v>0</x:v>
      </x:c>
      <x:c r="V78" s="208" t="n">
        <x:f>MAX(0,M78-U78)</x:f>
        <x:v>5</x:v>
      </x:c>
      <x:c r="W78" s="209" t="n">
        <x:f>IFERROR(U78/M78,0)</x:f>
        <x:v>0</x:v>
      </x:c>
      <x:c r="X78" s="201" t="str">
        <x:f>IF(U78=0,"Não iniciado",IF(U78&gt;=M78,"Concluído","Parcial"))</x:f>
        <x:v>Não iniciado</x:v>
      </x:c>
      <x:c r="Y78" s="199" t="str"/>
      <x:c r="Z78" s="188" t="str">
        <x:v>Normal</x:v>
      </x:c>
    </x:row>
    <x:row r="79" ht="22" customHeight="1">
      <x:c r="A79" s="217" t="n">
        <x:v>75</x:v>
      </x:c>
      <x:c r="B79" s="218" t="str">
        <x:v>26739</x:v>
      </x:c>
      <x:c r="C79" s="218" t="str">
        <x:v>19</x:v>
      </x:c>
      <x:c r="D79" s="218" t="str">
        <x:v>609716</x:v>
      </x:c>
      <x:c r="E79" s="218" t="str">
        <x:v>421010005</x:v>
      </x:c>
      <x:c r="F79" s="218" t="str">
        <x:v>PORTA</x:v>
      </x:c>
      <x:c r="G79" s="184" t="str">
        <x:v>FO POR COL HDF 3 RU 2100X620X35 ESM BCO</x:v>
      </x:c>
      <x:c r="H79" s="184" t="str"/>
      <x:c r="I79" s="184" t="str"/>
      <x:c r="J79" s="184" t="str"/>
      <x:c r="K79" s="184" t="str">
        <x:v>ESMALTE</x:v>
      </x:c>
      <x:c r="L79" s="184" t="str">
        <x:v>BRANCO CARRARA</x:v>
      </x:c>
      <x:c r="M79" s="205" t="n">
        <x:v>27</x:v>
      </x:c>
      <x:c r="N79" s="205" t="n">
        <x:v>2100</x:v>
      </x:c>
      <x:c r="O79" s="205" t="n">
        <x:v>620</x:v>
      </x:c>
      <x:c r="P79" s="205" t="n">
        <x:v>35</x:v>
      </x:c>
      <x:c r="Q79" s="206" t="n">
        <x:v>1.23</x:v>
      </x:c>
      <x:c r="R79" s="207" t="str"/>
      <x:c r="S79" s="207" t="str"/>
      <x:c r="T79" s="207" t="str"/>
      <x:c r="U79" s="207" t="n">
        <x:v>0</x:v>
      </x:c>
      <x:c r="V79" s="208" t="n">
        <x:f>MAX(0,M79-U79)</x:f>
        <x:v>27</x:v>
      </x:c>
      <x:c r="W79" s="209" t="n">
        <x:f>IFERROR(U79/M79,0)</x:f>
        <x:v>0</x:v>
      </x:c>
      <x:c r="X79" s="201" t="str">
        <x:f>IF(U79=0,"Não iniciado",IF(U79&gt;=M79,"Concluído","Parcial"))</x:f>
        <x:v>Não iniciado</x:v>
      </x:c>
      <x:c r="Y79" s="199" t="str"/>
      <x:c r="Z79" s="188" t="str">
        <x:v>Normal</x:v>
      </x:c>
    </x:row>
    <x:row r="80" ht="22" customHeight="1">
      <x:c r="A80" s="219" t="n">
        <x:v>76</x:v>
      </x:c>
      <x:c r="B80" s="220" t="str">
        <x:v>26739</x:v>
      </x:c>
      <x:c r="C80" s="220" t="str">
        <x:v>20</x:v>
      </x:c>
      <x:c r="D80" s="220" t="str">
        <x:v>609724</x:v>
      </x:c>
      <x:c r="E80" s="220" t="str">
        <x:v>421010005</x:v>
      </x:c>
      <x:c r="F80" s="220" t="str">
        <x:v>PORTA</x:v>
      </x:c>
      <x:c r="G80" s="190" t="str">
        <x:v>FO POR COL HDF 3 RU 2100X620X35 ESM BCO</x:v>
      </x:c>
      <x:c r="H80" s="190" t="str"/>
      <x:c r="I80" s="190" t="str"/>
      <x:c r="J80" s="190" t="str"/>
      <x:c r="K80" s="190" t="str">
        <x:v>ESMALTE</x:v>
      </x:c>
      <x:c r="L80" s="190" t="str">
        <x:v>BRANCO CARRARA</x:v>
      </x:c>
      <x:c r="M80" s="210" t="n">
        <x:v>3</x:v>
      </x:c>
      <x:c r="N80" s="210" t="n">
        <x:v>2100</x:v>
      </x:c>
      <x:c r="O80" s="210" t="n">
        <x:v>620</x:v>
      </x:c>
      <x:c r="P80" s="210" t="n">
        <x:v>35</x:v>
      </x:c>
      <x:c r="Q80" s="211" t="n">
        <x:v>0.137</x:v>
      </x:c>
      <x:c r="R80" s="207" t="str"/>
      <x:c r="S80" s="207" t="str"/>
      <x:c r="T80" s="207" t="str"/>
      <x:c r="U80" s="207" t="n">
        <x:v>0</x:v>
      </x:c>
      <x:c r="V80" s="208" t="n">
        <x:f>MAX(0,M80-U80)</x:f>
        <x:v>3</x:v>
      </x:c>
      <x:c r="W80" s="209" t="n">
        <x:f>IFERROR(U80/M80,0)</x:f>
        <x:v>0</x:v>
      </x:c>
      <x:c r="X80" s="201" t="str">
        <x:f>IF(U80=0,"Não iniciado",IF(U80&gt;=M80,"Concluído","Parcial"))</x:f>
        <x:v>Não iniciado</x:v>
      </x:c>
      <x:c r="Y80" s="199" t="str"/>
      <x:c r="Z80" s="188" t="str">
        <x:v>Normal</x:v>
      </x:c>
    </x:row>
    <x:row r="81" ht="22" customHeight="1">
      <x:c r="A81" s="217" t="n">
        <x:v>77</x:v>
      </x:c>
      <x:c r="B81" s="218" t="str">
        <x:v>26739</x:v>
      </x:c>
      <x:c r="C81" s="218" t="str">
        <x:v>21</x:v>
      </x:c>
      <x:c r="D81" s="218" t="str">
        <x:v>609732</x:v>
      </x:c>
      <x:c r="E81" s="218" t="str">
        <x:v>421010005</x:v>
      </x:c>
      <x:c r="F81" s="218" t="str">
        <x:v>PORTA</x:v>
      </x:c>
      <x:c r="G81" s="184" t="str">
        <x:v>FO POR COL HDF 3 RU 2100X620X35 ESM BCO</x:v>
      </x:c>
      <x:c r="H81" s="184" t="str"/>
      <x:c r="I81" s="184" t="str"/>
      <x:c r="J81" s="184" t="str"/>
      <x:c r="K81" s="184" t="str">
        <x:v>ESMALTE</x:v>
      </x:c>
      <x:c r="L81" s="184" t="str">
        <x:v>BRANCO CARRARA</x:v>
      </x:c>
      <x:c r="M81" s="205" t="n">
        <x:v>10</x:v>
      </x:c>
      <x:c r="N81" s="205" t="n">
        <x:v>2100</x:v>
      </x:c>
      <x:c r="O81" s="205" t="n">
        <x:v>620</x:v>
      </x:c>
      <x:c r="P81" s="205" t="n">
        <x:v>35</x:v>
      </x:c>
      <x:c r="Q81" s="206" t="n">
        <x:v>0.456</x:v>
      </x:c>
      <x:c r="R81" s="207" t="str"/>
      <x:c r="S81" s="207" t="str"/>
      <x:c r="T81" s="207" t="str"/>
      <x:c r="U81" s="207" t="n">
        <x:v>0</x:v>
      </x:c>
      <x:c r="V81" s="208" t="n">
        <x:f>MAX(0,M81-U81)</x:f>
        <x:v>10</x:v>
      </x:c>
      <x:c r="W81" s="209" t="n">
        <x:f>IFERROR(U81/M81,0)</x:f>
        <x:v>0</x:v>
      </x:c>
      <x:c r="X81" s="201" t="str">
        <x:f>IF(U81=0,"Não iniciado",IF(U81&gt;=M81,"Concluído","Parcial"))</x:f>
        <x:v>Não iniciado</x:v>
      </x:c>
      <x:c r="Y81" s="199" t="str"/>
      <x:c r="Z81" s="188" t="str">
        <x:v>Normal</x:v>
      </x:c>
    </x:row>
    <x:row r="82" ht="22" customHeight="1">
      <x:c r="A82" s="219" t="n">
        <x:v>78</x:v>
      </x:c>
      <x:c r="B82" s="220" t="str">
        <x:v>26739</x:v>
      </x:c>
      <x:c r="C82" s="220" t="str">
        <x:v>22</x:v>
      </x:c>
      <x:c r="D82" s="220" t="str">
        <x:v>609738</x:v>
      </x:c>
      <x:c r="E82" s="220" t="str">
        <x:v>421010005</x:v>
      </x:c>
      <x:c r="F82" s="220" t="str">
        <x:v>PORTA</x:v>
      </x:c>
      <x:c r="G82" s="190" t="str">
        <x:v>FO POR COL HDF 3 RU 2100X620X35 ESM BCO</x:v>
      </x:c>
      <x:c r="H82" s="190" t="str"/>
      <x:c r="I82" s="190" t="str"/>
      <x:c r="J82" s="190" t="str"/>
      <x:c r="K82" s="190" t="str">
        <x:v>ESMALTE</x:v>
      </x:c>
      <x:c r="L82" s="190" t="str">
        <x:v>BRANCO CARRARA</x:v>
      </x:c>
      <x:c r="M82" s="210" t="n">
        <x:v>1</x:v>
      </x:c>
      <x:c r="N82" s="210" t="n">
        <x:v>2100</x:v>
      </x:c>
      <x:c r="O82" s="210" t="n">
        <x:v>620</x:v>
      </x:c>
      <x:c r="P82" s="210" t="n">
        <x:v>35</x:v>
      </x:c>
      <x:c r="Q82" s="211" t="n">
        <x:v>0.046</x:v>
      </x:c>
      <x:c r="R82" s="207" t="str"/>
      <x:c r="S82" s="207" t="str"/>
      <x:c r="T82" s="207" t="str"/>
      <x:c r="U82" s="207" t="n">
        <x:v>0</x:v>
      </x:c>
      <x:c r="V82" s="208" t="n">
        <x:f>MAX(0,M82-U82)</x:f>
        <x:v>1</x:v>
      </x:c>
      <x:c r="W82" s="209" t="n">
        <x:f>IFERROR(U82/M82,0)</x:f>
        <x:v>0</x:v>
      </x:c>
      <x:c r="X82" s="201" t="str">
        <x:f>IF(U82=0,"Não iniciado",IF(U82&gt;=M82,"Concluído","Parcial"))</x:f>
        <x:v>Não iniciado</x:v>
      </x:c>
      <x:c r="Y82" s="199" t="str"/>
      <x:c r="Z82" s="188" t="str">
        <x:v>Normal</x:v>
      </x:c>
    </x:row>
    <x:row r="83" ht="22" customHeight="1">
      <x:c r="A83" s="217" t="n">
        <x:v>79</x:v>
      </x:c>
      <x:c r="B83" s="218" t="str">
        <x:v>26739</x:v>
      </x:c>
      <x:c r="C83" s="218" t="str">
        <x:v>23</x:v>
      </x:c>
      <x:c r="D83" s="218" t="str">
        <x:v>609751</x:v>
      </x:c>
      <x:c r="E83" s="218" t="str">
        <x:v>3040300238</x:v>
      </x:c>
      <x:c r="F83" s="218" t="str">
        <x:v>PORTA</x:v>
      </x:c>
      <x:c r="G83" s="184" t="str">
        <x:v>FO POR COL HDF 3 ESM BCO CAR 2100X620X35</x:v>
      </x:c>
      <x:c r="H83" s="184" t="str"/>
      <x:c r="I83" s="184" t="str"/>
      <x:c r="J83" s="184" t="str"/>
      <x:c r="K83" s="184" t="str">
        <x:v>ESMALTE</x:v>
      </x:c>
      <x:c r="L83" s="184" t="str">
        <x:v>BRANCO CARRARA</x:v>
      </x:c>
      <x:c r="M83" s="205" t="n">
        <x:v>1</x:v>
      </x:c>
      <x:c r="N83" s="205" t="n">
        <x:v>2100</x:v>
      </x:c>
      <x:c r="O83" s="205" t="n">
        <x:v>620</x:v>
      </x:c>
      <x:c r="P83" s="205" t="n">
        <x:v>35</x:v>
      </x:c>
      <x:c r="Q83" s="206" t="n">
        <x:v>0.046</x:v>
      </x:c>
      <x:c r="R83" s="207" t="str"/>
      <x:c r="S83" s="207" t="str"/>
      <x:c r="T83" s="207" t="str"/>
      <x:c r="U83" s="207" t="n">
        <x:v>0</x:v>
      </x:c>
      <x:c r="V83" s="208" t="n">
        <x:f>MAX(0,M83-U83)</x:f>
        <x:v>1</x:v>
      </x:c>
      <x:c r="W83" s="209" t="n">
        <x:f>IFERROR(U83/M83,0)</x:f>
        <x:v>0</x:v>
      </x:c>
      <x:c r="X83" s="201" t="str">
        <x:f>IF(U83=0,"Não iniciado",IF(U83&gt;=M83,"Concluído","Parcial"))</x:f>
        <x:v>Não iniciado</x:v>
      </x:c>
      <x:c r="Y83" s="199" t="str"/>
      <x:c r="Z83" s="188" t="str">
        <x:v>Normal</x:v>
      </x:c>
    </x:row>
    <x:row r="84" ht="22" customHeight="1">
      <x:c r="A84" s="219" t="n">
        <x:v>80</x:v>
      </x:c>
      <x:c r="B84" s="220" t="str">
        <x:v>26739</x:v>
      </x:c>
      <x:c r="C84" s="220" t="str">
        <x:v>24</x:v>
      </x:c>
      <x:c r="D84" s="220" t="str">
        <x:v>609764</x:v>
      </x:c>
      <x:c r="E84" s="220" t="str">
        <x:v>3040300238</x:v>
      </x:c>
      <x:c r="F84" s="220" t="str">
        <x:v>PORTA</x:v>
      </x:c>
      <x:c r="G84" s="190" t="str">
        <x:v>FO POR COL HDF 3 ESM BCO CAR 2100X620X35</x:v>
      </x:c>
      <x:c r="H84" s="190" t="str"/>
      <x:c r="I84" s="190" t="str"/>
      <x:c r="J84" s="190" t="str"/>
      <x:c r="K84" s="190" t="str">
        <x:v>ESMALTE</x:v>
      </x:c>
      <x:c r="L84" s="190" t="str">
        <x:v>BRANCO CARRARA</x:v>
      </x:c>
      <x:c r="M84" s="210" t="n">
        <x:v>2</x:v>
      </x:c>
      <x:c r="N84" s="210" t="n">
        <x:v>2100</x:v>
      </x:c>
      <x:c r="O84" s="210" t="n">
        <x:v>620</x:v>
      </x:c>
      <x:c r="P84" s="210" t="n">
        <x:v>35</x:v>
      </x:c>
      <x:c r="Q84" s="211" t="n">
        <x:v>0.091</x:v>
      </x:c>
      <x:c r="R84" s="207" t="str"/>
      <x:c r="S84" s="207" t="str"/>
      <x:c r="T84" s="207" t="str"/>
      <x:c r="U84" s="207" t="n">
        <x:v>0</x:v>
      </x:c>
      <x:c r="V84" s="208" t="n">
        <x:f>MAX(0,M84-U84)</x:f>
        <x:v>2</x:v>
      </x:c>
      <x:c r="W84" s="209" t="n">
        <x:f>IFERROR(U84/M84,0)</x:f>
        <x:v>0</x:v>
      </x:c>
      <x:c r="X84" s="201" t="str">
        <x:f>IF(U84=0,"Não iniciado",IF(U84&gt;=M84,"Concluído","Parcial"))</x:f>
        <x:v>Não iniciado</x:v>
      </x:c>
      <x:c r="Y84" s="199" t="str"/>
      <x:c r="Z84" s="188" t="str">
        <x:v>Normal</x:v>
      </x:c>
    </x:row>
    <x:row r="85" ht="22" customHeight="1">
      <x:c r="A85" s="217" t="n">
        <x:v>81</x:v>
      </x:c>
      <x:c r="B85" s="218" t="str">
        <x:v>26739</x:v>
      </x:c>
      <x:c r="C85" s="218" t="str">
        <x:v>25</x:v>
      </x:c>
      <x:c r="D85" s="218" t="str">
        <x:v>609778</x:v>
      </x:c>
      <x:c r="E85" s="218" t="str">
        <x:v>3040300238</x:v>
      </x:c>
      <x:c r="F85" s="218" t="str">
        <x:v>PORTA</x:v>
      </x:c>
      <x:c r="G85" s="184" t="str">
        <x:v>FO POR COL HDF 3 ESM BCO CAR 2100X620X35</x:v>
      </x:c>
      <x:c r="H85" s="184" t="str"/>
      <x:c r="I85" s="184" t="str"/>
      <x:c r="J85" s="184" t="str"/>
      <x:c r="K85" s="184" t="str">
        <x:v>ESMALTE</x:v>
      </x:c>
      <x:c r="L85" s="184" t="str">
        <x:v>BRANCO CARRARA</x:v>
      </x:c>
      <x:c r="M85" s="205" t="n">
        <x:v>1</x:v>
      </x:c>
      <x:c r="N85" s="205" t="n">
        <x:v>2100</x:v>
      </x:c>
      <x:c r="O85" s="205" t="n">
        <x:v>620</x:v>
      </x:c>
      <x:c r="P85" s="205" t="n">
        <x:v>35</x:v>
      </x:c>
      <x:c r="Q85" s="206" t="n">
        <x:v>0.046</x:v>
      </x:c>
      <x:c r="R85" s="207" t="str"/>
      <x:c r="S85" s="207" t="str"/>
      <x:c r="T85" s="207" t="str"/>
      <x:c r="U85" s="207" t="n">
        <x:v>0</x:v>
      </x:c>
      <x:c r="V85" s="208" t="n">
        <x:f>MAX(0,M85-U85)</x:f>
        <x:v>1</x:v>
      </x:c>
      <x:c r="W85" s="209" t="n">
        <x:f>IFERROR(U85/M85,0)</x:f>
        <x:v>0</x:v>
      </x:c>
      <x:c r="X85" s="201" t="str">
        <x:f>IF(U85=0,"Não iniciado",IF(U85&gt;=M85,"Concluído","Parcial"))</x:f>
        <x:v>Não iniciado</x:v>
      </x:c>
      <x:c r="Y85" s="199" t="str"/>
      <x:c r="Z85" s="188" t="str">
        <x:v>Normal</x:v>
      </x:c>
    </x:row>
    <x:row r="86" ht="22" customHeight="1">
      <x:c r="A86" s="219" t="n">
        <x:v>82</x:v>
      </x:c>
      <x:c r="B86" s="220" t="str">
        <x:v>26750</x:v>
      </x:c>
      <x:c r="C86" s="220" t="str">
        <x:v>20</x:v>
      </x:c>
      <x:c r="D86" s="220" t="str">
        <x:v>609871</x:v>
      </x:c>
      <x:c r="E86" s="220" t="str">
        <x:v>421010005</x:v>
      </x:c>
      <x:c r="F86" s="220" t="str">
        <x:v>PORTA</x:v>
      </x:c>
      <x:c r="G86" s="190" t="str">
        <x:v>FO POR COL HDF 3 RU 2100X620X35 ESM BCO</x:v>
      </x:c>
      <x:c r="H86" s="190" t="str"/>
      <x:c r="I86" s="190" t="str"/>
      <x:c r="J86" s="190" t="str"/>
      <x:c r="K86" s="190" t="str">
        <x:v>ESMALTE</x:v>
      </x:c>
      <x:c r="L86" s="190" t="str">
        <x:v>BRANCO CARRARA</x:v>
      </x:c>
      <x:c r="M86" s="210" t="n">
        <x:v>9</x:v>
      </x:c>
      <x:c r="N86" s="210" t="n">
        <x:v>2100</x:v>
      </x:c>
      <x:c r="O86" s="210" t="n">
        <x:v>620</x:v>
      </x:c>
      <x:c r="P86" s="210" t="n">
        <x:v>35</x:v>
      </x:c>
      <x:c r="Q86" s="211" t="n">
        <x:v>0.41</x:v>
      </x:c>
      <x:c r="R86" s="207" t="str"/>
      <x:c r="S86" s="207" t="str"/>
      <x:c r="T86" s="207" t="str"/>
      <x:c r="U86" s="207" t="n">
        <x:v>0</x:v>
      </x:c>
      <x:c r="V86" s="208" t="n">
        <x:f>MAX(0,M86-U86)</x:f>
        <x:v>9</x:v>
      </x:c>
      <x:c r="W86" s="209" t="n">
        <x:f>IFERROR(U86/M86,0)</x:f>
        <x:v>0</x:v>
      </x:c>
      <x:c r="X86" s="201" t="str">
        <x:f>IF(U86=0,"Não iniciado",IF(U86&gt;=M86,"Concluído","Parcial"))</x:f>
        <x:v>Não iniciado</x:v>
      </x:c>
      <x:c r="Y86" s="199" t="str"/>
      <x:c r="Z86" s="188" t="str">
        <x:v>Normal</x:v>
      </x:c>
    </x:row>
    <x:row r="87" ht="22" customHeight="1">
      <x:c r="A87" s="217" t="n">
        <x:v>83</x:v>
      </x:c>
      <x:c r="B87" s="218" t="str">
        <x:v>26750</x:v>
      </x:c>
      <x:c r="C87" s="218" t="str">
        <x:v>21</x:v>
      </x:c>
      <x:c r="D87" s="218" t="str">
        <x:v>609879</x:v>
      </x:c>
      <x:c r="E87" s="218" t="str">
        <x:v>421010005</x:v>
      </x:c>
      <x:c r="F87" s="218" t="str">
        <x:v>PORTA</x:v>
      </x:c>
      <x:c r="G87" s="184" t="str">
        <x:v>FO POR COL HDF 3 RU 2100X620X35 ESM BCO</x:v>
      </x:c>
      <x:c r="H87" s="184" t="str"/>
      <x:c r="I87" s="184" t="str"/>
      <x:c r="J87" s="184" t="str"/>
      <x:c r="K87" s="184" t="str">
        <x:v>ESMALTE</x:v>
      </x:c>
      <x:c r="L87" s="184" t="str">
        <x:v>BRANCO CARRARA</x:v>
      </x:c>
      <x:c r="M87" s="205" t="n">
        <x:v>5</x:v>
      </x:c>
      <x:c r="N87" s="205" t="n">
        <x:v>2100</x:v>
      </x:c>
      <x:c r="O87" s="205" t="n">
        <x:v>620</x:v>
      </x:c>
      <x:c r="P87" s="205" t="n">
        <x:v>35</x:v>
      </x:c>
      <x:c r="Q87" s="206" t="n">
        <x:v>0.228</x:v>
      </x:c>
      <x:c r="R87" s="207" t="str"/>
      <x:c r="S87" s="207" t="str"/>
      <x:c r="T87" s="207" t="str"/>
      <x:c r="U87" s="207" t="n">
        <x:v>0</x:v>
      </x:c>
      <x:c r="V87" s="208" t="n">
        <x:f>MAX(0,M87-U87)</x:f>
        <x:v>5</x:v>
      </x:c>
      <x:c r="W87" s="209" t="n">
        <x:f>IFERROR(U87/M87,0)</x:f>
        <x:v>0</x:v>
      </x:c>
      <x:c r="X87" s="201" t="str">
        <x:f>IF(U87=0,"Não iniciado",IF(U87&gt;=M87,"Concluído","Parcial"))</x:f>
        <x:v>Não iniciado</x:v>
      </x:c>
      <x:c r="Y87" s="199" t="str"/>
      <x:c r="Z87" s="188" t="str">
        <x:v>Normal</x:v>
      </x:c>
    </x:row>
    <x:row r="88" ht="22" customHeight="1">
      <x:c r="A88" s="219" t="n">
        <x:v>84</x:v>
      </x:c>
      <x:c r="B88" s="220" t="str">
        <x:v>26750</x:v>
      </x:c>
      <x:c r="C88" s="220" t="str">
        <x:v>22</x:v>
      </x:c>
      <x:c r="D88" s="220" t="str">
        <x:v>609889</x:v>
      </x:c>
      <x:c r="E88" s="220" t="str">
        <x:v>421010005</x:v>
      </x:c>
      <x:c r="F88" s="220" t="str">
        <x:v>PORTA</x:v>
      </x:c>
      <x:c r="G88" s="190" t="str">
        <x:v>FO POR COL HDF 3 RU 2100X620X35 ESM BCO</x:v>
      </x:c>
      <x:c r="H88" s="190" t="str"/>
      <x:c r="I88" s="190" t="str"/>
      <x:c r="J88" s="190" t="str"/>
      <x:c r="K88" s="190" t="str">
        <x:v>ESMALTE</x:v>
      </x:c>
      <x:c r="L88" s="190" t="str">
        <x:v>BRANCO CARRARA</x:v>
      </x:c>
      <x:c r="M88" s="210" t="n">
        <x:v>19</x:v>
      </x:c>
      <x:c r="N88" s="210" t="n">
        <x:v>2100</x:v>
      </x:c>
      <x:c r="O88" s="210" t="n">
        <x:v>620</x:v>
      </x:c>
      <x:c r="P88" s="210" t="n">
        <x:v>35</x:v>
      </x:c>
      <x:c r="Q88" s="211" t="n">
        <x:v>0.866</x:v>
      </x:c>
      <x:c r="R88" s="207" t="str"/>
      <x:c r="S88" s="207" t="str"/>
      <x:c r="T88" s="207" t="str"/>
      <x:c r="U88" s="207" t="n">
        <x:v>0</x:v>
      </x:c>
      <x:c r="V88" s="208" t="n">
        <x:f>MAX(0,M88-U88)</x:f>
        <x:v>19</x:v>
      </x:c>
      <x:c r="W88" s="209" t="n">
        <x:f>IFERROR(U88/M88,0)</x:f>
        <x:v>0</x:v>
      </x:c>
      <x:c r="X88" s="201" t="str">
        <x:f>IF(U88=0,"Não iniciado",IF(U88&gt;=M88,"Concluído","Parcial"))</x:f>
        <x:v>Não iniciado</x:v>
      </x:c>
      <x:c r="Y88" s="199" t="str"/>
      <x:c r="Z88" s="188" t="str">
        <x:v>Normal</x:v>
      </x:c>
    </x:row>
    <x:row r="89" ht="22" customHeight="1">
      <x:c r="A89" s="217" t="n">
        <x:v>85</x:v>
      </x:c>
      <x:c r="B89" s="218" t="str">
        <x:v>26750</x:v>
      </x:c>
      <x:c r="C89" s="218" t="str">
        <x:v>23</x:v>
      </x:c>
      <x:c r="D89" s="218" t="str">
        <x:v>609897</x:v>
      </x:c>
      <x:c r="E89" s="218" t="str">
        <x:v>421010005</x:v>
      </x:c>
      <x:c r="F89" s="218" t="str">
        <x:v>PORTA</x:v>
      </x:c>
      <x:c r="G89" s="184" t="str">
        <x:v>FO POR COL HDF 3 RU 2100X620X35 ESM BCO</x:v>
      </x:c>
      <x:c r="H89" s="184" t="str"/>
      <x:c r="I89" s="184" t="str"/>
      <x:c r="J89" s="184" t="str"/>
      <x:c r="K89" s="184" t="str">
        <x:v>ESMALTE</x:v>
      </x:c>
      <x:c r="L89" s="184" t="str">
        <x:v>BRANCO CARRARA</x:v>
      </x:c>
      <x:c r="M89" s="205" t="n">
        <x:v>4</x:v>
      </x:c>
      <x:c r="N89" s="205" t="n">
        <x:v>2100</x:v>
      </x:c>
      <x:c r="O89" s="205" t="n">
        <x:v>620</x:v>
      </x:c>
      <x:c r="P89" s="205" t="n">
        <x:v>35</x:v>
      </x:c>
      <x:c r="Q89" s="206" t="n">
        <x:v>0.182</x:v>
      </x:c>
      <x:c r="R89" s="207" t="str"/>
      <x:c r="S89" s="207" t="str"/>
      <x:c r="T89" s="207" t="str"/>
      <x:c r="U89" s="207" t="n">
        <x:v>0</x:v>
      </x:c>
      <x:c r="V89" s="208" t="n">
        <x:f>MAX(0,M89-U89)</x:f>
        <x:v>4</x:v>
      </x:c>
      <x:c r="W89" s="209" t="n">
        <x:f>IFERROR(U89/M89,0)</x:f>
        <x:v>0</x:v>
      </x:c>
      <x:c r="X89" s="201" t="str">
        <x:f>IF(U89=0,"Não iniciado",IF(U89&gt;=M89,"Concluído","Parcial"))</x:f>
        <x:v>Não iniciado</x:v>
      </x:c>
      <x:c r="Y89" s="199" t="str"/>
      <x:c r="Z89" s="188" t="str">
        <x:v>Normal</x:v>
      </x:c>
    </x:row>
    <x:row r="90" ht="22" customHeight="1">
      <x:c r="A90" s="219" t="n">
        <x:v>86</x:v>
      </x:c>
      <x:c r="B90" s="220" t="str">
        <x:v>26750</x:v>
      </x:c>
      <x:c r="C90" s="220" t="str">
        <x:v>24</x:v>
      </x:c>
      <x:c r="D90" s="220" t="str">
        <x:v>609905</x:v>
      </x:c>
      <x:c r="E90" s="220" t="str">
        <x:v>421010005</x:v>
      </x:c>
      <x:c r="F90" s="220" t="str">
        <x:v>PORTA</x:v>
      </x:c>
      <x:c r="G90" s="190" t="str">
        <x:v>FO POR COL HDF 3 RU 2100X620X35 ESM BCO</x:v>
      </x:c>
      <x:c r="H90" s="190" t="str"/>
      <x:c r="I90" s="190" t="str"/>
      <x:c r="J90" s="190" t="str"/>
      <x:c r="K90" s="190" t="str">
        <x:v>ESMALTE</x:v>
      </x:c>
      <x:c r="L90" s="190" t="str">
        <x:v>BRANCO CARRARA</x:v>
      </x:c>
      <x:c r="M90" s="210" t="n">
        <x:v>10</x:v>
      </x:c>
      <x:c r="N90" s="210" t="n">
        <x:v>2100</x:v>
      </x:c>
      <x:c r="O90" s="210" t="n">
        <x:v>620</x:v>
      </x:c>
      <x:c r="P90" s="210" t="n">
        <x:v>35</x:v>
      </x:c>
      <x:c r="Q90" s="211" t="n">
        <x:v>0.456</x:v>
      </x:c>
      <x:c r="R90" s="207" t="str"/>
      <x:c r="S90" s="207" t="str"/>
      <x:c r="T90" s="207" t="str"/>
      <x:c r="U90" s="207" t="n">
        <x:v>0</x:v>
      </x:c>
      <x:c r="V90" s="208" t="n">
        <x:f>MAX(0,M90-U90)</x:f>
        <x:v>10</x:v>
      </x:c>
      <x:c r="W90" s="209" t="n">
        <x:f>IFERROR(U90/M90,0)</x:f>
        <x:v>0</x:v>
      </x:c>
      <x:c r="X90" s="201" t="str">
        <x:f>IF(U90=0,"Não iniciado",IF(U90&gt;=M90,"Concluído","Parcial"))</x:f>
        <x:v>Não iniciado</x:v>
      </x:c>
      <x:c r="Y90" s="199" t="str"/>
      <x:c r="Z90" s="188" t="str">
        <x:v>Normal</x:v>
      </x:c>
    </x:row>
    <x:row r="91" ht="22" customHeight="1">
      <x:c r="A91" s="217" t="n">
        <x:v>87</x:v>
      </x:c>
      <x:c r="B91" s="218" t="str">
        <x:v>26750</x:v>
      </x:c>
      <x:c r="C91" s="218" t="str">
        <x:v>25</x:v>
      </x:c>
      <x:c r="D91" s="218" t="str">
        <x:v>609911</x:v>
      </x:c>
      <x:c r="E91" s="218" t="str">
        <x:v>421010005</x:v>
      </x:c>
      <x:c r="F91" s="218" t="str">
        <x:v>PORTA</x:v>
      </x:c>
      <x:c r="G91" s="184" t="str">
        <x:v>FO POR COL HDF 3 RU 2100X620X35 ESM BCO</x:v>
      </x:c>
      <x:c r="H91" s="184" t="str"/>
      <x:c r="I91" s="184" t="str"/>
      <x:c r="J91" s="184" t="str"/>
      <x:c r="K91" s="184" t="str">
        <x:v>ESMALTE</x:v>
      </x:c>
      <x:c r="L91" s="184" t="str">
        <x:v>BRANCO CARRARA</x:v>
      </x:c>
      <x:c r="M91" s="205" t="n">
        <x:v>3</x:v>
      </x:c>
      <x:c r="N91" s="205" t="n">
        <x:v>2100</x:v>
      </x:c>
      <x:c r="O91" s="205" t="n">
        <x:v>620</x:v>
      </x:c>
      <x:c r="P91" s="205" t="n">
        <x:v>35</x:v>
      </x:c>
      <x:c r="Q91" s="206" t="n">
        <x:v>0.137</x:v>
      </x:c>
      <x:c r="R91" s="207" t="str"/>
      <x:c r="S91" s="207" t="str"/>
      <x:c r="T91" s="207" t="str"/>
      <x:c r="U91" s="207" t="n">
        <x:v>0</x:v>
      </x:c>
      <x:c r="V91" s="208" t="n">
        <x:f>MAX(0,M91-U91)</x:f>
        <x:v>3</x:v>
      </x:c>
      <x:c r="W91" s="209" t="n">
        <x:f>IFERROR(U91/M91,0)</x:f>
        <x:v>0</x:v>
      </x:c>
      <x:c r="X91" s="201" t="str">
        <x:f>IF(U91=0,"Não iniciado",IF(U91&gt;=M91,"Concluído","Parcial"))</x:f>
        <x:v>Não iniciado</x:v>
      </x:c>
      <x:c r="Y91" s="199" t="str"/>
      <x:c r="Z91" s="188" t="str">
        <x:v>Normal</x:v>
      </x:c>
    </x:row>
    <x:row r="92" ht="22" customHeight="1">
      <x:c r="A92" s="219" t="n">
        <x:v>88</x:v>
      </x:c>
      <x:c r="B92" s="220" t="str">
        <x:v>26750</x:v>
      </x:c>
      <x:c r="C92" s="220" t="str">
        <x:v>26</x:v>
      </x:c>
      <x:c r="D92" s="220" t="str">
        <x:v>609925</x:v>
      </x:c>
      <x:c r="E92" s="220" t="str">
        <x:v>3040300238</x:v>
      </x:c>
      <x:c r="F92" s="220" t="str">
        <x:v>PORTA</x:v>
      </x:c>
      <x:c r="G92" s="190" t="str">
        <x:v>FO POR COL HDF 3 ESM BCO CAR 2100X620X35</x:v>
      </x:c>
      <x:c r="H92" s="190" t="str"/>
      <x:c r="I92" s="190" t="str"/>
      <x:c r="J92" s="190" t="str"/>
      <x:c r="K92" s="190" t="str">
        <x:v>ESMALTE</x:v>
      </x:c>
      <x:c r="L92" s="190" t="str">
        <x:v>BRANCO CARRARA</x:v>
      </x:c>
      <x:c r="M92" s="210" t="n">
        <x:v>2</x:v>
      </x:c>
      <x:c r="N92" s="210" t="n">
        <x:v>2100</x:v>
      </x:c>
      <x:c r="O92" s="210" t="n">
        <x:v>620</x:v>
      </x:c>
      <x:c r="P92" s="210" t="n">
        <x:v>35</x:v>
      </x:c>
      <x:c r="Q92" s="211" t="n">
        <x:v>0.091</x:v>
      </x:c>
      <x:c r="R92" s="207" t="str"/>
      <x:c r="S92" s="207" t="str"/>
      <x:c r="T92" s="207" t="str"/>
      <x:c r="U92" s="207" t="n">
        <x:v>0</x:v>
      </x:c>
      <x:c r="V92" s="208" t="n">
        <x:f>MAX(0,M92-U92)</x:f>
        <x:v>2</x:v>
      </x:c>
      <x:c r="W92" s="209" t="n">
        <x:f>IFERROR(U92/M92,0)</x:f>
        <x:v>0</x:v>
      </x:c>
      <x:c r="X92" s="201" t="str">
        <x:f>IF(U92=0,"Não iniciado",IF(U92&gt;=M92,"Concluído","Parcial"))</x:f>
        <x:v>Não iniciado</x:v>
      </x:c>
      <x:c r="Y92" s="199" t="str"/>
      <x:c r="Z92" s="188" t="str">
        <x:v>Normal</x:v>
      </x:c>
    </x:row>
    <x:row r="93" ht="22" customHeight="1">
      <x:c r="A93" s="217" t="n">
        <x:v>89</x:v>
      </x:c>
      <x:c r="B93" s="218" t="str">
        <x:v>26826</x:v>
      </x:c>
      <x:c r="C93" s="218" t="str">
        <x:v>1</x:v>
      </x:c>
      <x:c r="D93" s="218" t="str">
        <x:v>610305</x:v>
      </x:c>
      <x:c r="E93" s="218" t="str">
        <x:v>3050300062</x:v>
      </x:c>
      <x:c r="F93" s="218" t="str">
        <x:v>PORTA</x:v>
      </x:c>
      <x:c r="G93" s="184" t="str">
        <x:v>FO P COR SMT HDF 3 COL B2 L 2100X620X35</x:v>
      </x:c>
      <x:c r="H93" s="184" t="str">
        <x:v>LISA</x:v>
      </x:c>
      <x:c r="I93" s="184" t="str"/>
      <x:c r="J93" s="184" t="str"/>
      <x:c r="K93" s="184" t="str">
        <x:v>ESMALTE</x:v>
      </x:c>
      <x:c r="L93" s="184" t="str">
        <x:v>BRANCO CARRARA</x:v>
      </x:c>
      <x:c r="M93" s="205" t="n">
        <x:v>62</x:v>
      </x:c>
      <x:c r="N93" s="205" t="n">
        <x:v>2100</x:v>
      </x:c>
      <x:c r="O93" s="205" t="n">
        <x:v>620</x:v>
      </x:c>
      <x:c r="P93" s="205" t="n">
        <x:v>35</x:v>
      </x:c>
      <x:c r="Q93" s="206" t="n">
        <x:v>2.825</x:v>
      </x:c>
      <x:c r="R93" s="207" t="str"/>
      <x:c r="S93" s="207" t="str"/>
      <x:c r="T93" s="207" t="str"/>
      <x:c r="U93" s="207" t="n">
        <x:v>0</x:v>
      </x:c>
      <x:c r="V93" s="208" t="n">
        <x:f>MAX(0,M93-U93)</x:f>
        <x:v>62</x:v>
      </x:c>
      <x:c r="W93" s="209" t="n">
        <x:f>IFERROR(U93/M93,0)</x:f>
        <x:v>0</x:v>
      </x:c>
      <x:c r="X93" s="201" t="str">
        <x:f>IF(U93=0,"Não iniciado",IF(U93&gt;=M93,"Concluído","Parcial"))</x:f>
        <x:v>Não iniciado</x:v>
      </x:c>
      <x:c r="Y93" s="199" t="str"/>
      <x:c r="Z93" s="188" t="str">
        <x:v>Normal</x:v>
      </x:c>
    </x:row>
    <x:row r="94" ht="22" customHeight="1">
      <x:c r="A94" s="219" t="n">
        <x:v>90</x:v>
      </x:c>
      <x:c r="B94" s="220" t="str">
        <x:v>26747</x:v>
      </x:c>
      <x:c r="C94" s="220" t="str">
        <x:v>1</x:v>
      </x:c>
      <x:c r="D94" s="220" t="str">
        <x:v>608997</x:v>
      </x:c>
      <x:c r="E94" s="220" t="str">
        <x:v>4210012014</x:v>
      </x:c>
      <x:c r="F94" s="220" t="str">
        <x:v>OUTROS</x:v>
      </x:c>
      <x:c r="G94" s="190" t="str">
        <x:v>FOL.POR.COL.LIS2100x600x0 ESM.BRC PLS</x:v>
      </x:c>
      <x:c r="H94" s="190" t="str">
        <x:v>LISA</x:v>
      </x:c>
      <x:c r="I94" s="190" t="str">
        <x:v>C/USINAGEM COMPLETA</x:v>
      </x:c>
      <x:c r="J94" s="190" t="str"/>
      <x:c r="K94" s="190" t="str">
        <x:v>ESMALTE</x:v>
      </x:c>
      <x:c r="L94" s="190" t="str">
        <x:v>BRANCO CARRARA</x:v>
      </x:c>
      <x:c r="M94" s="210" t="n">
        <x:v>1</x:v>
      </x:c>
      <x:c r="N94" s="210" t="n">
        <x:v>2100</x:v>
      </x:c>
      <x:c r="O94" s="210" t="n">
        <x:v>600</x:v>
      </x:c>
      <x:c r="P94" s="210" t="str"/>
      <x:c r="Q94" s="211" t="n">
        <x:v>0.044</x:v>
      </x:c>
      <x:c r="R94" s="207" t="str"/>
      <x:c r="S94" s="207" t="str"/>
      <x:c r="T94" s="207" t="str"/>
      <x:c r="U94" s="207" t="n">
        <x:v>0</x:v>
      </x:c>
      <x:c r="V94" s="208" t="n">
        <x:f>MAX(0,M94-U94)</x:f>
        <x:v>1</x:v>
      </x:c>
      <x:c r="W94" s="209" t="n">
        <x:f>IFERROR(U94/M94,0)</x:f>
        <x:v>0</x:v>
      </x:c>
      <x:c r="X94" s="201" t="str">
        <x:f>IF(U94=0,"Não iniciado",IF(U94&gt;=M94,"Concluído","Parcial"))</x:f>
        <x:v>Não iniciado</x:v>
      </x:c>
      <x:c r="Y94" s="199" t="str"/>
      <x:c r="Z94" s="188" t="str">
        <x:v>Normal</x:v>
      </x:c>
    </x:row>
    <x:row r="95" ht="22" customHeight="1">
      <x:c r="A95" s="217" t="n">
        <x:v>91</x:v>
      </x:c>
      <x:c r="B95" s="218" t="str">
        <x:v>26744</x:v>
      </x:c>
      <x:c r="C95" s="218" t="str">
        <x:v>1</x:v>
      </x:c>
      <x:c r="D95" s="218" t="str">
        <x:v>609994</x:v>
      </x:c>
      <x:c r="E95" s="218" t="str">
        <x:v>3041500674</x:v>
      </x:c>
      <x:c r="F95" s="218" t="str">
        <x:v>PORTA</x:v>
      </x:c>
      <x:c r="G95" s="184" t="str">
        <x:v>FO POR S BD HDF 3 RU 2100X600X35 PET BCO</x:v>
      </x:c>
      <x:c r="H95" s="184" t="str"/>
      <x:c r="I95" s="184" t="str"/>
      <x:c r="J95" s="184" t="str"/>
      <x:c r="K95" s="184" t="str">
        <x:v>RECOBERTO PET</x:v>
      </x:c>
      <x:c r="L95" s="184" t="str">
        <x:v>BRANCO CARRARA</x:v>
      </x:c>
      <x:c r="M95" s="205" t="n">
        <x:v>4</x:v>
      </x:c>
      <x:c r="N95" s="205" t="n">
        <x:v>2100</x:v>
      </x:c>
      <x:c r="O95" s="205" t="n">
        <x:v>600</x:v>
      </x:c>
      <x:c r="P95" s="205" t="n">
        <x:v>35</x:v>
      </x:c>
      <x:c r="Q95" s="206" t="n">
        <x:v>0.176</x:v>
      </x:c>
      <x:c r="R95" s="207" t="str"/>
      <x:c r="S95" s="207" t="str"/>
      <x:c r="T95" s="207" t="str"/>
      <x:c r="U95" s="207" t="n">
        <x:v>0</x:v>
      </x:c>
      <x:c r="V95" s="208" t="n">
        <x:f>MAX(0,M95-U95)</x:f>
        <x:v>4</x:v>
      </x:c>
      <x:c r="W95" s="209" t="n">
        <x:f>IFERROR(U95/M95,0)</x:f>
        <x:v>0</x:v>
      </x:c>
      <x:c r="X95" s="201" t="str">
        <x:f>IF(U95=0,"Não iniciado",IF(U95&gt;=M95,"Concluído","Parcial"))</x:f>
        <x:v>Não iniciado</x:v>
      </x:c>
      <x:c r="Y95" s="199" t="str"/>
      <x:c r="Z95" s="188" t="str">
        <x:v>Normal</x:v>
      </x:c>
    </x:row>
    <x:row r="96" ht="22" customHeight="1">
      <x:c r="A96" s="219" t="n">
        <x:v>92</x:v>
      </x:c>
      <x:c r="B96" s="220" t="str">
        <x:v>26792</x:v>
      </x:c>
      <x:c r="C96" s="220" t="str">
        <x:v>1</x:v>
      </x:c>
      <x:c r="D96" s="220" t="str">
        <x:v>609423</x:v>
      </x:c>
      <x:c r="E96" s="220" t="str">
        <x:v>3040300440</x:v>
      </x:c>
      <x:c r="F96" s="220" t="str">
        <x:v>PORTA</x:v>
      </x:c>
      <x:c r="G96" s="190" t="str">
        <x:v>FO POR SMT HDF 3 COL RU 2100X600X35 ESM</x:v>
      </x:c>
      <x:c r="H96" s="190" t="str"/>
      <x:c r="I96" s="190" t="str"/>
      <x:c r="J96" s="190" t="str"/>
      <x:c r="K96" s="190" t="str">
        <x:v>ESMALTE</x:v>
      </x:c>
      <x:c r="L96" s="190" t="str">
        <x:v>BRANCO CARRARA</x:v>
      </x:c>
      <x:c r="M96" s="210" t="n">
        <x:v>137</x:v>
      </x:c>
      <x:c r="N96" s="210" t="n">
        <x:v>2100</x:v>
      </x:c>
      <x:c r="O96" s="210" t="n">
        <x:v>600</x:v>
      </x:c>
      <x:c r="P96" s="210" t="n">
        <x:v>35</x:v>
      </x:c>
      <x:c r="Q96" s="211" t="n">
        <x:v>6.042</x:v>
      </x:c>
      <x:c r="R96" s="207" t="str"/>
      <x:c r="S96" s="207" t="str"/>
      <x:c r="T96" s="207" t="str"/>
      <x:c r="U96" s="207" t="n">
        <x:v>0</x:v>
      </x:c>
      <x:c r="V96" s="208" t="n">
        <x:f>MAX(0,M96-U96)</x:f>
        <x:v>137</x:v>
      </x:c>
      <x:c r="W96" s="209" t="n">
        <x:f>IFERROR(U96/M96,0)</x:f>
        <x:v>0</x:v>
      </x:c>
      <x:c r="X96" s="201" t="str">
        <x:f>IF(U96=0,"Não iniciado",IF(U96&gt;=M96,"Concluído","Parcial"))</x:f>
        <x:v>Não iniciado</x:v>
      </x:c>
      <x:c r="Y96" s="199" t="str"/>
      <x:c r="Z96" s="188" t="str">
        <x:v>Normal</x:v>
      </x:c>
    </x:row>
    <x:row r="97" ht="22" customHeight="1">
      <x:c r="A97" s="217" t="n">
        <x:v>93</x:v>
      </x:c>
      <x:c r="B97" s="218" t="str">
        <x:v>26792</x:v>
      </x:c>
      <x:c r="C97" s="218" t="str">
        <x:v>2</x:v>
      </x:c>
      <x:c r="D97" s="218" t="str">
        <x:v>609431</x:v>
      </x:c>
      <x:c r="E97" s="218" t="str">
        <x:v>3040300440</x:v>
      </x:c>
      <x:c r="F97" s="218" t="str">
        <x:v>PORTA</x:v>
      </x:c>
      <x:c r="G97" s="184" t="str">
        <x:v>FO POR SMT HDF 3 COL RU 2100X600X35 ESM</x:v>
      </x:c>
      <x:c r="H97" s="184" t="str"/>
      <x:c r="I97" s="184" t="str"/>
      <x:c r="J97" s="184" t="str"/>
      <x:c r="K97" s="184" t="str">
        <x:v>ESMALTE</x:v>
      </x:c>
      <x:c r="L97" s="184" t="str">
        <x:v>BRANCO CARRARA</x:v>
      </x:c>
      <x:c r="M97" s="205" t="n">
        <x:v>17</x:v>
      </x:c>
      <x:c r="N97" s="205" t="n">
        <x:v>2100</x:v>
      </x:c>
      <x:c r="O97" s="205" t="n">
        <x:v>600</x:v>
      </x:c>
      <x:c r="P97" s="205" t="n">
        <x:v>35</x:v>
      </x:c>
      <x:c r="Q97" s="206" t="n">
        <x:v>0.75</x:v>
      </x:c>
      <x:c r="R97" s="207" t="str"/>
      <x:c r="S97" s="207" t="str"/>
      <x:c r="T97" s="207" t="str"/>
      <x:c r="U97" s="207" t="n">
        <x:v>0</x:v>
      </x:c>
      <x:c r="V97" s="208" t="n">
        <x:f>MAX(0,M97-U97)</x:f>
        <x:v>17</x:v>
      </x:c>
      <x:c r="W97" s="209" t="n">
        <x:f>IFERROR(U97/M97,0)</x:f>
        <x:v>0</x:v>
      </x:c>
      <x:c r="X97" s="201" t="str">
        <x:f>IF(U97=0,"Não iniciado",IF(U97&gt;=M97,"Concluído","Parcial"))</x:f>
        <x:v>Não iniciado</x:v>
      </x:c>
      <x:c r="Y97" s="199" t="str"/>
      <x:c r="Z97" s="188" t="str">
        <x:v>Normal</x:v>
      </x:c>
    </x:row>
    <x:row r="98" ht="22" customHeight="1">
      <x:c r="A98" s="219" t="n">
        <x:v>94</x:v>
      </x:c>
      <x:c r="B98" s="220" t="str">
        <x:v>26792</x:v>
      </x:c>
      <x:c r="C98" s="220" t="str">
        <x:v>3</x:v>
      </x:c>
      <x:c r="D98" s="220" t="str">
        <x:v>609439</x:v>
      </x:c>
      <x:c r="E98" s="220" t="str">
        <x:v>3040300440</x:v>
      </x:c>
      <x:c r="F98" s="220" t="str">
        <x:v>PORTA</x:v>
      </x:c>
      <x:c r="G98" s="190" t="str">
        <x:v>FO POR SMT HDF 3 COL RU 2100X600X35 ESM</x:v>
      </x:c>
      <x:c r="H98" s="190" t="str"/>
      <x:c r="I98" s="190" t="str"/>
      <x:c r="J98" s="190" t="str"/>
      <x:c r="K98" s="190" t="str">
        <x:v>ESMALTE</x:v>
      </x:c>
      <x:c r="L98" s="190" t="str">
        <x:v>BRANCO CARRARA</x:v>
      </x:c>
      <x:c r="M98" s="210" t="n">
        <x:v>1</x:v>
      </x:c>
      <x:c r="N98" s="210" t="n">
        <x:v>2100</x:v>
      </x:c>
      <x:c r="O98" s="210" t="n">
        <x:v>600</x:v>
      </x:c>
      <x:c r="P98" s="210" t="n">
        <x:v>35</x:v>
      </x:c>
      <x:c r="Q98" s="211" t="n">
        <x:v>0.044</x:v>
      </x:c>
      <x:c r="R98" s="207" t="str"/>
      <x:c r="S98" s="207" t="str"/>
      <x:c r="T98" s="207" t="str"/>
      <x:c r="U98" s="207" t="n">
        <x:v>0</x:v>
      </x:c>
      <x:c r="V98" s="208" t="n">
        <x:f>MAX(0,M98-U98)</x:f>
        <x:v>1</x:v>
      </x:c>
      <x:c r="W98" s="209" t="n">
        <x:f>IFERROR(U98/M98,0)</x:f>
        <x:v>0</x:v>
      </x:c>
      <x:c r="X98" s="201" t="str">
        <x:f>IF(U98=0,"Não iniciado",IF(U98&gt;=M98,"Concluído","Parcial"))</x:f>
        <x:v>Não iniciado</x:v>
      </x:c>
      <x:c r="Y98" s="199" t="str"/>
      <x:c r="Z98" s="188" t="str">
        <x:v>Normal</x:v>
      </x:c>
    </x:row>
    <x:row r="99" ht="22" customHeight="1">
      <x:c r="A99" s="217" t="n">
        <x:v>95</x:v>
      </x:c>
      <x:c r="B99" s="218" t="str">
        <x:v>26796</x:v>
      </x:c>
      <x:c r="C99" s="218" t="str">
        <x:v>1</x:v>
      </x:c>
      <x:c r="D99" s="218" t="str">
        <x:v>609290/612150</x:v>
      </x:c>
      <x:c r="E99" s="218" t="str">
        <x:v>3040300046</x:v>
      </x:c>
      <x:c r="F99" s="218" t="str">
        <x:v>PORTA</x:v>
      </x:c>
      <x:c r="G99" s="184" t="str">
        <x:v>FO POR SMT HDF 3 COL RU 2100X600X35 ESM</x:v>
      </x:c>
      <x:c r="H99" s="184" t="str"/>
      <x:c r="I99" s="184" t="str"/>
      <x:c r="J99" s="184" t="str"/>
      <x:c r="K99" s="184" t="str">
        <x:v>ESMALTE</x:v>
      </x:c>
      <x:c r="L99" s="184" t="str">
        <x:v>BRANCO CARRARA</x:v>
      </x:c>
      <x:c r="M99" s="205" t="n">
        <x:v>216</x:v>
      </x:c>
      <x:c r="N99" s="205" t="n">
        <x:v>2100</x:v>
      </x:c>
      <x:c r="O99" s="205" t="n">
        <x:v>600</x:v>
      </x:c>
      <x:c r="P99" s="205" t="n">
        <x:v>35</x:v>
      </x:c>
      <x:c r="Q99" s="206" t="n">
        <x:v>9.526</x:v>
      </x:c>
      <x:c r="R99" s="207" t="str"/>
      <x:c r="S99" s="207" t="str"/>
      <x:c r="T99" s="207" t="str"/>
      <x:c r="U99" s="207" t="n">
        <x:v>0</x:v>
      </x:c>
      <x:c r="V99" s="208" t="n">
        <x:f>MAX(0,M99-U99)</x:f>
        <x:v>216</x:v>
      </x:c>
      <x:c r="W99" s="209" t="n">
        <x:f>IFERROR(U99/M99,0)</x:f>
        <x:v>0</x:v>
      </x:c>
      <x:c r="X99" s="201" t="str">
        <x:f>IF(U99=0,"Não iniciado",IF(U99&gt;=M99,"Concluído","Parcial"))</x:f>
        <x:v>Não iniciado</x:v>
      </x:c>
      <x:c r="Y99" s="199" t="str"/>
      <x:c r="Z99" s="188" t="str">
        <x:v>Normal</x:v>
      </x:c>
    </x:row>
    <x:row r="100" ht="22" customHeight="1">
      <x:c r="A100" s="219" t="n">
        <x:v>96</x:v>
      </x:c>
      <x:c r="B100" s="220" t="str">
        <x:v>26799</x:v>
      </x:c>
      <x:c r="C100" s="220" t="str">
        <x:v>1</x:v>
      </x:c>
      <x:c r="D100" s="220" t="str">
        <x:v>609395</x:v>
      </x:c>
      <x:c r="E100" s="220" t="str">
        <x:v>3040300046</x:v>
      </x:c>
      <x:c r="F100" s="220" t="str">
        <x:v>PORTA</x:v>
      </x:c>
      <x:c r="G100" s="190" t="str">
        <x:v>FO POR SMT HDF 3 COL RU 2100X600X35 ESM</x:v>
      </x:c>
      <x:c r="H100" s="190" t="str"/>
      <x:c r="I100" s="190" t="str"/>
      <x:c r="J100" s="190" t="str"/>
      <x:c r="K100" s="190" t="str">
        <x:v>ESMALTE</x:v>
      </x:c>
      <x:c r="L100" s="190" t="str">
        <x:v>BRANCO CARRARA</x:v>
      </x:c>
      <x:c r="M100" s="210" t="n">
        <x:v>72</x:v>
      </x:c>
      <x:c r="N100" s="210" t="n">
        <x:v>2100</x:v>
      </x:c>
      <x:c r="O100" s="210" t="n">
        <x:v>600</x:v>
      </x:c>
      <x:c r="P100" s="210" t="n">
        <x:v>35</x:v>
      </x:c>
      <x:c r="Q100" s="211" t="n">
        <x:v>3.175</x:v>
      </x:c>
      <x:c r="R100" s="207" t="str"/>
      <x:c r="S100" s="207" t="str"/>
      <x:c r="T100" s="207" t="str"/>
      <x:c r="U100" s="207" t="n">
        <x:v>0</x:v>
      </x:c>
      <x:c r="V100" s="208" t="n">
        <x:f>MAX(0,M100-U100)</x:f>
        <x:v>72</x:v>
      </x:c>
      <x:c r="W100" s="209" t="n">
        <x:f>IFERROR(U100/M100,0)</x:f>
        <x:v>0</x:v>
      </x:c>
      <x:c r="X100" s="201" t="str">
        <x:f>IF(U100=0,"Não iniciado",IF(U100&gt;=M100,"Concluído","Parcial"))</x:f>
        <x:v>Não iniciado</x:v>
      </x:c>
      <x:c r="Y100" s="199" t="str"/>
      <x:c r="Z100" s="188" t="str">
        <x:v>Normal</x:v>
      </x:c>
    </x:row>
    <x:row r="101" ht="22" customHeight="1">
      <x:c r="A101" s="217" t="n">
        <x:v>97</x:v>
      </x:c>
      <x:c r="B101" s="218" t="str">
        <x:v>26815</x:v>
      </x:c>
      <x:c r="C101" s="218" t="str">
        <x:v>1</x:v>
      </x:c>
      <x:c r="D101" s="218" t="str">
        <x:v>609492</x:v>
      </x:c>
      <x:c r="E101" s="218" t="str">
        <x:v>3040300440</x:v>
      </x:c>
      <x:c r="F101" s="218" t="str">
        <x:v>PORTA</x:v>
      </x:c>
      <x:c r="G101" s="184" t="str">
        <x:v>FO POR SMT HDF 3 COL RU 2100X600X35 ESM</x:v>
      </x:c>
      <x:c r="H101" s="184" t="str"/>
      <x:c r="I101" s="184" t="str"/>
      <x:c r="J101" s="184" t="str"/>
      <x:c r="K101" s="184" t="str">
        <x:v>ESMALTE</x:v>
      </x:c>
      <x:c r="L101" s="184" t="str">
        <x:v>BRANCO CARRARA</x:v>
      </x:c>
      <x:c r="M101" s="205" t="n">
        <x:v>154</x:v>
      </x:c>
      <x:c r="N101" s="205" t="n">
        <x:v>2100</x:v>
      </x:c>
      <x:c r="O101" s="205" t="n">
        <x:v>600</x:v>
      </x:c>
      <x:c r="P101" s="205" t="n">
        <x:v>35</x:v>
      </x:c>
      <x:c r="Q101" s="206" t="n">
        <x:v>6.791</x:v>
      </x:c>
      <x:c r="R101" s="207" t="str"/>
      <x:c r="S101" s="207" t="str"/>
      <x:c r="T101" s="207" t="str"/>
      <x:c r="U101" s="207" t="n">
        <x:v>0</x:v>
      </x:c>
      <x:c r="V101" s="208" t="n">
        <x:f>MAX(0,M101-U101)</x:f>
        <x:v>154</x:v>
      </x:c>
      <x:c r="W101" s="209" t="n">
        <x:f>IFERROR(U101/M101,0)</x:f>
        <x:v>0</x:v>
      </x:c>
      <x:c r="X101" s="201" t="str">
        <x:f>IF(U101=0,"Não iniciado",IF(U101&gt;=M101,"Concluído","Parcial"))</x:f>
        <x:v>Não iniciado</x:v>
      </x:c>
      <x:c r="Y101" s="199" t="str"/>
      <x:c r="Z101" s="188" t="str">
        <x:v>Normal</x:v>
      </x:c>
    </x:row>
    <x:row r="102" ht="22" customHeight="1">
      <x:c r="A102" s="219" t="n">
        <x:v>98</x:v>
      </x:c>
      <x:c r="B102" s="220" t="str">
        <x:v>26815</x:v>
      </x:c>
      <x:c r="C102" s="220" t="str">
        <x:v>2</x:v>
      </x:c>
      <x:c r="D102" s="220" t="str">
        <x:v>609500</x:v>
      </x:c>
      <x:c r="E102" s="220" t="str">
        <x:v>3040300440</x:v>
      </x:c>
      <x:c r="F102" s="220" t="str">
        <x:v>PORTA</x:v>
      </x:c>
      <x:c r="G102" s="190" t="str">
        <x:v>FO POR SMT HDF 3 COL RU 2100X600X35 ESM</x:v>
      </x:c>
      <x:c r="H102" s="190" t="str"/>
      <x:c r="I102" s="190" t="str"/>
      <x:c r="J102" s="190" t="str"/>
      <x:c r="K102" s="190" t="str">
        <x:v>ESMALTE</x:v>
      </x:c>
      <x:c r="L102" s="190" t="str">
        <x:v>BRANCO CARRARA</x:v>
      </x:c>
      <x:c r="M102" s="210" t="n">
        <x:v>10</x:v>
      </x:c>
      <x:c r="N102" s="210" t="n">
        <x:v>2100</x:v>
      </x:c>
      <x:c r="O102" s="210" t="n">
        <x:v>600</x:v>
      </x:c>
      <x:c r="P102" s="210" t="n">
        <x:v>35</x:v>
      </x:c>
      <x:c r="Q102" s="211" t="n">
        <x:v>0.441</x:v>
      </x:c>
      <x:c r="R102" s="207" t="str"/>
      <x:c r="S102" s="207" t="str"/>
      <x:c r="T102" s="207" t="str"/>
      <x:c r="U102" s="207" t="n">
        <x:v>0</x:v>
      </x:c>
      <x:c r="V102" s="208" t="n">
        <x:f>MAX(0,M102-U102)</x:f>
        <x:v>10</x:v>
      </x:c>
      <x:c r="W102" s="209" t="n">
        <x:f>IFERROR(U102/M102,0)</x:f>
        <x:v>0</x:v>
      </x:c>
      <x:c r="X102" s="201" t="str">
        <x:f>IF(U102=0,"Não iniciado",IF(U102&gt;=M102,"Concluído","Parcial"))</x:f>
        <x:v>Não iniciado</x:v>
      </x:c>
      <x:c r="Y102" s="199" t="str"/>
      <x:c r="Z102" s="188" t="str">
        <x:v>Normal</x:v>
      </x:c>
    </x:row>
    <x:row r="103" ht="22" customHeight="1">
      <x:c r="A103" s="217" t="n">
        <x:v>99</x:v>
      </x:c>
      <x:c r="B103" s="218" t="str">
        <x:v>26824</x:v>
      </x:c>
      <x:c r="C103" s="218" t="str">
        <x:v>1</x:v>
      </x:c>
      <x:c r="D103" s="218" t="str">
        <x:v>609585</x:v>
      </x:c>
      <x:c r="E103" s="218" t="str">
        <x:v>3040300046</x:v>
      </x:c>
      <x:c r="F103" s="218" t="str">
        <x:v>PORTA</x:v>
      </x:c>
      <x:c r="G103" s="184" t="str">
        <x:v>FO POR SMT HDF 3 COL RU 2100X600X35 ESM</x:v>
      </x:c>
      <x:c r="H103" s="184" t="str"/>
      <x:c r="I103" s="184" t="str"/>
      <x:c r="J103" s="184" t="str"/>
      <x:c r="K103" s="184" t="str">
        <x:v>ESMALTE</x:v>
      </x:c>
      <x:c r="L103" s="184" t="str">
        <x:v>BRANCO CARRARA</x:v>
      </x:c>
      <x:c r="M103" s="205" t="n">
        <x:v>123</x:v>
      </x:c>
      <x:c r="N103" s="205" t="n">
        <x:v>2100</x:v>
      </x:c>
      <x:c r="O103" s="205" t="n">
        <x:v>600</x:v>
      </x:c>
      <x:c r="P103" s="205" t="n">
        <x:v>35</x:v>
      </x:c>
      <x:c r="Q103" s="206" t="n">
        <x:v>5.424</x:v>
      </x:c>
      <x:c r="R103" s="207" t="str"/>
      <x:c r="S103" s="207" t="str"/>
      <x:c r="T103" s="207" t="str"/>
      <x:c r="U103" s="207" t="n">
        <x:v>0</x:v>
      </x:c>
      <x:c r="V103" s="208" t="n">
        <x:f>MAX(0,M103-U103)</x:f>
        <x:v>123</x:v>
      </x:c>
      <x:c r="W103" s="209" t="n">
        <x:f>IFERROR(U103/M103,0)</x:f>
        <x:v>0</x:v>
      </x:c>
      <x:c r="X103" s="201" t="str">
        <x:f>IF(U103=0,"Não iniciado",IF(U103&gt;=M103,"Concluído","Parcial"))</x:f>
        <x:v>Não iniciado</x:v>
      </x:c>
      <x:c r="Y103" s="199" t="str"/>
      <x:c r="Z103" s="188" t="str">
        <x:v>Normal</x:v>
      </x:c>
    </x:row>
    <x:row r="104" ht="22" customHeight="1">
      <x:c r="A104" s="219" t="n">
        <x:v>100</x:v>
      </x:c>
      <x:c r="B104" s="220" t="str">
        <x:v>26800</x:v>
      </x:c>
      <x:c r="C104" s="220" t="str">
        <x:v>1</x:v>
      </x:c>
      <x:c r="D104" s="220" t="str">
        <x:v>612112</x:v>
      </x:c>
      <x:c r="E104" s="220" t="str">
        <x:v>3040900435</x:v>
      </x:c>
      <x:c r="F104" s="220" t="str">
        <x:v>PORTA</x:v>
      </x:c>
      <x:c r="G104" s="190" t="str">
        <x:v>FO POR HI C HDF 6 RU 2100X600X35 PET CA</x:v>
      </x:c>
      <x:c r="H104" s="190" t="str">
        <x:v>LISA</x:v>
      </x:c>
      <x:c r="I104" s="190" t="str"/>
      <x:c r="J104" s="190" t="str"/>
      <x:c r="K104" s="190" t="str">
        <x:v>RECOBERTO PET</x:v>
      </x:c>
      <x:c r="L104" s="190" t="str">
        <x:v>CARVALHO MALVA</x:v>
      </x:c>
      <x:c r="M104" s="210" t="n">
        <x:v>1</x:v>
      </x:c>
      <x:c r="N104" s="210" t="n">
        <x:v>2100</x:v>
      </x:c>
      <x:c r="O104" s="210" t="n">
        <x:v>600</x:v>
      </x:c>
      <x:c r="P104" s="210" t="n">
        <x:v>35</x:v>
      </x:c>
      <x:c r="Q104" s="211" t="n">
        <x:v>0.044</x:v>
      </x:c>
      <x:c r="R104" s="207" t="str"/>
      <x:c r="S104" s="207" t="str"/>
      <x:c r="T104" s="207" t="str"/>
      <x:c r="U104" s="207" t="n">
        <x:v>0</x:v>
      </x:c>
      <x:c r="V104" s="208" t="n">
        <x:f>MAX(0,M104-U104)</x:f>
        <x:v>1</x:v>
      </x:c>
      <x:c r="W104" s="209" t="n">
        <x:f>IFERROR(U104/M104,0)</x:f>
        <x:v>0</x:v>
      </x:c>
      <x:c r="X104" s="201" t="str">
        <x:f>IF(U104=0,"Não iniciado",IF(U104&gt;=M104,"Concluído","Parcial"))</x:f>
        <x:v>Não iniciado</x:v>
      </x:c>
      <x:c r="Y104" s="199" t="str"/>
      <x:c r="Z104" s="188" t="str">
        <x:v>Normal</x:v>
      </x:c>
    </x:row>
    <x:row r="105" ht="22" customHeight="1">
      <x:c r="A105" s="217" t="n">
        <x:v>101</x:v>
      </x:c>
      <x:c r="B105" s="218" t="str">
        <x:v>26520</x:v>
      </x:c>
      <x:c r="C105" s="218" t="str">
        <x:v>5</x:v>
      </x:c>
      <x:c r="D105" s="218" t="str">
        <x:v>610101</x:v>
      </x:c>
      <x:c r="E105" s="218" t="str">
        <x:v>3041300549</x:v>
      </x:c>
      <x:c r="F105" s="218" t="str">
        <x:v>PORTA</x:v>
      </x:c>
      <x:c r="G105" s="184" t="str">
        <x:v>FO POR SEM HDF 3 2100X600X35 PET CI VE C</x:v>
      </x:c>
      <x:c r="H105" s="184" t="str"/>
      <x:c r="I105" s="184" t="str"/>
      <x:c r="J105" s="184" t="str"/>
      <x:c r="K105" s="184" t="str">
        <x:v>RECOBERTO PET</x:v>
      </x:c>
      <x:c r="L105" s="184" t="str">
        <x:v>CINZA VERONA</x:v>
      </x:c>
      <x:c r="M105" s="205" t="n">
        <x:v>1</x:v>
      </x:c>
      <x:c r="N105" s="205" t="n">
        <x:v>2100</x:v>
      </x:c>
      <x:c r="O105" s="205" t="n">
        <x:v>600</x:v>
      </x:c>
      <x:c r="P105" s="205" t="n">
        <x:v>35</x:v>
      </x:c>
      <x:c r="Q105" s="206" t="n">
        <x:v>0.044</x:v>
      </x:c>
      <x:c r="R105" s="207" t="str"/>
      <x:c r="S105" s="207" t="str"/>
      <x:c r="T105" s="207" t="str"/>
      <x:c r="U105" s="207" t="n">
        <x:v>0</x:v>
      </x:c>
      <x:c r="V105" s="208" t="n">
        <x:f>MAX(0,M105-U105)</x:f>
        <x:v>1</x:v>
      </x:c>
      <x:c r="W105" s="209" t="n">
        <x:f>IFERROR(U105/M105,0)</x:f>
        <x:v>0</x:v>
      </x:c>
      <x:c r="X105" s="201" t="str">
        <x:f>IF(U105=0,"Não iniciado",IF(U105&gt;=M105,"Concluído","Parcial"))</x:f>
        <x:v>Não iniciado</x:v>
      </x:c>
      <x:c r="Y105" s="199" t="str"/>
      <x:c r="Z105" s="188" t="str">
        <x:v>Normal</x:v>
      </x:c>
    </x:row>
    <x:row r="106" ht="22" customHeight="1">
      <x:c r="A106" s="219" t="n">
        <x:v>102</x:v>
      </x:c>
      <x:c r="B106" s="220" t="str">
        <x:v>26520</x:v>
      </x:c>
      <x:c r="C106" s="220" t="str">
        <x:v>6</x:v>
      </x:c>
      <x:c r="D106" s="220" t="str">
        <x:v>610109</x:v>
      </x:c>
      <x:c r="E106" s="220" t="str">
        <x:v>3041300549</x:v>
      </x:c>
      <x:c r="F106" s="220" t="str">
        <x:v>PORTA</x:v>
      </x:c>
      <x:c r="G106" s="190" t="str">
        <x:v>FO POR SEM HDF 3 2100X600X35 PET CI VE C</x:v>
      </x:c>
      <x:c r="H106" s="190" t="str"/>
      <x:c r="I106" s="190" t="str"/>
      <x:c r="J106" s="190" t="str"/>
      <x:c r="K106" s="190" t="str">
        <x:v>RECOBERTO PET</x:v>
      </x:c>
      <x:c r="L106" s="190" t="str">
        <x:v>CINZA VERONA</x:v>
      </x:c>
      <x:c r="M106" s="210" t="n">
        <x:v>1</x:v>
      </x:c>
      <x:c r="N106" s="210" t="n">
        <x:v>2100</x:v>
      </x:c>
      <x:c r="O106" s="210" t="n">
        <x:v>600</x:v>
      </x:c>
      <x:c r="P106" s="210" t="n">
        <x:v>35</x:v>
      </x:c>
      <x:c r="Q106" s="211" t="n">
        <x:v>0.044</x:v>
      </x:c>
      <x:c r="R106" s="207" t="str"/>
      <x:c r="S106" s="207" t="str"/>
      <x:c r="T106" s="207" t="str"/>
      <x:c r="U106" s="207" t="n">
        <x:v>0</x:v>
      </x:c>
      <x:c r="V106" s="208" t="n">
        <x:f>MAX(0,M106-U106)</x:f>
        <x:v>1</x:v>
      </x:c>
      <x:c r="W106" s="209" t="n">
        <x:f>IFERROR(U106/M106,0)</x:f>
        <x:v>0</x:v>
      </x:c>
      <x:c r="X106" s="201" t="str">
        <x:f>IF(U106=0,"Não iniciado",IF(U106&gt;=M106,"Concluído","Parcial"))</x:f>
        <x:v>Não iniciado</x:v>
      </x:c>
      <x:c r="Y106" s="199" t="str"/>
      <x:c r="Z106" s="188" t="str">
        <x:v>Normal</x:v>
      </x:c>
    </x:row>
    <x:row r="107" ht="22" customHeight="1">
      <x:c r="A107" s="217" t="n">
        <x:v>103</x:v>
      </x:c>
      <x:c r="B107" s="218" t="str">
        <x:v>26520</x:v>
      </x:c>
      <x:c r="C107" s="218" t="str">
        <x:v>12</x:v>
      </x:c>
      <x:c r="D107" s="218" t="str">
        <x:v>610138</x:v>
      </x:c>
      <x:c r="E107" s="218" t="str">
        <x:v>3041300551</x:v>
      </x:c>
      <x:c r="F107" s="218" t="str">
        <x:v>PORTA</x:v>
      </x:c>
      <x:c r="G107" s="184" t="str">
        <x:v>FO POR SEM HDF 3 2100X600X35 PET C RA C/</x:v>
      </x:c>
      <x:c r="H107" s="184" t="str"/>
      <x:c r="I107" s="184" t="str"/>
      <x:c r="J107" s="184" t="str"/>
      <x:c r="K107" s="184" t="str">
        <x:v>RECOBERTO PET</x:v>
      </x:c>
      <x:c r="L107" s="184" t="str">
        <x:v>CURUPIXA RAVENNA</x:v>
      </x:c>
      <x:c r="M107" s="205" t="n">
        <x:v>1</x:v>
      </x:c>
      <x:c r="N107" s="205" t="n">
        <x:v>2100</x:v>
      </x:c>
      <x:c r="O107" s="205" t="n">
        <x:v>600</x:v>
      </x:c>
      <x:c r="P107" s="205" t="n">
        <x:v>35</x:v>
      </x:c>
      <x:c r="Q107" s="206" t="n">
        <x:v>0.044</x:v>
      </x:c>
      <x:c r="R107" s="207" t="str"/>
      <x:c r="S107" s="207" t="str"/>
      <x:c r="T107" s="207" t="str"/>
      <x:c r="U107" s="207" t="n">
        <x:v>0</x:v>
      </x:c>
      <x:c r="V107" s="208" t="n">
        <x:f>MAX(0,M107-U107)</x:f>
        <x:v>1</x:v>
      </x:c>
      <x:c r="W107" s="209" t="n">
        <x:f>IFERROR(U107/M107,0)</x:f>
        <x:v>0</x:v>
      </x:c>
      <x:c r="X107" s="201" t="str">
        <x:f>IF(U107=0,"Não iniciado",IF(U107&gt;=M107,"Concluído","Parcial"))</x:f>
        <x:v>Não iniciado</x:v>
      </x:c>
      <x:c r="Y107" s="199" t="str"/>
      <x:c r="Z107" s="188" t="str">
        <x:v>Normal</x:v>
      </x:c>
    </x:row>
    <x:row r="108" ht="22" customHeight="1">
      <x:c r="A108" s="219" t="n">
        <x:v>104</x:v>
      </x:c>
      <x:c r="B108" s="220" t="str">
        <x:v>26750</x:v>
      </x:c>
      <x:c r="C108" s="220" t="str">
        <x:v>9</x:v>
      </x:c>
      <x:c r="D108" s="220" t="str">
        <x:v>609802</x:v>
      </x:c>
      <x:c r="E108" s="220" t="str">
        <x:v>961470</x:v>
      </x:c>
      <x:c r="F108" s="220" t="str">
        <x:v>BAGUETE</x:v>
      </x:c>
      <x:c r="G108" s="190" t="str">
        <x:v>BAG 2200X40X14 RTO BTA. PVC REN BCO</x:v>
      </x:c>
      <x:c r="H108" s="190" t="str"/>
      <x:c r="I108" s="190" t="str"/>
      <x:c r="J108" s="190" t="str"/>
      <x:c r="K108" s="190" t="str">
        <x:v>RECOBERTO PVC RENOLIT</x:v>
      </x:c>
      <x:c r="L108" s="190" t="str">
        <x:v>BRANCO</x:v>
      </x:c>
      <x:c r="M108" s="210" t="n">
        <x:v>25</x:v>
      </x:c>
      <x:c r="N108" s="210" t="n">
        <x:v>2200</x:v>
      </x:c>
      <x:c r="O108" s="210" t="n">
        <x:v>40</x:v>
      </x:c>
      <x:c r="P108" s="210" t="n">
        <x:v>14</x:v>
      </x:c>
      <x:c r="Q108" s="211" t="n">
        <x:v>0.031</x:v>
      </x:c>
      <x:c r="R108" s="207" t="str"/>
      <x:c r="S108" s="207" t="str"/>
      <x:c r="T108" s="207" t="str"/>
      <x:c r="U108" s="207" t="n">
        <x:v>0</x:v>
      </x:c>
      <x:c r="V108" s="208" t="n">
        <x:f>MAX(0,M108-U108)</x:f>
        <x:v>25</x:v>
      </x:c>
      <x:c r="W108" s="209" t="n">
        <x:f>IFERROR(U108/M108,0)</x:f>
        <x:v>0</x:v>
      </x:c>
      <x:c r="X108" s="201" t="str">
        <x:f>IF(U108=0,"Não iniciado",IF(U108&gt;=M108,"Concluído","Parcial"))</x:f>
        <x:v>Não iniciado</x:v>
      </x:c>
      <x:c r="Y108" s="199" t="str"/>
      <x:c r="Z108" s="188" t="str">
        <x:v>Normal</x:v>
      </x:c>
    </x:row>
    <x:row r="109" ht="22" customHeight="1">
      <x:c r="A109" s="217" t="n">
        <x:v>105</x:v>
      </x:c>
      <x:c r="B109" s="218" t="str">
        <x:v>26739</x:v>
      </x:c>
      <x:c r="C109" s="218" t="str">
        <x:v>26</x:v>
      </x:c>
      <x:c r="D109" s="218" t="str">
        <x:v>609782</x:v>
      </x:c>
      <x:c r="E109" s="218" t="str">
        <x:v>675659</x:v>
      </x:c>
      <x:c r="F109" s="218" t="str">
        <x:v>BAGUETE</x:v>
      </x:c>
      <x:c r="G109" s="184" t="str">
        <x:v>BAGUETE 2200X40X14 RTO BTA. REC PET BRC</x:v>
      </x:c>
      <x:c r="H109" s="184" t="str"/>
      <x:c r="I109" s="184" t="str"/>
      <x:c r="J109" s="184" t="str"/>
      <x:c r="K109" s="184" t="str">
        <x:v>RECOBERTO PET</x:v>
      </x:c>
      <x:c r="L109" s="184" t="str">
        <x:v>BRANCO CARRARA</x:v>
      </x:c>
      <x:c r="M109" s="205" t="n">
        <x:v>35</x:v>
      </x:c>
      <x:c r="N109" s="205" t="n">
        <x:v>2200</x:v>
      </x:c>
      <x:c r="O109" s="205" t="n">
        <x:v>40</x:v>
      </x:c>
      <x:c r="P109" s="205" t="n">
        <x:v>14</x:v>
      </x:c>
      <x:c r="Q109" s="206" t="n">
        <x:v>0.043</x:v>
      </x:c>
      <x:c r="R109" s="207" t="str"/>
      <x:c r="S109" s="207" t="str"/>
      <x:c r="T109" s="207" t="str"/>
      <x:c r="U109" s="207" t="n">
        <x:v>0</x:v>
      </x:c>
      <x:c r="V109" s="208" t="n">
        <x:f>MAX(0,M109-U109)</x:f>
        <x:v>35</x:v>
      </x:c>
      <x:c r="W109" s="209" t="n">
        <x:f>IFERROR(U109/M109,0)</x:f>
        <x:v>0</x:v>
      </x:c>
      <x:c r="X109" s="201" t="str">
        <x:f>IF(U109=0,"Não iniciado",IF(U109&gt;=M109,"Concluído","Parcial"))</x:f>
        <x:v>Não iniciado</x:v>
      </x:c>
      <x:c r="Y109" s="199" t="str"/>
      <x:c r="Z109" s="188" t="str">
        <x:v>Normal</x:v>
      </x:c>
    </x:row>
    <x:row r="110" ht="22" customHeight="1">
      <x:c r="A110" s="219" t="n">
        <x:v>106</x:v>
      </x:c>
      <x:c r="B110" s="220" t="str">
        <x:v>26739</x:v>
      </x:c>
      <x:c r="C110" s="220" t="str">
        <x:v>24</x:v>
      </x:c>
      <x:c r="D110" s="220" t="str">
        <x:v>609766</x:v>
      </x:c>
      <x:c r="E110" s="220" t="str">
        <x:v>3190500017</x:v>
      </x:c>
      <x:c r="F110" s="220" t="str">
        <x:v>BAGUETE</x:v>
      </x:c>
      <x:c r="G110" s="190" t="str">
        <x:v>BAG P/VEN PINUS 2200X25X7 RTO PET BCO CA</x:v>
      </x:c>
      <x:c r="H110" s="190" t="str"/>
      <x:c r="I110" s="190" t="str"/>
      <x:c r="J110" s="190" t="str"/>
      <x:c r="K110" s="190" t="str">
        <x:v>ESMALTE</x:v>
      </x:c>
      <x:c r="L110" s="190" t="str">
        <x:v>BRANCO CARRARA</x:v>
      </x:c>
      <x:c r="M110" s="210" t="n">
        <x:v>6</x:v>
      </x:c>
      <x:c r="N110" s="210" t="n">
        <x:v>2200</x:v>
      </x:c>
      <x:c r="O110" s="210" t="n">
        <x:v>25</x:v>
      </x:c>
      <x:c r="P110" s="210" t="n">
        <x:v>7</x:v>
      </x:c>
      <x:c r="Q110" s="211" t="n">
        <x:v>0.002</x:v>
      </x:c>
      <x:c r="R110" s="207" t="str"/>
      <x:c r="S110" s="207" t="str"/>
      <x:c r="T110" s="207" t="str"/>
      <x:c r="U110" s="207" t="n">
        <x:v>0</x:v>
      </x:c>
      <x:c r="V110" s="208" t="n">
        <x:f>MAX(0,M110-U110)</x:f>
        <x:v>6</x:v>
      </x:c>
      <x:c r="W110" s="209" t="n">
        <x:f>IFERROR(U110/M110,0)</x:f>
        <x:v>0</x:v>
      </x:c>
      <x:c r="X110" s="201" t="str">
        <x:f>IF(U110=0,"Não iniciado",IF(U110&gt;=M110,"Concluído","Parcial"))</x:f>
        <x:v>Não iniciado</x:v>
      </x:c>
      <x:c r="Y110" s="199" t="str"/>
      <x:c r="Z110" s="188" t="str">
        <x:v>Normal</x:v>
      </x:c>
    </x:row>
    <x:row r="111" ht="22" customHeight="1">
      <x:c r="A111" s="217" t="n">
        <x:v>107</x:v>
      </x:c>
      <x:c r="B111" s="218" t="str">
        <x:v>26739</x:v>
      </x:c>
      <x:c r="C111" s="218" t="str">
        <x:v>25</x:v>
      </x:c>
      <x:c r="D111" s="218" t="str">
        <x:v>609780</x:v>
      </x:c>
      <x:c r="E111" s="218" t="str">
        <x:v>3190500017</x:v>
      </x:c>
      <x:c r="F111" s="218" t="str">
        <x:v>BAGUETE</x:v>
      </x:c>
      <x:c r="G111" s="184" t="str">
        <x:v>BAG P/VEN PINUS 2200X25X7 RTO PET BCO CA</x:v>
      </x:c>
      <x:c r="H111" s="184" t="str"/>
      <x:c r="I111" s="184" t="str"/>
      <x:c r="J111" s="184" t="str"/>
      <x:c r="K111" s="184" t="str">
        <x:v>ESMALTE</x:v>
      </x:c>
      <x:c r="L111" s="184" t="str">
        <x:v>BRANCO CARRARA</x:v>
      </x:c>
      <x:c r="M111" s="205" t="n">
        <x:v>3</x:v>
      </x:c>
      <x:c r="N111" s="205" t="n">
        <x:v>2200</x:v>
      </x:c>
      <x:c r="O111" s="205" t="n">
        <x:v>25</x:v>
      </x:c>
      <x:c r="P111" s="205" t="n">
        <x:v>7</x:v>
      </x:c>
      <x:c r="Q111" s="206" t="n">
        <x:v>0.001</x:v>
      </x:c>
      <x:c r="R111" s="207" t="str"/>
      <x:c r="S111" s="207" t="str"/>
      <x:c r="T111" s="207" t="str"/>
      <x:c r="U111" s="207" t="n">
        <x:v>0</x:v>
      </x:c>
      <x:c r="V111" s="208" t="n">
        <x:f>MAX(0,M111-U111)</x:f>
        <x:v>3</x:v>
      </x:c>
      <x:c r="W111" s="209" t="n">
        <x:f>IFERROR(U111/M111,0)</x:f>
        <x:v>0</x:v>
      </x:c>
      <x:c r="X111" s="201" t="str">
        <x:f>IF(U111=0,"Não iniciado",IF(U111&gt;=M111,"Concluído","Parcial"))</x:f>
        <x:v>Não iniciado</x:v>
      </x:c>
      <x:c r="Y111" s="199" t="str"/>
      <x:c r="Z111" s="188" t="str">
        <x:v>Normal</x:v>
      </x:c>
    </x:row>
    <x:row r="112" ht="22" customHeight="1">
      <x:c r="A112" s="219" t="n">
        <x:v>108</x:v>
      </x:c>
      <x:c r="B112" s="220" t="str">
        <x:v>26750</x:v>
      </x:c>
      <x:c r="C112" s="220" t="str">
        <x:v>26</x:v>
      </x:c>
      <x:c r="D112" s="220" t="str">
        <x:v>609927</x:v>
      </x:c>
      <x:c r="E112" s="220" t="str">
        <x:v>3190500017</x:v>
      </x:c>
      <x:c r="F112" s="220" t="str">
        <x:v>BAGUETE</x:v>
      </x:c>
      <x:c r="G112" s="190" t="str">
        <x:v>BAG P/VEN PINUS 2200X25X7 RTO PET BCO CA</x:v>
      </x:c>
      <x:c r="H112" s="190" t="str"/>
      <x:c r="I112" s="190" t="str"/>
      <x:c r="J112" s="190" t="str"/>
      <x:c r="K112" s="190" t="str">
        <x:v>ESMALTE</x:v>
      </x:c>
      <x:c r="L112" s="190" t="str">
        <x:v>BRANCO CARRARA</x:v>
      </x:c>
      <x:c r="M112" s="210" t="n">
        <x:v>6</x:v>
      </x:c>
      <x:c r="N112" s="210" t="n">
        <x:v>2200</x:v>
      </x:c>
      <x:c r="O112" s="210" t="n">
        <x:v>25</x:v>
      </x:c>
      <x:c r="P112" s="210" t="n">
        <x:v>7</x:v>
      </x:c>
      <x:c r="Q112" s="211" t="n">
        <x:v>0.002</x:v>
      </x:c>
      <x:c r="R112" s="207" t="str"/>
      <x:c r="S112" s="207" t="str"/>
      <x:c r="T112" s="207" t="str"/>
      <x:c r="U112" s="207" t="n">
        <x:v>0</x:v>
      </x:c>
      <x:c r="V112" s="208" t="n">
        <x:f>MAX(0,M112-U112)</x:f>
        <x:v>6</x:v>
      </x:c>
      <x:c r="W112" s="209" t="n">
        <x:f>IFERROR(U112/M112,0)</x:f>
        <x:v>0</x:v>
      </x:c>
      <x:c r="X112" s="201" t="str">
        <x:f>IF(U112=0,"Não iniciado",IF(U112&gt;=M112,"Concluído","Parcial"))</x:f>
        <x:v>Não iniciado</x:v>
      </x:c>
      <x:c r="Y112" s="199" t="str"/>
      <x:c r="Z112" s="188" t="str">
        <x:v>Normal</x:v>
      </x:c>
    </x:row>
    <x:row r="113" ht="22" customHeight="1">
      <x:c r="A113" s="217" t="n">
        <x:v>109</x:v>
      </x:c>
      <x:c r="B113" s="218" t="str">
        <x:v>26792</x:v>
      </x:c>
      <x:c r="C113" s="218" t="str">
        <x:v>5</x:v>
      </x:c>
      <x:c r="D113" s="218" t="str">
        <x:v>609463</x:v>
      </x:c>
      <x:c r="E113" s="218" t="str">
        <x:v>3190500045</x:v>
      </x:c>
      <x:c r="F113" s="218" t="str">
        <x:v>BAGUETE</x:v>
      </x:c>
      <x:c r="G113" s="184" t="str">
        <x:v>BAG P/VEN PINUS 2200X25X7 RTO PET TXT BC</x:v>
      </x:c>
      <x:c r="H113" s="184" t="str"/>
      <x:c r="I113" s="184" t="str"/>
      <x:c r="J113" s="184" t="str"/>
      <x:c r="K113" s="184" t="str">
        <x:v>ESMALTE</x:v>
      </x:c>
      <x:c r="L113" s="184" t="str">
        <x:v>BRANCO CARRARA</x:v>
      </x:c>
      <x:c r="M113" s="205" t="n">
        <x:v>216</x:v>
      </x:c>
      <x:c r="N113" s="205" t="n">
        <x:v>2200</x:v>
      </x:c>
      <x:c r="O113" s="205" t="n">
        <x:v>25</x:v>
      </x:c>
      <x:c r="P113" s="205" t="n">
        <x:v>7</x:v>
      </x:c>
      <x:c r="Q113" s="206" t="n">
        <x:v>0.083</x:v>
      </x:c>
      <x:c r="R113" s="207" t="str"/>
      <x:c r="S113" s="207" t="str"/>
      <x:c r="T113" s="207" t="str"/>
      <x:c r="U113" s="207" t="n">
        <x:v>0</x:v>
      </x:c>
      <x:c r="V113" s="208" t="n">
        <x:f>MAX(0,M113-U113)</x:f>
        <x:v>216</x:v>
      </x:c>
      <x:c r="W113" s="209" t="n">
        <x:f>IFERROR(U113/M113,0)</x:f>
        <x:v>0</x:v>
      </x:c>
      <x:c r="X113" s="201" t="str">
        <x:f>IF(U113=0,"Não iniciado",IF(U113&gt;=M113,"Concluído","Parcial"))</x:f>
        <x:v>Não iniciado</x:v>
      </x:c>
      <x:c r="Y113" s="199" t="str"/>
      <x:c r="Z113" s="188" t="str">
        <x:v>Normal</x:v>
      </x:c>
    </x:row>
    <x:row r="114" ht="22" customHeight="1">
      <x:c r="A114" s="219" t="n">
        <x:v>110</x:v>
      </x:c>
      <x:c r="B114" s="220" t="str">
        <x:v>26792</x:v>
      </x:c>
      <x:c r="C114" s="220" t="str">
        <x:v>6</x:v>
      </x:c>
      <x:c r="D114" s="220" t="str">
        <x:v>609480</x:v>
      </x:c>
      <x:c r="E114" s="220" t="str">
        <x:v>3190500045</x:v>
      </x:c>
      <x:c r="F114" s="220" t="str">
        <x:v>BAGUETE</x:v>
      </x:c>
      <x:c r="G114" s="190" t="str">
        <x:v>BAG P/VEN PINUS 2200X25X7 RTO PET TXT BC</x:v>
      </x:c>
      <x:c r="H114" s="190" t="str"/>
      <x:c r="I114" s="190" t="str"/>
      <x:c r="J114" s="190" t="str"/>
      <x:c r="K114" s="190" t="str">
        <x:v>ESMALTE</x:v>
      </x:c>
      <x:c r="L114" s="190" t="str">
        <x:v>BRANCO CARRARA</x:v>
      </x:c>
      <x:c r="M114" s="210" t="n">
        <x:v>40</x:v>
      </x:c>
      <x:c r="N114" s="210" t="n">
        <x:v>2200</x:v>
      </x:c>
      <x:c r="O114" s="210" t="n">
        <x:v>25</x:v>
      </x:c>
      <x:c r="P114" s="210" t="n">
        <x:v>7</x:v>
      </x:c>
      <x:c r="Q114" s="211" t="n">
        <x:v>0.015</x:v>
      </x:c>
      <x:c r="R114" s="207" t="str"/>
      <x:c r="S114" s="207" t="str"/>
      <x:c r="T114" s="207" t="str"/>
      <x:c r="U114" s="207" t="n">
        <x:v>0</x:v>
      </x:c>
      <x:c r="V114" s="208" t="n">
        <x:f>MAX(0,M114-U114)</x:f>
        <x:v>40</x:v>
      </x:c>
      <x:c r="W114" s="209" t="n">
        <x:f>IFERROR(U114/M114,0)</x:f>
        <x:v>0</x:v>
      </x:c>
      <x:c r="X114" s="201" t="str">
        <x:f>IF(U114=0,"Não iniciado",IF(U114&gt;=M114,"Concluído","Parcial"))</x:f>
        <x:v>Não iniciado</x:v>
      </x:c>
      <x:c r="Y114" s="199" t="str"/>
      <x:c r="Z114" s="188" t="str">
        <x:v>Normal</x:v>
      </x:c>
    </x:row>
    <x:row r="115" ht="22" customHeight="1">
      <x:c r="A115" s="217" t="n">
        <x:v>111</x:v>
      </x:c>
      <x:c r="B115" s="218" t="str">
        <x:v>26815</x:v>
      </x:c>
      <x:c r="C115" s="218" t="str">
        <x:v>4</x:v>
      </x:c>
      <x:c r="D115" s="218" t="str">
        <x:v>609524</x:v>
      </x:c>
      <x:c r="E115" s="218" t="str">
        <x:v>3190500045</x:v>
      </x:c>
      <x:c r="F115" s="218" t="str">
        <x:v>BAGUETE</x:v>
      </x:c>
      <x:c r="G115" s="184" t="str">
        <x:v>BAG P/VEN PINUS 2200X25X7 RTO PET TXT BC</x:v>
      </x:c>
      <x:c r="H115" s="184" t="str"/>
      <x:c r="I115" s="184" t="str"/>
      <x:c r="J115" s="184" t="str"/>
      <x:c r="K115" s="184" t="str">
        <x:v>ESMALTE</x:v>
      </x:c>
      <x:c r="L115" s="184" t="str">
        <x:v>BRANCO CARRARA</x:v>
      </x:c>
      <x:c r="M115" s="205" t="n">
        <x:v>268</x:v>
      </x:c>
      <x:c r="N115" s="205" t="n">
        <x:v>2200</x:v>
      </x:c>
      <x:c r="O115" s="205" t="n">
        <x:v>25</x:v>
      </x:c>
      <x:c r="P115" s="205" t="n">
        <x:v>7</x:v>
      </x:c>
      <x:c r="Q115" s="206" t="n">
        <x:v>0.103</x:v>
      </x:c>
      <x:c r="R115" s="207" t="str"/>
      <x:c r="S115" s="207" t="str"/>
      <x:c r="T115" s="207" t="str"/>
      <x:c r="U115" s="207" t="n">
        <x:v>0</x:v>
      </x:c>
      <x:c r="V115" s="208" t="n">
        <x:f>MAX(0,M115-U115)</x:f>
        <x:v>268</x:v>
      </x:c>
      <x:c r="W115" s="209" t="n">
        <x:f>IFERROR(U115/M115,0)</x:f>
        <x:v>0</x:v>
      </x:c>
      <x:c r="X115" s="201" t="str">
        <x:f>IF(U115=0,"Não iniciado",IF(U115&gt;=M115,"Concluído","Parcial"))</x:f>
        <x:v>Não iniciado</x:v>
      </x:c>
      <x:c r="Y115" s="199" t="str"/>
      <x:c r="Z115" s="188" t="str">
        <x:v>Normal</x:v>
      </x:c>
    </x:row>
    <x:row r="116" ht="22" customHeight="1">
      <x:c r="A116" s="219" t="n">
        <x:v>112</x:v>
      </x:c>
      <x:c r="B116" s="220" t="str">
        <x:v>26815</x:v>
      </x:c>
      <x:c r="C116" s="220" t="str">
        <x:v>5</x:v>
      </x:c>
      <x:c r="D116" s="220" t="str">
        <x:v>609541</x:v>
      </x:c>
      <x:c r="E116" s="220" t="str">
        <x:v>3190500045</x:v>
      </x:c>
      <x:c r="F116" s="220" t="str">
        <x:v>BAGUETE</x:v>
      </x:c>
      <x:c r="G116" s="190" t="str">
        <x:v>BAG P/VEN PINUS 2200X25X7 RTO PET TXT BC</x:v>
      </x:c>
      <x:c r="H116" s="190" t="str"/>
      <x:c r="I116" s="190" t="str"/>
      <x:c r="J116" s="190" t="str"/>
      <x:c r="K116" s="190" t="str">
        <x:v>ESMALTE</x:v>
      </x:c>
      <x:c r="L116" s="190" t="str">
        <x:v>BRANCO CARRARA</x:v>
      </x:c>
      <x:c r="M116" s="210" t="n">
        <x:v>32</x:v>
      </x:c>
      <x:c r="N116" s="210" t="n">
        <x:v>2200</x:v>
      </x:c>
      <x:c r="O116" s="210" t="n">
        <x:v>25</x:v>
      </x:c>
      <x:c r="P116" s="210" t="n">
        <x:v>7</x:v>
      </x:c>
      <x:c r="Q116" s="211" t="n">
        <x:v>0.012</x:v>
      </x:c>
      <x:c r="R116" s="207" t="str"/>
      <x:c r="S116" s="207" t="str"/>
      <x:c r="T116" s="207" t="str"/>
      <x:c r="U116" s="207" t="n">
        <x:v>0</x:v>
      </x:c>
      <x:c r="V116" s="208" t="n">
        <x:f>MAX(0,M116-U116)</x:f>
        <x:v>32</x:v>
      </x:c>
      <x:c r="W116" s="209" t="n">
        <x:f>IFERROR(U116/M116,0)</x:f>
        <x:v>0</x:v>
      </x:c>
      <x:c r="X116" s="201" t="str">
        <x:f>IF(U116=0,"Não iniciado",IF(U116&gt;=M116,"Concluído","Parcial"))</x:f>
        <x:v>Não iniciado</x:v>
      </x:c>
      <x:c r="Y116" s="199" t="str"/>
      <x:c r="Z116" s="188" t="str">
        <x:v>Normal</x:v>
      </x:c>
    </x:row>
    <x:row r="117" ht="22" customHeight="1">
      <x:c r="A117" s="217" t="n">
        <x:v>113</x:v>
      </x:c>
      <x:c r="B117" s="218" t="str">
        <x:v>26815</x:v>
      </x:c>
      <x:c r="C117" s="218" t="str">
        <x:v>6</x:v>
      </x:c>
      <x:c r="D117" s="218" t="str">
        <x:v>609558</x:v>
      </x:c>
      <x:c r="E117" s="218" t="str">
        <x:v>3190500045</x:v>
      </x:c>
      <x:c r="F117" s="218" t="str">
        <x:v>BAGUETE</x:v>
      </x:c>
      <x:c r="G117" s="184" t="str">
        <x:v>BAG P/VEN PINUS 2200X25X7 RTO PET TXT BC</x:v>
      </x:c>
      <x:c r="H117" s="184" t="str"/>
      <x:c r="I117" s="184" t="str"/>
      <x:c r="J117" s="184" t="str"/>
      <x:c r="K117" s="184" t="str">
        <x:v>ESMALTE</x:v>
      </x:c>
      <x:c r="L117" s="184" t="str">
        <x:v>BRANCO CARRARA</x:v>
      </x:c>
      <x:c r="M117" s="205" t="n">
        <x:v>108</x:v>
      </x:c>
      <x:c r="N117" s="205" t="n">
        <x:v>2200</x:v>
      </x:c>
      <x:c r="O117" s="205" t="n">
        <x:v>25</x:v>
      </x:c>
      <x:c r="P117" s="205" t="n">
        <x:v>7</x:v>
      </x:c>
      <x:c r="Q117" s="206" t="n">
        <x:v>0.042</x:v>
      </x:c>
      <x:c r="R117" s="207" t="str"/>
      <x:c r="S117" s="207" t="str"/>
      <x:c r="T117" s="207" t="str"/>
      <x:c r="U117" s="207" t="n">
        <x:v>0</x:v>
      </x:c>
      <x:c r="V117" s="208" t="n">
        <x:f>MAX(0,M117-U117)</x:f>
        <x:v>108</x:v>
      </x:c>
      <x:c r="W117" s="209" t="n">
        <x:f>IFERROR(U117/M117,0)</x:f>
        <x:v>0</x:v>
      </x:c>
      <x:c r="X117" s="201" t="str">
        <x:f>IF(U117=0,"Não iniciado",IF(U117&gt;=M117,"Concluído","Parcial"))</x:f>
        <x:v>Não iniciado</x:v>
      </x:c>
      <x:c r="Y117" s="199" t="str"/>
      <x:c r="Z117" s="188" t="str">
        <x:v>Normal</x:v>
      </x:c>
    </x:row>
    <x:row r="118" ht="22" customHeight="1">
      <x:c r="A118" s="219" t="n">
        <x:v>114</x:v>
      </x:c>
      <x:c r="B118" s="220" t="str">
        <x:v>26815</x:v>
      </x:c>
      <x:c r="C118" s="220" t="str">
        <x:v>7</x:v>
      </x:c>
      <x:c r="D118" s="220" t="str">
        <x:v>609575</x:v>
      </x:c>
      <x:c r="E118" s="220" t="str">
        <x:v>3190500045</x:v>
      </x:c>
      <x:c r="F118" s="220" t="str">
        <x:v>BAGUETE</x:v>
      </x:c>
      <x:c r="G118" s="190" t="str">
        <x:v>BAG P/VEN PINUS 2200X25X7 RTO PET TXT BC</x:v>
      </x:c>
      <x:c r="H118" s="190" t="str"/>
      <x:c r="I118" s="190" t="str"/>
      <x:c r="J118" s="190" t="str"/>
      <x:c r="K118" s="190" t="str">
        <x:v>ESMALTE</x:v>
      </x:c>
      <x:c r="L118" s="190" t="str">
        <x:v>BRANCO CARRARA</x:v>
      </x:c>
      <x:c r="M118" s="210" t="n">
        <x:v>20</x:v>
      </x:c>
      <x:c r="N118" s="210" t="n">
        <x:v>2200</x:v>
      </x:c>
      <x:c r="O118" s="210" t="n">
        <x:v>25</x:v>
      </x:c>
      <x:c r="P118" s="210" t="n">
        <x:v>7</x:v>
      </x:c>
      <x:c r="Q118" s="211" t="n">
        <x:v>0.008</x:v>
      </x:c>
      <x:c r="R118" s="207" t="str"/>
      <x:c r="S118" s="207" t="str"/>
      <x:c r="T118" s="207" t="str"/>
      <x:c r="U118" s="207" t="n">
        <x:v>0</x:v>
      </x:c>
      <x:c r="V118" s="208" t="n">
        <x:f>MAX(0,M118-U118)</x:f>
        <x:v>20</x:v>
      </x:c>
      <x:c r="W118" s="209" t="n">
        <x:f>IFERROR(U118/M118,0)</x:f>
        <x:v>0</x:v>
      </x:c>
      <x:c r="X118" s="201" t="str">
        <x:f>IF(U118=0,"Não iniciado",IF(U118&gt;=M118,"Concluído","Parcial"))</x:f>
        <x:v>Não iniciado</x:v>
      </x:c>
      <x:c r="Y118" s="199" t="str"/>
      <x:c r="Z118" s="188" t="str">
        <x:v>Normal</x:v>
      </x:c>
    </x:row>
    <x:row r="119" ht="22" customHeight="1">
      <x:c r="A119" s="217" t="n">
        <x:v>115</x:v>
      </x:c>
      <x:c r="B119" s="218" t="str">
        <x:v>26826</x:v>
      </x:c>
      <x:c r="C119" s="218" t="str">
        <x:v>5</x:v>
      </x:c>
      <x:c r="D119" s="218" t="str">
        <x:v>609070</x:v>
      </x:c>
      <x:c r="E119" s="218" t="str">
        <x:v>1000076</x:v>
      </x:c>
      <x:c r="F119" s="218" t="str">
        <x:v>KIT DE CORRER</x:v>
      </x:c>
      <x:c r="G119" s="184" t="str">
        <x:v> KIT DE CORRER EM MDF</x:v>
      </x:c>
      <x:c r="H119" s="184" t="str"/>
      <x:c r="I119" s="184" t="str"/>
      <x:c r="J119" s="184" t="str"/>
      <x:c r="K119" s="184" t="str">
        <x:v>RECOBERTO PET TXT</x:v>
      </x:c>
      <x:c r="L119" s="184" t="str">
        <x:v>BRANCO</x:v>
      </x:c>
      <x:c r="M119" s="205" t="n">
        <x:v>115</x:v>
      </x:c>
      <x:c r="N119" s="205" t="str"/>
      <x:c r="O119" s="205" t="str"/>
      <x:c r="P119" s="205" t="str"/>
      <x:c r="Q119" s="206" t="n">
        <x:v>0</x:v>
      </x:c>
      <x:c r="R119" s="207" t="str"/>
      <x:c r="S119" s="207" t="str"/>
      <x:c r="T119" s="207" t="str"/>
      <x:c r="U119" s="207" t="n">
        <x:v>0</x:v>
      </x:c>
      <x:c r="V119" s="208" t="n">
        <x:f>MAX(0,M119-U119)</x:f>
        <x:v>115</x:v>
      </x:c>
      <x:c r="W119" s="209" t="n">
        <x:f>IFERROR(U119/M119,0)</x:f>
        <x:v>0</x:v>
      </x:c>
      <x:c r="X119" s="201" t="str">
        <x:f>IF(U119=0,"Não iniciado",IF(U119&gt;=M119,"Concluído","Parcial"))</x:f>
        <x:v>Não iniciado</x:v>
      </x:c>
      <x:c r="Y119" s="199" t="str"/>
      <x:c r="Z119" s="188" t="str">
        <x:v>Normal</x:v>
      </x:c>
    </x:row>
    <x:row r="120" ht="22" customHeight="1">
      <x:c r="A120" s="219" t="n">
        <x:v>116</x:v>
      </x:c>
      <x:c r="B120" s="220" t="str">
        <x:v>26739</x:v>
      </x:c>
      <x:c r="C120" s="220" t="str">
        <x:v>16</x:v>
      </x:c>
      <x:c r="D120" s="220" t="str">
        <x:v>609688</x:v>
      </x:c>
      <x:c r="E120" s="220" t="str">
        <x:v>1000076</x:v>
      </x:c>
      <x:c r="F120" s="220" t="str">
        <x:v>KIT DE CORRER</x:v>
      </x:c>
      <x:c r="G120" s="190" t="str">
        <x:v> KIT DE CORRER EM MDF ULTRA</x:v>
      </x:c>
      <x:c r="H120" s="190" t="str"/>
      <x:c r="I120" s="190" t="str"/>
      <x:c r="J120" s="190" t="str"/>
      <x:c r="K120" s="190" t="str">
        <x:v>RECOBERTO PET</x:v>
      </x:c>
      <x:c r="L120" s="190" t="str">
        <x:v>BRANCO CARRARA</x:v>
      </x:c>
      <x:c r="M120" s="210" t="n">
        <x:v>7</x:v>
      </x:c>
      <x:c r="N120" s="210" t="str"/>
      <x:c r="O120" s="210" t="str"/>
      <x:c r="P120" s="210" t="str"/>
      <x:c r="Q120" s="211" t="n">
        <x:v>0</x:v>
      </x:c>
      <x:c r="R120" s="207" t="str"/>
      <x:c r="S120" s="207" t="str"/>
      <x:c r="T120" s="207" t="str"/>
      <x:c r="U120" s="207" t="n">
        <x:v>0</x:v>
      </x:c>
      <x:c r="V120" s="208" t="n">
        <x:f>MAX(0,M120-U120)</x:f>
        <x:v>7</x:v>
      </x:c>
      <x:c r="W120" s="209" t="n">
        <x:f>IFERROR(U120/M120,0)</x:f>
        <x:v>0</x:v>
      </x:c>
      <x:c r="X120" s="201" t="str">
        <x:f>IF(U120=0,"Não iniciado",IF(U120&gt;=M120,"Concluído","Parcial"))</x:f>
        <x:v>Não iniciado</x:v>
      </x:c>
      <x:c r="Y120" s="199" t="str"/>
      <x:c r="Z120" s="188" t="str">
        <x:v>Normal</x:v>
      </x:c>
    </x:row>
    <x:row r="121" ht="22" customHeight="1">
      <x:c r="A121" s="217" t="n">
        <x:v>117</x:v>
      </x:c>
      <x:c r="B121" s="218" t="str">
        <x:v>26744</x:v>
      </x:c>
      <x:c r="C121" s="218" t="str">
        <x:v>6</x:v>
      </x:c>
      <x:c r="D121" s="218" t="str">
        <x:v>610022</x:v>
      </x:c>
      <x:c r="E121" s="218" t="str">
        <x:v>1000076</x:v>
      </x:c>
      <x:c r="F121" s="218" t="str">
        <x:v>KIT DE CORRER</x:v>
      </x:c>
      <x:c r="G121" s="184" t="str">
        <x:v> KIT DE CORRER EM MADEIRA DE PINUS</x:v>
      </x:c>
      <x:c r="H121" s="184" t="str"/>
      <x:c r="I121" s="184" t="str"/>
      <x:c r="J121" s="184" t="str"/>
      <x:c r="K121" s="184" t="str">
        <x:v>RECOBERTO PET</x:v>
      </x:c>
      <x:c r="L121" s="184" t="str">
        <x:v>BRANCO CARRARA</x:v>
      </x:c>
      <x:c r="M121" s="205" t="n">
        <x:v>2</x:v>
      </x:c>
      <x:c r="N121" s="205" t="str"/>
      <x:c r="O121" s="205" t="str"/>
      <x:c r="P121" s="205" t="str"/>
      <x:c r="Q121" s="206" t="n">
        <x:v>0</x:v>
      </x:c>
      <x:c r="R121" s="207" t="str"/>
      <x:c r="S121" s="207" t="str"/>
      <x:c r="T121" s="207" t="str"/>
      <x:c r="U121" s="207" t="n">
        <x:v>0</x:v>
      </x:c>
      <x:c r="V121" s="208" t="n">
        <x:f>MAX(0,M121-U121)</x:f>
        <x:v>2</x:v>
      </x:c>
      <x:c r="W121" s="209" t="n">
        <x:f>IFERROR(U121/M121,0)</x:f>
        <x:v>0</x:v>
      </x:c>
      <x:c r="X121" s="201" t="str">
        <x:f>IF(U121=0,"Não iniciado",IF(U121&gt;=M121,"Concluído","Parcial"))</x:f>
        <x:v>Não iniciado</x:v>
      </x:c>
      <x:c r="Y121" s="199" t="str"/>
      <x:c r="Z121" s="188" t="str">
        <x:v>Normal</x:v>
      </x:c>
    </x:row>
    <x:row r="122" ht="22" customHeight="1">
      <x:c r="A122" s="219" t="n">
        <x:v>118</x:v>
      </x:c>
      <x:c r="B122" s="220" t="str">
        <x:v>26747</x:v>
      </x:c>
      <x:c r="C122" s="220" t="str">
        <x:v>12</x:v>
      </x:c>
      <x:c r="D122" s="220" t="str">
        <x:v>609027</x:v>
      </x:c>
      <x:c r="E122" s="220" t="str">
        <x:v>1000076</x:v>
      </x:c>
      <x:c r="F122" s="220" t="str">
        <x:v>KIT DE CORRER</x:v>
      </x:c>
      <x:c r="G122" s="190" t="str">
        <x:v> KIT DE CORRER EM MDF ULTRA</x:v>
      </x:c>
      <x:c r="H122" s="190" t="str"/>
      <x:c r="I122" s="190" t="str"/>
      <x:c r="J122" s="190" t="str"/>
      <x:c r="K122" s="190" t="str">
        <x:v>RECOBERTO PET</x:v>
      </x:c>
      <x:c r="L122" s="190" t="str">
        <x:v>BRANCO CARRARA</x:v>
      </x:c>
      <x:c r="M122" s="210" t="n">
        <x:v>2</x:v>
      </x:c>
      <x:c r="N122" s="210" t="str"/>
      <x:c r="O122" s="210" t="str"/>
      <x:c r="P122" s="210" t="str"/>
      <x:c r="Q122" s="211" t="n">
        <x:v>0</x:v>
      </x:c>
      <x:c r="R122" s="207" t="str"/>
      <x:c r="S122" s="207" t="str"/>
      <x:c r="T122" s="207" t="str"/>
      <x:c r="U122" s="207" t="n">
        <x:v>0</x:v>
      </x:c>
      <x:c r="V122" s="208" t="n">
        <x:f>MAX(0,M122-U122)</x:f>
        <x:v>2</x:v>
      </x:c>
      <x:c r="W122" s="209" t="n">
        <x:f>IFERROR(U122/M122,0)</x:f>
        <x:v>0</x:v>
      </x:c>
      <x:c r="X122" s="201" t="str">
        <x:f>IF(U122=0,"Não iniciado",IF(U122&gt;=M122,"Concluído","Parcial"))</x:f>
        <x:v>Não iniciado</x:v>
      </x:c>
      <x:c r="Y122" s="199" t="str"/>
      <x:c r="Z122" s="188" t="str">
        <x:v>Normal</x:v>
      </x:c>
    </x:row>
    <x:row r="123" ht="22" customHeight="1">
      <x:c r="A123" s="217" t="n">
        <x:v>119</x:v>
      </x:c>
      <x:c r="B123" s="218" t="str">
        <x:v>26750</x:v>
      </x:c>
      <x:c r="C123" s="218" t="str">
        <x:v>19</x:v>
      </x:c>
      <x:c r="D123" s="218" t="str">
        <x:v>609861</x:v>
      </x:c>
      <x:c r="E123" s="218" t="str">
        <x:v>1000076</x:v>
      </x:c>
      <x:c r="F123" s="218" t="str">
        <x:v>KIT DE CORRER</x:v>
      </x:c>
      <x:c r="G123" s="184" t="str">
        <x:v> KIT DE CORRER EM MDF ULTRA</x:v>
      </x:c>
      <x:c r="H123" s="184" t="str"/>
      <x:c r="I123" s="184" t="str"/>
      <x:c r="J123" s="184" t="str"/>
      <x:c r="K123" s="184" t="str">
        <x:v>RECOBERTO PET</x:v>
      </x:c>
      <x:c r="L123" s="184" t="str">
        <x:v>BRANCO CARRARA</x:v>
      </x:c>
      <x:c r="M123" s="205" t="n">
        <x:v>7</x:v>
      </x:c>
      <x:c r="N123" s="205" t="str"/>
      <x:c r="O123" s="205" t="str"/>
      <x:c r="P123" s="205" t="str"/>
      <x:c r="Q123" s="206" t="n">
        <x:v>0</x:v>
      </x:c>
      <x:c r="R123" s="207" t="str"/>
      <x:c r="S123" s="207" t="str"/>
      <x:c r="T123" s="207" t="str"/>
      <x:c r="U123" s="207" t="n">
        <x:v>0</x:v>
      </x:c>
      <x:c r="V123" s="208" t="n">
        <x:f>MAX(0,M123-U123)</x:f>
        <x:v>7</x:v>
      </x:c>
      <x:c r="W123" s="209" t="n">
        <x:f>IFERROR(U123/M123,0)</x:f>
        <x:v>0</x:v>
      </x:c>
      <x:c r="X123" s="201" t="str">
        <x:f>IF(U123=0,"Não iniciado",IF(U123&gt;=M123,"Concluído","Parcial"))</x:f>
        <x:v>Não iniciado</x:v>
      </x:c>
      <x:c r="Y123" s="199" t="str"/>
      <x:c r="Z123" s="188" t="str">
        <x:v>Normal</x:v>
      </x:c>
    </x:row>
    <x:row r="124" ht="22" customHeight="1">
      <x:c r="A124" s="219" t="n">
        <x:v>120</x:v>
      </x:c>
      <x:c r="B124" s="220" t="str">
        <x:v>26808</x:v>
      </x:c>
      <x:c r="C124" s="220" t="str">
        <x:v>14</x:v>
      </x:c>
      <x:c r="D124" s="220" t="str">
        <x:v>608996</x:v>
      </x:c>
      <x:c r="E124" s="220" t="str">
        <x:v>1000077</x:v>
      </x:c>
      <x:c r="F124" s="220" t="str">
        <x:v>KIT DE CORRER</x:v>
      </x:c>
      <x:c r="G124" s="190" t="str">
        <x:v> KIT DE CORRER EM MDF ULTRA</x:v>
      </x:c>
      <x:c r="H124" s="190" t="str"/>
      <x:c r="I124" s="190" t="str"/>
      <x:c r="J124" s="190" t="str"/>
      <x:c r="K124" s="190" t="str">
        <x:v>RECOBERTO PET</x:v>
      </x:c>
      <x:c r="L124" s="190" t="str">
        <x:v>BRANCO CARRARA</x:v>
      </x:c>
      <x:c r="M124" s="210" t="n">
        <x:v>2</x:v>
      </x:c>
      <x:c r="N124" s="210" t="str"/>
      <x:c r="O124" s="210" t="str"/>
      <x:c r="P124" s="210" t="str"/>
      <x:c r="Q124" s="211" t="n">
        <x:v>0</x:v>
      </x:c>
      <x:c r="R124" s="207" t="str"/>
      <x:c r="S124" s="207" t="str"/>
      <x:c r="T124" s="207" t="str"/>
      <x:c r="U124" s="207" t="n">
        <x:v>0</x:v>
      </x:c>
      <x:c r="V124" s="208" t="n">
        <x:f>MAX(0,M124-U124)</x:f>
        <x:v>2</x:v>
      </x:c>
      <x:c r="W124" s="209" t="n">
        <x:f>IFERROR(U124/M124,0)</x:f>
        <x:v>0</x:v>
      </x:c>
      <x:c r="X124" s="201" t="str">
        <x:f>IF(U124=0,"Não iniciado",IF(U124&gt;=M124,"Concluído","Parcial"))</x:f>
        <x:v>Não iniciado</x:v>
      </x:c>
      <x:c r="Y124" s="199" t="str"/>
      <x:c r="Z124" s="188" t="str">
        <x:v>Normal</x:v>
      </x:c>
    </x:row>
    <x:row r="125" ht="22" customHeight="1">
      <x:c r="A125" s="217" t="n">
        <x:v>121</x:v>
      </x:c>
      <x:c r="B125" s="218" t="str">
        <x:v>26825</x:v>
      </x:c>
      <x:c r="C125" s="218" t="str">
        <x:v>3</x:v>
      </x:c>
      <x:c r="D125" s="218" t="str">
        <x:v>609051</x:v>
      </x:c>
      <x:c r="E125" s="218" t="str">
        <x:v>1000076</x:v>
      </x:c>
      <x:c r="F125" s="218" t="str">
        <x:v>KIT DE CORRER</x:v>
      </x:c>
      <x:c r="G125" s="184" t="str">
        <x:v> KIT DE CORRER EM MDF ULTRA</x:v>
      </x:c>
      <x:c r="H125" s="184" t="str"/>
      <x:c r="I125" s="184" t="str"/>
      <x:c r="J125" s="184" t="str"/>
      <x:c r="K125" s="184" t="str">
        <x:v>RECOBERTO PET</x:v>
      </x:c>
      <x:c r="L125" s="184" t="str">
        <x:v>BRANCO CARRARA</x:v>
      </x:c>
      <x:c r="M125" s="205" t="n">
        <x:v>32</x:v>
      </x:c>
      <x:c r="N125" s="205" t="str"/>
      <x:c r="O125" s="205" t="str"/>
      <x:c r="P125" s="205" t="str"/>
      <x:c r="Q125" s="206" t="n">
        <x:v>0</x:v>
      </x:c>
      <x:c r="R125" s="207" t="str"/>
      <x:c r="S125" s="207" t="str"/>
      <x:c r="T125" s="207" t="str"/>
      <x:c r="U125" s="207" t="n">
        <x:v>0</x:v>
      </x:c>
      <x:c r="V125" s="208" t="n">
        <x:f>MAX(0,M125-U125)</x:f>
        <x:v>32</x:v>
      </x:c>
      <x:c r="W125" s="209" t="n">
        <x:f>IFERROR(U125/M125,0)</x:f>
        <x:v>0</x:v>
      </x:c>
      <x:c r="X125" s="201" t="str">
        <x:f>IF(U125=0,"Não iniciado",IF(U125&gt;=M125,"Concluído","Parcial"))</x:f>
        <x:v>Não iniciado</x:v>
      </x:c>
      <x:c r="Y125" s="199" t="str"/>
      <x:c r="Z125" s="188" t="str">
        <x:v>Normal</x:v>
      </x:c>
    </x:row>
    <x:row r="126" ht="22" customHeight="1">
      <x:c r="A126" s="219" t="n">
        <x:v>122</x:v>
      </x:c>
      <x:c r="B126" s="220" t="str">
        <x:v>26809</x:v>
      </x:c>
      <x:c r="C126" s="220" t="str">
        <x:v>10</x:v>
      </x:c>
      <x:c r="D126" s="220" t="str">
        <x:v>609955</x:v>
      </x:c>
      <x:c r="E126" s="220" t="str">
        <x:v>1000078</x:v>
      </x:c>
      <x:c r="F126" s="220" t="str">
        <x:v>KIT DE CORRER</x:v>
      </x:c>
      <x:c r="G126" s="190" t="str">
        <x:v> KIT DE CORRER EM MDF ULTRA</x:v>
      </x:c>
      <x:c r="H126" s="190" t="str"/>
      <x:c r="I126" s="190" t="str"/>
      <x:c r="J126" s="190" t="str"/>
      <x:c r="K126" s="190" t="str">
        <x:v>RECOBERTO PET</x:v>
      </x:c>
      <x:c r="L126" s="190" t="str">
        <x:v>CAPUCCINO MARCHE</x:v>
      </x:c>
      <x:c r="M126" s="210" t="n">
        <x:v>1</x:v>
      </x:c>
      <x:c r="N126" s="210" t="str"/>
      <x:c r="O126" s="210" t="str"/>
      <x:c r="P126" s="210" t="str"/>
      <x:c r="Q126" s="211" t="n">
        <x:v>0</x:v>
      </x:c>
      <x:c r="R126" s="207" t="str"/>
      <x:c r="S126" s="207" t="str"/>
      <x:c r="T126" s="207" t="str"/>
      <x:c r="U126" s="207" t="n">
        <x:v>0</x:v>
      </x:c>
      <x:c r="V126" s="208" t="n">
        <x:f>MAX(0,M126-U126)</x:f>
        <x:v>1</x:v>
      </x:c>
      <x:c r="W126" s="209" t="n">
        <x:f>IFERROR(U126/M126,0)</x:f>
        <x:v>0</x:v>
      </x:c>
      <x:c r="X126" s="201" t="str">
        <x:f>IF(U126=0,"Não iniciado",IF(U126&gt;=M126,"Concluído","Parcial"))</x:f>
        <x:v>Não iniciado</x:v>
      </x:c>
      <x:c r="Y126" s="199" t="str"/>
      <x:c r="Z126" s="188" t="str">
        <x:v>Normal</x:v>
      </x:c>
    </x:row>
    <x:row r="127" ht="22" customHeight="1">
      <x:c r="A127" s="217" t="n">
        <x:v>123</x:v>
      </x:c>
      <x:c r="B127" s="218" t="str">
        <x:v>26520</x:v>
      </x:c>
      <x:c r="C127" s="218" t="str">
        <x:v>10</x:v>
      </x:c>
      <x:c r="D127" s="218" t="str">
        <x:v>610164</x:v>
      </x:c>
      <x:c r="E127" s="218" t="str">
        <x:v>1000075</x:v>
      </x:c>
      <x:c r="F127" s="218" t="str">
        <x:v>KIT DE CORRER</x:v>
      </x:c>
      <x:c r="G127" s="184" t="str">
        <x:v> KIT DE CORRER EM MDF ULTRA</x:v>
      </x:c>
      <x:c r="H127" s="184" t="str"/>
      <x:c r="I127" s="184" t="str"/>
      <x:c r="J127" s="184" t="str"/>
      <x:c r="K127" s="184" t="str">
        <x:v>RECOBERTO PET</x:v>
      </x:c>
      <x:c r="L127" s="184" t="str">
        <x:v>CURUPIXA RAVENNA</x:v>
      </x:c>
      <x:c r="M127" s="205" t="n">
        <x:v>1</x:v>
      </x:c>
      <x:c r="N127" s="205" t="str"/>
      <x:c r="O127" s="205" t="str"/>
      <x:c r="P127" s="205" t="str"/>
      <x:c r="Q127" s="206" t="n">
        <x:v>0</x:v>
      </x:c>
      <x:c r="R127" s="207" t="str"/>
      <x:c r="S127" s="207" t="str"/>
      <x:c r="T127" s="207" t="str"/>
      <x:c r="U127" s="207" t="n">
        <x:v>0</x:v>
      </x:c>
      <x:c r="V127" s="208" t="n">
        <x:f>MAX(0,M127-U127)</x:f>
        <x:v>1</x:v>
      </x:c>
      <x:c r="W127" s="209" t="n">
        <x:f>IFERROR(U127/M127,0)</x:f>
        <x:v>0</x:v>
      </x:c>
      <x:c r="X127" s="201" t="str">
        <x:f>IF(U127=0,"Não iniciado",IF(U127&gt;=M127,"Concluído","Parcial"))</x:f>
        <x:v>Não iniciado</x:v>
      </x:c>
      <x:c r="Y127" s="199" t="str"/>
      <x:c r="Z127" s="188" t="str">
        <x:v>Normal</x:v>
      </x:c>
    </x:row>
    <x:row r="128" ht="22" customHeight="1">
      <x:c r="A128" s="219" t="n">
        <x:v>124</x:v>
      </x:c>
      <x:c r="B128" s="220" t="str">
        <x:v>26744</x:v>
      </x:c>
      <x:c r="C128" s="220" t="str">
        <x:v>1</x:v>
      </x:c>
      <x:c r="D128" s="220" t="str">
        <x:v>609993</x:v>
      </x:c>
      <x:c r="E128" s="220" t="str">
        <x:v>968430</x:v>
      </x:c>
      <x:c r="F128" s="220" t="str">
        <x:v>OUTROS</x:v>
      </x:c>
      <x:c r="G128" s="190" t="str">
        <x:v>FEC.WC MALIBU OVAL I.E.55X70PY53R38</x:v>
      </x:c>
      <x:c r="H128" s="190" t="str"/>
      <x:c r="I128" s="190" t="str"/>
      <x:c r="J128" s="190" t="str"/>
      <x:c r="K128" s="190" t="str">
        <x:v>RECOBERTO PET</x:v>
      </x:c>
      <x:c r="L128" s="190" t="str">
        <x:v>BRANCO CARRARA</x:v>
      </x:c>
      <x:c r="M128" s="210" t="n">
        <x:v>4</x:v>
      </x:c>
      <x:c r="N128" s="210" t="str"/>
      <x:c r="O128" s="210" t="str"/>
      <x:c r="P128" s="210" t="str"/>
      <x:c r="Q128" s="211" t="n">
        <x:v>0</x:v>
      </x:c>
      <x:c r="R128" s="207" t="str"/>
      <x:c r="S128" s="207" t="str"/>
      <x:c r="T128" s="207" t="str"/>
      <x:c r="U128" s="207" t="n">
        <x:v>0</x:v>
      </x:c>
      <x:c r="V128" s="208" t="n">
        <x:f>MAX(0,M128-U128)</x:f>
        <x:v>4</x:v>
      </x:c>
      <x:c r="W128" s="209" t="n">
        <x:f>IFERROR(U128/M128,0)</x:f>
        <x:v>0</x:v>
      </x:c>
      <x:c r="X128" s="201" t="str">
        <x:f>IF(U128=0,"Não iniciado",IF(U128&gt;=M128,"Concluído","Parcial"))</x:f>
        <x:v>Não iniciado</x:v>
      </x:c>
      <x:c r="Y128" s="199" t="str"/>
      <x:c r="Z128" s="188" t="str">
        <x:v>Normal</x:v>
      </x:c>
    </x:row>
    <x:row r="129" ht="22" customHeight="1">
      <x:c r="A129" s="217" t="n">
        <x:v>125</x:v>
      </x:c>
      <x:c r="B129" s="218" t="str">
        <x:v>26744</x:v>
      </x:c>
      <x:c r="C129" s="218" t="str">
        <x:v>2</x:v>
      </x:c>
      <x:c r="D129" s="218" t="str">
        <x:v>610002</x:v>
      </x:c>
      <x:c r="E129" s="218" t="str">
        <x:v>968429</x:v>
      </x:c>
      <x:c r="F129" s="218" t="str">
        <x:v>OUTROS</x:v>
      </x:c>
      <x:c r="G129" s="184" t="str">
        <x:v>FEC.INT MALIBU OVAL I.E.55X70PY53R38</x:v>
      </x:c>
      <x:c r="H129" s="184" t="str"/>
      <x:c r="I129" s="184" t="str"/>
      <x:c r="J129" s="184" t="str"/>
      <x:c r="K129" s="184" t="str">
        <x:v>RECOBERTO PET</x:v>
      </x:c>
      <x:c r="L129" s="184" t="str">
        <x:v>BRANCO CARRARA</x:v>
      </x:c>
      <x:c r="M129" s="205" t="n">
        <x:v>5</x:v>
      </x:c>
      <x:c r="N129" s="205" t="str"/>
      <x:c r="O129" s="205" t="str"/>
      <x:c r="P129" s="205" t="str"/>
      <x:c r="Q129" s="206" t="n">
        <x:v>0</x:v>
      </x:c>
      <x:c r="R129" s="207" t="str"/>
      <x:c r="S129" s="207" t="str"/>
      <x:c r="T129" s="207" t="str"/>
      <x:c r="U129" s="207" t="n">
        <x:v>0</x:v>
      </x:c>
      <x:c r="V129" s="208" t="n">
        <x:f>MAX(0,M129-U129)</x:f>
        <x:v>5</x:v>
      </x:c>
      <x:c r="W129" s="209" t="n">
        <x:f>IFERROR(U129/M129,0)</x:f>
        <x:v>0</x:v>
      </x:c>
      <x:c r="X129" s="201" t="str">
        <x:f>IF(U129=0,"Não iniciado",IF(U129&gt;=M129,"Concluído","Parcial"))</x:f>
        <x:v>Não iniciado</x:v>
      </x:c>
      <x:c r="Y129" s="199" t="str"/>
      <x:c r="Z129" s="188" t="str">
        <x:v>Normal</x:v>
      </x:c>
    </x:row>
    <x:row r="130" ht="22" customHeight="1">
      <x:c r="A130" s="219" t="n">
        <x:v>126</x:v>
      </x:c>
      <x:c r="B130" s="220" t="str">
        <x:v>26744</x:v>
      </x:c>
      <x:c r="C130" s="220" t="str">
        <x:v>3</x:v>
      </x:c>
      <x:c r="D130" s="220" t="str">
        <x:v>610011</x:v>
      </x:c>
      <x:c r="E130" s="220" t="str">
        <x:v>968429</x:v>
      </x:c>
      <x:c r="F130" s="220" t="str">
        <x:v>OUTROS</x:v>
      </x:c>
      <x:c r="G130" s="190" t="str">
        <x:v>FEC.INT MALIBU OVAL I.E.55X70PY53R38</x:v>
      </x:c>
      <x:c r="H130" s="190" t="str"/>
      <x:c r="I130" s="190" t="str"/>
      <x:c r="J130" s="190" t="str"/>
      <x:c r="K130" s="190" t="str">
        <x:v>RECOBERTO PET</x:v>
      </x:c>
      <x:c r="L130" s="190" t="str">
        <x:v>BRANCO CARRARA</x:v>
      </x:c>
      <x:c r="M130" s="210" t="n">
        <x:v>1</x:v>
      </x:c>
      <x:c r="N130" s="210" t="str"/>
      <x:c r="O130" s="210" t="str"/>
      <x:c r="P130" s="210" t="str"/>
      <x:c r="Q130" s="211" t="n">
        <x:v>0</x:v>
      </x:c>
      <x:c r="R130" s="207" t="str"/>
      <x:c r="S130" s="207" t="str"/>
      <x:c r="T130" s="207" t="str"/>
      <x:c r="U130" s="207" t="n">
        <x:v>0</x:v>
      </x:c>
      <x:c r="V130" s="208" t="n">
        <x:f>MAX(0,M130-U130)</x:f>
        <x:v>1</x:v>
      </x:c>
      <x:c r="W130" s="209" t="n">
        <x:f>IFERROR(U130/M130,0)</x:f>
        <x:v>0</x:v>
      </x:c>
      <x:c r="X130" s="201" t="str">
        <x:f>IF(U130=0,"Não iniciado",IF(U130&gt;=M130,"Concluído","Parcial"))</x:f>
        <x:v>Não iniciado</x:v>
      </x:c>
      <x:c r="Y130" s="199" t="str"/>
      <x:c r="Z130" s="188" t="str">
        <x:v>Normal</x:v>
      </x:c>
    </x:row>
    <x:row r="131" ht="22" customHeight="1">
      <x:c r="A131" s="217" t="n">
        <x:v>127</x:v>
      </x:c>
      <x:c r="B131" s="218" t="str">
        <x:v>26800</x:v>
      </x:c>
      <x:c r="C131" s="218" t="str">
        <x:v>6</x:v>
      </x:c>
      <x:c r="D131" s="218" t="str">
        <x:v>612120</x:v>
      </x:c>
      <x:c r="E131" s="218" t="str">
        <x:v>975988</x:v>
      </x:c>
      <x:c r="F131" s="218" t="str">
        <x:v>OUTROS</x:v>
      </x:c>
      <x:c r="G131" s="184" t="str">
        <x:v>DOBR SOBREPOR 4x3 INOX ESC C/ROL SOPRANO</x:v>
      </x:c>
      <x:c r="H131" s="184" t="str"/>
      <x:c r="I131" s="184" t="str"/>
      <x:c r="J131" s="184" t="str"/>
      <x:c r="K131" s="184" t="str">
        <x:v>FERRAGENS</x:v>
      </x:c>
      <x:c r="L131" s="184" t="str">
        <x:v>DOBRADICAS</x:v>
      </x:c>
      <x:c r="M131" s="205" t="n">
        <x:v>18</x:v>
      </x:c>
      <x:c r="N131" s="205" t="str"/>
      <x:c r="O131" s="205" t="str"/>
      <x:c r="P131" s="205" t="str"/>
      <x:c r="Q131" s="206" t="n">
        <x:v>0</x:v>
      </x:c>
      <x:c r="R131" s="207" t="str"/>
      <x:c r="S131" s="207" t="str"/>
      <x:c r="T131" s="207" t="str"/>
      <x:c r="U131" s="207" t="n">
        <x:v>0</x:v>
      </x:c>
      <x:c r="V131" s="208" t="n">
        <x:f>MAX(0,M131-U131)</x:f>
        <x:v>18</x:v>
      </x:c>
      <x:c r="W131" s="209" t="n">
        <x:f>IFERROR(U131/M131,0)</x:f>
        <x:v>0</x:v>
      </x:c>
      <x:c r="X131" s="201" t="str">
        <x:f>IF(U131=0,"Não iniciado",IF(U131&gt;=M131,"Concluído","Parcial"))</x:f>
        <x:v>Não iniciado</x:v>
      </x:c>
      <x:c r="Y131" s="199" t="str"/>
      <x:c r="Z131" s="188" t="str">
        <x:v>Normal</x:v>
      </x:c>
    </x:row>
    <x:row r="132" ht="22" customHeight="1">
      <x:c r="A132" s="219" t="n">
        <x:v>128</x:v>
      </x:c>
      <x:c r="B132" s="220" t="str">
        <x:v>26809</x:v>
      </x:c>
      <x:c r="C132" s="220" t="str">
        <x:v>13</x:v>
      </x:c>
      <x:c r="D132" s="220" t="str">
        <x:v>609966</x:v>
      </x:c>
      <x:c r="E132" s="220" t="str">
        <x:v>973268</x:v>
      </x:c>
      <x:c r="F132" s="220" t="str">
        <x:v>OUTROS</x:v>
      </x:c>
      <x:c r="G132" s="190" t="str">
        <x:v>DOB INOX 304 FAMOSSUL 3x2,5R16 FABRICADO</x:v>
      </x:c>
      <x:c r="H132" s="190" t="str"/>
      <x:c r="I132" s="190" t="str"/>
      <x:c r="J132" s="190" t="str"/>
      <x:c r="K132" s="190" t="str">
        <x:v>FERRAGENS</x:v>
      </x:c>
      <x:c r="L132" s="190" t="str">
        <x:v>DOBRADICAS</x:v>
      </x:c>
      <x:c r="M132" s="210" t="n">
        <x:v>36</x:v>
      </x:c>
      <x:c r="N132" s="210" t="str"/>
      <x:c r="O132" s="210" t="str"/>
      <x:c r="P132" s="210" t="str"/>
      <x:c r="Q132" s="211" t="n">
        <x:v>0</x:v>
      </x:c>
      <x:c r="R132" s="207" t="str"/>
      <x:c r="S132" s="207" t="str"/>
      <x:c r="T132" s="207" t="str"/>
      <x:c r="U132" s="207" t="n">
        <x:v>0</x:v>
      </x:c>
      <x:c r="V132" s="208" t="n">
        <x:f>MAX(0,M132-U132)</x:f>
        <x:v>36</x:v>
      </x:c>
      <x:c r="W132" s="209" t="n">
        <x:f>IFERROR(U132/M132,0)</x:f>
        <x:v>0</x:v>
      </x:c>
      <x:c r="X132" s="201" t="str">
        <x:f>IF(U132=0,"Não iniciado",IF(U132&gt;=M132,"Concluído","Parcial"))</x:f>
        <x:v>Não iniciado</x:v>
      </x:c>
      <x:c r="Y132" s="199" t="str"/>
      <x:c r="Z132" s="188" t="str">
        <x:v>Normal</x:v>
      </x:c>
    </x:row>
    <x:row r="133" ht="22" customHeight="1">
      <x:c r="A133" s="217" t="n">
        <x:v>129</x:v>
      </x:c>
      <x:c r="B133" s="218" t="str">
        <x:v>26792</x:v>
      </x:c>
      <x:c r="C133" s="218" t="str">
        <x:v>4</x:v>
      </x:c>
      <x:c r="D133" s="218" t="str">
        <x:v>609447/612151</x:v>
      </x:c>
      <x:c r="E133" s="218" t="str">
        <x:v>3040300041</x:v>
      </x:c>
      <x:c r="F133" s="218" t="str">
        <x:v>PORTA</x:v>
      </x:c>
      <x:c r="G133" s="184" t="str">
        <x:v>FO POR SMT HDF 3 COL ESM BCO RU 2100X700</x:v>
      </x:c>
      <x:c r="H133" s="184" t="str"/>
      <x:c r="I133" s="184" t="str"/>
      <x:c r="J133" s="184" t="str"/>
      <x:c r="K133" s="184" t="str">
        <x:v>ESMALTE</x:v>
      </x:c>
      <x:c r="L133" s="184" t="str">
        <x:v>BRANCO</x:v>
      </x:c>
      <x:c r="M133" s="205" t="n">
        <x:v>144</x:v>
      </x:c>
      <x:c r="N133" s="205" t="str"/>
      <x:c r="O133" s="205" t="str"/>
      <x:c r="P133" s="205" t="str"/>
      <x:c r="Q133" s="206" t="n">
        <x:v>7.409</x:v>
      </x:c>
      <x:c r="R133" s="207" t="str"/>
      <x:c r="S133" s="207" t="str"/>
      <x:c r="T133" s="207" t="str"/>
      <x:c r="U133" s="207" t="n">
        <x:v>0</x:v>
      </x:c>
      <x:c r="V133" s="208" t="n">
        <x:f>MAX(0,M133-U133)</x:f>
        <x:v>144</x:v>
      </x:c>
      <x:c r="W133" s="209" t="n">
        <x:f>IFERROR(U133/M133,0)</x:f>
        <x:v>0</x:v>
      </x:c>
      <x:c r="X133" s="201" t="str">
        <x:f>IF(U133=0,"Não iniciado",IF(U133&gt;=M133,"Concluído","Parcial"))</x:f>
        <x:v>Não iniciado</x:v>
      </x:c>
      <x:c r="Y133" s="199" t="str"/>
      <x:c r="Z133" s="188" t="str">
        <x:v>Normal</x:v>
      </x:c>
    </x:row>
    <x:row r="134" ht="22" customHeight="1">
      <x:c r="A134" s="219" t="n">
        <x:v>130</x:v>
      </x:c>
      <x:c r="B134" s="220" t="str">
        <x:v>26796</x:v>
      </x:c>
      <x:c r="C134" s="220" t="str">
        <x:v>2</x:v>
      </x:c>
      <x:c r="D134" s="220" t="str">
        <x:v>609298</x:v>
      </x:c>
      <x:c r="E134" s="220" t="str">
        <x:v>3040300041</x:v>
      </x:c>
      <x:c r="F134" s="220" t="str">
        <x:v>PORTA</x:v>
      </x:c>
      <x:c r="G134" s="190" t="str">
        <x:v>FO POR SMT HDF 3 COL ESM BCO RU 2100X700</x:v>
      </x:c>
      <x:c r="H134" s="190" t="str"/>
      <x:c r="I134" s="190" t="str"/>
      <x:c r="J134" s="190" t="str"/>
      <x:c r="K134" s="190" t="str">
        <x:v>ESMALTE</x:v>
      </x:c>
      <x:c r="L134" s="190" t="str">
        <x:v>BRANCO</x:v>
      </x:c>
      <x:c r="M134" s="210" t="n">
        <x:v>48</x:v>
      </x:c>
      <x:c r="N134" s="210" t="str"/>
      <x:c r="O134" s="210" t="str"/>
      <x:c r="P134" s="210" t="str"/>
      <x:c r="Q134" s="211" t="n">
        <x:v>2.47</x:v>
      </x:c>
      <x:c r="R134" s="207" t="str"/>
      <x:c r="S134" s="207" t="str"/>
      <x:c r="T134" s="207" t="str"/>
      <x:c r="U134" s="207" t="n">
        <x:v>0</x:v>
      </x:c>
      <x:c r="V134" s="208" t="n">
        <x:f>MAX(0,M134-U134)</x:f>
        <x:v>48</x:v>
      </x:c>
      <x:c r="W134" s="209" t="n">
        <x:f>IFERROR(U134/M134,0)</x:f>
        <x:v>0</x:v>
      </x:c>
      <x:c r="X134" s="201" t="str">
        <x:f>IF(U134=0,"Não iniciado",IF(U134&gt;=M134,"Concluído","Parcial"))</x:f>
        <x:v>Não iniciado</x:v>
      </x:c>
      <x:c r="Y134" s="199" t="str"/>
      <x:c r="Z134" s="188" t="str">
        <x:v>Normal</x:v>
      </x:c>
    </x:row>
    <x:row r="135" ht="22" customHeight="1">
      <x:c r="A135" s="217" t="n">
        <x:v>131</x:v>
      </x:c>
      <x:c r="B135" s="218" t="str">
        <x:v>26799</x:v>
      </x:c>
      <x:c r="C135" s="218" t="str">
        <x:v>2</x:v>
      </x:c>
      <x:c r="D135" s="218" t="str">
        <x:v>609403</x:v>
      </x:c>
      <x:c r="E135" s="218" t="str">
        <x:v>3040300041</x:v>
      </x:c>
      <x:c r="F135" s="218" t="str">
        <x:v>PORTA</x:v>
      </x:c>
      <x:c r="G135" s="184" t="str">
        <x:v>FO POR SMT HDF 3 COL ESM BCO RU 2100X700</x:v>
      </x:c>
      <x:c r="H135" s="184" t="str"/>
      <x:c r="I135" s="184" t="str"/>
      <x:c r="J135" s="184" t="str"/>
      <x:c r="K135" s="184" t="str">
        <x:v>ESMALTE</x:v>
      </x:c>
      <x:c r="L135" s="184" t="str">
        <x:v>BRANCO</x:v>
      </x:c>
      <x:c r="M135" s="205" t="n">
        <x:v>16</x:v>
      </x:c>
      <x:c r="N135" s="205" t="str"/>
      <x:c r="O135" s="205" t="str"/>
      <x:c r="P135" s="205" t="str"/>
      <x:c r="Q135" s="206" t="n">
        <x:v>0.823</x:v>
      </x:c>
      <x:c r="R135" s="207" t="str"/>
      <x:c r="S135" s="207" t="str"/>
      <x:c r="T135" s="207" t="str"/>
      <x:c r="U135" s="207" t="n">
        <x:v>0</x:v>
      </x:c>
      <x:c r="V135" s="208" t="n">
        <x:f>MAX(0,M135-U135)</x:f>
        <x:v>16</x:v>
      </x:c>
      <x:c r="W135" s="209" t="n">
        <x:f>IFERROR(U135/M135,0)</x:f>
        <x:v>0</x:v>
      </x:c>
      <x:c r="X135" s="201" t="str">
        <x:f>IF(U135=0,"Não iniciado",IF(U135&gt;=M135,"Concluído","Parcial"))</x:f>
        <x:v>Não iniciado</x:v>
      </x:c>
      <x:c r="Y135" s="199" t="str"/>
      <x:c r="Z135" s="188" t="str">
        <x:v>Normal</x:v>
      </x:c>
    </x:row>
    <x:row r="136" ht="22" customHeight="1">
      <x:c r="A136" s="219" t="n">
        <x:v>132</x:v>
      </x:c>
      <x:c r="B136" s="220" t="str">
        <x:v>26815</x:v>
      </x:c>
      <x:c r="C136" s="220" t="str">
        <x:v>3</x:v>
      </x:c>
      <x:c r="D136" s="220" t="str">
        <x:v>609508</x:v>
      </x:c>
      <x:c r="E136" s="220" t="str">
        <x:v>3040300041</x:v>
      </x:c>
      <x:c r="F136" s="220" t="str">
        <x:v>PORTA</x:v>
      </x:c>
      <x:c r="G136" s="190" t="str">
        <x:v>FO POR SMT HDF 3 COL ESM BCO RU 2100X700</x:v>
      </x:c>
      <x:c r="H136" s="190" t="str"/>
      <x:c r="I136" s="190" t="str"/>
      <x:c r="J136" s="190" t="str"/>
      <x:c r="K136" s="190" t="str">
        <x:v>ESMALTE</x:v>
      </x:c>
      <x:c r="L136" s="190" t="str">
        <x:v>BRANCO</x:v>
      </x:c>
      <x:c r="M136" s="210" t="n">
        <x:v>92</x:v>
      </x:c>
      <x:c r="N136" s="210" t="str"/>
      <x:c r="O136" s="210" t="str"/>
      <x:c r="P136" s="210" t="str"/>
      <x:c r="Q136" s="211" t="n">
        <x:v>4.733</x:v>
      </x:c>
      <x:c r="R136" s="207" t="str"/>
      <x:c r="S136" s="207" t="str"/>
      <x:c r="T136" s="207" t="str"/>
      <x:c r="U136" s="207" t="n">
        <x:v>0</x:v>
      </x:c>
      <x:c r="V136" s="208" t="n">
        <x:f>MAX(0,M136-U136)</x:f>
        <x:v>92</x:v>
      </x:c>
      <x:c r="W136" s="209" t="n">
        <x:f>IFERROR(U136/M136,0)</x:f>
        <x:v>0</x:v>
      </x:c>
      <x:c r="X136" s="201" t="str">
        <x:f>IF(U136=0,"Não iniciado",IF(U136&gt;=M136,"Concluído","Parcial"))</x:f>
        <x:v>Não iniciado</x:v>
      </x:c>
      <x:c r="Y136" s="199" t="str"/>
      <x:c r="Z136" s="188" t="str">
        <x:v>Normal</x:v>
      </x:c>
    </x:row>
    <x:row r="137" ht="22" customHeight="1">
      <x:c r="A137" s="217" t="n">
        <x:v>133</x:v>
      </x:c>
      <x:c r="B137" s="218" t="str">
        <x:v>26824</x:v>
      </x:c>
      <x:c r="C137" s="218" t="str">
        <x:v>2</x:v>
      </x:c>
      <x:c r="D137" s="218" t="str">
        <x:v>609593</x:v>
      </x:c>
      <x:c r="E137" s="218" t="str">
        <x:v>3040300041</x:v>
      </x:c>
      <x:c r="F137" s="218" t="str">
        <x:v>PORTA</x:v>
      </x:c>
      <x:c r="G137" s="184" t="str">
        <x:v>FO POR SMT HDF 3 COL ESM BCO RU 2100X700</x:v>
      </x:c>
      <x:c r="H137" s="184" t="str"/>
      <x:c r="I137" s="184" t="str"/>
      <x:c r="J137" s="184" t="str"/>
      <x:c r="K137" s="184" t="str">
        <x:v>ESMALTE</x:v>
      </x:c>
      <x:c r="L137" s="184" t="str">
        <x:v>BRANCO</x:v>
      </x:c>
      <x:c r="M137" s="205" t="n">
        <x:v>181</x:v>
      </x:c>
      <x:c r="N137" s="205" t="str"/>
      <x:c r="O137" s="205" t="str"/>
      <x:c r="P137" s="205" t="str"/>
      <x:c r="Q137" s="206" t="n">
        <x:v>9.312</x:v>
      </x:c>
      <x:c r="R137" s="207" t="str"/>
      <x:c r="S137" s="207" t="str"/>
      <x:c r="T137" s="207" t="str"/>
      <x:c r="U137" s="207" t="n">
        <x:v>0</x:v>
      </x:c>
      <x:c r="V137" s="208" t="n">
        <x:f>MAX(0,M137-U137)</x:f>
        <x:v>181</x:v>
      </x:c>
      <x:c r="W137" s="209" t="n">
        <x:f>IFERROR(U137/M137,0)</x:f>
        <x:v>0</x:v>
      </x:c>
      <x:c r="X137" s="201" t="str">
        <x:f>IF(U137=0,"Não iniciado",IF(U137&gt;=M137,"Concluído","Parcial"))</x:f>
        <x:v>Não iniciado</x:v>
      </x:c>
      <x:c r="Y137" s="199" t="str"/>
      <x:c r="Z137" s="188" t="str">
        <x:v>Normal</x:v>
      </x:c>
    </x:row>
    <x:row r="138" ht="22" customHeight="1">
      <x:c r="A138" s="219" t="n">
        <x:v>134</x:v>
      </x:c>
      <x:c r="B138" s="220" t="str">
        <x:v>26824</x:v>
      </x:c>
      <x:c r="C138" s="220" t="str">
        <x:v>4</x:v>
      </x:c>
      <x:c r="D138" s="220" t="str">
        <x:v>609609</x:v>
      </x:c>
      <x:c r="E138" s="220" t="str">
        <x:v>3041400095</x:v>
      </x:c>
      <x:c r="F138" s="220" t="str">
        <x:v>PORTA</x:v>
      </x:c>
      <x:c r="G138" s="190" t="str">
        <x:v>FO POR SMT HDF 3 S GD ESM BCO RU 2100X80</x:v>
      </x:c>
      <x:c r="H138" s="190" t="str"/>
      <x:c r="I138" s="190" t="str"/>
      <x:c r="J138" s="190" t="str"/>
      <x:c r="K138" s="190" t="str">
        <x:v>ESMALTE</x:v>
      </x:c>
      <x:c r="L138" s="190" t="str">
        <x:v>BRANCO</x:v>
      </x:c>
      <x:c r="M138" s="210" t="n">
        <x:v>42</x:v>
      </x:c>
      <x:c r="N138" s="210" t="str"/>
      <x:c r="O138" s="210" t="str"/>
      <x:c r="P138" s="210" t="str"/>
      <x:c r="Q138" s="211" t="n">
        <x:v>2.47</x:v>
      </x:c>
      <x:c r="R138" s="207" t="str"/>
      <x:c r="S138" s="207" t="str"/>
      <x:c r="T138" s="207" t="str"/>
      <x:c r="U138" s="207" t="n">
        <x:v>0</x:v>
      </x:c>
      <x:c r="V138" s="208" t="n">
        <x:f>MAX(0,M138-U138)</x:f>
        <x:v>42</x:v>
      </x:c>
      <x:c r="W138" s="209" t="n">
        <x:f>IFERROR(U138/M138,0)</x:f>
        <x:v>0</x:v>
      </x:c>
      <x:c r="X138" s="201" t="str">
        <x:f>IF(U138=0,"Não iniciado",IF(U138&gt;=M138,"Concluído","Parcial"))</x:f>
        <x:v>Não iniciado</x:v>
      </x:c>
      <x:c r="Y138" s="199" t="str"/>
      <x:c r="Z138" s="188" t="str">
        <x:v>Normal</x:v>
      </x:c>
    </x:row>
    <x:row r="139" ht="22" customHeight="1">
      <x:c r="A139" s="217" t="n">
        <x:v>135</x:v>
      </x:c>
      <x:c r="B139" s="218" t="str">
        <x:v>26824</x:v>
      </x:c>
      <x:c r="C139" s="218" t="str">
        <x:v>5</x:v>
      </x:c>
      <x:c r="D139" s="218" t="str">
        <x:v>609617</x:v>
      </x:c>
      <x:c r="E139" s="218" t="str">
        <x:v>3041400095</x:v>
      </x:c>
      <x:c r="F139" s="218" t="str">
        <x:v>PORTA</x:v>
      </x:c>
      <x:c r="G139" s="184" t="str">
        <x:v>FO POR SMT HDF 3 S GD ESM BCO RU 2100X80</x:v>
      </x:c>
      <x:c r="H139" s="184" t="str"/>
      <x:c r="I139" s="184" t="str"/>
      <x:c r="J139" s="184" t="str"/>
      <x:c r="K139" s="184" t="str">
        <x:v>ESMALTE</x:v>
      </x:c>
      <x:c r="L139" s="184" t="str">
        <x:v>BRANCO</x:v>
      </x:c>
      <x:c r="M139" s="205" t="n">
        <x:v>21</x:v>
      </x:c>
      <x:c r="N139" s="205" t="str"/>
      <x:c r="O139" s="205" t="str"/>
      <x:c r="P139" s="205" t="str"/>
      <x:c r="Q139" s="206" t="n">
        <x:v>1.235</x:v>
      </x:c>
      <x:c r="R139" s="207" t="str"/>
      <x:c r="S139" s="207" t="str"/>
      <x:c r="T139" s="207" t="str"/>
      <x:c r="U139" s="207" t="n">
        <x:v>0</x:v>
      </x:c>
      <x:c r="V139" s="208" t="n">
        <x:f>MAX(0,M139-U139)</x:f>
        <x:v>21</x:v>
      </x:c>
      <x:c r="W139" s="209" t="n">
        <x:f>IFERROR(U139/M139,0)</x:f>
        <x:v>0</x:v>
      </x:c>
      <x:c r="X139" s="201" t="str">
        <x:f>IF(U139=0,"Não iniciado",IF(U139&gt;=M139,"Concluído","Parcial"))</x:f>
        <x:v>Não iniciado</x:v>
      </x:c>
      <x:c r="Y139" s="199" t="str"/>
      <x:c r="Z139" s="188" t="str">
        <x:v>Normal</x:v>
      </x:c>
    </x:row>
    <x:row r="140" ht="22" customHeight="1">
      <x:c r="A140" s="219" t="n">
        <x:v>136</x:v>
      </x:c>
      <x:c r="B140" s="220" t="str">
        <x:v>26824</x:v>
      </x:c>
      <x:c r="C140" s="220" t="str">
        <x:v>6</x:v>
      </x:c>
      <x:c r="D140" s="220" t="str">
        <x:v>609625</x:v>
      </x:c>
      <x:c r="E140" s="220" t="str">
        <x:v>3041400092</x:v>
      </x:c>
      <x:c r="F140" s="220" t="str">
        <x:v>PORTA</x:v>
      </x:c>
      <x:c r="G140" s="190" t="str">
        <x:v>FO POR SMT HDF 3 S GD ESM BCO RU 2100X90</x:v>
      </x:c>
      <x:c r="H140" s="190" t="str"/>
      <x:c r="I140" s="190" t="str"/>
      <x:c r="J140" s="190" t="str"/>
      <x:c r="K140" s="190" t="str">
        <x:v>ESMALTE</x:v>
      </x:c>
      <x:c r="L140" s="190" t="str">
        <x:v>BRANCO</x:v>
      </x:c>
      <x:c r="M140" s="210" t="n">
        <x:v>2</x:v>
      </x:c>
      <x:c r="N140" s="210" t="str"/>
      <x:c r="O140" s="210" t="str"/>
      <x:c r="P140" s="210" t="str"/>
      <x:c r="Q140" s="211" t="n">
        <x:v>0.132</x:v>
      </x:c>
      <x:c r="R140" s="207" t="str"/>
      <x:c r="S140" s="207" t="str"/>
      <x:c r="T140" s="207" t="str"/>
      <x:c r="U140" s="207" t="n">
        <x:v>0</x:v>
      </x:c>
      <x:c r="V140" s="208" t="n">
        <x:f>MAX(0,M140-U140)</x:f>
        <x:v>2</x:v>
      </x:c>
      <x:c r="W140" s="209" t="n">
        <x:f>IFERROR(U140/M140,0)</x:f>
        <x:v>0</x:v>
      </x:c>
      <x:c r="X140" s="201" t="str">
        <x:f>IF(U140=0,"Não iniciado",IF(U140&gt;=M140,"Concluído","Parcial"))</x:f>
        <x:v>Não iniciado</x:v>
      </x:c>
      <x:c r="Y140" s="199" t="str"/>
      <x:c r="Z140" s="188" t="str">
        <x:v>Normal</x:v>
      </x:c>
    </x:row>
    <x:row r="141" ht="22" customHeight="1">
      <x:c r="A141" s="217" t="n">
        <x:v>137</x:v>
      </x:c>
      <x:c r="B141" s="218" t="str">
        <x:v>26739</x:v>
      </x:c>
      <x:c r="C141" s="218" t="str">
        <x:v>13</x:v>
      </x:c>
      <x:c r="D141" s="218" t="str">
        <x:v>609678</x:v>
      </x:c>
      <x:c r="E141" s="218" t="str">
        <x:v>3050300065</x:v>
      </x:c>
      <x:c r="F141" s="218" t="str">
        <x:v>PORTA</x:v>
      </x:c>
      <x:c r="G141" s="184" t="str">
        <x:v>FO P COR COL HDF 3 ESM BCO CAR 2100X700X</x:v>
      </x:c>
      <x:c r="H141" s="184" t="str">
        <x:v>LISA</x:v>
      </x:c>
      <x:c r="I141" s="184" t="str"/>
      <x:c r="J141" s="184" t="str"/>
      <x:c r="K141" s="184" t="str">
        <x:v>ESMALTE</x:v>
      </x:c>
      <x:c r="L141" s="184" t="str">
        <x:v>BRANCO CARRARA</x:v>
      </x:c>
      <x:c r="M141" s="205" t="n">
        <x:v>7</x:v>
      </x:c>
      <x:c r="N141" s="205" t="str"/>
      <x:c r="O141" s="205" t="str"/>
      <x:c r="P141" s="205" t="str"/>
      <x:c r="Q141" s="206" t="n">
        <x:v>0.36</x:v>
      </x:c>
      <x:c r="R141" s="207" t="str"/>
      <x:c r="S141" s="207" t="str"/>
      <x:c r="T141" s="207" t="str"/>
      <x:c r="U141" s="207" t="n">
        <x:v>0</x:v>
      </x:c>
      <x:c r="V141" s="208" t="n">
        <x:f>MAX(0,M141-U141)</x:f>
        <x:v>7</x:v>
      </x:c>
      <x:c r="W141" s="209" t="n">
        <x:f>IFERROR(U141/M141,0)</x:f>
        <x:v>0</x:v>
      </x:c>
      <x:c r="X141" s="201" t="str">
        <x:f>IF(U141=0,"Não iniciado",IF(U141&gt;=M141,"Concluído","Parcial"))</x:f>
        <x:v>Não iniciado</x:v>
      </x:c>
      <x:c r="Y141" s="199" t="str"/>
      <x:c r="Z141" s="188" t="str">
        <x:v>Normal</x:v>
      </x:c>
    </x:row>
    <x:row r="142" ht="22" customHeight="1">
      <x:c r="A142" s="219" t="n">
        <x:v>138</x:v>
      </x:c>
      <x:c r="B142" s="220" t="str">
        <x:v>26750</x:v>
      </x:c>
      <x:c r="C142" s="220" t="str">
        <x:v>16</x:v>
      </x:c>
      <x:c r="D142" s="220" t="str">
        <x:v>609851</x:v>
      </x:c>
      <x:c r="E142" s="220" t="str">
        <x:v>3050300065</x:v>
      </x:c>
      <x:c r="F142" s="220" t="str">
        <x:v>PORTA</x:v>
      </x:c>
      <x:c r="G142" s="190" t="str">
        <x:v>FO P COR COL HDF 3 ESM BCO CAR 2100X700X</x:v>
      </x:c>
      <x:c r="H142" s="190" t="str">
        <x:v>LISA</x:v>
      </x:c>
      <x:c r="I142" s="190" t="str"/>
      <x:c r="J142" s="190" t="str"/>
      <x:c r="K142" s="190" t="str">
        <x:v>ESMALTE</x:v>
      </x:c>
      <x:c r="L142" s="190" t="str">
        <x:v>BRANCO CARRARA</x:v>
      </x:c>
      <x:c r="M142" s="210" t="n">
        <x:v>7</x:v>
      </x:c>
      <x:c r="N142" s="210" t="str"/>
      <x:c r="O142" s="210" t="str"/>
      <x:c r="P142" s="210" t="str"/>
      <x:c r="Q142" s="211" t="n">
        <x:v>0.36</x:v>
      </x:c>
      <x:c r="R142" s="207" t="str"/>
      <x:c r="S142" s="207" t="str"/>
      <x:c r="T142" s="207" t="str"/>
      <x:c r="U142" s="207" t="n">
        <x:v>0</x:v>
      </x:c>
      <x:c r="V142" s="208" t="n">
        <x:f>MAX(0,M142-U142)</x:f>
        <x:v>7</x:v>
      </x:c>
      <x:c r="W142" s="209" t="n">
        <x:f>IFERROR(U142/M142,0)</x:f>
        <x:v>0</x:v>
      </x:c>
      <x:c r="X142" s="201" t="str">
        <x:f>IF(U142=0,"Não iniciado",IF(U142&gt;=M142,"Concluído","Parcial"))</x:f>
        <x:v>Não iniciado</x:v>
      </x:c>
      <x:c r="Y142" s="199" t="str"/>
      <x:c r="Z142" s="188" t="str">
        <x:v>Normal</x:v>
      </x:c>
    </x:row>
    <x:row r="143" ht="22" customHeight="1">
      <x:c r="A143" s="217" t="n">
        <x:v>139</x:v>
      </x:c>
      <x:c r="B143" s="218" t="str">
        <x:v>26808</x:v>
      </x:c>
      <x:c r="C143" s="218" t="str">
        <x:v>1</x:v>
      </x:c>
      <x:c r="D143" s="218" t="str">
        <x:v>608902/612149</x:v>
      </x:c>
      <x:c r="E143" s="218" t="str">
        <x:v>3041400176</x:v>
      </x:c>
      <x:c r="F143" s="218" t="str">
        <x:v>PORTA</x:v>
      </x:c>
      <x:c r="G143" s="184" t="str">
        <x:v>FO POR S GD RU HDF 3 ESM BCO CAR 2100X60</x:v>
      </x:c>
      <x:c r="H143" s="184" t="str"/>
      <x:c r="I143" s="184" t="str"/>
      <x:c r="J143" s="184" t="str"/>
      <x:c r="K143" s="184" t="str">
        <x:v>ESMALTE</x:v>
      </x:c>
      <x:c r="L143" s="184" t="str">
        <x:v>BRANCO CARRARA</x:v>
      </x:c>
      <x:c r="M143" s="205" t="n">
        <x:v>144</x:v>
      </x:c>
      <x:c r="N143" s="205" t="str"/>
      <x:c r="O143" s="205" t="str"/>
      <x:c r="P143" s="205" t="str"/>
      <x:c r="Q143" s="206" t="n">
        <x:v>6.35</x:v>
      </x:c>
      <x:c r="R143" s="207" t="str"/>
      <x:c r="S143" s="207" t="str"/>
      <x:c r="T143" s="207" t="str"/>
      <x:c r="U143" s="207" t="n">
        <x:v>0</x:v>
      </x:c>
      <x:c r="V143" s="208" t="n">
        <x:f>MAX(0,M143-U143)</x:f>
        <x:v>144</x:v>
      </x:c>
      <x:c r="W143" s="209" t="n">
        <x:f>IFERROR(U143/M143,0)</x:f>
        <x:v>0</x:v>
      </x:c>
      <x:c r="X143" s="201" t="str">
        <x:f>IF(U143=0,"Não iniciado",IF(U143&gt;=M143,"Concluído","Parcial"))</x:f>
        <x:v>Não iniciado</x:v>
      </x:c>
      <x:c r="Y143" s="199" t="str"/>
      <x:c r="Z143" s="188" t="str">
        <x:v>Normal</x:v>
      </x:c>
    </x:row>
    <x:row r="144" ht="22" customHeight="1">
      <x:c r="A144" s="219" t="n">
        <x:v>140</x:v>
      </x:c>
      <x:c r="B144" s="220" t="str">
        <x:v>26808</x:v>
      </x:c>
      <x:c r="C144" s="220" t="str">
        <x:v>2</x:v>
      </x:c>
      <x:c r="D144" s="220" t="str">
        <x:v>608910</x:v>
      </x:c>
      <x:c r="E144" s="220" t="str">
        <x:v>3041400176</x:v>
      </x:c>
      <x:c r="F144" s="220" t="str">
        <x:v>PORTA</x:v>
      </x:c>
      <x:c r="G144" s="190" t="str">
        <x:v>FO POR S GD RU HDF 3 ESM BCO CAR 2100X60</x:v>
      </x:c>
      <x:c r="H144" s="190" t="str"/>
      <x:c r="I144" s="190" t="str"/>
      <x:c r="J144" s="190" t="str"/>
      <x:c r="K144" s="190" t="str">
        <x:v>ESMALTE</x:v>
      </x:c>
      <x:c r="L144" s="190" t="str">
        <x:v>BRANCO CARRARA</x:v>
      </x:c>
      <x:c r="M144" s="210" t="n">
        <x:v>16</x:v>
      </x:c>
      <x:c r="N144" s="210" t="str"/>
      <x:c r="O144" s="210" t="str"/>
      <x:c r="P144" s="210" t="str"/>
      <x:c r="Q144" s="211" t="n">
        <x:v>0.706</x:v>
      </x:c>
      <x:c r="R144" s="207" t="str"/>
      <x:c r="S144" s="207" t="str"/>
      <x:c r="T144" s="207" t="str"/>
      <x:c r="U144" s="207" t="n">
        <x:v>0</x:v>
      </x:c>
      <x:c r="V144" s="208" t="n">
        <x:f>MAX(0,M144-U144)</x:f>
        <x:v>16</x:v>
      </x:c>
      <x:c r="W144" s="209" t="n">
        <x:f>IFERROR(U144/M144,0)</x:f>
        <x:v>0</x:v>
      </x:c>
      <x:c r="X144" s="201" t="str">
        <x:f>IF(U144=0,"Não iniciado",IF(U144&gt;=M144,"Concluído","Parcial"))</x:f>
        <x:v>Não iniciado</x:v>
      </x:c>
      <x:c r="Y144" s="199" t="str"/>
      <x:c r="Z144" s="188" t="str">
        <x:v>Normal</x:v>
      </x:c>
    </x:row>
    <x:row r="145" ht="22" customHeight="1">
      <x:c r="A145" s="217" t="n">
        <x:v>141</x:v>
      </x:c>
      <x:c r="B145" s="218" t="str">
        <x:v>26808</x:v>
      </x:c>
      <x:c r="C145" s="218" t="str">
        <x:v>5</x:v>
      </x:c>
      <x:c r="D145" s="218" t="str">
        <x:v>608934</x:v>
      </x:c>
      <x:c r="E145" s="218" t="str">
        <x:v>3041400201</x:v>
      </x:c>
      <x:c r="F145" s="218" t="str">
        <x:v>PORTA</x:v>
      </x:c>
      <x:c r="G145" s="184" t="str">
        <x:v>FO POR S GD RU HDF 3 ESM BCO CAR 2100X80</x:v>
      </x:c>
      <x:c r="H145" s="184" t="str"/>
      <x:c r="I145" s="184" t="str"/>
      <x:c r="J145" s="184" t="str"/>
      <x:c r="K145" s="184" t="str">
        <x:v>ESMALTE</x:v>
      </x:c>
      <x:c r="L145" s="184" t="str">
        <x:v>BRANCO CARRARA</x:v>
      </x:c>
      <x:c r="M145" s="205" t="n">
        <x:v>1</x:v>
      </x:c>
      <x:c r="N145" s="205" t="str"/>
      <x:c r="O145" s="205" t="str"/>
      <x:c r="P145" s="205" t="str"/>
      <x:c r="Q145" s="206" t="n">
        <x:v>0.059</x:v>
      </x:c>
      <x:c r="R145" s="207" t="str"/>
      <x:c r="S145" s="207" t="str"/>
      <x:c r="T145" s="207" t="str"/>
      <x:c r="U145" s="207" t="n">
        <x:v>0</x:v>
      </x:c>
      <x:c r="V145" s="208" t="n">
        <x:f>MAX(0,M145-U145)</x:f>
        <x:v>1</x:v>
      </x:c>
      <x:c r="W145" s="209" t="n">
        <x:f>IFERROR(U145/M145,0)</x:f>
        <x:v>0</x:v>
      </x:c>
      <x:c r="X145" s="201" t="str">
        <x:f>IF(U145=0,"Não iniciado",IF(U145&gt;=M145,"Concluído","Parcial"))</x:f>
        <x:v>Não iniciado</x:v>
      </x:c>
      <x:c r="Y145" s="199" t="str"/>
      <x:c r="Z145" s="188" t="str">
        <x:v>Normal</x:v>
      </x:c>
    </x:row>
    <x:row r="146" ht="22" customHeight="1">
      <x:c r="A146" s="219" t="n">
        <x:v>142</x:v>
      </x:c>
      <x:c r="B146" s="220" t="str">
        <x:v>26808</x:v>
      </x:c>
      <x:c r="C146" s="220" t="str">
        <x:v>6</x:v>
      </x:c>
      <x:c r="D146" s="220" t="str">
        <x:v>608942</x:v>
      </x:c>
      <x:c r="E146" s="220" t="str">
        <x:v>3041400201</x:v>
      </x:c>
      <x:c r="F146" s="220" t="str">
        <x:v>PORTA</x:v>
      </x:c>
      <x:c r="G146" s="190" t="str">
        <x:v>FO POR S GD RU HDF 3 ESM BCO CAR 2100X80</x:v>
      </x:c>
      <x:c r="H146" s="190" t="str"/>
      <x:c r="I146" s="190" t="str"/>
      <x:c r="J146" s="190" t="str"/>
      <x:c r="K146" s="190" t="str">
        <x:v>ESMALTE</x:v>
      </x:c>
      <x:c r="L146" s="190" t="str">
        <x:v>BRANCO CARRARA</x:v>
      </x:c>
      <x:c r="M146" s="210" t="n">
        <x:v>6</x:v>
      </x:c>
      <x:c r="N146" s="210" t="str"/>
      <x:c r="O146" s="210" t="str"/>
      <x:c r="P146" s="210" t="str"/>
      <x:c r="Q146" s="211" t="n">
        <x:v>0.353</x:v>
      </x:c>
      <x:c r="R146" s="207" t="str"/>
      <x:c r="S146" s="207" t="str"/>
      <x:c r="T146" s="207" t="str"/>
      <x:c r="U146" s="207" t="n">
        <x:v>0</x:v>
      </x:c>
      <x:c r="V146" s="208" t="n">
        <x:f>MAX(0,M146-U146)</x:f>
        <x:v>6</x:v>
      </x:c>
      <x:c r="W146" s="209" t="n">
        <x:f>IFERROR(U146/M146,0)</x:f>
        <x:v>0</x:v>
      </x:c>
      <x:c r="X146" s="201" t="str">
        <x:f>IF(U146=0,"Não iniciado",IF(U146&gt;=M146,"Concluído","Parcial"))</x:f>
        <x:v>Não iniciado</x:v>
      </x:c>
      <x:c r="Y146" s="199" t="str"/>
      <x:c r="Z146" s="188" t="str">
        <x:v>Normal</x:v>
      </x:c>
    </x:row>
    <x:row r="147" ht="22" customHeight="1">
      <x:c r="A147" s="217" t="n">
        <x:v>143</x:v>
      </x:c>
      <x:c r="B147" s="218" t="str">
        <x:v>26808</x:v>
      </x:c>
      <x:c r="C147" s="218" t="str">
        <x:v>7</x:v>
      </x:c>
      <x:c r="D147" s="218" t="str">
        <x:v>608950</x:v>
      </x:c>
      <x:c r="E147" s="218" t="str">
        <x:v>3041400201</x:v>
      </x:c>
      <x:c r="F147" s="218" t="str">
        <x:v>PORTA</x:v>
      </x:c>
      <x:c r="G147" s="184" t="str">
        <x:v>FO POR S GD RU HDF 3 ESM BCO CAR 2100X80</x:v>
      </x:c>
      <x:c r="H147" s="184" t="str"/>
      <x:c r="I147" s="184" t="str"/>
      <x:c r="J147" s="184" t="str"/>
      <x:c r="K147" s="184" t="str">
        <x:v>ESMALTE</x:v>
      </x:c>
      <x:c r="L147" s="184" t="str">
        <x:v>BRANCO CARRARA</x:v>
      </x:c>
      <x:c r="M147" s="205" t="n">
        <x:v>4</x:v>
      </x:c>
      <x:c r="N147" s="205" t="str"/>
      <x:c r="O147" s="205" t="str"/>
      <x:c r="P147" s="205" t="str"/>
      <x:c r="Q147" s="206" t="n">
        <x:v>0.235</x:v>
      </x:c>
      <x:c r="R147" s="207" t="str"/>
      <x:c r="S147" s="207" t="str"/>
      <x:c r="T147" s="207" t="str"/>
      <x:c r="U147" s="207" t="n">
        <x:v>0</x:v>
      </x:c>
      <x:c r="V147" s="208" t="n">
        <x:f>MAX(0,M147-U147)</x:f>
        <x:v>4</x:v>
      </x:c>
      <x:c r="W147" s="209" t="n">
        <x:f>IFERROR(U147/M147,0)</x:f>
        <x:v>0</x:v>
      </x:c>
      <x:c r="X147" s="201" t="str">
        <x:f>IF(U147=0,"Não iniciado",IF(U147&gt;=M147,"Concluído","Parcial"))</x:f>
        <x:v>Não iniciado</x:v>
      </x:c>
      <x:c r="Y147" s="199" t="str"/>
      <x:c r="Z147" s="188" t="str">
        <x:v>Normal</x:v>
      </x:c>
    </x:row>
    <x:row r="148" ht="22" customHeight="1">
      <x:c r="A148" s="219" t="n">
        <x:v>144</x:v>
      </x:c>
      <x:c r="B148" s="220" t="str">
        <x:v>26808</x:v>
      </x:c>
      <x:c r="C148" s="220" t="str">
        <x:v>12</x:v>
      </x:c>
      <x:c r="D148" s="220" t="str">
        <x:v>608983</x:v>
      </x:c>
      <x:c r="E148" s="220" t="str">
        <x:v>3051400085</x:v>
      </x:c>
      <x:c r="F148" s="220" t="str">
        <x:v>PORTA</x:v>
      </x:c>
      <x:c r="G148" s="190" t="str">
        <x:v>FO P COR S GD HDF 3 ESM BCO CAR 2060X720</x:v>
      </x:c>
      <x:c r="H148" s="190" t="str">
        <x:v>LISA</x:v>
      </x:c>
      <x:c r="I148" s="190" t="str"/>
      <x:c r="J148" s="190" t="str"/>
      <x:c r="K148" s="190" t="str">
        <x:v>ESMALTE</x:v>
      </x:c>
      <x:c r="L148" s="190" t="str">
        <x:v>BRANCO CARRARA</x:v>
      </x:c>
      <x:c r="M148" s="210" t="n">
        <x:v>2</x:v>
      </x:c>
      <x:c r="N148" s="210" t="str"/>
      <x:c r="O148" s="210" t="str"/>
      <x:c r="P148" s="210" t="str"/>
      <x:c r="Q148" s="211" t="n">
        <x:v>0.104</x:v>
      </x:c>
      <x:c r="R148" s="207" t="str"/>
      <x:c r="S148" s="207" t="str"/>
      <x:c r="T148" s="207" t="str"/>
      <x:c r="U148" s="207" t="n">
        <x:v>0</x:v>
      </x:c>
      <x:c r="V148" s="208" t="n">
        <x:f>MAX(0,M148-U148)</x:f>
        <x:v>2</x:v>
      </x:c>
      <x:c r="W148" s="209" t="n">
        <x:f>IFERROR(U148/M148,0)</x:f>
        <x:v>0</x:v>
      </x:c>
      <x:c r="X148" s="201" t="str">
        <x:f>IF(U148=0,"Não iniciado",IF(U148&gt;=M148,"Concluído","Parcial"))</x:f>
        <x:v>Não iniciado</x:v>
      </x:c>
      <x:c r="Y148" s="199" t="str"/>
      <x:c r="Z148" s="188" t="str">
        <x:v>Normal</x:v>
      </x:c>
    </x:row>
    <x:row r="149" ht="22" customHeight="1">
      <x:c r="A149" s="217" t="n">
        <x:v>145</x:v>
      </x:c>
      <x:c r="B149" s="218" t="str">
        <x:v>26825</x:v>
      </x:c>
      <x:c r="C149" s="218" t="str">
        <x:v>1</x:v>
      </x:c>
      <x:c r="D149" s="218" t="str">
        <x:v>609042</x:v>
      </x:c>
      <x:c r="E149" s="218" t="str">
        <x:v>3051500142</x:v>
      </x:c>
      <x:c r="F149" s="218" t="str">
        <x:v>PORTA</x:v>
      </x:c>
      <x:c r="G149" s="184" t="str">
        <x:v>FO P COR S BD HDF 3 ESM BCO CAR 2100X105</x:v>
      </x:c>
      <x:c r="H149" s="184" t="str">
        <x:v>LISA</x:v>
      </x:c>
      <x:c r="I149" s="184" t="str"/>
      <x:c r="J149" s="184" t="str"/>
      <x:c r="K149" s="184" t="str">
        <x:v>ESMALTE</x:v>
      </x:c>
      <x:c r="L149" s="184" t="str">
        <x:v>BRANCO CARRARA</x:v>
      </x:c>
      <x:c r="M149" s="205" t="n">
        <x:v>32</x:v>
      </x:c>
      <x:c r="N149" s="205" t="str"/>
      <x:c r="O149" s="205" t="str"/>
      <x:c r="P149" s="205" t="str"/>
      <x:c r="Q149" s="206" t="n">
        <x:v>2.47</x:v>
      </x:c>
      <x:c r="R149" s="207" t="str"/>
      <x:c r="S149" s="207" t="str"/>
      <x:c r="T149" s="207" t="str"/>
      <x:c r="U149" s="207" t="n">
        <x:v>0</x:v>
      </x:c>
      <x:c r="V149" s="208" t="n">
        <x:f>MAX(0,M149-U149)</x:f>
        <x:v>32</x:v>
      </x:c>
      <x:c r="W149" s="209" t="n">
        <x:f>IFERROR(U149/M149,0)</x:f>
        <x:v>0</x:v>
      </x:c>
      <x:c r="X149" s="201" t="str">
        <x:f>IF(U149=0,"Não iniciado",IF(U149&gt;=M149,"Concluído","Parcial"))</x:f>
        <x:v>Não iniciado</x:v>
      </x:c>
      <x:c r="Y149" s="199" t="str"/>
      <x:c r="Z149" s="188" t="str">
        <x:v>Normal</x:v>
      </x:c>
    </x:row>
    <x:row r="150" ht="22" customHeight="1">
      <x:c r="A150" s="235" t="n">
        <x:v>146</x:v>
      </x:c>
      <x:c r="B150" s="236" t="str">
        <x:v>26809</x:v>
      </x:c>
      <x:c r="C150" s="236" t="str">
        <x:v>3</x:v>
      </x:c>
      <x:c r="D150" s="236" t="str">
        <x:v>609933</x:v>
      </x:c>
      <x:c r="E150" s="236" t="str">
        <x:v>3041400350</x:v>
      </x:c>
      <x:c r="F150" s="236" t="str">
        <x:v>PORTA</x:v>
      </x:c>
      <x:c r="G150" s="230" t="str">
        <x:v>FO POR S GD RU HDF 3 IMP CAP M 2100X900X</x:v>
      </x:c>
      <x:c r="H150" s="230" t="str">
        <x:v>LISA</x:v>
      </x:c>
      <x:c r="I150" s="230" t="str"/>
      <x:c r="J150" s="230" t="str"/>
      <x:c r="K150" s="230" t="str">
        <x:v>IMPRESSO</x:v>
      </x:c>
      <x:c r="L150" s="230" t="str">
        <x:v>CAPUCCINO MARCHE</x:v>
      </x:c>
      <x:c r="M150" s="233" t="n">
        <x:v>11</x:v>
      </x:c>
      <x:c r="N150" s="233" t="str"/>
      <x:c r="O150" s="233" t="str"/>
      <x:c r="P150" s="233" t="str"/>
      <x:c r="Q150" s="234" t="n">
        <x:v>0.728</x:v>
      </x:c>
      <x:c r="R150" s="214" t="str"/>
      <x:c r="S150" s="214" t="str"/>
      <x:c r="T150" s="214" t="str"/>
      <x:c r="U150" s="214" t="n">
        <x:v>0</x:v>
      </x:c>
      <x:c r="V150" s="215" t="n">
        <x:f>MAX(0,M150-U150)</x:f>
        <x:v>11</x:v>
      </x:c>
      <x:c r="W150" s="216" t="n">
        <x:f>IFERROR(U150/M150,0)</x:f>
        <x:v>0</x:v>
      </x:c>
      <x:c r="X150" s="203" t="str">
        <x:f>IF(U150=0,"Não iniciado",IF(U150&gt;=M150,"Concluído","Parcial"))</x:f>
        <x:v>Não iniciado</x:v>
      </x:c>
      <x:c r="Y150" s="200" t="str"/>
      <x:c r="Z150" s="198" t="str">
        <x:v>Normal</x:v>
      </x:c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84"/>
      <x:c r="U151" s="84"/>
      <x:c r="V151" s="84"/>
      <x:c r="W151" s="84"/>
      <x:c r="X151" s="84"/>
      <x:c r="Y151" s="84"/>
      <x:c r="Z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84"/>
      <x:c r="U152" s="84"/>
      <x:c r="V152" s="84"/>
      <x:c r="W152" s="84"/>
      <x:c r="X152" s="84"/>
      <x:c r="Y152" s="84"/>
      <x:c r="Z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84"/>
      <x:c r="U153" s="84"/>
      <x:c r="V153" s="84"/>
      <x:c r="W153" s="84"/>
      <x:c r="X153" s="84"/>
      <x:c r="Y153" s="84"/>
      <x:c r="Z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84"/>
      <x:c r="U154" s="84"/>
      <x:c r="V154" s="84"/>
      <x:c r="W154" s="84"/>
      <x:c r="X154" s="84"/>
      <x:c r="Y154" s="84"/>
      <x:c r="Z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84"/>
      <x:c r="U155" s="84"/>
      <x:c r="V155" s="84"/>
      <x:c r="W155" s="84"/>
      <x:c r="X155" s="84"/>
      <x:c r="Y155" s="84"/>
      <x:c r="Z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84"/>
      <x:c r="W156" s="84"/>
      <x:c r="X156" s="84"/>
      <x:c r="Y156" s="84"/>
      <x:c r="Z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84"/>
      <x:c r="U157" s="84"/>
      <x:c r="V157" s="84"/>
      <x:c r="W157" s="84"/>
      <x:c r="X157" s="84"/>
      <x:c r="Y157" s="84"/>
      <x:c r="Z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84"/>
      <x:c r="U158" s="84"/>
      <x:c r="V158" s="84"/>
      <x:c r="W158" s="84"/>
      <x:c r="X158" s="84"/>
      <x:c r="Y158" s="84"/>
      <x:c r="Z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84"/>
      <x:c r="U159" s="84"/>
      <x:c r="V159" s="84"/>
      <x:c r="W159" s="84"/>
      <x:c r="X159" s="84"/>
      <x:c r="Y159" s="84"/>
      <x:c r="Z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84"/>
      <x:c r="U160" s="84"/>
      <x:c r="V160" s="84"/>
      <x:c r="W160" s="84"/>
      <x:c r="X160" s="84"/>
      <x:c r="Y160" s="84"/>
      <x:c r="Z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84"/>
      <x:c r="U161" s="84"/>
      <x:c r="V161" s="84"/>
      <x:c r="W161" s="84"/>
      <x:c r="X161" s="84"/>
      <x:c r="Y161" s="84"/>
      <x:c r="Z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84"/>
      <x:c r="U162" s="84"/>
      <x:c r="V162" s="84"/>
      <x:c r="W162" s="84"/>
      <x:c r="X162" s="84"/>
      <x:c r="Y162" s="84"/>
      <x:c r="Z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84"/>
      <x:c r="U164" s="84"/>
      <x:c r="V164" s="84"/>
      <x:c r="W164" s="84"/>
      <x:c r="X164" s="84"/>
      <x:c r="Y164" s="84"/>
      <x:c r="Z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84"/>
      <x:c r="U165" s="84"/>
      <x:c r="V165" s="84"/>
      <x:c r="W165" s="84"/>
      <x:c r="X165" s="84"/>
      <x:c r="Y165" s="84"/>
      <x:c r="Z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84"/>
      <x:c r="U166" s="84"/>
      <x:c r="V166" s="84"/>
      <x:c r="W166" s="84"/>
      <x:c r="X166" s="84"/>
      <x:c r="Y166" s="84"/>
      <x:c r="Z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84"/>
      <x:c r="U167" s="84"/>
      <x:c r="V167" s="84"/>
      <x:c r="W167" s="84"/>
      <x:c r="X167" s="84"/>
      <x:c r="Y167" s="84"/>
      <x:c r="Z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84"/>
      <x:c r="U168" s="84"/>
      <x:c r="V168" s="84"/>
      <x:c r="W168" s="84"/>
      <x:c r="X168" s="84"/>
      <x:c r="Y168" s="84"/>
      <x:c r="Z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84"/>
      <x:c r="U169" s="84"/>
      <x:c r="V169" s="84"/>
      <x:c r="W169" s="84"/>
      <x:c r="X169" s="84"/>
      <x:c r="Y169" s="84"/>
      <x:c r="Z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84"/>
      <x:c r="U170" s="84"/>
      <x:c r="V170" s="84"/>
      <x:c r="W170" s="84"/>
      <x:c r="X170" s="84"/>
      <x:c r="Y170" s="84"/>
      <x:c r="Z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84"/>
      <x:c r="U171" s="84"/>
      <x:c r="V171" s="84"/>
      <x:c r="W171" s="84"/>
      <x:c r="X171" s="84"/>
      <x:c r="Y171" s="84"/>
      <x:c r="Z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84"/>
      <x:c r="U172" s="84"/>
      <x:c r="V172" s="84"/>
      <x:c r="W172" s="84"/>
      <x:c r="X172" s="84"/>
      <x:c r="Y172" s="84"/>
      <x:c r="Z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84"/>
      <x:c r="U173" s="84"/>
      <x:c r="V173" s="84"/>
      <x:c r="W173" s="84"/>
      <x:c r="X173" s="84"/>
      <x:c r="Y173" s="84"/>
      <x:c r="Z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84"/>
      <x:c r="U174" s="84"/>
      <x:c r="V174" s="84"/>
      <x:c r="W174" s="84"/>
      <x:c r="X174" s="84"/>
      <x:c r="Y174" s="84"/>
      <x:c r="Z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84"/>
      <x:c r="U175" s="84"/>
      <x:c r="V175" s="84"/>
      <x:c r="W175" s="84"/>
      <x:c r="X175" s="84"/>
      <x:c r="Y175" s="84"/>
      <x:c r="Z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84"/>
      <x:c r="U176" s="84"/>
      <x:c r="V176" s="84"/>
      <x:c r="W176" s="84"/>
      <x:c r="X176" s="84"/>
      <x:c r="Y176" s="84"/>
      <x:c r="Z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84"/>
      <x:c r="U177" s="84"/>
      <x:c r="V177" s="84"/>
      <x:c r="W177" s="84"/>
      <x:c r="X177" s="84"/>
      <x:c r="Y177" s="84"/>
      <x:c r="Z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84"/>
      <x:c r="U178" s="84"/>
      <x:c r="V178" s="84"/>
      <x:c r="W178" s="84"/>
      <x:c r="X178" s="84"/>
      <x:c r="Y178" s="84"/>
      <x:c r="Z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84"/>
      <x:c r="U179" s="84"/>
      <x:c r="V179" s="84"/>
      <x:c r="W179" s="84"/>
      <x:c r="X179" s="84"/>
      <x:c r="Y179" s="84"/>
      <x:c r="Z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84"/>
      <x:c r="W180" s="84"/>
      <x:c r="X180" s="84"/>
      <x:c r="Y180" s="84"/>
      <x:c r="Z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84"/>
      <x:c r="U181" s="84"/>
      <x:c r="V181" s="84"/>
      <x:c r="W181" s="84"/>
      <x:c r="X181" s="84"/>
      <x:c r="Y181" s="84"/>
      <x:c r="Z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84"/>
      <x:c r="U182" s="84"/>
      <x:c r="V182" s="84"/>
      <x:c r="W182" s="84"/>
      <x:c r="X182" s="84"/>
      <x:c r="Y182" s="84"/>
      <x:c r="Z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84"/>
      <x:c r="U183" s="84"/>
      <x:c r="V183" s="84"/>
      <x:c r="W183" s="84"/>
      <x:c r="X183" s="84"/>
      <x:c r="Y183" s="84"/>
      <x:c r="Z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84"/>
      <x:c r="U184" s="84"/>
      <x:c r="V184" s="84"/>
      <x:c r="W184" s="84"/>
      <x:c r="X184" s="84"/>
      <x:c r="Y184" s="84"/>
      <x:c r="Z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84"/>
      <x:c r="U185" s="84"/>
      <x:c r="V185" s="84"/>
      <x:c r="W185" s="84"/>
      <x:c r="X185" s="84"/>
      <x:c r="Y185" s="84"/>
      <x:c r="Z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84"/>
      <x:c r="U186" s="84"/>
      <x:c r="V186" s="84"/>
      <x:c r="W186" s="84"/>
      <x:c r="X186" s="84"/>
      <x:c r="Y186" s="84"/>
      <x:c r="Z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84"/>
      <x:c r="U187" s="84"/>
      <x:c r="V187" s="84"/>
      <x:c r="W187" s="84"/>
      <x:c r="X187" s="84"/>
      <x:c r="Y187" s="84"/>
      <x:c r="Z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84"/>
      <x:c r="U188" s="84"/>
      <x:c r="V188" s="84"/>
      <x:c r="W188" s="84"/>
      <x:c r="X188" s="84"/>
      <x:c r="Y188" s="84"/>
      <x:c r="Z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84"/>
      <x:c r="U189" s="84"/>
      <x:c r="V189" s="84"/>
      <x:c r="W189" s="84"/>
      <x:c r="X189" s="84"/>
      <x:c r="Y189" s="84"/>
      <x:c r="Z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84"/>
      <x:c r="U190" s="84"/>
      <x:c r="V190" s="84"/>
      <x:c r="W190" s="84"/>
      <x:c r="X190" s="84"/>
      <x:c r="Y190" s="84"/>
      <x:c r="Z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84"/>
      <x:c r="U191" s="84"/>
      <x:c r="V191" s="84"/>
      <x:c r="W191" s="84"/>
      <x:c r="X191" s="84"/>
      <x:c r="Y191" s="84"/>
      <x:c r="Z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84"/>
      <x:c r="U192" s="84"/>
      <x:c r="V192" s="84"/>
      <x:c r="W192" s="84"/>
      <x:c r="X192" s="84"/>
      <x:c r="Y192" s="84"/>
      <x:c r="Z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84"/>
      <x:c r="U193" s="84"/>
      <x:c r="V193" s="84"/>
      <x:c r="W193" s="84"/>
      <x:c r="X193" s="84"/>
      <x:c r="Y193" s="84"/>
      <x:c r="Z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84"/>
      <x:c r="U194" s="84"/>
      <x:c r="V194" s="84"/>
      <x:c r="W194" s="84"/>
      <x:c r="X194" s="84"/>
      <x:c r="Y194" s="84"/>
      <x:c r="Z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84"/>
      <x:c r="U195" s="84"/>
      <x:c r="V195" s="84"/>
      <x:c r="W195" s="84"/>
      <x:c r="X195" s="84"/>
      <x:c r="Y195" s="84"/>
      <x:c r="Z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84"/>
      <x:c r="U196" s="84"/>
      <x:c r="V196" s="84"/>
      <x:c r="W196" s="84"/>
      <x:c r="X196" s="84"/>
      <x:c r="Y196" s="84"/>
      <x:c r="Z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84"/>
      <x:c r="U197" s="84"/>
      <x:c r="V197" s="84"/>
      <x:c r="W197" s="84"/>
      <x:c r="X197" s="84"/>
      <x:c r="Y197" s="84"/>
      <x:c r="Z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84"/>
      <x:c r="U198" s="84"/>
      <x:c r="V198" s="84"/>
      <x:c r="W198" s="84"/>
      <x:c r="X198" s="84"/>
      <x:c r="Y198" s="84"/>
      <x:c r="Z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84"/>
      <x:c r="U199" s="84"/>
      <x:c r="V199" s="84"/>
      <x:c r="W199" s="84"/>
      <x:c r="X199" s="84"/>
      <x:c r="Y199" s="84"/>
      <x:c r="Z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84"/>
      <x:c r="U200" s="84"/>
      <x:c r="V200" s="84"/>
      <x:c r="W200" s="84"/>
      <x:c r="X200" s="84"/>
      <x:c r="Y200" s="84"/>
      <x:c r="Z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84"/>
      <x:c r="U201" s="84"/>
      <x:c r="V201" s="84"/>
      <x:c r="W201" s="84"/>
      <x:c r="X201" s="84"/>
      <x:c r="Y201" s="84"/>
      <x:c r="Z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84"/>
      <x:c r="U202" s="84"/>
      <x:c r="V202" s="84"/>
      <x:c r="W202" s="84"/>
      <x:c r="X202" s="84"/>
      <x:c r="Y202" s="84"/>
      <x:c r="Z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84"/>
      <x:c r="U203" s="84"/>
      <x:c r="V203" s="84"/>
      <x:c r="W203" s="84"/>
      <x:c r="X203" s="84"/>
      <x:c r="Y203" s="84"/>
      <x:c r="Z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84"/>
      <x:c r="U204" s="84"/>
      <x:c r="V204" s="84"/>
      <x:c r="W204" s="84"/>
      <x:c r="X204" s="84"/>
      <x:c r="Y204" s="84"/>
      <x:c r="Z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  <x:c r="M205" s="84"/>
      <x:c r="N205" s="84"/>
      <x:c r="O205" s="84"/>
      <x:c r="P205" s="84"/>
      <x:c r="Q205" s="84"/>
      <x:c r="R205" s="84"/>
      <x:c r="S205" s="84"/>
      <x:c r="T205" s="84"/>
      <x:c r="U205" s="84"/>
      <x:c r="V205" s="84"/>
      <x:c r="W205" s="84"/>
      <x:c r="X205" s="84"/>
      <x:c r="Y205" s="84"/>
      <x:c r="Z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  <x:c r="M206" s="84"/>
      <x:c r="N206" s="84"/>
      <x:c r="O206" s="84"/>
      <x:c r="P206" s="84"/>
      <x:c r="Q206" s="84"/>
      <x:c r="R206" s="84"/>
      <x:c r="S206" s="84"/>
      <x:c r="T206" s="84"/>
      <x:c r="U206" s="84"/>
      <x:c r="V206" s="84"/>
      <x:c r="W206" s="84"/>
      <x:c r="X206" s="84"/>
      <x:c r="Y206" s="84"/>
      <x:c r="Z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  <x:c r="M207" s="84"/>
      <x:c r="N207" s="84"/>
      <x:c r="O207" s="84"/>
      <x:c r="P207" s="84"/>
      <x:c r="Q207" s="84"/>
      <x:c r="R207" s="84"/>
      <x:c r="S207" s="84"/>
      <x:c r="T207" s="84"/>
      <x:c r="U207" s="84"/>
      <x:c r="V207" s="84"/>
      <x:c r="W207" s="84"/>
      <x:c r="X207" s="84"/>
      <x:c r="Y207" s="84"/>
      <x:c r="Z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  <x:c r="M208" s="84"/>
      <x:c r="N208" s="84"/>
      <x:c r="O208" s="84"/>
      <x:c r="P208" s="84"/>
      <x:c r="Q208" s="84"/>
      <x:c r="R208" s="84"/>
      <x:c r="S208" s="84"/>
      <x:c r="T208" s="84"/>
      <x:c r="U208" s="84"/>
      <x:c r="V208" s="84"/>
      <x:c r="W208" s="84"/>
      <x:c r="X208" s="84"/>
      <x:c r="Y208" s="84"/>
      <x:c r="Z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  <x:c r="M209" s="84"/>
      <x:c r="N209" s="84"/>
      <x:c r="O209" s="84"/>
      <x:c r="P209" s="84"/>
      <x:c r="Q209" s="84"/>
      <x:c r="R209" s="84"/>
      <x:c r="S209" s="84"/>
      <x:c r="T209" s="84"/>
      <x:c r="U209" s="84"/>
      <x:c r="V209" s="84"/>
      <x:c r="W209" s="84"/>
      <x:c r="X209" s="84"/>
      <x:c r="Y209" s="84"/>
      <x:c r="Z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  <x:c r="M210" s="84"/>
      <x:c r="N210" s="84"/>
      <x:c r="O210" s="84"/>
      <x:c r="P210" s="84"/>
      <x:c r="Q210" s="84"/>
      <x:c r="R210" s="84"/>
      <x:c r="S210" s="84"/>
      <x:c r="T210" s="84"/>
      <x:c r="U210" s="84"/>
      <x:c r="V210" s="84"/>
      <x:c r="W210" s="84"/>
      <x:c r="X210" s="84"/>
      <x:c r="Y210" s="84"/>
      <x:c r="Z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  <x:c r="M211" s="84"/>
      <x:c r="N211" s="84"/>
      <x:c r="O211" s="84"/>
      <x:c r="P211" s="84"/>
      <x:c r="Q211" s="84"/>
      <x:c r="R211" s="84"/>
      <x:c r="S211" s="84"/>
      <x:c r="T211" s="84"/>
      <x:c r="U211" s="84"/>
      <x:c r="V211" s="84"/>
      <x:c r="W211" s="84"/>
      <x:c r="X211" s="84"/>
      <x:c r="Y211" s="84"/>
      <x:c r="Z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  <x:c r="M212" s="84"/>
      <x:c r="N212" s="84"/>
      <x:c r="O212" s="84"/>
      <x:c r="P212" s="84"/>
      <x:c r="Q212" s="84"/>
      <x:c r="R212" s="84"/>
      <x:c r="S212" s="84"/>
      <x:c r="T212" s="84"/>
      <x:c r="U212" s="84"/>
      <x:c r="V212" s="84"/>
      <x:c r="W212" s="84"/>
      <x:c r="X212" s="84"/>
      <x:c r="Y212" s="84"/>
      <x:c r="Z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  <x:c r="M213" s="84"/>
      <x:c r="N213" s="84"/>
      <x:c r="O213" s="84"/>
      <x:c r="P213" s="84"/>
      <x:c r="Q213" s="84"/>
      <x:c r="R213" s="84"/>
      <x:c r="S213" s="84"/>
      <x:c r="T213" s="84"/>
      <x:c r="U213" s="84"/>
      <x:c r="V213" s="84"/>
      <x:c r="W213" s="84"/>
      <x:c r="X213" s="84"/>
      <x:c r="Y213" s="84"/>
      <x:c r="Z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  <x:c r="M214" s="84"/>
      <x:c r="N214" s="84"/>
      <x:c r="O214" s="84"/>
      <x:c r="P214" s="84"/>
      <x:c r="Q214" s="84"/>
      <x:c r="R214" s="84"/>
      <x:c r="S214" s="84"/>
      <x:c r="T214" s="84"/>
      <x:c r="U214" s="84"/>
      <x:c r="V214" s="84"/>
      <x:c r="W214" s="84"/>
      <x:c r="X214" s="84"/>
      <x:c r="Y214" s="84"/>
      <x:c r="Z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  <x:c r="M215" s="84"/>
      <x:c r="N215" s="84"/>
      <x:c r="O215" s="84"/>
      <x:c r="P215" s="84"/>
      <x:c r="Q215" s="84"/>
      <x:c r="R215" s="84"/>
      <x:c r="S215" s="84"/>
      <x:c r="T215" s="84"/>
      <x:c r="U215" s="84"/>
      <x:c r="V215" s="84"/>
      <x:c r="W215" s="84"/>
      <x:c r="X215" s="84"/>
      <x:c r="Y215" s="84"/>
      <x:c r="Z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  <x:c r="M216" s="84"/>
      <x:c r="N216" s="84"/>
      <x:c r="O216" s="84"/>
      <x:c r="P216" s="84"/>
      <x:c r="Q216" s="84"/>
      <x:c r="R216" s="84"/>
      <x:c r="S216" s="84"/>
      <x:c r="T216" s="84"/>
      <x:c r="U216" s="84"/>
      <x:c r="V216" s="84"/>
      <x:c r="W216" s="84"/>
      <x:c r="X216" s="84"/>
      <x:c r="Y216" s="84"/>
      <x:c r="Z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  <x:c r="M217" s="84"/>
      <x:c r="N217" s="84"/>
      <x:c r="O217" s="84"/>
      <x:c r="P217" s="84"/>
      <x:c r="Q217" s="84"/>
      <x:c r="R217" s="84"/>
      <x:c r="S217" s="84"/>
      <x:c r="T217" s="84"/>
      <x:c r="U217" s="84"/>
      <x:c r="V217" s="84"/>
      <x:c r="W217" s="84"/>
      <x:c r="X217" s="84"/>
      <x:c r="Y217" s="84"/>
      <x:c r="Z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  <x:c r="M218" s="84"/>
      <x:c r="N218" s="84"/>
      <x:c r="O218" s="84"/>
      <x:c r="P218" s="84"/>
      <x:c r="Q218" s="84"/>
      <x:c r="R218" s="84"/>
      <x:c r="S218" s="84"/>
      <x:c r="T218" s="84"/>
      <x:c r="U218" s="84"/>
      <x:c r="V218" s="84"/>
      <x:c r="W218" s="84"/>
      <x:c r="X218" s="84"/>
      <x:c r="Y218" s="84"/>
      <x:c r="Z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  <x:c r="M219" s="84"/>
      <x:c r="N219" s="84"/>
      <x:c r="O219" s="84"/>
      <x:c r="P219" s="84"/>
      <x:c r="Q219" s="84"/>
      <x:c r="R219" s="84"/>
      <x:c r="S219" s="84"/>
      <x:c r="T219" s="84"/>
      <x:c r="U219" s="84"/>
      <x:c r="V219" s="84"/>
      <x:c r="W219" s="84"/>
      <x:c r="X219" s="84"/>
      <x:c r="Y219" s="84"/>
      <x:c r="Z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  <x:c r="M220" s="84"/>
      <x:c r="N220" s="84"/>
      <x:c r="O220" s="84"/>
      <x:c r="P220" s="84"/>
      <x:c r="Q220" s="84"/>
      <x:c r="R220" s="84"/>
      <x:c r="S220" s="84"/>
      <x:c r="T220" s="84"/>
      <x:c r="U220" s="84"/>
      <x:c r="V220" s="84"/>
      <x:c r="W220" s="84"/>
      <x:c r="X220" s="84"/>
      <x:c r="Y220" s="84"/>
      <x:c r="Z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  <x:c r="M221" s="84"/>
      <x:c r="N221" s="84"/>
      <x:c r="O221" s="84"/>
      <x:c r="P221" s="84"/>
      <x:c r="Q221" s="84"/>
      <x:c r="R221" s="84"/>
      <x:c r="S221" s="84"/>
      <x:c r="T221" s="84"/>
      <x:c r="U221" s="84"/>
      <x:c r="V221" s="84"/>
      <x:c r="W221" s="84"/>
      <x:c r="X221" s="84"/>
      <x:c r="Y221" s="84"/>
      <x:c r="Z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  <x:c r="M222" s="84"/>
      <x:c r="N222" s="84"/>
      <x:c r="O222" s="84"/>
      <x:c r="P222" s="84"/>
      <x:c r="Q222" s="84"/>
      <x:c r="R222" s="84"/>
      <x:c r="S222" s="84"/>
      <x:c r="T222" s="84"/>
      <x:c r="U222" s="84"/>
      <x:c r="V222" s="84"/>
      <x:c r="W222" s="84"/>
      <x:c r="X222" s="84"/>
      <x:c r="Y222" s="84"/>
      <x:c r="Z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  <x:c r="M223" s="84"/>
      <x:c r="N223" s="84"/>
      <x:c r="O223" s="84"/>
      <x:c r="P223" s="84"/>
      <x:c r="Q223" s="84"/>
      <x:c r="R223" s="84"/>
      <x:c r="S223" s="84"/>
      <x:c r="T223" s="84"/>
      <x:c r="U223" s="84"/>
      <x:c r="V223" s="84"/>
      <x:c r="W223" s="84"/>
      <x:c r="X223" s="84"/>
      <x:c r="Y223" s="84"/>
      <x:c r="Z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  <x:c r="M224" s="84"/>
      <x:c r="N224" s="84"/>
      <x:c r="O224" s="84"/>
      <x:c r="P224" s="84"/>
      <x:c r="Q224" s="84"/>
      <x:c r="R224" s="84"/>
      <x:c r="S224" s="84"/>
      <x:c r="T224" s="84"/>
      <x:c r="U224" s="84"/>
      <x:c r="V224" s="84"/>
      <x:c r="W224" s="84"/>
      <x:c r="X224" s="84"/>
      <x:c r="Y224" s="84"/>
      <x:c r="Z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  <x:c r="M225" s="84"/>
      <x:c r="N225" s="84"/>
      <x:c r="O225" s="84"/>
      <x:c r="P225" s="84"/>
      <x:c r="Q225" s="84"/>
      <x:c r="R225" s="84"/>
      <x:c r="S225" s="84"/>
      <x:c r="T225" s="84"/>
      <x:c r="U225" s="84"/>
      <x:c r="V225" s="84"/>
      <x:c r="W225" s="84"/>
      <x:c r="X225" s="84"/>
      <x:c r="Y225" s="84"/>
      <x:c r="Z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  <x:c r="M226" s="84"/>
      <x:c r="N226" s="84"/>
      <x:c r="O226" s="84"/>
      <x:c r="P226" s="84"/>
      <x:c r="Q226" s="84"/>
      <x:c r="R226" s="84"/>
      <x:c r="S226" s="84"/>
      <x:c r="T226" s="84"/>
      <x:c r="U226" s="84"/>
      <x:c r="V226" s="84"/>
      <x:c r="W226" s="84"/>
      <x:c r="X226" s="84"/>
      <x:c r="Y226" s="84"/>
      <x:c r="Z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  <x:c r="M227" s="84"/>
      <x:c r="N227" s="84"/>
      <x:c r="O227" s="84"/>
      <x:c r="P227" s="84"/>
      <x:c r="Q227" s="84"/>
      <x:c r="R227" s="84"/>
      <x:c r="S227" s="84"/>
      <x:c r="T227" s="84"/>
      <x:c r="U227" s="84"/>
      <x:c r="V227" s="84"/>
      <x:c r="W227" s="84"/>
      <x:c r="X227" s="84"/>
      <x:c r="Y227" s="84"/>
      <x:c r="Z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  <x:c r="M228" s="84"/>
      <x:c r="N228" s="84"/>
      <x:c r="O228" s="84"/>
      <x:c r="P228" s="84"/>
      <x:c r="Q228" s="84"/>
      <x:c r="R228" s="84"/>
      <x:c r="S228" s="84"/>
      <x:c r="T228" s="84"/>
      <x:c r="U228" s="84"/>
      <x:c r="V228" s="84"/>
      <x:c r="W228" s="84"/>
      <x:c r="X228" s="84"/>
      <x:c r="Y228" s="84"/>
      <x:c r="Z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  <x:c r="M229" s="84"/>
      <x:c r="N229" s="84"/>
      <x:c r="O229" s="84"/>
      <x:c r="P229" s="84"/>
      <x:c r="Q229" s="84"/>
      <x:c r="R229" s="84"/>
      <x:c r="S229" s="84"/>
      <x:c r="T229" s="84"/>
      <x:c r="U229" s="84"/>
      <x:c r="V229" s="84"/>
      <x:c r="W229" s="84"/>
      <x:c r="X229" s="84"/>
      <x:c r="Y229" s="84"/>
      <x:c r="Z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  <x:c r="M230" s="84"/>
      <x:c r="N230" s="84"/>
      <x:c r="O230" s="84"/>
      <x:c r="P230" s="84"/>
      <x:c r="Q230" s="84"/>
      <x:c r="R230" s="84"/>
      <x:c r="S230" s="84"/>
      <x:c r="T230" s="84"/>
      <x:c r="U230" s="84"/>
      <x:c r="V230" s="84"/>
      <x:c r="W230" s="84"/>
      <x:c r="X230" s="84"/>
      <x:c r="Y230" s="84"/>
      <x:c r="Z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  <x:c r="M231" s="84"/>
      <x:c r="N231" s="84"/>
      <x:c r="O231" s="84"/>
      <x:c r="P231" s="84"/>
      <x:c r="Q231" s="84"/>
      <x:c r="R231" s="84"/>
      <x:c r="S231" s="84"/>
      <x:c r="T231" s="84"/>
      <x:c r="U231" s="84"/>
      <x:c r="V231" s="84"/>
      <x:c r="W231" s="84"/>
      <x:c r="X231" s="84"/>
      <x:c r="Y231" s="84"/>
      <x:c r="Z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  <x:c r="M232" s="84"/>
      <x:c r="N232" s="84"/>
      <x:c r="O232" s="84"/>
      <x:c r="P232" s="84"/>
      <x:c r="Q232" s="84"/>
      <x:c r="R232" s="84"/>
      <x:c r="S232" s="84"/>
      <x:c r="T232" s="84"/>
      <x:c r="U232" s="84"/>
      <x:c r="V232" s="84"/>
      <x:c r="W232" s="84"/>
      <x:c r="X232" s="84"/>
      <x:c r="Y232" s="84"/>
      <x:c r="Z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  <x:c r="M233" s="84"/>
      <x:c r="N233" s="84"/>
      <x:c r="O233" s="84"/>
      <x:c r="P233" s="84"/>
      <x:c r="Q233" s="84"/>
      <x:c r="R233" s="84"/>
      <x:c r="S233" s="84"/>
      <x:c r="T233" s="84"/>
      <x:c r="U233" s="84"/>
      <x:c r="V233" s="84"/>
      <x:c r="W233" s="84"/>
      <x:c r="X233" s="84"/>
      <x:c r="Y233" s="84"/>
      <x:c r="Z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  <x:c r="M234" s="84"/>
      <x:c r="N234" s="84"/>
      <x:c r="O234" s="84"/>
      <x:c r="P234" s="84"/>
      <x:c r="Q234" s="84"/>
      <x:c r="R234" s="84"/>
      <x:c r="S234" s="84"/>
      <x:c r="T234" s="84"/>
      <x:c r="U234" s="84"/>
      <x:c r="V234" s="84"/>
      <x:c r="W234" s="84"/>
      <x:c r="X234" s="84"/>
      <x:c r="Y234" s="84"/>
      <x:c r="Z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  <x:c r="M235" s="84"/>
      <x:c r="N235" s="84"/>
      <x:c r="O235" s="84"/>
      <x:c r="P235" s="84"/>
      <x:c r="Q235" s="84"/>
      <x:c r="R235" s="84"/>
      <x:c r="S235" s="84"/>
      <x:c r="T235" s="84"/>
      <x:c r="U235" s="84"/>
      <x:c r="V235" s="84"/>
      <x:c r="W235" s="84"/>
      <x:c r="X235" s="84"/>
      <x:c r="Y235" s="84"/>
      <x:c r="Z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  <x:c r="M236" s="84"/>
      <x:c r="N236" s="84"/>
      <x:c r="O236" s="84"/>
      <x:c r="P236" s="84"/>
      <x:c r="Q236" s="84"/>
      <x:c r="R236" s="84"/>
      <x:c r="S236" s="84"/>
      <x:c r="T236" s="84"/>
      <x:c r="U236" s="84"/>
      <x:c r="V236" s="84"/>
      <x:c r="W236" s="84"/>
      <x:c r="X236" s="84"/>
      <x:c r="Y236" s="84"/>
      <x:c r="Z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  <x:c r="M237" s="84"/>
      <x:c r="N237" s="84"/>
      <x:c r="O237" s="84"/>
      <x:c r="P237" s="84"/>
      <x:c r="Q237" s="84"/>
      <x:c r="R237" s="84"/>
      <x:c r="S237" s="84"/>
      <x:c r="T237" s="84"/>
      <x:c r="U237" s="84"/>
      <x:c r="V237" s="84"/>
      <x:c r="W237" s="84"/>
      <x:c r="X237" s="84"/>
      <x:c r="Y237" s="84"/>
      <x:c r="Z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  <x:c r="M238" s="84"/>
      <x:c r="N238" s="84"/>
      <x:c r="O238" s="84"/>
      <x:c r="P238" s="84"/>
      <x:c r="Q238" s="84"/>
      <x:c r="R238" s="84"/>
      <x:c r="S238" s="84"/>
      <x:c r="T238" s="84"/>
      <x:c r="U238" s="84"/>
      <x:c r="V238" s="84"/>
      <x:c r="W238" s="84"/>
      <x:c r="X238" s="84"/>
      <x:c r="Y238" s="84"/>
      <x:c r="Z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  <x:c r="M239" s="84"/>
      <x:c r="N239" s="84"/>
      <x:c r="O239" s="84"/>
      <x:c r="P239" s="84"/>
      <x:c r="Q239" s="84"/>
      <x:c r="R239" s="84"/>
      <x:c r="S239" s="84"/>
      <x:c r="T239" s="84"/>
      <x:c r="U239" s="84"/>
      <x:c r="V239" s="84"/>
      <x:c r="W239" s="84"/>
      <x:c r="X239" s="84"/>
      <x:c r="Y239" s="84"/>
      <x:c r="Z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  <x:c r="M240" s="84"/>
      <x:c r="N240" s="84"/>
      <x:c r="O240" s="84"/>
      <x:c r="P240" s="84"/>
      <x:c r="Q240" s="84"/>
      <x:c r="R240" s="84"/>
      <x:c r="S240" s="84"/>
      <x:c r="T240" s="84"/>
      <x:c r="U240" s="84"/>
      <x:c r="V240" s="84"/>
      <x:c r="W240" s="84"/>
      <x:c r="X240" s="84"/>
      <x:c r="Y240" s="84"/>
      <x:c r="Z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  <x:c r="M241" s="84"/>
      <x:c r="N241" s="84"/>
      <x:c r="O241" s="84"/>
      <x:c r="P241" s="84"/>
      <x:c r="Q241" s="84"/>
      <x:c r="R241" s="84"/>
      <x:c r="S241" s="84"/>
      <x:c r="T241" s="84"/>
      <x:c r="U241" s="84"/>
      <x:c r="V241" s="84"/>
      <x:c r="W241" s="84"/>
      <x:c r="X241" s="84"/>
      <x:c r="Y241" s="84"/>
      <x:c r="Z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  <x:c r="M242" s="84"/>
      <x:c r="N242" s="84"/>
      <x:c r="O242" s="84"/>
      <x:c r="P242" s="84"/>
      <x:c r="Q242" s="84"/>
      <x:c r="R242" s="84"/>
      <x:c r="S242" s="84"/>
      <x:c r="T242" s="84"/>
      <x:c r="U242" s="84"/>
      <x:c r="V242" s="84"/>
      <x:c r="W242" s="84"/>
      <x:c r="X242" s="84"/>
      <x:c r="Y242" s="84"/>
      <x:c r="Z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  <x:c r="M243" s="84"/>
      <x:c r="N243" s="84"/>
      <x:c r="O243" s="84"/>
      <x:c r="P243" s="84"/>
      <x:c r="Q243" s="84"/>
      <x:c r="R243" s="84"/>
      <x:c r="S243" s="84"/>
      <x:c r="T243" s="84"/>
      <x:c r="U243" s="84"/>
      <x:c r="V243" s="84"/>
      <x:c r="W243" s="84"/>
      <x:c r="X243" s="84"/>
      <x:c r="Y243" s="84"/>
      <x:c r="Z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  <x:c r="M244" s="84"/>
      <x:c r="N244" s="84"/>
      <x:c r="O244" s="84"/>
      <x:c r="P244" s="84"/>
      <x:c r="Q244" s="84"/>
      <x:c r="R244" s="84"/>
      <x:c r="S244" s="84"/>
      <x:c r="T244" s="84"/>
      <x:c r="U244" s="84"/>
      <x:c r="V244" s="84"/>
      <x:c r="W244" s="84"/>
      <x:c r="X244" s="84"/>
      <x:c r="Y244" s="84"/>
      <x:c r="Z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  <x:c r="M245" s="84"/>
      <x:c r="N245" s="84"/>
      <x:c r="O245" s="84"/>
      <x:c r="P245" s="84"/>
      <x:c r="Q245" s="84"/>
      <x:c r="R245" s="84"/>
      <x:c r="S245" s="84"/>
      <x:c r="T245" s="84"/>
      <x:c r="U245" s="84"/>
      <x:c r="V245" s="84"/>
      <x:c r="W245" s="84"/>
      <x:c r="X245" s="84"/>
      <x:c r="Y245" s="84"/>
      <x:c r="Z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  <x:c r="M246" s="84"/>
      <x:c r="N246" s="84"/>
      <x:c r="O246" s="84"/>
      <x:c r="P246" s="84"/>
      <x:c r="Q246" s="84"/>
      <x:c r="R246" s="84"/>
      <x:c r="S246" s="84"/>
      <x:c r="T246" s="84"/>
      <x:c r="U246" s="84"/>
      <x:c r="V246" s="84"/>
      <x:c r="W246" s="84"/>
      <x:c r="X246" s="84"/>
      <x:c r="Y246" s="84"/>
      <x:c r="Z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  <x:c r="M247" s="84"/>
      <x:c r="N247" s="84"/>
      <x:c r="O247" s="84"/>
      <x:c r="P247" s="84"/>
      <x:c r="Q247" s="84"/>
      <x:c r="R247" s="84"/>
      <x:c r="S247" s="84"/>
      <x:c r="T247" s="84"/>
      <x:c r="U247" s="84"/>
      <x:c r="V247" s="84"/>
      <x:c r="W247" s="84"/>
      <x:c r="X247" s="84"/>
      <x:c r="Y247" s="84"/>
      <x:c r="Z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  <x:c r="M248" s="84"/>
      <x:c r="N248" s="84"/>
      <x:c r="O248" s="84"/>
      <x:c r="P248" s="84"/>
      <x:c r="Q248" s="84"/>
      <x:c r="R248" s="84"/>
      <x:c r="S248" s="84"/>
      <x:c r="T248" s="84"/>
      <x:c r="U248" s="84"/>
      <x:c r="V248" s="84"/>
      <x:c r="W248" s="84"/>
      <x:c r="X248" s="84"/>
      <x:c r="Y248" s="84"/>
      <x:c r="Z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  <x:c r="M249" s="84"/>
      <x:c r="N249" s="84"/>
      <x:c r="O249" s="84"/>
      <x:c r="P249" s="84"/>
      <x:c r="Q249" s="84"/>
      <x:c r="R249" s="84"/>
      <x:c r="S249" s="84"/>
      <x:c r="T249" s="84"/>
      <x:c r="U249" s="84"/>
      <x:c r="V249" s="84"/>
      <x:c r="W249" s="84"/>
      <x:c r="X249" s="84"/>
      <x:c r="Y249" s="84"/>
      <x:c r="Z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  <x:c r="M250" s="84"/>
      <x:c r="N250" s="84"/>
      <x:c r="O250" s="84"/>
      <x:c r="P250" s="84"/>
      <x:c r="Q250" s="84"/>
      <x:c r="R250" s="84"/>
      <x:c r="S250" s="84"/>
      <x:c r="T250" s="84"/>
      <x:c r="U250" s="84"/>
      <x:c r="V250" s="84"/>
      <x:c r="W250" s="84"/>
      <x:c r="X250" s="84"/>
      <x:c r="Y250" s="84"/>
      <x:c r="Z250" s="84"/>
    </x:row>
    <x:row r="25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4"/>
      <x:c r="K251" s="84"/>
      <x:c r="L251" s="84"/>
      <x:c r="M251" s="84"/>
      <x:c r="N251" s="84"/>
      <x:c r="O251" s="84"/>
      <x:c r="P251" s="84"/>
      <x:c r="Q251" s="84"/>
      <x:c r="R251" s="84"/>
      <x:c r="S251" s="84"/>
      <x:c r="T251" s="84"/>
      <x:c r="U251" s="84"/>
      <x:c r="V251" s="84"/>
      <x:c r="W251" s="84"/>
      <x:c r="X251" s="84"/>
      <x:c r="Y251" s="84"/>
      <x:c r="Z251" s="84"/>
    </x:row>
    <x:row r="252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4"/>
      <x:c r="K252" s="84"/>
      <x:c r="L252" s="84"/>
      <x:c r="M252" s="84"/>
      <x:c r="N252" s="84"/>
      <x:c r="O252" s="84"/>
      <x:c r="P252" s="84"/>
      <x:c r="Q252" s="84"/>
      <x:c r="R252" s="84"/>
      <x:c r="S252" s="84"/>
      <x:c r="T252" s="84"/>
      <x:c r="U252" s="84"/>
      <x:c r="V252" s="84"/>
      <x:c r="W252" s="84"/>
      <x:c r="X252" s="84"/>
      <x:c r="Y252" s="84"/>
      <x:c r="Z252" s="84"/>
    </x:row>
    <x:row r="253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4"/>
      <x:c r="K253" s="84"/>
      <x:c r="L253" s="84"/>
      <x:c r="M253" s="84"/>
      <x:c r="N253" s="84"/>
      <x:c r="O253" s="84"/>
      <x:c r="P253" s="84"/>
      <x:c r="Q253" s="84"/>
      <x:c r="R253" s="84"/>
      <x:c r="S253" s="84"/>
      <x:c r="T253" s="84"/>
      <x:c r="U253" s="84"/>
      <x:c r="V253" s="84"/>
      <x:c r="W253" s="84"/>
      <x:c r="X253" s="84"/>
      <x:c r="Y253" s="84"/>
      <x:c r="Z253" s="84"/>
    </x:row>
    <x:row r="254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4"/>
      <x:c r="K254" s="84"/>
      <x:c r="L254" s="84"/>
      <x:c r="M254" s="84"/>
      <x:c r="N254" s="84"/>
      <x:c r="O254" s="84"/>
      <x:c r="P254" s="84"/>
      <x:c r="Q254" s="84"/>
      <x:c r="R254" s="84"/>
      <x:c r="S254" s="84"/>
      <x:c r="T254" s="84"/>
      <x:c r="U254" s="84"/>
      <x:c r="V254" s="84"/>
      <x:c r="W254" s="84"/>
      <x:c r="X254" s="84"/>
      <x:c r="Y254" s="84"/>
      <x:c r="Z254" s="84"/>
    </x:row>
    <x:row r="255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4"/>
      <x:c r="K255" s="84"/>
      <x:c r="L255" s="84"/>
      <x:c r="M255" s="84"/>
      <x:c r="N255" s="84"/>
      <x:c r="O255" s="84"/>
      <x:c r="P255" s="84"/>
      <x:c r="Q255" s="84"/>
      <x:c r="R255" s="84"/>
      <x:c r="S255" s="84"/>
      <x:c r="T255" s="84"/>
      <x:c r="U255" s="84"/>
      <x:c r="V255" s="84"/>
      <x:c r="W255" s="84"/>
      <x:c r="X255" s="84"/>
      <x:c r="Y255" s="84"/>
      <x:c r="Z255" s="84"/>
    </x:row>
    <x:row r="256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4"/>
      <x:c r="K256" s="84"/>
      <x:c r="L256" s="84"/>
      <x:c r="M256" s="84"/>
      <x:c r="N256" s="84"/>
      <x:c r="O256" s="84"/>
      <x:c r="P256" s="84"/>
      <x:c r="Q256" s="84"/>
      <x:c r="R256" s="84"/>
      <x:c r="S256" s="84"/>
      <x:c r="T256" s="84"/>
      <x:c r="U256" s="84"/>
      <x:c r="V256" s="84"/>
      <x:c r="W256" s="84"/>
      <x:c r="X256" s="84"/>
      <x:c r="Y256" s="84"/>
      <x:c r="Z256" s="84"/>
    </x:row>
    <x:row r="257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4"/>
      <x:c r="K257" s="84"/>
      <x:c r="L257" s="84"/>
      <x:c r="M257" s="84"/>
      <x:c r="N257" s="84"/>
      <x:c r="O257" s="84"/>
      <x:c r="P257" s="84"/>
      <x:c r="Q257" s="84"/>
      <x:c r="R257" s="84"/>
      <x:c r="S257" s="84"/>
      <x:c r="T257" s="84"/>
      <x:c r="U257" s="84"/>
      <x:c r="V257" s="84"/>
      <x:c r="W257" s="84"/>
      <x:c r="X257" s="84"/>
      <x:c r="Y257" s="84"/>
      <x:c r="Z257" s="84"/>
    </x:row>
    <x:row r="258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4"/>
      <x:c r="K258" s="84"/>
      <x:c r="L258" s="84"/>
      <x:c r="M258" s="84"/>
      <x:c r="N258" s="84"/>
      <x:c r="O258" s="84"/>
      <x:c r="P258" s="84"/>
      <x:c r="Q258" s="84"/>
      <x:c r="R258" s="84"/>
      <x:c r="S258" s="84"/>
      <x:c r="T258" s="84"/>
      <x:c r="U258" s="84"/>
      <x:c r="V258" s="84"/>
      <x:c r="W258" s="84"/>
      <x:c r="X258" s="84"/>
      <x:c r="Y258" s="84"/>
      <x:c r="Z258" s="84"/>
    </x:row>
    <x:row r="259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4"/>
      <x:c r="K259" s="84"/>
      <x:c r="L259" s="84"/>
      <x:c r="M259" s="84"/>
      <x:c r="N259" s="84"/>
      <x:c r="O259" s="84"/>
      <x:c r="P259" s="84"/>
      <x:c r="Q259" s="84"/>
      <x:c r="R259" s="84"/>
      <x:c r="S259" s="84"/>
      <x:c r="T259" s="84"/>
      <x:c r="U259" s="84"/>
      <x:c r="V259" s="84"/>
      <x:c r="W259" s="84"/>
      <x:c r="X259" s="84"/>
      <x:c r="Y259" s="84"/>
      <x:c r="Z259" s="84"/>
    </x:row>
    <x:row r="260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4"/>
      <x:c r="K260" s="84"/>
      <x:c r="L260" s="84"/>
      <x:c r="M260" s="84"/>
      <x:c r="N260" s="84"/>
      <x:c r="O260" s="84"/>
      <x:c r="P260" s="84"/>
      <x:c r="Q260" s="84"/>
      <x:c r="R260" s="84"/>
      <x:c r="S260" s="84"/>
      <x:c r="T260" s="84"/>
      <x:c r="U260" s="84"/>
      <x:c r="V260" s="84"/>
      <x:c r="W260" s="84"/>
      <x:c r="X260" s="84"/>
      <x:c r="Y260" s="84"/>
      <x:c r="Z260" s="84"/>
    </x:row>
    <x:row r="26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4"/>
      <x:c r="K261" s="84"/>
      <x:c r="L261" s="84"/>
      <x:c r="M261" s="84"/>
      <x:c r="N261" s="84"/>
      <x:c r="O261" s="84"/>
      <x:c r="P261" s="84"/>
      <x:c r="Q261" s="84"/>
      <x:c r="R261" s="84"/>
      <x:c r="S261" s="84"/>
      <x:c r="T261" s="84"/>
      <x:c r="U261" s="84"/>
      <x:c r="V261" s="84"/>
      <x:c r="W261" s="84"/>
      <x:c r="X261" s="84"/>
      <x:c r="Y261" s="84"/>
      <x:c r="Z261" s="84"/>
    </x:row>
    <x:row r="262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4"/>
      <x:c r="K262" s="84"/>
      <x:c r="L262" s="84"/>
      <x:c r="M262" s="84"/>
      <x:c r="N262" s="84"/>
      <x:c r="O262" s="84"/>
      <x:c r="P262" s="84"/>
      <x:c r="Q262" s="84"/>
      <x:c r="R262" s="84"/>
      <x:c r="S262" s="84"/>
      <x:c r="T262" s="84"/>
      <x:c r="U262" s="84"/>
      <x:c r="V262" s="84"/>
      <x:c r="W262" s="84"/>
      <x:c r="X262" s="84"/>
      <x:c r="Y262" s="84"/>
      <x:c r="Z262" s="84"/>
    </x:row>
    <x:row r="263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4"/>
      <x:c r="K263" s="84"/>
      <x:c r="L263" s="84"/>
      <x:c r="M263" s="84"/>
      <x:c r="N263" s="84"/>
      <x:c r="O263" s="84"/>
      <x:c r="P263" s="84"/>
      <x:c r="Q263" s="84"/>
      <x:c r="R263" s="84"/>
      <x:c r="S263" s="84"/>
      <x:c r="T263" s="84"/>
      <x:c r="U263" s="84"/>
      <x:c r="V263" s="84"/>
      <x:c r="W263" s="84"/>
      <x:c r="X263" s="84"/>
      <x:c r="Y263" s="84"/>
      <x:c r="Z263" s="84"/>
    </x:row>
    <x:row r="264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4"/>
      <x:c r="K264" s="84"/>
      <x:c r="L264" s="84"/>
      <x:c r="M264" s="84"/>
      <x:c r="N264" s="84"/>
      <x:c r="O264" s="84"/>
      <x:c r="P264" s="84"/>
      <x:c r="Q264" s="84"/>
      <x:c r="R264" s="84"/>
      <x:c r="S264" s="84"/>
      <x:c r="T264" s="84"/>
      <x:c r="U264" s="84"/>
      <x:c r="V264" s="84"/>
      <x:c r="W264" s="84"/>
      <x:c r="X264" s="84"/>
      <x:c r="Y264" s="84"/>
      <x:c r="Z264" s="84"/>
    </x:row>
    <x:row r="265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4"/>
      <x:c r="K265" s="84"/>
      <x:c r="L265" s="84"/>
      <x:c r="M265" s="84"/>
      <x:c r="N265" s="84"/>
      <x:c r="O265" s="84"/>
      <x:c r="P265" s="84"/>
      <x:c r="Q265" s="84"/>
      <x:c r="R265" s="84"/>
      <x:c r="S265" s="84"/>
      <x:c r="T265" s="84"/>
      <x:c r="U265" s="84"/>
      <x:c r="V265" s="84"/>
      <x:c r="W265" s="84"/>
      <x:c r="X265" s="84"/>
      <x:c r="Y265" s="84"/>
      <x:c r="Z265" s="84"/>
    </x:row>
    <x:row r="266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4"/>
      <x:c r="K266" s="84"/>
      <x:c r="L266" s="84"/>
      <x:c r="M266" s="84"/>
      <x:c r="N266" s="84"/>
      <x:c r="O266" s="84"/>
      <x:c r="P266" s="84"/>
      <x:c r="Q266" s="84"/>
      <x:c r="R266" s="84"/>
      <x:c r="S266" s="84"/>
      <x:c r="T266" s="84"/>
      <x:c r="U266" s="84"/>
      <x:c r="V266" s="84"/>
      <x:c r="W266" s="84"/>
      <x:c r="X266" s="84"/>
      <x:c r="Y266" s="84"/>
      <x:c r="Z266" s="84"/>
    </x:row>
    <x:row r="267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4"/>
      <x:c r="K267" s="84"/>
      <x:c r="L267" s="84"/>
      <x:c r="M267" s="84"/>
      <x:c r="N267" s="84"/>
      <x:c r="O267" s="84"/>
      <x:c r="P267" s="84"/>
      <x:c r="Q267" s="84"/>
      <x:c r="R267" s="84"/>
      <x:c r="S267" s="84"/>
      <x:c r="T267" s="84"/>
      <x:c r="U267" s="84"/>
      <x:c r="V267" s="84"/>
      <x:c r="W267" s="84"/>
      <x:c r="X267" s="84"/>
      <x:c r="Y267" s="84"/>
      <x:c r="Z267" s="84"/>
    </x:row>
    <x:row r="268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4"/>
      <x:c r="K268" s="84"/>
      <x:c r="L268" s="84"/>
      <x:c r="M268" s="84"/>
      <x:c r="N268" s="84"/>
      <x:c r="O268" s="84"/>
      <x:c r="P268" s="84"/>
      <x:c r="Q268" s="84"/>
      <x:c r="R268" s="84"/>
      <x:c r="S268" s="84"/>
      <x:c r="T268" s="84"/>
      <x:c r="U268" s="84"/>
      <x:c r="V268" s="84"/>
      <x:c r="W268" s="84"/>
      <x:c r="X268" s="84"/>
      <x:c r="Y268" s="84"/>
      <x:c r="Z268" s="84"/>
    </x:row>
    <x:row r="269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4"/>
      <x:c r="K269" s="84"/>
      <x:c r="L269" s="84"/>
      <x:c r="M269" s="84"/>
      <x:c r="N269" s="84"/>
      <x:c r="O269" s="84"/>
      <x:c r="P269" s="84"/>
      <x:c r="Q269" s="84"/>
      <x:c r="R269" s="84"/>
      <x:c r="S269" s="84"/>
      <x:c r="T269" s="84"/>
      <x:c r="U269" s="84"/>
      <x:c r="V269" s="84"/>
      <x:c r="W269" s="84"/>
      <x:c r="X269" s="84"/>
      <x:c r="Y269" s="84"/>
      <x:c r="Z269" s="84"/>
    </x:row>
    <x:row r="270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4"/>
      <x:c r="K270" s="84"/>
      <x:c r="L270" s="84"/>
      <x:c r="M270" s="84"/>
      <x:c r="N270" s="84"/>
      <x:c r="O270" s="84"/>
      <x:c r="P270" s="84"/>
      <x:c r="Q270" s="84"/>
      <x:c r="R270" s="84"/>
      <x:c r="S270" s="84"/>
      <x:c r="T270" s="84"/>
      <x:c r="U270" s="84"/>
      <x:c r="V270" s="84"/>
      <x:c r="W270" s="84"/>
      <x:c r="X270" s="84"/>
      <x:c r="Y270" s="84"/>
      <x:c r="Z270" s="84"/>
    </x:row>
    <x:row r="27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4"/>
      <x:c r="K271" s="84"/>
      <x:c r="L271" s="84"/>
      <x:c r="M271" s="84"/>
      <x:c r="N271" s="84"/>
      <x:c r="O271" s="84"/>
      <x:c r="P271" s="84"/>
      <x:c r="Q271" s="84"/>
      <x:c r="R271" s="84"/>
      <x:c r="S271" s="84"/>
      <x:c r="T271" s="84"/>
      <x:c r="U271" s="84"/>
      <x:c r="V271" s="84"/>
      <x:c r="W271" s="84"/>
      <x:c r="X271" s="84"/>
      <x:c r="Y271" s="84"/>
      <x:c r="Z271" s="84"/>
    </x:row>
    <x:row r="272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4"/>
      <x:c r="K272" s="84"/>
      <x:c r="L272" s="84"/>
      <x:c r="M272" s="84"/>
      <x:c r="N272" s="84"/>
      <x:c r="O272" s="84"/>
      <x:c r="P272" s="84"/>
      <x:c r="Q272" s="84"/>
      <x:c r="R272" s="84"/>
      <x:c r="S272" s="84"/>
      <x:c r="T272" s="84"/>
      <x:c r="U272" s="84"/>
      <x:c r="V272" s="84"/>
      <x:c r="W272" s="84"/>
      <x:c r="X272" s="84"/>
      <x:c r="Y272" s="84"/>
      <x:c r="Z272" s="84"/>
    </x:row>
    <x:row r="273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4"/>
      <x:c r="K273" s="84"/>
      <x:c r="L273" s="84"/>
      <x:c r="M273" s="84"/>
      <x:c r="N273" s="84"/>
      <x:c r="O273" s="84"/>
      <x:c r="P273" s="84"/>
      <x:c r="Q273" s="84"/>
      <x:c r="R273" s="84"/>
      <x:c r="S273" s="84"/>
      <x:c r="T273" s="84"/>
      <x:c r="U273" s="84"/>
      <x:c r="V273" s="84"/>
      <x:c r="W273" s="84"/>
      <x:c r="X273" s="84"/>
      <x:c r="Y273" s="84"/>
      <x:c r="Z273" s="84"/>
    </x:row>
    <x:row r="274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4"/>
      <x:c r="K274" s="84"/>
      <x:c r="L274" s="84"/>
      <x:c r="M274" s="84"/>
      <x:c r="N274" s="84"/>
      <x:c r="O274" s="84"/>
      <x:c r="P274" s="84"/>
      <x:c r="Q274" s="84"/>
      <x:c r="R274" s="84"/>
      <x:c r="S274" s="84"/>
      <x:c r="T274" s="84"/>
      <x:c r="U274" s="84"/>
      <x:c r="V274" s="84"/>
      <x:c r="W274" s="84"/>
      <x:c r="X274" s="84"/>
      <x:c r="Y274" s="84"/>
      <x:c r="Z274" s="84"/>
    </x:row>
    <x:row r="275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4"/>
      <x:c r="K275" s="84"/>
      <x:c r="L275" s="84"/>
      <x:c r="M275" s="84"/>
      <x:c r="N275" s="84"/>
      <x:c r="O275" s="84"/>
      <x:c r="P275" s="84"/>
      <x:c r="Q275" s="84"/>
      <x:c r="R275" s="84"/>
      <x:c r="S275" s="84"/>
      <x:c r="T275" s="84"/>
      <x:c r="U275" s="84"/>
      <x:c r="V275" s="84"/>
      <x:c r="W275" s="84"/>
      <x:c r="X275" s="84"/>
      <x:c r="Y275" s="84"/>
      <x:c r="Z275" s="84"/>
    </x:row>
    <x:row r="276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4"/>
      <x:c r="K276" s="84"/>
      <x:c r="L276" s="84"/>
      <x:c r="M276" s="84"/>
      <x:c r="N276" s="84"/>
      <x:c r="O276" s="84"/>
      <x:c r="P276" s="84"/>
      <x:c r="Q276" s="84"/>
      <x:c r="R276" s="84"/>
      <x:c r="S276" s="84"/>
      <x:c r="T276" s="84"/>
      <x:c r="U276" s="84"/>
      <x:c r="V276" s="84"/>
      <x:c r="W276" s="84"/>
      <x:c r="X276" s="84"/>
      <x:c r="Y276" s="84"/>
      <x:c r="Z276" s="84"/>
    </x:row>
    <x:row r="277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4"/>
      <x:c r="K277" s="84"/>
      <x:c r="L277" s="84"/>
      <x:c r="M277" s="84"/>
      <x:c r="N277" s="84"/>
      <x:c r="O277" s="84"/>
      <x:c r="P277" s="84"/>
      <x:c r="Q277" s="84"/>
      <x:c r="R277" s="84"/>
      <x:c r="S277" s="84"/>
      <x:c r="T277" s="84"/>
      <x:c r="U277" s="84"/>
      <x:c r="V277" s="84"/>
      <x:c r="W277" s="84"/>
      <x:c r="X277" s="84"/>
      <x:c r="Y277" s="84"/>
      <x:c r="Z277" s="84"/>
    </x:row>
    <x:row r="278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4"/>
      <x:c r="K278" s="84"/>
      <x:c r="L278" s="84"/>
      <x:c r="M278" s="84"/>
      <x:c r="N278" s="84"/>
      <x:c r="O278" s="84"/>
      <x:c r="P278" s="84"/>
      <x:c r="Q278" s="84"/>
      <x:c r="R278" s="84"/>
      <x:c r="S278" s="84"/>
      <x:c r="T278" s="84"/>
      <x:c r="U278" s="84"/>
      <x:c r="V278" s="84"/>
      <x:c r="W278" s="84"/>
      <x:c r="X278" s="84"/>
      <x:c r="Y278" s="84"/>
      <x:c r="Z278" s="84"/>
    </x:row>
    <x:row r="279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4"/>
      <x:c r="K279" s="84"/>
      <x:c r="L279" s="84"/>
      <x:c r="M279" s="84"/>
      <x:c r="N279" s="84"/>
      <x:c r="O279" s="84"/>
      <x:c r="P279" s="84"/>
      <x:c r="Q279" s="84"/>
      <x:c r="R279" s="84"/>
      <x:c r="S279" s="84"/>
      <x:c r="T279" s="84"/>
      <x:c r="U279" s="84"/>
      <x:c r="V279" s="84"/>
      <x:c r="W279" s="84"/>
      <x:c r="X279" s="84"/>
      <x:c r="Y279" s="84"/>
      <x:c r="Z279" s="84"/>
    </x:row>
    <x:row r="280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4"/>
      <x:c r="K280" s="84"/>
      <x:c r="L280" s="84"/>
      <x:c r="M280" s="84"/>
      <x:c r="N280" s="84"/>
      <x:c r="O280" s="84"/>
      <x:c r="P280" s="84"/>
      <x:c r="Q280" s="84"/>
      <x:c r="R280" s="84"/>
      <x:c r="S280" s="84"/>
      <x:c r="T280" s="84"/>
      <x:c r="U280" s="84"/>
      <x:c r="V280" s="84"/>
      <x:c r="W280" s="84"/>
      <x:c r="X280" s="84"/>
      <x:c r="Y280" s="84"/>
      <x:c r="Z280" s="84"/>
    </x:row>
    <x:row r="28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4"/>
      <x:c r="K281" s="84"/>
      <x:c r="L281" s="84"/>
      <x:c r="M281" s="84"/>
      <x:c r="N281" s="84"/>
      <x:c r="O281" s="84"/>
      <x:c r="P281" s="84"/>
      <x:c r="Q281" s="84"/>
      <x:c r="R281" s="84"/>
      <x:c r="S281" s="84"/>
      <x:c r="T281" s="84"/>
      <x:c r="U281" s="84"/>
      <x:c r="V281" s="84"/>
      <x:c r="W281" s="84"/>
      <x:c r="X281" s="84"/>
      <x:c r="Y281" s="84"/>
      <x:c r="Z281" s="84"/>
    </x:row>
    <x:row r="282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4"/>
      <x:c r="K282" s="84"/>
      <x:c r="L282" s="84"/>
      <x:c r="M282" s="84"/>
      <x:c r="N282" s="84"/>
      <x:c r="O282" s="84"/>
      <x:c r="P282" s="84"/>
      <x:c r="Q282" s="84"/>
      <x:c r="R282" s="84"/>
      <x:c r="S282" s="84"/>
      <x:c r="T282" s="84"/>
      <x:c r="U282" s="84"/>
      <x:c r="V282" s="84"/>
      <x:c r="W282" s="84"/>
      <x:c r="X282" s="84"/>
      <x:c r="Y282" s="84"/>
      <x:c r="Z282" s="84"/>
    </x:row>
    <x:row r="283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4"/>
      <x:c r="K283" s="84"/>
      <x:c r="L283" s="84"/>
      <x:c r="M283" s="84"/>
      <x:c r="N283" s="84"/>
      <x:c r="O283" s="84"/>
      <x:c r="P283" s="84"/>
      <x:c r="Q283" s="84"/>
      <x:c r="R283" s="84"/>
      <x:c r="S283" s="84"/>
      <x:c r="T283" s="84"/>
      <x:c r="U283" s="84"/>
      <x:c r="V283" s="84"/>
      <x:c r="W283" s="84"/>
      <x:c r="X283" s="84"/>
      <x:c r="Y283" s="84"/>
      <x:c r="Z283" s="84"/>
    </x:row>
    <x:row r="284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4"/>
      <x:c r="K284" s="84"/>
      <x:c r="L284" s="84"/>
      <x:c r="M284" s="84"/>
      <x:c r="N284" s="84"/>
      <x:c r="O284" s="84"/>
      <x:c r="P284" s="84"/>
      <x:c r="Q284" s="84"/>
      <x:c r="R284" s="84"/>
      <x:c r="S284" s="84"/>
      <x:c r="T284" s="84"/>
      <x:c r="U284" s="84"/>
      <x:c r="V284" s="84"/>
      <x:c r="W284" s="84"/>
      <x:c r="X284" s="84"/>
      <x:c r="Y284" s="84"/>
      <x:c r="Z284" s="84"/>
    </x:row>
    <x:row r="285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4"/>
      <x:c r="K285" s="84"/>
      <x:c r="L285" s="84"/>
      <x:c r="M285" s="84"/>
      <x:c r="N285" s="84"/>
      <x:c r="O285" s="84"/>
      <x:c r="P285" s="84"/>
      <x:c r="Q285" s="84"/>
      <x:c r="R285" s="84"/>
      <x:c r="S285" s="84"/>
      <x:c r="T285" s="84"/>
      <x:c r="U285" s="84"/>
      <x:c r="V285" s="84"/>
      <x:c r="W285" s="84"/>
      <x:c r="X285" s="84"/>
      <x:c r="Y285" s="84"/>
      <x:c r="Z285" s="84"/>
    </x:row>
    <x:row r="286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4"/>
      <x:c r="K286" s="84"/>
      <x:c r="L286" s="84"/>
      <x:c r="M286" s="84"/>
      <x:c r="N286" s="84"/>
      <x:c r="O286" s="84"/>
      <x:c r="P286" s="84"/>
      <x:c r="Q286" s="84"/>
      <x:c r="R286" s="84"/>
      <x:c r="S286" s="84"/>
      <x:c r="T286" s="84"/>
      <x:c r="U286" s="84"/>
      <x:c r="V286" s="84"/>
      <x:c r="W286" s="84"/>
      <x:c r="X286" s="84"/>
      <x:c r="Y286" s="84"/>
      <x:c r="Z286" s="84"/>
    </x:row>
    <x:row r="287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4"/>
      <x:c r="K287" s="84"/>
      <x:c r="L287" s="84"/>
      <x:c r="M287" s="84"/>
      <x:c r="N287" s="84"/>
      <x:c r="O287" s="84"/>
      <x:c r="P287" s="84"/>
      <x:c r="Q287" s="84"/>
      <x:c r="R287" s="84"/>
      <x:c r="S287" s="84"/>
      <x:c r="T287" s="84"/>
      <x:c r="U287" s="84"/>
      <x:c r="V287" s="84"/>
      <x:c r="W287" s="84"/>
      <x:c r="X287" s="84"/>
      <x:c r="Y287" s="84"/>
      <x:c r="Z287" s="84"/>
    </x:row>
    <x:row r="288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4"/>
      <x:c r="K288" s="84"/>
      <x:c r="L288" s="84"/>
      <x:c r="M288" s="84"/>
      <x:c r="N288" s="84"/>
      <x:c r="O288" s="84"/>
      <x:c r="P288" s="84"/>
      <x:c r="Q288" s="84"/>
      <x:c r="R288" s="84"/>
      <x:c r="S288" s="84"/>
      <x:c r="T288" s="84"/>
      <x:c r="U288" s="84"/>
      <x:c r="V288" s="84"/>
      <x:c r="W288" s="84"/>
      <x:c r="X288" s="84"/>
      <x:c r="Y288" s="84"/>
      <x:c r="Z288" s="84"/>
    </x:row>
    <x:row r="289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4"/>
      <x:c r="K289" s="84"/>
      <x:c r="L289" s="84"/>
      <x:c r="M289" s="84"/>
      <x:c r="N289" s="84"/>
      <x:c r="O289" s="84"/>
      <x:c r="P289" s="84"/>
      <x:c r="Q289" s="84"/>
      <x:c r="R289" s="84"/>
      <x:c r="S289" s="84"/>
      <x:c r="T289" s="84"/>
      <x:c r="U289" s="84"/>
      <x:c r="V289" s="84"/>
      <x:c r="W289" s="84"/>
      <x:c r="X289" s="84"/>
      <x:c r="Y289" s="84"/>
      <x:c r="Z289" s="84"/>
    </x:row>
    <x:row r="290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4"/>
      <x:c r="K290" s="84"/>
      <x:c r="L290" s="84"/>
      <x:c r="M290" s="84"/>
      <x:c r="N290" s="84"/>
      <x:c r="O290" s="84"/>
      <x:c r="P290" s="84"/>
      <x:c r="Q290" s="84"/>
      <x:c r="R290" s="84"/>
      <x:c r="S290" s="84"/>
      <x:c r="T290" s="84"/>
      <x:c r="U290" s="84"/>
      <x:c r="V290" s="84"/>
      <x:c r="W290" s="84"/>
      <x:c r="X290" s="84"/>
      <x:c r="Y290" s="84"/>
      <x:c r="Z290" s="84"/>
    </x:row>
    <x:row r="29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4"/>
      <x:c r="K291" s="84"/>
      <x:c r="L291" s="84"/>
      <x:c r="M291" s="84"/>
      <x:c r="N291" s="84"/>
      <x:c r="O291" s="84"/>
      <x:c r="P291" s="84"/>
      <x:c r="Q291" s="84"/>
      <x:c r="R291" s="84"/>
      <x:c r="S291" s="84"/>
      <x:c r="T291" s="84"/>
      <x:c r="U291" s="84"/>
      <x:c r="V291" s="84"/>
      <x:c r="W291" s="84"/>
      <x:c r="X291" s="84"/>
      <x:c r="Y291" s="84"/>
      <x:c r="Z291" s="84"/>
    </x:row>
    <x:row r="292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4"/>
      <x:c r="K292" s="84"/>
      <x:c r="L292" s="84"/>
      <x:c r="M292" s="84"/>
      <x:c r="N292" s="84"/>
      <x:c r="O292" s="84"/>
      <x:c r="P292" s="84"/>
      <x:c r="Q292" s="84"/>
      <x:c r="R292" s="84"/>
      <x:c r="S292" s="84"/>
      <x:c r="T292" s="84"/>
      <x:c r="U292" s="84"/>
      <x:c r="V292" s="84"/>
      <x:c r="W292" s="84"/>
      <x:c r="X292" s="84"/>
      <x:c r="Y292" s="84"/>
      <x:c r="Z292" s="84"/>
    </x:row>
    <x:row r="293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4"/>
      <x:c r="K293" s="84"/>
      <x:c r="L293" s="84"/>
      <x:c r="M293" s="84"/>
      <x:c r="N293" s="84"/>
      <x:c r="O293" s="84"/>
      <x:c r="P293" s="84"/>
      <x:c r="Q293" s="84"/>
      <x:c r="R293" s="84"/>
      <x:c r="S293" s="84"/>
      <x:c r="T293" s="84"/>
      <x:c r="U293" s="84"/>
      <x:c r="V293" s="84"/>
      <x:c r="W293" s="84"/>
      <x:c r="X293" s="84"/>
      <x:c r="Y293" s="84"/>
      <x:c r="Z293" s="84"/>
    </x:row>
    <x:row r="294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4"/>
      <x:c r="K294" s="84"/>
      <x:c r="L294" s="84"/>
      <x:c r="M294" s="84"/>
      <x:c r="N294" s="84"/>
      <x:c r="O294" s="84"/>
      <x:c r="P294" s="84"/>
      <x:c r="Q294" s="84"/>
      <x:c r="R294" s="84"/>
      <x:c r="S294" s="84"/>
      <x:c r="T294" s="84"/>
      <x:c r="U294" s="84"/>
      <x:c r="V294" s="84"/>
      <x:c r="W294" s="84"/>
      <x:c r="X294" s="84"/>
      <x:c r="Y294" s="84"/>
      <x:c r="Z294" s="84"/>
    </x:row>
    <x:row r="295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4"/>
      <x:c r="K295" s="84"/>
      <x:c r="L295" s="84"/>
      <x:c r="M295" s="84"/>
      <x:c r="N295" s="84"/>
      <x:c r="O295" s="84"/>
      <x:c r="P295" s="84"/>
      <x:c r="Q295" s="84"/>
      <x:c r="R295" s="84"/>
      <x:c r="S295" s="84"/>
      <x:c r="T295" s="84"/>
      <x:c r="U295" s="84"/>
      <x:c r="V295" s="84"/>
      <x:c r="W295" s="84"/>
      <x:c r="X295" s="84"/>
      <x:c r="Y295" s="84"/>
      <x:c r="Z295" s="84"/>
    </x:row>
    <x:row r="296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4"/>
      <x:c r="K296" s="84"/>
      <x:c r="L296" s="84"/>
      <x:c r="M296" s="84"/>
      <x:c r="N296" s="84"/>
      <x:c r="O296" s="84"/>
      <x:c r="P296" s="84"/>
      <x:c r="Q296" s="84"/>
      <x:c r="R296" s="84"/>
      <x:c r="S296" s="84"/>
      <x:c r="T296" s="84"/>
      <x:c r="U296" s="84"/>
      <x:c r="V296" s="84"/>
      <x:c r="W296" s="84"/>
      <x:c r="X296" s="84"/>
      <x:c r="Y296" s="84"/>
      <x:c r="Z296" s="84"/>
    </x:row>
    <x:row r="297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4"/>
      <x:c r="K297" s="84"/>
      <x:c r="L297" s="84"/>
      <x:c r="M297" s="84"/>
      <x:c r="N297" s="84"/>
      <x:c r="O297" s="84"/>
      <x:c r="P297" s="84"/>
      <x:c r="Q297" s="84"/>
      <x:c r="R297" s="84"/>
      <x:c r="S297" s="84"/>
      <x:c r="T297" s="84"/>
      <x:c r="U297" s="84"/>
      <x:c r="V297" s="84"/>
      <x:c r="W297" s="84"/>
      <x:c r="X297" s="84"/>
      <x:c r="Y297" s="84"/>
      <x:c r="Z297" s="84"/>
    </x:row>
    <x:row r="298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4"/>
      <x:c r="K298" s="84"/>
      <x:c r="L298" s="84"/>
      <x:c r="M298" s="84"/>
      <x:c r="N298" s="84"/>
      <x:c r="O298" s="84"/>
      <x:c r="P298" s="84"/>
      <x:c r="Q298" s="84"/>
      <x:c r="R298" s="84"/>
      <x:c r="S298" s="84"/>
      <x:c r="T298" s="84"/>
      <x:c r="U298" s="84"/>
      <x:c r="V298" s="84"/>
      <x:c r="W298" s="84"/>
      <x:c r="X298" s="84"/>
      <x:c r="Y298" s="84"/>
      <x:c r="Z298" s="84"/>
    </x:row>
    <x:row r="299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4"/>
      <x:c r="K299" s="84"/>
      <x:c r="L299" s="84"/>
      <x:c r="M299" s="84"/>
      <x:c r="N299" s="84"/>
      <x:c r="O299" s="84"/>
      <x:c r="P299" s="84"/>
      <x:c r="Q299" s="84"/>
      <x:c r="R299" s="84"/>
      <x:c r="S299" s="84"/>
      <x:c r="T299" s="84"/>
      <x:c r="U299" s="84"/>
      <x:c r="V299" s="84"/>
      <x:c r="W299" s="84"/>
      <x:c r="X299" s="84"/>
      <x:c r="Y299" s="84"/>
      <x:c r="Z299" s="84"/>
    </x:row>
    <x:row r="300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4"/>
      <x:c r="K300" s="84"/>
      <x:c r="L300" s="84"/>
      <x:c r="M300" s="84"/>
      <x:c r="N300" s="84"/>
      <x:c r="O300" s="84"/>
      <x:c r="P300" s="84"/>
      <x:c r="Q300" s="84"/>
      <x:c r="R300" s="84"/>
      <x:c r="S300" s="84"/>
      <x:c r="T300" s="84"/>
      <x:c r="U300" s="84"/>
      <x:c r="V300" s="84"/>
      <x:c r="W300" s="84"/>
      <x:c r="X300" s="84"/>
      <x:c r="Y300" s="84"/>
      <x:c r="Z300" s="84"/>
    </x:row>
    <x:row r="30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4"/>
      <x:c r="K301" s="84"/>
      <x:c r="L301" s="84"/>
      <x:c r="M301" s="84"/>
      <x:c r="N301" s="84"/>
      <x:c r="O301" s="84"/>
      <x:c r="P301" s="84"/>
      <x:c r="Q301" s="84"/>
      <x:c r="R301" s="84"/>
      <x:c r="S301" s="84"/>
      <x:c r="T301" s="84"/>
      <x:c r="U301" s="84"/>
      <x:c r="V301" s="84"/>
      <x:c r="W301" s="84"/>
      <x:c r="X301" s="84"/>
      <x:c r="Y301" s="84"/>
      <x:c r="Z301" s="84"/>
    </x:row>
    <x:row r="302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4"/>
      <x:c r="K302" s="84"/>
      <x:c r="L302" s="84"/>
      <x:c r="M302" s="84"/>
      <x:c r="N302" s="84"/>
      <x:c r="O302" s="84"/>
      <x:c r="P302" s="84"/>
      <x:c r="Q302" s="84"/>
      <x:c r="R302" s="84"/>
      <x:c r="S302" s="84"/>
      <x:c r="T302" s="84"/>
      <x:c r="U302" s="84"/>
      <x:c r="V302" s="84"/>
      <x:c r="W302" s="84"/>
      <x:c r="X302" s="84"/>
      <x:c r="Y302" s="84"/>
      <x:c r="Z302" s="84"/>
    </x:row>
    <x:row r="303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4"/>
      <x:c r="K303" s="84"/>
      <x:c r="L303" s="84"/>
      <x:c r="M303" s="84"/>
      <x:c r="N303" s="84"/>
      <x:c r="O303" s="84"/>
      <x:c r="P303" s="84"/>
      <x:c r="Q303" s="84"/>
      <x:c r="R303" s="84"/>
      <x:c r="S303" s="84"/>
      <x:c r="T303" s="84"/>
      <x:c r="U303" s="84"/>
      <x:c r="V303" s="84"/>
      <x:c r="W303" s="84"/>
      <x:c r="X303" s="84"/>
      <x:c r="Y303" s="84"/>
      <x:c r="Z303" s="84"/>
    </x:row>
    <x:row r="304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4"/>
      <x:c r="K304" s="84"/>
      <x:c r="L304" s="84"/>
      <x:c r="M304" s="84"/>
      <x:c r="N304" s="84"/>
      <x:c r="O304" s="84"/>
      <x:c r="P304" s="84"/>
      <x:c r="Q304" s="84"/>
      <x:c r="R304" s="84"/>
      <x:c r="S304" s="84"/>
      <x:c r="T304" s="84"/>
      <x:c r="U304" s="84"/>
      <x:c r="V304" s="84"/>
      <x:c r="W304" s="84"/>
      <x:c r="X304" s="84"/>
      <x:c r="Y304" s="84"/>
      <x:c r="Z304" s="84"/>
    </x:row>
    <x:row r="305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4"/>
      <x:c r="K305" s="84"/>
      <x:c r="L305" s="84"/>
      <x:c r="M305" s="84"/>
      <x:c r="N305" s="84"/>
      <x:c r="O305" s="84"/>
      <x:c r="P305" s="84"/>
      <x:c r="Q305" s="84"/>
      <x:c r="R305" s="84"/>
      <x:c r="S305" s="84"/>
      <x:c r="T305" s="84"/>
      <x:c r="U305" s="84"/>
      <x:c r="V305" s="84"/>
      <x:c r="W305" s="84"/>
      <x:c r="X305" s="84"/>
      <x:c r="Y305" s="84"/>
      <x:c r="Z305" s="84"/>
    </x:row>
    <x:row r="306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4"/>
      <x:c r="K306" s="84"/>
      <x:c r="L306" s="84"/>
      <x:c r="M306" s="84"/>
      <x:c r="N306" s="84"/>
      <x:c r="O306" s="84"/>
      <x:c r="P306" s="84"/>
      <x:c r="Q306" s="84"/>
      <x:c r="R306" s="84"/>
      <x:c r="S306" s="84"/>
      <x:c r="T306" s="84"/>
      <x:c r="U306" s="84"/>
      <x:c r="V306" s="84"/>
      <x:c r="W306" s="84"/>
      <x:c r="X306" s="84"/>
      <x:c r="Y306" s="84"/>
      <x:c r="Z306" s="84"/>
    </x:row>
    <x:row r="307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4"/>
      <x:c r="K307" s="84"/>
      <x:c r="L307" s="84"/>
      <x:c r="M307" s="84"/>
      <x:c r="N307" s="84"/>
      <x:c r="O307" s="84"/>
      <x:c r="P307" s="84"/>
      <x:c r="Q307" s="84"/>
      <x:c r="R307" s="84"/>
      <x:c r="S307" s="84"/>
      <x:c r="T307" s="84"/>
      <x:c r="U307" s="84"/>
      <x:c r="V307" s="84"/>
      <x:c r="W307" s="84"/>
      <x:c r="X307" s="84"/>
      <x:c r="Y307" s="84"/>
      <x:c r="Z307" s="84"/>
    </x:row>
    <x:row r="308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4"/>
      <x:c r="K308" s="84"/>
      <x:c r="L308" s="84"/>
      <x:c r="M308" s="84"/>
      <x:c r="N308" s="84"/>
      <x:c r="O308" s="84"/>
      <x:c r="P308" s="84"/>
      <x:c r="Q308" s="84"/>
      <x:c r="R308" s="84"/>
      <x:c r="S308" s="84"/>
      <x:c r="T308" s="84"/>
      <x:c r="U308" s="84"/>
      <x:c r="V308" s="84"/>
      <x:c r="W308" s="84"/>
      <x:c r="X308" s="84"/>
      <x:c r="Y308" s="84"/>
      <x:c r="Z308" s="84"/>
    </x:row>
    <x:row r="309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4"/>
      <x:c r="K309" s="84"/>
      <x:c r="L309" s="84"/>
      <x:c r="M309" s="84"/>
      <x:c r="N309" s="84"/>
      <x:c r="O309" s="84"/>
      <x:c r="P309" s="84"/>
      <x:c r="Q309" s="84"/>
      <x:c r="R309" s="84"/>
      <x:c r="S309" s="84"/>
      <x:c r="T309" s="84"/>
      <x:c r="U309" s="84"/>
      <x:c r="V309" s="84"/>
      <x:c r="W309" s="84"/>
      <x:c r="X309" s="84"/>
      <x:c r="Y309" s="84"/>
      <x:c r="Z309" s="84"/>
    </x:row>
    <x:row r="310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4"/>
      <x:c r="K310" s="84"/>
      <x:c r="L310" s="84"/>
      <x:c r="M310" s="84"/>
      <x:c r="N310" s="84"/>
      <x:c r="O310" s="84"/>
      <x:c r="P310" s="84"/>
      <x:c r="Q310" s="84"/>
      <x:c r="R310" s="84"/>
      <x:c r="S310" s="84"/>
      <x:c r="T310" s="84"/>
      <x:c r="U310" s="84"/>
      <x:c r="V310" s="84"/>
      <x:c r="W310" s="84"/>
      <x:c r="X310" s="84"/>
      <x:c r="Y310" s="84"/>
      <x:c r="Z310" s="84"/>
    </x:row>
    <x:row r="31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4"/>
      <x:c r="K311" s="84"/>
      <x:c r="L311" s="84"/>
      <x:c r="M311" s="84"/>
      <x:c r="N311" s="84"/>
      <x:c r="O311" s="84"/>
      <x:c r="P311" s="84"/>
      <x:c r="Q311" s="84"/>
      <x:c r="R311" s="84"/>
      <x:c r="S311" s="84"/>
      <x:c r="T311" s="84"/>
      <x:c r="U311" s="84"/>
      <x:c r="V311" s="84"/>
      <x:c r="W311" s="84"/>
      <x:c r="X311" s="84"/>
      <x:c r="Y311" s="84"/>
      <x:c r="Z311" s="84"/>
    </x:row>
    <x:row r="312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4"/>
      <x:c r="K312" s="84"/>
      <x:c r="L312" s="84"/>
      <x:c r="M312" s="84"/>
      <x:c r="N312" s="84"/>
      <x:c r="O312" s="84"/>
      <x:c r="P312" s="84"/>
      <x:c r="Q312" s="84"/>
      <x:c r="R312" s="84"/>
      <x:c r="S312" s="84"/>
      <x:c r="T312" s="84"/>
      <x:c r="U312" s="84"/>
      <x:c r="V312" s="84"/>
      <x:c r="W312" s="84"/>
      <x:c r="X312" s="84"/>
      <x:c r="Y312" s="84"/>
      <x:c r="Z312" s="84"/>
    </x:row>
    <x:row r="313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4"/>
      <x:c r="K313" s="84"/>
      <x:c r="L313" s="84"/>
      <x:c r="M313" s="84"/>
      <x:c r="N313" s="84"/>
      <x:c r="O313" s="84"/>
      <x:c r="P313" s="84"/>
      <x:c r="Q313" s="84"/>
      <x:c r="R313" s="84"/>
      <x:c r="S313" s="84"/>
      <x:c r="T313" s="84"/>
      <x:c r="U313" s="84"/>
      <x:c r="V313" s="84"/>
      <x:c r="W313" s="84"/>
      <x:c r="X313" s="84"/>
      <x:c r="Y313" s="84"/>
      <x:c r="Z313" s="84"/>
    </x:row>
    <x:row r="314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4"/>
      <x:c r="K314" s="84"/>
      <x:c r="L314" s="84"/>
      <x:c r="M314" s="84"/>
      <x:c r="N314" s="84"/>
      <x:c r="O314" s="84"/>
      <x:c r="P314" s="84"/>
      <x:c r="Q314" s="84"/>
      <x:c r="R314" s="84"/>
      <x:c r="S314" s="84"/>
      <x:c r="T314" s="84"/>
      <x:c r="U314" s="84"/>
      <x:c r="V314" s="84"/>
      <x:c r="W314" s="84"/>
      <x:c r="X314" s="84"/>
      <x:c r="Y314" s="84"/>
      <x:c r="Z314" s="84"/>
    </x:row>
    <x:row r="315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4"/>
      <x:c r="K315" s="84"/>
      <x:c r="L315" s="84"/>
      <x:c r="M315" s="84"/>
      <x:c r="N315" s="84"/>
      <x:c r="O315" s="84"/>
      <x:c r="P315" s="84"/>
      <x:c r="Q315" s="84"/>
      <x:c r="R315" s="84"/>
      <x:c r="S315" s="84"/>
      <x:c r="T315" s="84"/>
      <x:c r="U315" s="84"/>
      <x:c r="V315" s="84"/>
      <x:c r="W315" s="84"/>
      <x:c r="X315" s="84"/>
      <x:c r="Y315" s="84"/>
      <x:c r="Z315" s="84"/>
    </x:row>
    <x:row r="316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4"/>
      <x:c r="K316" s="84"/>
      <x:c r="L316" s="84"/>
      <x:c r="M316" s="84"/>
      <x:c r="N316" s="84"/>
      <x:c r="O316" s="84"/>
      <x:c r="P316" s="84"/>
      <x:c r="Q316" s="84"/>
      <x:c r="R316" s="84"/>
      <x:c r="S316" s="84"/>
      <x:c r="T316" s="84"/>
      <x:c r="U316" s="84"/>
      <x:c r="V316" s="84"/>
      <x:c r="W316" s="84"/>
      <x:c r="X316" s="84"/>
      <x:c r="Y316" s="84"/>
      <x:c r="Z316" s="84"/>
    </x:row>
    <x:row r="317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4"/>
      <x:c r="K317" s="84"/>
      <x:c r="L317" s="84"/>
      <x:c r="M317" s="84"/>
      <x:c r="N317" s="84"/>
      <x:c r="O317" s="84"/>
      <x:c r="P317" s="84"/>
      <x:c r="Q317" s="84"/>
      <x:c r="R317" s="84"/>
      <x:c r="S317" s="84"/>
      <x:c r="T317" s="84"/>
      <x:c r="U317" s="84"/>
      <x:c r="V317" s="84"/>
      <x:c r="W317" s="84"/>
      <x:c r="X317" s="84"/>
      <x:c r="Y317" s="84"/>
      <x:c r="Z317" s="84"/>
    </x:row>
    <x:row r="318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4"/>
      <x:c r="K318" s="84"/>
      <x:c r="L318" s="84"/>
      <x:c r="M318" s="84"/>
      <x:c r="N318" s="84"/>
      <x:c r="O318" s="84"/>
      <x:c r="P318" s="84"/>
      <x:c r="Q318" s="84"/>
      <x:c r="R318" s="84"/>
      <x:c r="S318" s="84"/>
      <x:c r="T318" s="84"/>
      <x:c r="U318" s="84"/>
      <x:c r="V318" s="84"/>
      <x:c r="W318" s="84"/>
      <x:c r="X318" s="84"/>
      <x:c r="Y318" s="84"/>
      <x:c r="Z318" s="84"/>
    </x:row>
    <x:row r="319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4"/>
      <x:c r="K319" s="84"/>
      <x:c r="L319" s="84"/>
      <x:c r="M319" s="84"/>
      <x:c r="N319" s="84"/>
      <x:c r="O319" s="84"/>
      <x:c r="P319" s="84"/>
      <x:c r="Q319" s="84"/>
      <x:c r="R319" s="84"/>
      <x:c r="S319" s="84"/>
      <x:c r="T319" s="84"/>
      <x:c r="U319" s="84"/>
      <x:c r="V319" s="84"/>
      <x:c r="W319" s="84"/>
      <x:c r="X319" s="84"/>
      <x:c r="Y319" s="84"/>
      <x:c r="Z319" s="84"/>
    </x:row>
    <x:row r="320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4"/>
      <x:c r="K320" s="84"/>
      <x:c r="L320" s="84"/>
      <x:c r="M320" s="84"/>
      <x:c r="N320" s="84"/>
      <x:c r="O320" s="84"/>
      <x:c r="P320" s="84"/>
      <x:c r="Q320" s="84"/>
      <x:c r="R320" s="84"/>
      <x:c r="S320" s="84"/>
      <x:c r="T320" s="84"/>
      <x:c r="U320" s="84"/>
      <x:c r="V320" s="84"/>
      <x:c r="W320" s="84"/>
      <x:c r="X320" s="84"/>
      <x:c r="Y320" s="84"/>
      <x:c r="Z320" s="84"/>
    </x:row>
    <x:row r="32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4"/>
      <x:c r="K321" s="84"/>
      <x:c r="L321" s="84"/>
      <x:c r="M321" s="84"/>
      <x:c r="N321" s="84"/>
      <x:c r="O321" s="84"/>
      <x:c r="P321" s="84"/>
      <x:c r="Q321" s="84"/>
      <x:c r="R321" s="84"/>
      <x:c r="S321" s="84"/>
      <x:c r="T321" s="84"/>
      <x:c r="U321" s="84"/>
      <x:c r="V321" s="84"/>
      <x:c r="W321" s="84"/>
      <x:c r="X321" s="84"/>
      <x:c r="Y321" s="84"/>
      <x:c r="Z321" s="84"/>
    </x:row>
    <x:row r="322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4"/>
      <x:c r="K322" s="84"/>
      <x:c r="L322" s="84"/>
      <x:c r="M322" s="84"/>
      <x:c r="N322" s="84"/>
      <x:c r="O322" s="84"/>
      <x:c r="P322" s="84"/>
      <x:c r="Q322" s="84"/>
      <x:c r="R322" s="84"/>
      <x:c r="S322" s="84"/>
      <x:c r="T322" s="84"/>
      <x:c r="U322" s="84"/>
      <x:c r="V322" s="84"/>
      <x:c r="W322" s="84"/>
      <x:c r="X322" s="84"/>
      <x:c r="Y322" s="84"/>
      <x:c r="Z322" s="84"/>
    </x:row>
    <x:row r="323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4"/>
      <x:c r="K323" s="84"/>
      <x:c r="L323" s="84"/>
      <x:c r="M323" s="84"/>
      <x:c r="N323" s="84"/>
      <x:c r="O323" s="84"/>
      <x:c r="P323" s="84"/>
      <x:c r="Q323" s="84"/>
      <x:c r="R323" s="84"/>
      <x:c r="S323" s="84"/>
      <x:c r="T323" s="84"/>
      <x:c r="U323" s="84"/>
      <x:c r="V323" s="84"/>
      <x:c r="W323" s="84"/>
      <x:c r="X323" s="84"/>
      <x:c r="Y323" s="84"/>
      <x:c r="Z323" s="84"/>
    </x:row>
    <x:row r="324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4"/>
      <x:c r="K324" s="84"/>
      <x:c r="L324" s="84"/>
      <x:c r="M324" s="84"/>
      <x:c r="N324" s="84"/>
      <x:c r="O324" s="84"/>
      <x:c r="P324" s="84"/>
      <x:c r="Q324" s="84"/>
      <x:c r="R324" s="84"/>
      <x:c r="S324" s="84"/>
      <x:c r="T324" s="84"/>
      <x:c r="U324" s="84"/>
      <x:c r="V324" s="84"/>
      <x:c r="W324" s="84"/>
      <x:c r="X324" s="84"/>
      <x:c r="Y324" s="84"/>
      <x:c r="Z324" s="84"/>
    </x:row>
    <x:row r="325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4"/>
      <x:c r="K325" s="84"/>
      <x:c r="L325" s="84"/>
      <x:c r="M325" s="84"/>
      <x:c r="N325" s="84"/>
      <x:c r="O325" s="84"/>
      <x:c r="P325" s="84"/>
      <x:c r="Q325" s="84"/>
      <x:c r="R325" s="84"/>
      <x:c r="S325" s="84"/>
      <x:c r="T325" s="84"/>
      <x:c r="U325" s="84"/>
      <x:c r="V325" s="84"/>
      <x:c r="W325" s="84"/>
      <x:c r="X325" s="84"/>
      <x:c r="Y325" s="84"/>
      <x:c r="Z325" s="84"/>
    </x:row>
    <x:row r="326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4"/>
      <x:c r="K326" s="84"/>
      <x:c r="L326" s="84"/>
      <x:c r="M326" s="84"/>
      <x:c r="N326" s="84"/>
      <x:c r="O326" s="84"/>
      <x:c r="P326" s="84"/>
      <x:c r="Q326" s="84"/>
      <x:c r="R326" s="84"/>
      <x:c r="S326" s="84"/>
      <x:c r="T326" s="84"/>
      <x:c r="U326" s="84"/>
      <x:c r="V326" s="84"/>
      <x:c r="W326" s="84"/>
      <x:c r="X326" s="84"/>
      <x:c r="Y326" s="84"/>
      <x:c r="Z326" s="84"/>
    </x:row>
    <x:row r="327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4"/>
      <x:c r="K327" s="84"/>
      <x:c r="L327" s="84"/>
      <x:c r="M327" s="84"/>
      <x:c r="N327" s="84"/>
      <x:c r="O327" s="84"/>
      <x:c r="P327" s="84"/>
      <x:c r="Q327" s="84"/>
      <x:c r="R327" s="84"/>
      <x:c r="S327" s="84"/>
      <x:c r="T327" s="84"/>
      <x:c r="U327" s="84"/>
      <x:c r="V327" s="84"/>
      <x:c r="W327" s="84"/>
      <x:c r="X327" s="84"/>
      <x:c r="Y327" s="84"/>
      <x:c r="Z327" s="84"/>
    </x:row>
    <x:row r="328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4"/>
      <x:c r="K328" s="84"/>
      <x:c r="L328" s="84"/>
      <x:c r="M328" s="84"/>
      <x:c r="N328" s="84"/>
      <x:c r="O328" s="84"/>
      <x:c r="P328" s="84"/>
      <x:c r="Q328" s="84"/>
      <x:c r="R328" s="84"/>
      <x:c r="S328" s="84"/>
      <x:c r="T328" s="84"/>
      <x:c r="U328" s="84"/>
      <x:c r="V328" s="84"/>
      <x:c r="W328" s="84"/>
      <x:c r="X328" s="84"/>
      <x:c r="Y328" s="84"/>
      <x:c r="Z328" s="84"/>
    </x:row>
    <x:row r="329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4"/>
      <x:c r="K329" s="84"/>
      <x:c r="L329" s="84"/>
      <x:c r="M329" s="84"/>
      <x:c r="N329" s="84"/>
      <x:c r="O329" s="84"/>
      <x:c r="P329" s="84"/>
      <x:c r="Q329" s="84"/>
      <x:c r="R329" s="84"/>
      <x:c r="S329" s="84"/>
      <x:c r="T329" s="84"/>
      <x:c r="U329" s="84"/>
      <x:c r="V329" s="84"/>
      <x:c r="W329" s="84"/>
      <x:c r="X329" s="84"/>
      <x:c r="Y329" s="84"/>
      <x:c r="Z329" s="84"/>
    </x:row>
    <x:row r="330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4"/>
      <x:c r="K330" s="84"/>
      <x:c r="L330" s="84"/>
      <x:c r="M330" s="84"/>
      <x:c r="N330" s="84"/>
      <x:c r="O330" s="84"/>
      <x:c r="P330" s="84"/>
      <x:c r="Q330" s="84"/>
      <x:c r="R330" s="84"/>
      <x:c r="S330" s="84"/>
      <x:c r="T330" s="84"/>
      <x:c r="U330" s="84"/>
      <x:c r="V330" s="84"/>
      <x:c r="W330" s="84"/>
      <x:c r="X330" s="84"/>
      <x:c r="Y330" s="84"/>
      <x:c r="Z330" s="84"/>
    </x:row>
    <x:row r="33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4"/>
      <x:c r="K331" s="84"/>
      <x:c r="L331" s="84"/>
      <x:c r="M331" s="84"/>
      <x:c r="N331" s="84"/>
      <x:c r="O331" s="84"/>
      <x:c r="P331" s="84"/>
      <x:c r="Q331" s="84"/>
      <x:c r="R331" s="84"/>
      <x:c r="S331" s="84"/>
      <x:c r="T331" s="84"/>
      <x:c r="U331" s="84"/>
      <x:c r="V331" s="84"/>
      <x:c r="W331" s="84"/>
      <x:c r="X331" s="84"/>
      <x:c r="Y331" s="84"/>
      <x:c r="Z331" s="84"/>
    </x:row>
    <x:row r="332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4"/>
      <x:c r="K332" s="84"/>
      <x:c r="L332" s="84"/>
      <x:c r="M332" s="84"/>
      <x:c r="N332" s="84"/>
      <x:c r="O332" s="84"/>
      <x:c r="P332" s="84"/>
      <x:c r="Q332" s="84"/>
      <x:c r="R332" s="84"/>
      <x:c r="S332" s="84"/>
      <x:c r="T332" s="84"/>
      <x:c r="U332" s="84"/>
      <x:c r="V332" s="84"/>
      <x:c r="W332" s="84"/>
      <x:c r="X332" s="84"/>
      <x:c r="Y332" s="84"/>
      <x:c r="Z332" s="84"/>
    </x:row>
    <x:row r="333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  <x:c r="Q333" s="84"/>
      <x:c r="R333" s="84"/>
      <x:c r="S333" s="84"/>
      <x:c r="T333" s="84"/>
      <x:c r="U333" s="84"/>
      <x:c r="V333" s="84"/>
      <x:c r="W333" s="84"/>
      <x:c r="X333" s="84"/>
      <x:c r="Y333" s="84"/>
      <x:c r="Z333" s="84"/>
    </x:row>
    <x:row r="334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4"/>
      <x:c r="K334" s="84"/>
      <x:c r="L334" s="84"/>
      <x:c r="M334" s="84"/>
      <x:c r="N334" s="84"/>
      <x:c r="O334" s="84"/>
      <x:c r="P334" s="84"/>
      <x:c r="Q334" s="84"/>
      <x:c r="R334" s="84"/>
      <x:c r="S334" s="84"/>
      <x:c r="T334" s="84"/>
      <x:c r="U334" s="84"/>
      <x:c r="V334" s="84"/>
      <x:c r="W334" s="84"/>
      <x:c r="X334" s="84"/>
      <x:c r="Y334" s="84"/>
      <x:c r="Z334" s="84"/>
    </x:row>
    <x:row r="335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4"/>
      <x:c r="K335" s="84"/>
      <x:c r="L335" s="84"/>
      <x:c r="M335" s="84"/>
      <x:c r="N335" s="84"/>
      <x:c r="O335" s="84"/>
      <x:c r="P335" s="84"/>
      <x:c r="Q335" s="84"/>
      <x:c r="R335" s="84"/>
      <x:c r="S335" s="84"/>
      <x:c r="T335" s="84"/>
      <x:c r="U335" s="84"/>
      <x:c r="V335" s="84"/>
      <x:c r="W335" s="84"/>
      <x:c r="X335" s="84"/>
      <x:c r="Y335" s="84"/>
      <x:c r="Z335" s="84"/>
    </x:row>
    <x:row r="336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4"/>
      <x:c r="K336" s="84"/>
      <x:c r="L336" s="84"/>
      <x:c r="M336" s="84"/>
      <x:c r="N336" s="84"/>
      <x:c r="O336" s="84"/>
      <x:c r="P336" s="84"/>
      <x:c r="Q336" s="84"/>
      <x:c r="R336" s="84"/>
      <x:c r="S336" s="84"/>
      <x:c r="T336" s="84"/>
      <x:c r="U336" s="84"/>
      <x:c r="V336" s="84"/>
      <x:c r="W336" s="84"/>
      <x:c r="X336" s="84"/>
      <x:c r="Y336" s="84"/>
      <x:c r="Z336" s="84"/>
    </x:row>
    <x:row r="337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4"/>
      <x:c r="K337" s="84"/>
      <x:c r="L337" s="84"/>
      <x:c r="M337" s="84"/>
      <x:c r="N337" s="84"/>
      <x:c r="O337" s="84"/>
      <x:c r="P337" s="84"/>
      <x:c r="Q337" s="84"/>
      <x:c r="R337" s="84"/>
      <x:c r="S337" s="84"/>
      <x:c r="T337" s="84"/>
      <x:c r="U337" s="84"/>
      <x:c r="V337" s="84"/>
      <x:c r="W337" s="84"/>
      <x:c r="X337" s="84"/>
      <x:c r="Y337" s="84"/>
      <x:c r="Z337" s="84"/>
    </x:row>
    <x:row r="338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4"/>
      <x:c r="K338" s="84"/>
      <x:c r="L338" s="84"/>
      <x:c r="M338" s="84"/>
      <x:c r="N338" s="84"/>
      <x:c r="O338" s="84"/>
      <x:c r="P338" s="84"/>
      <x:c r="Q338" s="84"/>
      <x:c r="R338" s="84"/>
      <x:c r="S338" s="84"/>
      <x:c r="T338" s="84"/>
      <x:c r="U338" s="84"/>
      <x:c r="V338" s="84"/>
      <x:c r="W338" s="84"/>
      <x:c r="X338" s="84"/>
      <x:c r="Y338" s="84"/>
      <x:c r="Z338" s="84"/>
    </x:row>
    <x:row r="339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4"/>
      <x:c r="K339" s="84"/>
      <x:c r="L339" s="84"/>
      <x:c r="M339" s="84"/>
      <x:c r="N339" s="84"/>
      <x:c r="O339" s="84"/>
      <x:c r="P339" s="84"/>
      <x:c r="Q339" s="84"/>
      <x:c r="R339" s="84"/>
      <x:c r="S339" s="84"/>
      <x:c r="T339" s="84"/>
      <x:c r="U339" s="84"/>
      <x:c r="V339" s="84"/>
      <x:c r="W339" s="84"/>
      <x:c r="X339" s="84"/>
      <x:c r="Y339" s="84"/>
      <x:c r="Z339" s="84"/>
    </x:row>
    <x:row r="340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4"/>
      <x:c r="K340" s="84"/>
      <x:c r="L340" s="84"/>
      <x:c r="M340" s="84"/>
      <x:c r="N340" s="84"/>
      <x:c r="O340" s="84"/>
      <x:c r="P340" s="84"/>
      <x:c r="Q340" s="84"/>
      <x:c r="R340" s="84"/>
      <x:c r="S340" s="84"/>
      <x:c r="T340" s="84"/>
      <x:c r="U340" s="84"/>
      <x:c r="V340" s="84"/>
      <x:c r="W340" s="84"/>
      <x:c r="X340" s="84"/>
      <x:c r="Y340" s="84"/>
      <x:c r="Z340" s="84"/>
    </x:row>
    <x:row r="34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4"/>
      <x:c r="K341" s="84"/>
      <x:c r="L341" s="84"/>
      <x:c r="M341" s="84"/>
      <x:c r="N341" s="84"/>
      <x:c r="O341" s="84"/>
      <x:c r="P341" s="84"/>
      <x:c r="Q341" s="84"/>
      <x:c r="R341" s="84"/>
      <x:c r="S341" s="84"/>
      <x:c r="T341" s="84"/>
      <x:c r="U341" s="84"/>
      <x:c r="V341" s="84"/>
      <x:c r="W341" s="84"/>
      <x:c r="X341" s="84"/>
      <x:c r="Y341" s="84"/>
      <x:c r="Z341" s="84"/>
    </x:row>
    <x:row r="342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4"/>
      <x:c r="K342" s="84"/>
      <x:c r="L342" s="84"/>
      <x:c r="M342" s="84"/>
      <x:c r="N342" s="84"/>
      <x:c r="O342" s="84"/>
      <x:c r="P342" s="84"/>
      <x:c r="Q342" s="84"/>
      <x:c r="R342" s="84"/>
      <x:c r="S342" s="84"/>
      <x:c r="T342" s="84"/>
      <x:c r="U342" s="84"/>
      <x:c r="V342" s="84"/>
      <x:c r="W342" s="84"/>
      <x:c r="X342" s="84"/>
      <x:c r="Y342" s="84"/>
      <x:c r="Z342" s="84"/>
    </x:row>
    <x:row r="343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4"/>
      <x:c r="K343" s="84"/>
      <x:c r="L343" s="84"/>
      <x:c r="M343" s="84"/>
      <x:c r="N343" s="84"/>
      <x:c r="O343" s="84"/>
      <x:c r="P343" s="84"/>
      <x:c r="Q343" s="84"/>
      <x:c r="R343" s="84"/>
      <x:c r="S343" s="84"/>
      <x:c r="T343" s="84"/>
      <x:c r="U343" s="84"/>
      <x:c r="V343" s="84"/>
      <x:c r="W343" s="84"/>
      <x:c r="X343" s="84"/>
      <x:c r="Y343" s="84"/>
      <x:c r="Z343" s="84"/>
    </x:row>
    <x:row r="344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4"/>
      <x:c r="K344" s="84"/>
      <x:c r="L344" s="84"/>
      <x:c r="M344" s="84"/>
      <x:c r="N344" s="84"/>
      <x:c r="O344" s="84"/>
      <x:c r="P344" s="84"/>
      <x:c r="Q344" s="84"/>
      <x:c r="R344" s="84"/>
      <x:c r="S344" s="84"/>
      <x:c r="T344" s="84"/>
      <x:c r="U344" s="84"/>
      <x:c r="V344" s="84"/>
      <x:c r="W344" s="84"/>
      <x:c r="X344" s="84"/>
      <x:c r="Y344" s="84"/>
      <x:c r="Z344" s="84"/>
    </x:row>
    <x:row r="345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4"/>
      <x:c r="K345" s="84"/>
      <x:c r="L345" s="84"/>
      <x:c r="M345" s="84"/>
      <x:c r="N345" s="84"/>
      <x:c r="O345" s="84"/>
      <x:c r="P345" s="84"/>
      <x:c r="Q345" s="84"/>
      <x:c r="R345" s="84"/>
      <x:c r="S345" s="84"/>
      <x:c r="T345" s="84"/>
      <x:c r="U345" s="84"/>
      <x:c r="V345" s="84"/>
      <x:c r="W345" s="84"/>
      <x:c r="X345" s="84"/>
      <x:c r="Y345" s="84"/>
      <x:c r="Z345" s="84"/>
    </x:row>
    <x:row r="346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4"/>
      <x:c r="K346" s="84"/>
      <x:c r="L346" s="84"/>
      <x:c r="M346" s="84"/>
      <x:c r="N346" s="84"/>
      <x:c r="O346" s="84"/>
      <x:c r="P346" s="84"/>
      <x:c r="Q346" s="84"/>
      <x:c r="R346" s="84"/>
      <x:c r="S346" s="84"/>
      <x:c r="T346" s="84"/>
      <x:c r="U346" s="84"/>
      <x:c r="V346" s="84"/>
      <x:c r="W346" s="84"/>
      <x:c r="X346" s="84"/>
      <x:c r="Y346" s="84"/>
      <x:c r="Z346" s="84"/>
    </x:row>
    <x:row r="347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4"/>
      <x:c r="K347" s="84"/>
      <x:c r="L347" s="84"/>
      <x:c r="M347" s="84"/>
      <x:c r="N347" s="84"/>
      <x:c r="O347" s="84"/>
      <x:c r="P347" s="84"/>
      <x:c r="Q347" s="84"/>
      <x:c r="R347" s="84"/>
      <x:c r="S347" s="84"/>
      <x:c r="T347" s="84"/>
      <x:c r="U347" s="84"/>
      <x:c r="V347" s="84"/>
      <x:c r="W347" s="84"/>
      <x:c r="X347" s="84"/>
      <x:c r="Y347" s="84"/>
      <x:c r="Z347" s="84"/>
    </x:row>
    <x:row r="348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4"/>
      <x:c r="K348" s="84"/>
      <x:c r="L348" s="84"/>
      <x:c r="M348" s="84"/>
      <x:c r="N348" s="84"/>
      <x:c r="O348" s="84"/>
      <x:c r="P348" s="84"/>
      <x:c r="Q348" s="84"/>
      <x:c r="R348" s="84"/>
      <x:c r="S348" s="84"/>
      <x:c r="T348" s="84"/>
      <x:c r="U348" s="84"/>
      <x:c r="V348" s="84"/>
      <x:c r="W348" s="84"/>
      <x:c r="X348" s="84"/>
      <x:c r="Y348" s="84"/>
      <x:c r="Z348" s="84"/>
    </x:row>
    <x:row r="349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4"/>
      <x:c r="K349" s="84"/>
      <x:c r="L349" s="84"/>
      <x:c r="M349" s="84"/>
      <x:c r="N349" s="84"/>
      <x:c r="O349" s="84"/>
      <x:c r="P349" s="84"/>
      <x:c r="Q349" s="84"/>
      <x:c r="R349" s="84"/>
      <x:c r="S349" s="84"/>
      <x:c r="T349" s="84"/>
      <x:c r="U349" s="84"/>
      <x:c r="V349" s="84"/>
      <x:c r="W349" s="84"/>
      <x:c r="X349" s="84"/>
      <x:c r="Y349" s="84"/>
      <x:c r="Z349" s="84"/>
    </x:row>
    <x:row r="350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4"/>
      <x:c r="K350" s="84"/>
      <x:c r="L350" s="84"/>
      <x:c r="M350" s="84"/>
      <x:c r="N350" s="84"/>
      <x:c r="O350" s="84"/>
      <x:c r="P350" s="84"/>
      <x:c r="Q350" s="84"/>
      <x:c r="R350" s="84"/>
      <x:c r="S350" s="84"/>
      <x:c r="T350" s="84"/>
      <x:c r="U350" s="84"/>
      <x:c r="V350" s="84"/>
      <x:c r="W350" s="84"/>
      <x:c r="X350" s="84"/>
      <x:c r="Y350" s="84"/>
      <x:c r="Z350" s="84"/>
    </x:row>
    <x:row r="35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4"/>
      <x:c r="K351" s="84"/>
      <x:c r="L351" s="84"/>
      <x:c r="M351" s="84"/>
      <x:c r="N351" s="84"/>
      <x:c r="O351" s="84"/>
      <x:c r="P351" s="84"/>
      <x:c r="Q351" s="84"/>
      <x:c r="R351" s="84"/>
      <x:c r="S351" s="84"/>
      <x:c r="T351" s="84"/>
      <x:c r="U351" s="84"/>
      <x:c r="V351" s="84"/>
      <x:c r="W351" s="84"/>
      <x:c r="X351" s="84"/>
      <x:c r="Y351" s="84"/>
      <x:c r="Z351" s="84"/>
    </x:row>
    <x:row r="352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4"/>
      <x:c r="K352" s="84"/>
      <x:c r="L352" s="84"/>
      <x:c r="M352" s="84"/>
      <x:c r="N352" s="84"/>
      <x:c r="O352" s="84"/>
      <x:c r="P352" s="84"/>
      <x:c r="Q352" s="84"/>
      <x:c r="R352" s="84"/>
      <x:c r="S352" s="84"/>
      <x:c r="T352" s="84"/>
      <x:c r="U352" s="84"/>
      <x:c r="V352" s="84"/>
      <x:c r="W352" s="84"/>
      <x:c r="X352" s="84"/>
      <x:c r="Y352" s="84"/>
      <x:c r="Z352" s="84"/>
    </x:row>
    <x:row r="353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4"/>
      <x:c r="K353" s="84"/>
      <x:c r="L353" s="84"/>
      <x:c r="M353" s="84"/>
      <x:c r="N353" s="84"/>
      <x:c r="O353" s="84"/>
      <x:c r="P353" s="84"/>
      <x:c r="Q353" s="84"/>
      <x:c r="R353" s="84"/>
      <x:c r="S353" s="84"/>
      <x:c r="T353" s="84"/>
      <x:c r="U353" s="84"/>
      <x:c r="V353" s="84"/>
      <x:c r="W353" s="84"/>
      <x:c r="X353" s="84"/>
      <x:c r="Y353" s="84"/>
      <x:c r="Z353" s="84"/>
    </x:row>
    <x:row r="354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4"/>
      <x:c r="K354" s="84"/>
      <x:c r="L354" s="84"/>
      <x:c r="M354" s="84"/>
      <x:c r="N354" s="84"/>
      <x:c r="O354" s="84"/>
      <x:c r="P354" s="84"/>
      <x:c r="Q354" s="84"/>
      <x:c r="R354" s="84"/>
      <x:c r="S354" s="84"/>
      <x:c r="T354" s="84"/>
      <x:c r="U354" s="84"/>
      <x:c r="V354" s="84"/>
      <x:c r="W354" s="84"/>
      <x:c r="X354" s="84"/>
      <x:c r="Y354" s="84"/>
      <x:c r="Z354" s="84"/>
    </x:row>
    <x:row r="355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4"/>
      <x:c r="K355" s="84"/>
      <x:c r="L355" s="84"/>
      <x:c r="M355" s="84"/>
      <x:c r="N355" s="84"/>
      <x:c r="O355" s="84"/>
      <x:c r="P355" s="84"/>
      <x:c r="Q355" s="84"/>
      <x:c r="R355" s="84"/>
      <x:c r="S355" s="84"/>
      <x:c r="T355" s="84"/>
      <x:c r="U355" s="84"/>
      <x:c r="V355" s="84"/>
      <x:c r="W355" s="84"/>
      <x:c r="X355" s="84"/>
      <x:c r="Y355" s="84"/>
      <x:c r="Z355" s="84"/>
    </x:row>
    <x:row r="356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4"/>
      <x:c r="K356" s="84"/>
      <x:c r="L356" s="84"/>
      <x:c r="M356" s="84"/>
      <x:c r="N356" s="84"/>
      <x:c r="O356" s="84"/>
      <x:c r="P356" s="84"/>
      <x:c r="Q356" s="84"/>
      <x:c r="R356" s="84"/>
      <x:c r="S356" s="84"/>
      <x:c r="T356" s="84"/>
      <x:c r="U356" s="84"/>
      <x:c r="V356" s="84"/>
      <x:c r="W356" s="84"/>
      <x:c r="X356" s="84"/>
      <x:c r="Y356" s="84"/>
      <x:c r="Z356" s="84"/>
    </x:row>
    <x:row r="357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4"/>
      <x:c r="K357" s="84"/>
      <x:c r="L357" s="84"/>
      <x:c r="M357" s="84"/>
      <x:c r="N357" s="84"/>
      <x:c r="O357" s="84"/>
      <x:c r="P357" s="84"/>
      <x:c r="Q357" s="84"/>
      <x:c r="R357" s="84"/>
      <x:c r="S357" s="84"/>
      <x:c r="T357" s="84"/>
      <x:c r="U357" s="84"/>
      <x:c r="V357" s="84"/>
      <x:c r="W357" s="84"/>
      <x:c r="X357" s="84"/>
      <x:c r="Y357" s="84"/>
      <x:c r="Z357" s="84"/>
    </x:row>
    <x:row r="358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4"/>
      <x:c r="K358" s="84"/>
      <x:c r="L358" s="84"/>
      <x:c r="M358" s="84"/>
      <x:c r="N358" s="84"/>
      <x:c r="O358" s="84"/>
      <x:c r="P358" s="84"/>
      <x:c r="Q358" s="84"/>
      <x:c r="R358" s="84"/>
      <x:c r="S358" s="84"/>
      <x:c r="T358" s="84"/>
      <x:c r="U358" s="84"/>
      <x:c r="V358" s="84"/>
      <x:c r="W358" s="84"/>
      <x:c r="X358" s="84"/>
      <x:c r="Y358" s="84"/>
      <x:c r="Z358" s="84"/>
    </x:row>
    <x:row r="359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4"/>
      <x:c r="K359" s="84"/>
      <x:c r="L359" s="84"/>
      <x:c r="M359" s="84"/>
      <x:c r="N359" s="84"/>
      <x:c r="O359" s="84"/>
      <x:c r="P359" s="84"/>
      <x:c r="Q359" s="84"/>
      <x:c r="R359" s="84"/>
      <x:c r="S359" s="84"/>
      <x:c r="T359" s="84"/>
      <x:c r="U359" s="84"/>
      <x:c r="V359" s="84"/>
      <x:c r="W359" s="84"/>
      <x:c r="X359" s="84"/>
      <x:c r="Y359" s="84"/>
      <x:c r="Z359" s="84"/>
    </x:row>
    <x:row r="360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4"/>
      <x:c r="K360" s="84"/>
      <x:c r="L360" s="84"/>
      <x:c r="M360" s="84"/>
      <x:c r="N360" s="84"/>
      <x:c r="O360" s="84"/>
      <x:c r="P360" s="84"/>
      <x:c r="Q360" s="84"/>
      <x:c r="R360" s="84"/>
      <x:c r="S360" s="84"/>
      <x:c r="T360" s="84"/>
      <x:c r="U360" s="84"/>
      <x:c r="V360" s="84"/>
      <x:c r="W360" s="84"/>
      <x:c r="X360" s="84"/>
      <x:c r="Y360" s="84"/>
      <x:c r="Z360" s="84"/>
    </x:row>
    <x:row r="36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4"/>
      <x:c r="K361" s="84"/>
      <x:c r="L361" s="84"/>
      <x:c r="M361" s="84"/>
      <x:c r="N361" s="84"/>
      <x:c r="O361" s="84"/>
      <x:c r="P361" s="84"/>
      <x:c r="Q361" s="84"/>
      <x:c r="R361" s="84"/>
      <x:c r="S361" s="84"/>
      <x:c r="T361" s="84"/>
      <x:c r="U361" s="84"/>
      <x:c r="V361" s="84"/>
      <x:c r="W361" s="84"/>
      <x:c r="X361" s="84"/>
      <x:c r="Y361" s="84"/>
      <x:c r="Z361" s="84"/>
    </x:row>
    <x:row r="362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4"/>
      <x:c r="K362" s="84"/>
      <x:c r="L362" s="84"/>
      <x:c r="M362" s="84"/>
      <x:c r="N362" s="84"/>
      <x:c r="O362" s="84"/>
      <x:c r="P362" s="84"/>
      <x:c r="Q362" s="84"/>
      <x:c r="R362" s="84"/>
      <x:c r="S362" s="84"/>
      <x:c r="T362" s="84"/>
      <x:c r="U362" s="84"/>
      <x:c r="V362" s="84"/>
      <x:c r="W362" s="84"/>
      <x:c r="X362" s="84"/>
      <x:c r="Y362" s="84"/>
      <x:c r="Z362" s="84"/>
    </x:row>
    <x:row r="363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4"/>
      <x:c r="K363" s="84"/>
      <x:c r="L363" s="84"/>
      <x:c r="M363" s="84"/>
      <x:c r="N363" s="84"/>
      <x:c r="O363" s="84"/>
      <x:c r="P363" s="84"/>
      <x:c r="Q363" s="84"/>
      <x:c r="R363" s="84"/>
      <x:c r="S363" s="84"/>
      <x:c r="T363" s="84"/>
      <x:c r="U363" s="84"/>
      <x:c r="V363" s="84"/>
      <x:c r="W363" s="84"/>
      <x:c r="X363" s="84"/>
      <x:c r="Y363" s="84"/>
      <x:c r="Z363" s="84"/>
    </x:row>
    <x:row r="364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4"/>
      <x:c r="K364" s="84"/>
      <x:c r="L364" s="84"/>
      <x:c r="M364" s="84"/>
      <x:c r="N364" s="84"/>
      <x:c r="O364" s="84"/>
      <x:c r="P364" s="84"/>
      <x:c r="Q364" s="84"/>
      <x:c r="R364" s="84"/>
      <x:c r="S364" s="84"/>
      <x:c r="T364" s="84"/>
      <x:c r="U364" s="84"/>
      <x:c r="V364" s="84"/>
      <x:c r="W364" s="84"/>
      <x:c r="X364" s="84"/>
      <x:c r="Y364" s="84"/>
      <x:c r="Z364" s="84"/>
    </x:row>
    <x:row r="365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4"/>
      <x:c r="K365" s="84"/>
      <x:c r="L365" s="84"/>
      <x:c r="M365" s="84"/>
      <x:c r="N365" s="84"/>
      <x:c r="O365" s="84"/>
      <x:c r="P365" s="84"/>
      <x:c r="Q365" s="84"/>
      <x:c r="R365" s="84"/>
      <x:c r="S365" s="84"/>
      <x:c r="T365" s="84"/>
      <x:c r="U365" s="84"/>
      <x:c r="V365" s="84"/>
      <x:c r="W365" s="84"/>
      <x:c r="X365" s="84"/>
      <x:c r="Y365" s="84"/>
      <x:c r="Z365" s="84"/>
    </x:row>
    <x:row r="366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4"/>
      <x:c r="K366" s="84"/>
      <x:c r="L366" s="84"/>
      <x:c r="M366" s="84"/>
      <x:c r="N366" s="84"/>
      <x:c r="O366" s="84"/>
      <x:c r="P366" s="84"/>
      <x:c r="Q366" s="84"/>
      <x:c r="R366" s="84"/>
      <x:c r="S366" s="84"/>
      <x:c r="T366" s="84"/>
      <x:c r="U366" s="84"/>
      <x:c r="V366" s="84"/>
      <x:c r="W366" s="84"/>
      <x:c r="X366" s="84"/>
      <x:c r="Y366" s="84"/>
      <x:c r="Z366" s="84"/>
    </x:row>
    <x:row r="367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4"/>
      <x:c r="K367" s="84"/>
      <x:c r="L367" s="84"/>
      <x:c r="M367" s="84"/>
      <x:c r="N367" s="84"/>
      <x:c r="O367" s="84"/>
      <x:c r="P367" s="84"/>
      <x:c r="Q367" s="84"/>
      <x:c r="R367" s="84"/>
      <x:c r="S367" s="84"/>
      <x:c r="T367" s="84"/>
      <x:c r="U367" s="84"/>
      <x:c r="V367" s="84"/>
      <x:c r="W367" s="84"/>
      <x:c r="X367" s="84"/>
      <x:c r="Y367" s="84"/>
      <x:c r="Z367" s="84"/>
    </x:row>
    <x:row r="368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4"/>
      <x:c r="K368" s="84"/>
      <x:c r="L368" s="84"/>
      <x:c r="M368" s="84"/>
      <x:c r="N368" s="84"/>
      <x:c r="O368" s="84"/>
      <x:c r="P368" s="84"/>
      <x:c r="Q368" s="84"/>
      <x:c r="R368" s="84"/>
      <x:c r="S368" s="84"/>
      <x:c r="T368" s="84"/>
      <x:c r="U368" s="84"/>
      <x:c r="V368" s="84"/>
      <x:c r="W368" s="84"/>
      <x:c r="X368" s="84"/>
      <x:c r="Y368" s="84"/>
      <x:c r="Z368" s="84"/>
    </x:row>
    <x:row r="369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4"/>
      <x:c r="K369" s="84"/>
      <x:c r="L369" s="84"/>
      <x:c r="M369" s="84"/>
      <x:c r="N369" s="84"/>
      <x:c r="O369" s="84"/>
      <x:c r="P369" s="84"/>
      <x:c r="Q369" s="84"/>
      <x:c r="R369" s="84"/>
      <x:c r="S369" s="84"/>
      <x:c r="T369" s="84"/>
      <x:c r="U369" s="84"/>
      <x:c r="V369" s="84"/>
      <x:c r="W369" s="84"/>
      <x:c r="X369" s="84"/>
      <x:c r="Y369" s="84"/>
      <x:c r="Z369" s="84"/>
    </x:row>
    <x:row r="370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4"/>
      <x:c r="K370" s="84"/>
      <x:c r="L370" s="84"/>
      <x:c r="M370" s="84"/>
      <x:c r="N370" s="84"/>
      <x:c r="O370" s="84"/>
      <x:c r="P370" s="84"/>
      <x:c r="Q370" s="84"/>
      <x:c r="R370" s="84"/>
      <x:c r="S370" s="84"/>
      <x:c r="T370" s="84"/>
      <x:c r="U370" s="84"/>
      <x:c r="V370" s="84"/>
      <x:c r="W370" s="84"/>
      <x:c r="X370" s="84"/>
      <x:c r="Y370" s="84"/>
      <x:c r="Z370" s="84"/>
    </x:row>
    <x:row r="37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4"/>
      <x:c r="K371" s="84"/>
      <x:c r="L371" s="84"/>
      <x:c r="M371" s="84"/>
      <x:c r="N371" s="84"/>
      <x:c r="O371" s="84"/>
      <x:c r="P371" s="84"/>
      <x:c r="Q371" s="84"/>
      <x:c r="R371" s="84"/>
      <x:c r="S371" s="84"/>
      <x:c r="T371" s="84"/>
      <x:c r="U371" s="84"/>
      <x:c r="V371" s="84"/>
      <x:c r="W371" s="84"/>
      <x:c r="X371" s="84"/>
      <x:c r="Y371" s="84"/>
      <x:c r="Z371" s="84"/>
    </x:row>
    <x:row r="372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4"/>
      <x:c r="K372" s="84"/>
      <x:c r="L372" s="84"/>
      <x:c r="M372" s="84"/>
      <x:c r="N372" s="84"/>
      <x:c r="O372" s="84"/>
      <x:c r="P372" s="84"/>
      <x:c r="Q372" s="84"/>
      <x:c r="R372" s="84"/>
      <x:c r="S372" s="84"/>
      <x:c r="T372" s="84"/>
      <x:c r="U372" s="84"/>
      <x:c r="V372" s="84"/>
      <x:c r="W372" s="84"/>
      <x:c r="X372" s="84"/>
      <x:c r="Y372" s="84"/>
      <x:c r="Z372" s="84"/>
    </x:row>
    <x:row r="373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4"/>
      <x:c r="K373" s="84"/>
      <x:c r="L373" s="84"/>
      <x:c r="M373" s="84"/>
      <x:c r="N373" s="84"/>
      <x:c r="O373" s="84"/>
      <x:c r="P373" s="84"/>
      <x:c r="Q373" s="84"/>
      <x:c r="R373" s="84"/>
      <x:c r="S373" s="84"/>
      <x:c r="T373" s="84"/>
      <x:c r="U373" s="84"/>
      <x:c r="V373" s="84"/>
      <x:c r="W373" s="84"/>
      <x:c r="X373" s="84"/>
      <x:c r="Y373" s="84"/>
      <x:c r="Z373" s="84"/>
    </x:row>
    <x:row r="374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4"/>
      <x:c r="K374" s="84"/>
      <x:c r="L374" s="84"/>
      <x:c r="M374" s="84"/>
      <x:c r="N374" s="84"/>
      <x:c r="O374" s="84"/>
      <x:c r="P374" s="84"/>
      <x:c r="Q374" s="84"/>
      <x:c r="R374" s="84"/>
      <x:c r="S374" s="84"/>
      <x:c r="T374" s="84"/>
      <x:c r="U374" s="84"/>
      <x:c r="V374" s="84"/>
      <x:c r="W374" s="84"/>
      <x:c r="X374" s="84"/>
      <x:c r="Y374" s="84"/>
      <x:c r="Z374" s="84"/>
    </x:row>
    <x:row r="375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4"/>
      <x:c r="K375" s="84"/>
      <x:c r="L375" s="84"/>
      <x:c r="M375" s="84"/>
      <x:c r="N375" s="84"/>
      <x:c r="O375" s="84"/>
      <x:c r="P375" s="84"/>
      <x:c r="Q375" s="84"/>
      <x:c r="R375" s="84"/>
      <x:c r="S375" s="84"/>
      <x:c r="T375" s="84"/>
      <x:c r="U375" s="84"/>
      <x:c r="V375" s="84"/>
      <x:c r="W375" s="84"/>
      <x:c r="X375" s="84"/>
      <x:c r="Y375" s="84"/>
      <x:c r="Z375" s="84"/>
    </x:row>
    <x:row r="376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4"/>
      <x:c r="K376" s="84"/>
      <x:c r="L376" s="84"/>
      <x:c r="M376" s="84"/>
      <x:c r="N376" s="84"/>
      <x:c r="O376" s="84"/>
      <x:c r="P376" s="84"/>
      <x:c r="Q376" s="84"/>
      <x:c r="R376" s="84"/>
      <x:c r="S376" s="84"/>
      <x:c r="T376" s="84"/>
      <x:c r="U376" s="84"/>
      <x:c r="V376" s="84"/>
      <x:c r="W376" s="84"/>
      <x:c r="X376" s="84"/>
      <x:c r="Y376" s="84"/>
      <x:c r="Z376" s="84"/>
    </x:row>
    <x:row r="377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4"/>
      <x:c r="K377" s="84"/>
      <x:c r="L377" s="84"/>
      <x:c r="M377" s="84"/>
      <x:c r="N377" s="84"/>
      <x:c r="O377" s="84"/>
      <x:c r="P377" s="84"/>
      <x:c r="Q377" s="84"/>
      <x:c r="R377" s="84"/>
      <x:c r="S377" s="84"/>
      <x:c r="T377" s="84"/>
      <x:c r="U377" s="84"/>
      <x:c r="V377" s="84"/>
      <x:c r="W377" s="84"/>
      <x:c r="X377" s="84"/>
      <x:c r="Y377" s="84"/>
      <x:c r="Z377" s="84"/>
    </x:row>
    <x:row r="378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4"/>
      <x:c r="K378" s="84"/>
      <x:c r="L378" s="84"/>
      <x:c r="M378" s="84"/>
      <x:c r="N378" s="84"/>
      <x:c r="O378" s="84"/>
      <x:c r="P378" s="84"/>
      <x:c r="Q378" s="84"/>
      <x:c r="R378" s="84"/>
      <x:c r="S378" s="84"/>
      <x:c r="T378" s="84"/>
      <x:c r="U378" s="84"/>
      <x:c r="V378" s="84"/>
      <x:c r="W378" s="84"/>
      <x:c r="X378" s="84"/>
      <x:c r="Y378" s="84"/>
      <x:c r="Z378" s="84"/>
    </x:row>
    <x:row r="379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4"/>
      <x:c r="K379" s="84"/>
      <x:c r="L379" s="84"/>
      <x:c r="M379" s="84"/>
      <x:c r="N379" s="84"/>
      <x:c r="O379" s="84"/>
      <x:c r="P379" s="84"/>
      <x:c r="Q379" s="84"/>
      <x:c r="R379" s="84"/>
      <x:c r="S379" s="84"/>
      <x:c r="T379" s="84"/>
      <x:c r="U379" s="84"/>
      <x:c r="V379" s="84"/>
      <x:c r="W379" s="84"/>
      <x:c r="X379" s="84"/>
      <x:c r="Y379" s="84"/>
      <x:c r="Z379" s="84"/>
    </x:row>
    <x:row r="380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4"/>
      <x:c r="K380" s="84"/>
      <x:c r="L380" s="84"/>
      <x:c r="M380" s="84"/>
      <x:c r="N380" s="84"/>
      <x:c r="O380" s="84"/>
      <x:c r="P380" s="84"/>
      <x:c r="Q380" s="84"/>
      <x:c r="R380" s="84"/>
      <x:c r="S380" s="84"/>
      <x:c r="T380" s="84"/>
      <x:c r="U380" s="84"/>
      <x:c r="V380" s="84"/>
      <x:c r="W380" s="84"/>
      <x:c r="X380" s="84"/>
      <x:c r="Y380" s="84"/>
      <x:c r="Z380" s="84"/>
    </x:row>
    <x:row r="38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4"/>
      <x:c r="K381" s="84"/>
      <x:c r="L381" s="84"/>
      <x:c r="M381" s="84"/>
      <x:c r="N381" s="84"/>
      <x:c r="O381" s="84"/>
      <x:c r="P381" s="84"/>
      <x:c r="Q381" s="84"/>
      <x:c r="R381" s="84"/>
      <x:c r="S381" s="84"/>
      <x:c r="T381" s="84"/>
      <x:c r="U381" s="84"/>
      <x:c r="V381" s="84"/>
      <x:c r="W381" s="84"/>
      <x:c r="X381" s="84"/>
      <x:c r="Y381" s="84"/>
      <x:c r="Z381" s="84"/>
    </x:row>
    <x:row r="382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4"/>
      <x:c r="K382" s="84"/>
      <x:c r="L382" s="84"/>
      <x:c r="M382" s="84"/>
      <x:c r="N382" s="84"/>
      <x:c r="O382" s="84"/>
      <x:c r="P382" s="84"/>
      <x:c r="Q382" s="84"/>
      <x:c r="R382" s="84"/>
      <x:c r="S382" s="84"/>
      <x:c r="T382" s="84"/>
      <x:c r="U382" s="84"/>
      <x:c r="V382" s="84"/>
      <x:c r="W382" s="84"/>
      <x:c r="X382" s="84"/>
      <x:c r="Y382" s="84"/>
      <x:c r="Z382" s="84"/>
    </x:row>
    <x:row r="383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4"/>
      <x:c r="K383" s="84"/>
      <x:c r="L383" s="84"/>
      <x:c r="M383" s="84"/>
      <x:c r="N383" s="84"/>
      <x:c r="O383" s="84"/>
      <x:c r="P383" s="84"/>
      <x:c r="Q383" s="84"/>
      <x:c r="R383" s="84"/>
      <x:c r="S383" s="84"/>
      <x:c r="T383" s="84"/>
      <x:c r="U383" s="84"/>
      <x:c r="V383" s="84"/>
      <x:c r="W383" s="84"/>
      <x:c r="X383" s="84"/>
      <x:c r="Y383" s="84"/>
      <x:c r="Z383" s="84"/>
    </x:row>
    <x:row r="384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4"/>
      <x:c r="K384" s="84"/>
      <x:c r="L384" s="84"/>
      <x:c r="M384" s="84"/>
      <x:c r="N384" s="84"/>
      <x:c r="O384" s="84"/>
      <x:c r="P384" s="84"/>
      <x:c r="Q384" s="84"/>
      <x:c r="R384" s="84"/>
      <x:c r="S384" s="84"/>
      <x:c r="T384" s="84"/>
      <x:c r="U384" s="84"/>
      <x:c r="V384" s="84"/>
      <x:c r="W384" s="84"/>
      <x:c r="X384" s="84"/>
      <x:c r="Y384" s="84"/>
      <x:c r="Z384" s="84"/>
    </x:row>
    <x:row r="385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4"/>
      <x:c r="K385" s="84"/>
      <x:c r="L385" s="84"/>
      <x:c r="M385" s="84"/>
      <x:c r="N385" s="84"/>
      <x:c r="O385" s="84"/>
      <x:c r="P385" s="84"/>
      <x:c r="Q385" s="84"/>
      <x:c r="R385" s="84"/>
      <x:c r="S385" s="84"/>
      <x:c r="T385" s="84"/>
      <x:c r="U385" s="84"/>
      <x:c r="V385" s="84"/>
      <x:c r="W385" s="84"/>
      <x:c r="X385" s="84"/>
      <x:c r="Y385" s="84"/>
      <x:c r="Z385" s="84"/>
    </x:row>
    <x:row r="386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4"/>
      <x:c r="K386" s="84"/>
      <x:c r="L386" s="84"/>
      <x:c r="M386" s="84"/>
      <x:c r="N386" s="84"/>
      <x:c r="O386" s="84"/>
      <x:c r="P386" s="84"/>
      <x:c r="Q386" s="84"/>
      <x:c r="R386" s="84"/>
      <x:c r="S386" s="84"/>
      <x:c r="T386" s="84"/>
      <x:c r="U386" s="84"/>
      <x:c r="V386" s="84"/>
      <x:c r="W386" s="84"/>
      <x:c r="X386" s="84"/>
      <x:c r="Y386" s="84"/>
      <x:c r="Z386" s="84"/>
    </x:row>
    <x:row r="387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4"/>
      <x:c r="K387" s="84"/>
      <x:c r="L387" s="84"/>
      <x:c r="M387" s="84"/>
      <x:c r="N387" s="84"/>
      <x:c r="O387" s="84"/>
      <x:c r="P387" s="84"/>
      <x:c r="Q387" s="84"/>
      <x:c r="R387" s="84"/>
      <x:c r="S387" s="84"/>
      <x:c r="T387" s="84"/>
      <x:c r="U387" s="84"/>
      <x:c r="V387" s="84"/>
      <x:c r="W387" s="84"/>
      <x:c r="X387" s="84"/>
      <x:c r="Y387" s="84"/>
      <x:c r="Z387" s="84"/>
    </x:row>
    <x:row r="388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4"/>
      <x:c r="K388" s="84"/>
      <x:c r="L388" s="84"/>
      <x:c r="M388" s="84"/>
      <x:c r="N388" s="84"/>
      <x:c r="O388" s="84"/>
      <x:c r="P388" s="84"/>
      <x:c r="Q388" s="84"/>
      <x:c r="R388" s="84"/>
      <x:c r="S388" s="84"/>
      <x:c r="T388" s="84"/>
      <x:c r="U388" s="84"/>
      <x:c r="V388" s="84"/>
      <x:c r="W388" s="84"/>
      <x:c r="X388" s="84"/>
      <x:c r="Y388" s="84"/>
      <x:c r="Z388" s="84"/>
    </x:row>
    <x:row r="389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4"/>
      <x:c r="K389" s="84"/>
      <x:c r="L389" s="84"/>
      <x:c r="M389" s="84"/>
      <x:c r="N389" s="84"/>
      <x:c r="O389" s="84"/>
      <x:c r="P389" s="84"/>
      <x:c r="Q389" s="84"/>
      <x:c r="R389" s="84"/>
      <x:c r="S389" s="84"/>
      <x:c r="T389" s="84"/>
      <x:c r="U389" s="84"/>
      <x:c r="V389" s="84"/>
      <x:c r="W389" s="84"/>
      <x:c r="X389" s="84"/>
      <x:c r="Y389" s="84"/>
      <x:c r="Z389" s="84"/>
    </x:row>
    <x:row r="390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4"/>
      <x:c r="K390" s="84"/>
      <x:c r="L390" s="84"/>
      <x:c r="M390" s="84"/>
      <x:c r="N390" s="84"/>
      <x:c r="O390" s="84"/>
      <x:c r="P390" s="84"/>
      <x:c r="Q390" s="84"/>
      <x:c r="R390" s="84"/>
      <x:c r="S390" s="84"/>
      <x:c r="T390" s="84"/>
      <x:c r="U390" s="84"/>
      <x:c r="V390" s="84"/>
      <x:c r="W390" s="84"/>
      <x:c r="X390" s="84"/>
      <x:c r="Y390" s="84"/>
      <x:c r="Z390" s="84"/>
    </x:row>
    <x:row r="39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4"/>
      <x:c r="K391" s="84"/>
      <x:c r="L391" s="84"/>
      <x:c r="M391" s="84"/>
      <x:c r="N391" s="84"/>
      <x:c r="O391" s="84"/>
      <x:c r="P391" s="84"/>
      <x:c r="Q391" s="84"/>
      <x:c r="R391" s="84"/>
      <x:c r="S391" s="84"/>
      <x:c r="T391" s="84"/>
      <x:c r="U391" s="84"/>
      <x:c r="V391" s="84"/>
      <x:c r="W391" s="84"/>
      <x:c r="X391" s="84"/>
      <x:c r="Y391" s="84"/>
      <x:c r="Z391" s="84"/>
    </x:row>
    <x:row r="392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4"/>
      <x:c r="K392" s="84"/>
      <x:c r="L392" s="84"/>
      <x:c r="M392" s="84"/>
      <x:c r="N392" s="84"/>
      <x:c r="O392" s="84"/>
      <x:c r="P392" s="84"/>
      <x:c r="Q392" s="84"/>
      <x:c r="R392" s="84"/>
      <x:c r="S392" s="84"/>
      <x:c r="T392" s="84"/>
      <x:c r="U392" s="84"/>
      <x:c r="V392" s="84"/>
      <x:c r="W392" s="84"/>
      <x:c r="X392" s="84"/>
      <x:c r="Y392" s="84"/>
      <x:c r="Z392" s="84"/>
    </x:row>
    <x:row r="393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4"/>
      <x:c r="K393" s="84"/>
      <x:c r="L393" s="84"/>
      <x:c r="M393" s="84"/>
      <x:c r="N393" s="84"/>
      <x:c r="O393" s="84"/>
      <x:c r="P393" s="84"/>
      <x:c r="Q393" s="84"/>
      <x:c r="R393" s="84"/>
      <x:c r="S393" s="84"/>
      <x:c r="T393" s="84"/>
      <x:c r="U393" s="84"/>
      <x:c r="V393" s="84"/>
      <x:c r="W393" s="84"/>
      <x:c r="X393" s="84"/>
      <x:c r="Y393" s="84"/>
      <x:c r="Z393" s="84"/>
    </x:row>
    <x:row r="394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4"/>
      <x:c r="K394" s="84"/>
      <x:c r="L394" s="84"/>
      <x:c r="M394" s="84"/>
      <x:c r="N394" s="84"/>
      <x:c r="O394" s="84"/>
      <x:c r="P394" s="84"/>
      <x:c r="Q394" s="84"/>
      <x:c r="R394" s="84"/>
      <x:c r="S394" s="84"/>
      <x:c r="T394" s="84"/>
      <x:c r="U394" s="84"/>
      <x:c r="V394" s="84"/>
      <x:c r="W394" s="84"/>
      <x:c r="X394" s="84"/>
      <x:c r="Y394" s="84"/>
      <x:c r="Z394" s="84"/>
    </x:row>
    <x:row r="395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4"/>
      <x:c r="K395" s="84"/>
      <x:c r="L395" s="84"/>
      <x:c r="M395" s="84"/>
      <x:c r="N395" s="84"/>
      <x:c r="O395" s="84"/>
      <x:c r="P395" s="84"/>
      <x:c r="Q395" s="84"/>
      <x:c r="R395" s="84"/>
      <x:c r="S395" s="84"/>
      <x:c r="T395" s="84"/>
      <x:c r="U395" s="84"/>
      <x:c r="V395" s="84"/>
      <x:c r="W395" s="84"/>
      <x:c r="X395" s="84"/>
      <x:c r="Y395" s="84"/>
      <x:c r="Z395" s="84"/>
    </x:row>
    <x:row r="396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4"/>
      <x:c r="K396" s="84"/>
      <x:c r="L396" s="84"/>
      <x:c r="M396" s="84"/>
      <x:c r="N396" s="84"/>
      <x:c r="O396" s="84"/>
      <x:c r="P396" s="84"/>
      <x:c r="Q396" s="84"/>
      <x:c r="R396" s="84"/>
      <x:c r="S396" s="84"/>
      <x:c r="T396" s="84"/>
      <x:c r="U396" s="84"/>
      <x:c r="V396" s="84"/>
      <x:c r="W396" s="84"/>
      <x:c r="X396" s="84"/>
      <x:c r="Y396" s="84"/>
      <x:c r="Z396" s="84"/>
    </x:row>
    <x:row r="397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4"/>
      <x:c r="K397" s="84"/>
      <x:c r="L397" s="84"/>
      <x:c r="M397" s="84"/>
      <x:c r="N397" s="84"/>
      <x:c r="O397" s="84"/>
      <x:c r="P397" s="84"/>
      <x:c r="Q397" s="84"/>
      <x:c r="R397" s="84"/>
      <x:c r="S397" s="84"/>
      <x:c r="T397" s="84"/>
      <x:c r="U397" s="84"/>
      <x:c r="V397" s="84"/>
      <x:c r="W397" s="84"/>
      <x:c r="X397" s="84"/>
      <x:c r="Y397" s="84"/>
      <x:c r="Z397" s="84"/>
    </x:row>
    <x:row r="398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4"/>
      <x:c r="K398" s="84"/>
      <x:c r="L398" s="84"/>
      <x:c r="M398" s="84"/>
      <x:c r="N398" s="84"/>
      <x:c r="O398" s="84"/>
      <x:c r="P398" s="84"/>
      <x:c r="Q398" s="84"/>
      <x:c r="R398" s="84"/>
      <x:c r="S398" s="84"/>
      <x:c r="T398" s="84"/>
      <x:c r="U398" s="84"/>
      <x:c r="V398" s="84"/>
      <x:c r="W398" s="84"/>
      <x:c r="X398" s="84"/>
      <x:c r="Y398" s="84"/>
      <x:c r="Z398" s="84"/>
    </x:row>
    <x:row r="399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4"/>
      <x:c r="K399" s="84"/>
      <x:c r="L399" s="84"/>
      <x:c r="M399" s="84"/>
      <x:c r="N399" s="84"/>
      <x:c r="O399" s="84"/>
      <x:c r="P399" s="84"/>
      <x:c r="Q399" s="84"/>
      <x:c r="R399" s="84"/>
      <x:c r="S399" s="84"/>
      <x:c r="T399" s="84"/>
      <x:c r="U399" s="84"/>
      <x:c r="V399" s="84"/>
      <x:c r="W399" s="84"/>
      <x:c r="X399" s="84"/>
      <x:c r="Y399" s="84"/>
      <x:c r="Z399" s="84"/>
    </x:row>
    <x:row r="400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4"/>
      <x:c r="K400" s="84"/>
      <x:c r="L400" s="84"/>
      <x:c r="M400" s="84"/>
      <x:c r="N400" s="84"/>
      <x:c r="O400" s="84"/>
      <x:c r="P400" s="84"/>
      <x:c r="Q400" s="84"/>
      <x:c r="R400" s="84"/>
      <x:c r="S400" s="84"/>
      <x:c r="T400" s="84"/>
      <x:c r="U400" s="84"/>
      <x:c r="V400" s="84"/>
      <x:c r="W400" s="84"/>
      <x:c r="X400" s="84"/>
      <x:c r="Y400" s="84"/>
      <x:c r="Z400" s="84"/>
    </x:row>
    <x:row r="40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4"/>
      <x:c r="K401" s="84"/>
      <x:c r="L401" s="84"/>
      <x:c r="M401" s="84"/>
      <x:c r="N401" s="84"/>
      <x:c r="O401" s="84"/>
      <x:c r="P401" s="84"/>
      <x:c r="Q401" s="84"/>
      <x:c r="R401" s="84"/>
      <x:c r="S401" s="84"/>
      <x:c r="T401" s="84"/>
      <x:c r="U401" s="84"/>
      <x:c r="V401" s="84"/>
      <x:c r="W401" s="84"/>
      <x:c r="X401" s="84"/>
      <x:c r="Y401" s="84"/>
      <x:c r="Z401" s="84"/>
    </x:row>
    <x:row r="402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4"/>
      <x:c r="K402" s="84"/>
      <x:c r="L402" s="84"/>
      <x:c r="M402" s="84"/>
      <x:c r="N402" s="84"/>
      <x:c r="O402" s="84"/>
      <x:c r="P402" s="84"/>
      <x:c r="Q402" s="84"/>
      <x:c r="R402" s="84"/>
      <x:c r="S402" s="84"/>
      <x:c r="T402" s="84"/>
      <x:c r="U402" s="84"/>
      <x:c r="V402" s="84"/>
      <x:c r="W402" s="84"/>
      <x:c r="X402" s="84"/>
      <x:c r="Y402" s="84"/>
      <x:c r="Z402" s="84"/>
    </x:row>
    <x:row r="403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4"/>
      <x:c r="K403" s="84"/>
      <x:c r="L403" s="84"/>
      <x:c r="M403" s="84"/>
      <x:c r="N403" s="84"/>
      <x:c r="O403" s="84"/>
      <x:c r="P403" s="84"/>
      <x:c r="Q403" s="84"/>
      <x:c r="R403" s="84"/>
      <x:c r="S403" s="84"/>
      <x:c r="T403" s="84"/>
      <x:c r="U403" s="84"/>
      <x:c r="V403" s="84"/>
      <x:c r="W403" s="84"/>
      <x:c r="X403" s="84"/>
      <x:c r="Y403" s="84"/>
      <x:c r="Z403" s="84"/>
    </x:row>
    <x:row r="404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4"/>
      <x:c r="K404" s="84"/>
      <x:c r="L404" s="84"/>
      <x:c r="M404" s="84"/>
      <x:c r="N404" s="84"/>
      <x:c r="O404" s="84"/>
      <x:c r="P404" s="84"/>
      <x:c r="Q404" s="84"/>
      <x:c r="R404" s="84"/>
      <x:c r="S404" s="84"/>
      <x:c r="T404" s="84"/>
      <x:c r="U404" s="84"/>
      <x:c r="V404" s="84"/>
      <x:c r="W404" s="84"/>
      <x:c r="X404" s="84"/>
      <x:c r="Y404" s="84"/>
      <x:c r="Z404" s="84"/>
    </x:row>
    <x:row r="405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4"/>
      <x:c r="K405" s="84"/>
      <x:c r="L405" s="84"/>
      <x:c r="M405" s="84"/>
      <x:c r="N405" s="84"/>
      <x:c r="O405" s="84"/>
      <x:c r="P405" s="84"/>
      <x:c r="Q405" s="84"/>
      <x:c r="R405" s="84"/>
      <x:c r="S405" s="84"/>
      <x:c r="T405" s="84"/>
      <x:c r="U405" s="84"/>
      <x:c r="V405" s="84"/>
      <x:c r="W405" s="84"/>
      <x:c r="X405" s="84"/>
      <x:c r="Y405" s="84"/>
      <x:c r="Z405" s="84"/>
    </x:row>
    <x:row r="406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4"/>
      <x:c r="K406" s="84"/>
      <x:c r="L406" s="84"/>
      <x:c r="M406" s="84"/>
      <x:c r="N406" s="84"/>
      <x:c r="O406" s="84"/>
      <x:c r="P406" s="84"/>
      <x:c r="Q406" s="84"/>
      <x:c r="R406" s="84"/>
      <x:c r="S406" s="84"/>
      <x:c r="T406" s="84"/>
      <x:c r="U406" s="84"/>
      <x:c r="V406" s="84"/>
      <x:c r="W406" s="84"/>
      <x:c r="X406" s="84"/>
      <x:c r="Y406" s="84"/>
      <x:c r="Z406" s="84"/>
    </x:row>
    <x:row r="407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4"/>
      <x:c r="K407" s="84"/>
      <x:c r="L407" s="84"/>
      <x:c r="M407" s="84"/>
      <x:c r="N407" s="84"/>
      <x:c r="O407" s="84"/>
      <x:c r="P407" s="84"/>
      <x:c r="Q407" s="84"/>
      <x:c r="R407" s="84"/>
      <x:c r="S407" s="84"/>
      <x:c r="T407" s="84"/>
      <x:c r="U407" s="84"/>
      <x:c r="V407" s="84"/>
      <x:c r="W407" s="84"/>
      <x:c r="X407" s="84"/>
      <x:c r="Y407" s="84"/>
      <x:c r="Z407" s="84"/>
    </x:row>
    <x:row r="408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4"/>
      <x:c r="K408" s="84"/>
      <x:c r="L408" s="84"/>
      <x:c r="M408" s="84"/>
      <x:c r="N408" s="84"/>
      <x:c r="O408" s="84"/>
      <x:c r="P408" s="84"/>
      <x:c r="Q408" s="84"/>
      <x:c r="R408" s="84"/>
      <x:c r="S408" s="84"/>
      <x:c r="T408" s="84"/>
      <x:c r="U408" s="84"/>
      <x:c r="V408" s="84"/>
      <x:c r="W408" s="84"/>
      <x:c r="X408" s="84"/>
      <x:c r="Y408" s="84"/>
      <x:c r="Z408" s="84"/>
    </x:row>
    <x:row r="409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4"/>
      <x:c r="K409" s="84"/>
      <x:c r="L409" s="84"/>
      <x:c r="M409" s="84"/>
      <x:c r="N409" s="84"/>
      <x:c r="O409" s="84"/>
      <x:c r="P409" s="84"/>
      <x:c r="Q409" s="84"/>
      <x:c r="R409" s="84"/>
      <x:c r="S409" s="84"/>
      <x:c r="T409" s="84"/>
      <x:c r="U409" s="84"/>
      <x:c r="V409" s="84"/>
      <x:c r="W409" s="84"/>
      <x:c r="X409" s="84"/>
      <x:c r="Y409" s="84"/>
      <x:c r="Z409" s="84"/>
    </x:row>
    <x:row r="410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4"/>
      <x:c r="K410" s="84"/>
      <x:c r="L410" s="84"/>
      <x:c r="M410" s="84"/>
      <x:c r="N410" s="84"/>
      <x:c r="O410" s="84"/>
      <x:c r="P410" s="84"/>
      <x:c r="Q410" s="84"/>
      <x:c r="R410" s="84"/>
      <x:c r="S410" s="84"/>
      <x:c r="T410" s="84"/>
      <x:c r="U410" s="84"/>
      <x:c r="V410" s="84"/>
      <x:c r="W410" s="84"/>
      <x:c r="X410" s="84"/>
      <x:c r="Y410" s="84"/>
      <x:c r="Z410" s="84"/>
    </x:row>
    <x:row r="41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4"/>
      <x:c r="K411" s="84"/>
      <x:c r="L411" s="84"/>
      <x:c r="M411" s="84"/>
      <x:c r="N411" s="84"/>
      <x:c r="O411" s="84"/>
      <x:c r="P411" s="84"/>
      <x:c r="Q411" s="84"/>
      <x:c r="R411" s="84"/>
      <x:c r="S411" s="84"/>
      <x:c r="T411" s="84"/>
      <x:c r="U411" s="84"/>
      <x:c r="V411" s="84"/>
      <x:c r="W411" s="84"/>
      <x:c r="X411" s="84"/>
      <x:c r="Y411" s="84"/>
      <x:c r="Z411" s="84"/>
    </x:row>
    <x:row r="412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4"/>
      <x:c r="K412" s="84"/>
      <x:c r="L412" s="84"/>
      <x:c r="M412" s="84"/>
      <x:c r="N412" s="84"/>
      <x:c r="O412" s="84"/>
      <x:c r="P412" s="84"/>
      <x:c r="Q412" s="84"/>
      <x:c r="R412" s="84"/>
      <x:c r="S412" s="84"/>
      <x:c r="T412" s="84"/>
      <x:c r="U412" s="84"/>
      <x:c r="V412" s="84"/>
      <x:c r="W412" s="84"/>
      <x:c r="X412" s="84"/>
      <x:c r="Y412" s="84"/>
      <x:c r="Z412" s="84"/>
    </x:row>
    <x:row r="413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4"/>
      <x:c r="K413" s="84"/>
      <x:c r="L413" s="84"/>
      <x:c r="M413" s="84"/>
      <x:c r="N413" s="84"/>
      <x:c r="O413" s="84"/>
      <x:c r="P413" s="84"/>
      <x:c r="Q413" s="84"/>
      <x:c r="R413" s="84"/>
      <x:c r="S413" s="84"/>
      <x:c r="T413" s="84"/>
      <x:c r="U413" s="84"/>
      <x:c r="V413" s="84"/>
      <x:c r="W413" s="84"/>
      <x:c r="X413" s="84"/>
      <x:c r="Y413" s="84"/>
      <x:c r="Z413" s="84"/>
    </x:row>
    <x:row r="414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4"/>
      <x:c r="K414" s="84"/>
      <x:c r="L414" s="84"/>
      <x:c r="M414" s="84"/>
      <x:c r="N414" s="84"/>
      <x:c r="O414" s="84"/>
      <x:c r="P414" s="84"/>
      <x:c r="Q414" s="84"/>
      <x:c r="R414" s="84"/>
      <x:c r="S414" s="84"/>
      <x:c r="T414" s="84"/>
      <x:c r="U414" s="84"/>
      <x:c r="V414" s="84"/>
      <x:c r="W414" s="84"/>
      <x:c r="X414" s="84"/>
      <x:c r="Y414" s="84"/>
      <x:c r="Z414" s="84"/>
    </x:row>
    <x:row r="415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4"/>
      <x:c r="K415" s="84"/>
      <x:c r="L415" s="84"/>
      <x:c r="M415" s="84"/>
      <x:c r="N415" s="84"/>
      <x:c r="O415" s="84"/>
      <x:c r="P415" s="84"/>
      <x:c r="Q415" s="84"/>
      <x:c r="R415" s="84"/>
      <x:c r="S415" s="84"/>
      <x:c r="T415" s="84"/>
      <x:c r="U415" s="84"/>
      <x:c r="V415" s="84"/>
      <x:c r="W415" s="84"/>
      <x:c r="X415" s="84"/>
      <x:c r="Y415" s="84"/>
      <x:c r="Z415" s="84"/>
    </x:row>
    <x:row r="416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4"/>
      <x:c r="K416" s="84"/>
      <x:c r="L416" s="84"/>
      <x:c r="M416" s="84"/>
      <x:c r="N416" s="84"/>
      <x:c r="O416" s="84"/>
      <x:c r="P416" s="84"/>
      <x:c r="Q416" s="84"/>
      <x:c r="R416" s="84"/>
      <x:c r="S416" s="84"/>
      <x:c r="T416" s="84"/>
      <x:c r="U416" s="84"/>
      <x:c r="V416" s="84"/>
      <x:c r="W416" s="84"/>
      <x:c r="X416" s="84"/>
      <x:c r="Y416" s="84"/>
      <x:c r="Z416" s="84"/>
    </x:row>
    <x:row r="417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4"/>
      <x:c r="K417" s="84"/>
      <x:c r="L417" s="84"/>
      <x:c r="M417" s="84"/>
      <x:c r="N417" s="84"/>
      <x:c r="O417" s="84"/>
      <x:c r="P417" s="84"/>
      <x:c r="Q417" s="84"/>
      <x:c r="R417" s="84"/>
      <x:c r="S417" s="84"/>
      <x:c r="T417" s="84"/>
      <x:c r="U417" s="84"/>
      <x:c r="V417" s="84"/>
      <x:c r="W417" s="84"/>
      <x:c r="X417" s="84"/>
      <x:c r="Y417" s="84"/>
      <x:c r="Z417" s="84"/>
    </x:row>
    <x:row r="418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4"/>
      <x:c r="K418" s="84"/>
      <x:c r="L418" s="84"/>
      <x:c r="M418" s="84"/>
      <x:c r="N418" s="84"/>
      <x:c r="O418" s="84"/>
      <x:c r="P418" s="84"/>
      <x:c r="Q418" s="84"/>
      <x:c r="R418" s="84"/>
      <x:c r="S418" s="84"/>
      <x:c r="T418" s="84"/>
      <x:c r="U418" s="84"/>
      <x:c r="V418" s="84"/>
      <x:c r="W418" s="84"/>
      <x:c r="X418" s="84"/>
      <x:c r="Y418" s="84"/>
      <x:c r="Z418" s="84"/>
    </x:row>
    <x:row r="419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4"/>
      <x:c r="K419" s="84"/>
      <x:c r="L419" s="84"/>
      <x:c r="M419" s="84"/>
      <x:c r="N419" s="84"/>
      <x:c r="O419" s="84"/>
      <x:c r="P419" s="84"/>
      <x:c r="Q419" s="84"/>
      <x:c r="R419" s="84"/>
      <x:c r="S419" s="84"/>
      <x:c r="T419" s="84"/>
      <x:c r="U419" s="84"/>
      <x:c r="V419" s="84"/>
      <x:c r="W419" s="84"/>
      <x:c r="X419" s="84"/>
      <x:c r="Y419" s="84"/>
      <x:c r="Z419" s="84"/>
    </x:row>
    <x:row r="420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4"/>
      <x:c r="K420" s="84"/>
      <x:c r="L420" s="84"/>
      <x:c r="M420" s="84"/>
      <x:c r="N420" s="84"/>
      <x:c r="O420" s="84"/>
      <x:c r="P420" s="84"/>
      <x:c r="Q420" s="84"/>
      <x:c r="R420" s="84"/>
      <x:c r="S420" s="84"/>
      <x:c r="T420" s="84"/>
      <x:c r="U420" s="84"/>
      <x:c r="V420" s="84"/>
      <x:c r="W420" s="84"/>
      <x:c r="X420" s="84"/>
      <x:c r="Y420" s="84"/>
      <x:c r="Z420" s="84"/>
    </x:row>
    <x:row r="42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4"/>
      <x:c r="K421" s="84"/>
      <x:c r="L421" s="84"/>
      <x:c r="M421" s="84"/>
      <x:c r="N421" s="84"/>
      <x:c r="O421" s="84"/>
      <x:c r="P421" s="84"/>
      <x:c r="Q421" s="84"/>
      <x:c r="R421" s="84"/>
      <x:c r="S421" s="84"/>
      <x:c r="T421" s="84"/>
      <x:c r="U421" s="84"/>
      <x:c r="V421" s="84"/>
      <x:c r="W421" s="84"/>
      <x:c r="X421" s="84"/>
      <x:c r="Y421" s="84"/>
      <x:c r="Z421" s="84"/>
    </x:row>
    <x:row r="422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4"/>
      <x:c r="K422" s="84"/>
      <x:c r="L422" s="84"/>
      <x:c r="M422" s="84"/>
      <x:c r="N422" s="84"/>
      <x:c r="O422" s="84"/>
      <x:c r="P422" s="84"/>
      <x:c r="Q422" s="84"/>
      <x:c r="R422" s="84"/>
      <x:c r="S422" s="84"/>
      <x:c r="T422" s="84"/>
      <x:c r="U422" s="84"/>
      <x:c r="V422" s="84"/>
      <x:c r="W422" s="84"/>
      <x:c r="X422" s="84"/>
      <x:c r="Y422" s="84"/>
      <x:c r="Z422" s="84"/>
    </x:row>
    <x:row r="423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4"/>
      <x:c r="K423" s="84"/>
      <x:c r="L423" s="84"/>
      <x:c r="M423" s="84"/>
      <x:c r="N423" s="84"/>
      <x:c r="O423" s="84"/>
      <x:c r="P423" s="84"/>
      <x:c r="Q423" s="84"/>
      <x:c r="R423" s="84"/>
      <x:c r="S423" s="84"/>
      <x:c r="T423" s="84"/>
      <x:c r="U423" s="84"/>
      <x:c r="V423" s="84"/>
      <x:c r="W423" s="84"/>
      <x:c r="X423" s="84"/>
      <x:c r="Y423" s="84"/>
      <x:c r="Z423" s="84"/>
    </x:row>
    <x:row r="424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4"/>
      <x:c r="K424" s="84"/>
      <x:c r="L424" s="84"/>
      <x:c r="M424" s="84"/>
      <x:c r="N424" s="84"/>
      <x:c r="O424" s="84"/>
      <x:c r="P424" s="84"/>
      <x:c r="Q424" s="84"/>
      <x:c r="R424" s="84"/>
      <x:c r="S424" s="84"/>
      <x:c r="T424" s="84"/>
      <x:c r="U424" s="84"/>
      <x:c r="V424" s="84"/>
      <x:c r="W424" s="84"/>
      <x:c r="X424" s="84"/>
      <x:c r="Y424" s="84"/>
      <x:c r="Z424" s="84"/>
    </x:row>
    <x:row r="425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4"/>
      <x:c r="K425" s="84"/>
      <x:c r="L425" s="84"/>
      <x:c r="M425" s="84"/>
      <x:c r="N425" s="84"/>
      <x:c r="O425" s="84"/>
      <x:c r="P425" s="84"/>
      <x:c r="Q425" s="84"/>
      <x:c r="R425" s="84"/>
      <x:c r="S425" s="84"/>
      <x:c r="T425" s="84"/>
      <x:c r="U425" s="84"/>
      <x:c r="V425" s="84"/>
      <x:c r="W425" s="84"/>
      <x:c r="X425" s="84"/>
      <x:c r="Y425" s="84"/>
      <x:c r="Z425" s="84"/>
    </x:row>
    <x:row r="426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4"/>
      <x:c r="K426" s="84"/>
      <x:c r="L426" s="84"/>
      <x:c r="M426" s="84"/>
      <x:c r="N426" s="84"/>
      <x:c r="O426" s="84"/>
      <x:c r="P426" s="84"/>
      <x:c r="Q426" s="84"/>
      <x:c r="R426" s="84"/>
      <x:c r="S426" s="84"/>
      <x:c r="T426" s="84"/>
      <x:c r="U426" s="84"/>
      <x:c r="V426" s="84"/>
      <x:c r="W426" s="84"/>
      <x:c r="X426" s="84"/>
      <x:c r="Y426" s="84"/>
      <x:c r="Z426" s="84"/>
    </x:row>
    <x:row r="427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4"/>
      <x:c r="K427" s="84"/>
      <x:c r="L427" s="84"/>
      <x:c r="M427" s="84"/>
      <x:c r="N427" s="84"/>
      <x:c r="O427" s="84"/>
      <x:c r="P427" s="84"/>
      <x:c r="Q427" s="84"/>
      <x:c r="R427" s="84"/>
      <x:c r="S427" s="84"/>
      <x:c r="T427" s="84"/>
      <x:c r="U427" s="84"/>
      <x:c r="V427" s="84"/>
      <x:c r="W427" s="84"/>
      <x:c r="X427" s="84"/>
      <x:c r="Y427" s="84"/>
      <x:c r="Z427" s="84"/>
    </x:row>
    <x:row r="428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4"/>
      <x:c r="K428" s="84"/>
      <x:c r="L428" s="84"/>
      <x:c r="M428" s="84"/>
      <x:c r="N428" s="84"/>
      <x:c r="O428" s="84"/>
      <x:c r="P428" s="84"/>
      <x:c r="Q428" s="84"/>
      <x:c r="R428" s="84"/>
      <x:c r="S428" s="84"/>
      <x:c r="T428" s="84"/>
      <x:c r="U428" s="84"/>
      <x:c r="V428" s="84"/>
      <x:c r="W428" s="84"/>
      <x:c r="X428" s="84"/>
      <x:c r="Y428" s="84"/>
      <x:c r="Z428" s="84"/>
    </x:row>
    <x:row r="429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4"/>
      <x:c r="K429" s="84"/>
      <x:c r="L429" s="84"/>
      <x:c r="M429" s="84"/>
      <x:c r="N429" s="84"/>
      <x:c r="O429" s="84"/>
      <x:c r="P429" s="84"/>
      <x:c r="Q429" s="84"/>
      <x:c r="R429" s="84"/>
      <x:c r="S429" s="84"/>
      <x:c r="T429" s="84"/>
      <x:c r="U429" s="84"/>
      <x:c r="V429" s="84"/>
      <x:c r="W429" s="84"/>
      <x:c r="X429" s="84"/>
      <x:c r="Y429" s="84"/>
      <x:c r="Z429" s="84"/>
    </x:row>
    <x:row r="430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4"/>
      <x:c r="K430" s="84"/>
      <x:c r="L430" s="84"/>
      <x:c r="M430" s="84"/>
      <x:c r="N430" s="84"/>
      <x:c r="O430" s="84"/>
      <x:c r="P430" s="84"/>
      <x:c r="Q430" s="84"/>
      <x:c r="R430" s="84"/>
      <x:c r="S430" s="84"/>
      <x:c r="T430" s="84"/>
      <x:c r="U430" s="84"/>
      <x:c r="V430" s="84"/>
      <x:c r="W430" s="84"/>
      <x:c r="X430" s="84"/>
      <x:c r="Y430" s="84"/>
      <x:c r="Z430" s="84"/>
    </x:row>
    <x:row r="43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4"/>
      <x:c r="K431" s="84"/>
      <x:c r="L431" s="84"/>
      <x:c r="M431" s="84"/>
      <x:c r="N431" s="84"/>
      <x:c r="O431" s="84"/>
      <x:c r="P431" s="84"/>
      <x:c r="Q431" s="84"/>
      <x:c r="R431" s="84"/>
      <x:c r="S431" s="84"/>
      <x:c r="T431" s="84"/>
      <x:c r="U431" s="84"/>
      <x:c r="V431" s="84"/>
      <x:c r="W431" s="84"/>
      <x:c r="X431" s="84"/>
      <x:c r="Y431" s="84"/>
      <x:c r="Z431" s="84"/>
    </x:row>
    <x:row r="432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4"/>
      <x:c r="K432" s="84"/>
      <x:c r="L432" s="84"/>
      <x:c r="M432" s="84"/>
      <x:c r="N432" s="84"/>
      <x:c r="O432" s="84"/>
      <x:c r="P432" s="84"/>
      <x:c r="Q432" s="84"/>
      <x:c r="R432" s="84"/>
      <x:c r="S432" s="84"/>
      <x:c r="T432" s="84"/>
      <x:c r="U432" s="84"/>
      <x:c r="V432" s="84"/>
      <x:c r="W432" s="84"/>
      <x:c r="X432" s="84"/>
      <x:c r="Y432" s="84"/>
      <x:c r="Z432" s="84"/>
    </x:row>
    <x:row r="433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4"/>
      <x:c r="K433" s="84"/>
      <x:c r="L433" s="84"/>
      <x:c r="M433" s="84"/>
      <x:c r="N433" s="84"/>
      <x:c r="O433" s="84"/>
      <x:c r="P433" s="84"/>
      <x:c r="Q433" s="84"/>
      <x:c r="R433" s="84"/>
      <x:c r="S433" s="84"/>
      <x:c r="T433" s="84"/>
      <x:c r="U433" s="84"/>
      <x:c r="V433" s="84"/>
      <x:c r="W433" s="84"/>
      <x:c r="X433" s="84"/>
      <x:c r="Y433" s="84"/>
      <x:c r="Z433" s="84"/>
    </x:row>
    <x:row r="434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4"/>
      <x:c r="K434" s="84"/>
      <x:c r="L434" s="84"/>
      <x:c r="M434" s="84"/>
      <x:c r="N434" s="84"/>
      <x:c r="O434" s="84"/>
      <x:c r="P434" s="84"/>
      <x:c r="Q434" s="84"/>
      <x:c r="R434" s="84"/>
      <x:c r="S434" s="84"/>
      <x:c r="T434" s="84"/>
      <x:c r="U434" s="84"/>
      <x:c r="V434" s="84"/>
      <x:c r="W434" s="84"/>
      <x:c r="X434" s="84"/>
      <x:c r="Y434" s="84"/>
      <x:c r="Z434" s="84"/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1" hidden="0" customWidth="1"/>
    <x:col min="5" max="5" width="14" hidden="0" customWidth="1"/>
    <x:col min="6" max="6" width="14" hidden="0" customWidth="1"/>
    <x:col min="7" max="7" width="42" hidden="0" customWidth="1"/>
    <x:col min="8" max="8" width="18" hidden="0" customWidth="1"/>
    <x:col min="9" max="9" width="18" hidden="0" customWidth="1"/>
    <x:col min="10" max="10" width="15" hidden="0" customWidth="1"/>
    <x:col min="11" max="11" width="20" hidden="0" customWidth="1"/>
    <x:col min="12" max="12" width="20" hidden="0" customWidth="1"/>
    <x:col min="13" max="13" width="14" hidden="0" customWidth="1"/>
    <x:col min="14" max="14" width="12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15" hidden="0" customWidth="1"/>
    <x:col min="20" max="20" width="15" hidden="0" customWidth="1"/>
    <x:col min="21" max="21" width="14" hidden="0" customWidth="1"/>
    <x:col min="22" max="22" width="12" hidden="0" customWidth="1"/>
    <x:col min="23" max="23" width="12" hidden="0" customWidth="1"/>
    <x:col min="24" max="24" width="15" hidden="0" customWidth="1"/>
    <x:col min="25" max="25" width="24" hidden="0" customWidth="1"/>
    <x:col min="26" max="26" width="12" hidden="0" customWidth="1"/>
  </x:cols>
  <x:sheetData>
    <x:row r="1" ht="30" customHeight="1">
      <x:c r="A1" s="151" t="str">
        <x:v>PROGRAMAÇÃO DE PRODUÇÃO | EXPEDIÇÃO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223"/>
      <x:c r="R1" s="151"/>
      <x:c r="S1" s="151"/>
      <x:c r="T1" s="151"/>
      <x:c r="U1" s="151"/>
      <x:c r="V1" s="151"/>
      <x:c r="W1" s="224"/>
      <x:c r="X1" s="151"/>
      <x:c r="Y1" s="151"/>
      <x:c r="Z1" s="151"/>
    </x:row>
    <x:row r="2" ht="24" customHeight="1">
      <x:c r="A2" s="156" t="str">
        <x:v>Data:</x:v>
      </x:c>
      <x:c r="B2" s="156" t="str"/>
      <x:c r="C2" s="156" t="str">
        <x:v>Setor:</x:v>
      </x:c>
      <x:c r="D2" s="156" t="str">
        <x:v>EXPEDIÇÃO</x:v>
      </x:c>
      <x:c r="E2" s="156" t="str">
        <x:v>Líder:</x:v>
      </x:c>
      <x:c r="F2" s="156" t="str"/>
      <x:c r="G2" s="156" t="str">
        <x:v>Máquina/Linha:</x:v>
      </x:c>
      <x:c r="H2" s="156" t="str"/>
      <x:c r="I2" s="156" t="str">
        <x:v>Turno:</x:v>
      </x:c>
      <x:c r="J2" s="156" t="str"/>
      <x:c r="K2" s="156" t="str">
        <x:v>Ordem:</x:v>
      </x:c>
      <x:c r="L2" s="156" t="str">
        <x:v>MAIOR → MENOR</x:v>
      </x:c>
      <x:c r="M2" s="157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</x:row>
    <x:row r="4" ht="34" customHeight="1">
      <x:c r="A4" s="164" t="str">
        <x:v>Seq.</x:v>
      </x:c>
      <x:c r="B4" s="165" t="str">
        <x:v>Pedido</x:v>
      </x:c>
      <x:c r="C4" s="165" t="str">
        <x:v>Item</x:v>
      </x:c>
      <x:c r="D4" s="165" t="str">
        <x:v>OF</x:v>
      </x:c>
      <x:c r="E4" s="165" t="str">
        <x:v>Produto</x:v>
      </x:c>
      <x:c r="F4" s="165" t="str">
        <x:v>Família</x:v>
      </x:c>
      <x:c r="G4" s="165" t="str">
        <x:v>Descrição</x:v>
      </x:c>
      <x:c r="H4" s="165" t="str">
        <x:v>Tipo</x:v>
      </x:c>
      <x:c r="I4" s="165" t="str">
        <x:v>Canal</x:v>
      </x:c>
      <x:c r="J4" s="165" t="str">
        <x:v>Rebaixo</x:v>
      </x:c>
      <x:c r="K4" s="165" t="str">
        <x:v>Acabamento</x:v>
      </x:c>
      <x:c r="L4" s="165" t="str">
        <x:v>Cor</x:v>
      </x:c>
      <x:c r="M4" s="165" t="str">
        <x:v>Qtd Programada</x:v>
      </x:c>
      <x:c r="N4" s="165" t="str">
        <x:v>Comprimento</x:v>
      </x:c>
      <x:c r="O4" s="165" t="str">
        <x:v>Largura</x:v>
      </x:c>
      <x:c r="P4" s="165" t="str">
        <x:v>Espessura</x:v>
      </x:c>
      <x:c r="Q4" s="165" t="str">
        <x:v>m³</x:v>
      </x:c>
      <x:c r="R4" s="165" t="str">
        <x:v>Turno</x:v>
      </x:c>
      <x:c r="S4" s="165" t="str">
        <x:v>Máquina</x:v>
      </x:c>
      <x:c r="T4" s="165" t="str">
        <x:v>Líder</x:v>
      </x:c>
      <x:c r="U4" s="165" t="str">
        <x:v>Qtd Produzida</x:v>
      </x:c>
      <x:c r="V4" s="165" t="str">
        <x:v>Saldo</x:v>
      </x:c>
      <x:c r="W4" s="165" t="str">
        <x:v>% Concluído</x:v>
      </x:c>
      <x:c r="X4" s="165" t="str">
        <x:v>Status</x:v>
      </x:c>
      <x:c r="Y4" s="165" t="str">
        <x:v>Observação</x:v>
      </x:c>
      <x:c r="Z4" s="166" t="str">
        <x:v>Prioridade</x:v>
      </x:c>
    </x:row>
    <x:row r="5">
      <x:c r="A5" s="117"/>
      <x:c r="B5" s="118"/>
      <x:c r="C5" s="118"/>
      <x:c r="D5" s="118"/>
      <x:c r="E5" s="118"/>
      <x:c r="F5" s="118"/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  <x:c r="Z5" s="127"/>
    </x:row>
    <x:row r="6">
      <x:c r="A6" s="84"/>
      <x:c r="B6" s="84"/>
      <x:c r="C6" s="84"/>
      <x:c r="D6" s="84"/>
      <x:c r="E6" s="84"/>
      <x:c r="F6" s="84"/>
      <x:c r="G6" s="84"/>
      <x:c r="H6" s="84"/>
      <x:c r="I6" s="84"/>
      <x:c r="J6" s="84"/>
      <x:c r="K6" s="84"/>
      <x:c r="L6" s="84"/>
      <x:c r="M6" s="84"/>
      <x:c r="N6" s="84"/>
      <x:c r="O6" s="84"/>
      <x:c r="P6" s="84"/>
      <x:c r="Q6" s="84"/>
      <x:c r="R6" s="84"/>
      <x:c r="S6" s="84"/>
      <x:c r="T6" s="84"/>
      <x:c r="U6" s="84"/>
      <x:c r="V6" s="84"/>
      <x:c r="W6" s="84"/>
      <x:c r="X6" s="84"/>
      <x:c r="Y6" s="84"/>
      <x:c r="Z6" s="84"/>
    </x:row>
    <x:row r="7">
      <x:c r="A7" s="84"/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  <x:c r="S7" s="84"/>
      <x:c r="T7" s="84"/>
      <x:c r="U7" s="84"/>
      <x:c r="V7" s="84"/>
      <x:c r="W7" s="84"/>
      <x:c r="X7" s="84"/>
      <x:c r="Y7" s="84"/>
      <x:c r="Z7" s="84"/>
    </x:row>
    <x:row r="8">
      <x:c r="A8" s="84"/>
      <x:c r="B8" s="84"/>
      <x:c r="C8" s="84"/>
      <x:c r="D8" s="84"/>
      <x:c r="E8" s="84"/>
      <x:c r="F8" s="84"/>
      <x:c r="G8" s="84"/>
      <x:c r="H8" s="84"/>
      <x:c r="I8" s="84"/>
      <x:c r="J8" s="84"/>
      <x:c r="K8" s="84"/>
      <x:c r="L8" s="84"/>
      <x:c r="M8" s="84"/>
      <x:c r="N8" s="84"/>
      <x:c r="O8" s="84"/>
      <x:c r="P8" s="84"/>
      <x:c r="Q8" s="84"/>
      <x:c r="R8" s="84"/>
      <x:c r="S8" s="84"/>
      <x:c r="T8" s="84"/>
      <x:c r="U8" s="84"/>
      <x:c r="V8" s="84"/>
      <x:c r="W8" s="84"/>
      <x:c r="X8" s="84"/>
      <x:c r="Y8" s="84"/>
      <x:c r="Z8" s="84"/>
    </x:row>
    <x:row r="9">
      <x:c r="A9" s="84"/>
      <x:c r="B9" s="84"/>
      <x:c r="C9" s="84"/>
      <x:c r="D9" s="84"/>
      <x:c r="E9" s="84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84"/>
      <x:c r="S9" s="84"/>
      <x:c r="T9" s="84"/>
      <x:c r="U9" s="84"/>
      <x:c r="V9" s="84"/>
      <x:c r="W9" s="84"/>
      <x:c r="X9" s="84"/>
      <x:c r="Y9" s="84"/>
      <x:c r="Z9" s="84"/>
    </x:row>
    <x:row r="10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  <x:c r="O10" s="84"/>
      <x:c r="P10" s="84"/>
      <x:c r="Q10" s="84"/>
      <x:c r="R10" s="84"/>
      <x:c r="S10" s="84"/>
      <x:c r="T10" s="84"/>
      <x:c r="U10" s="84"/>
      <x:c r="V10" s="84"/>
      <x:c r="W10" s="84"/>
      <x:c r="X10" s="84"/>
      <x:c r="Y10" s="84"/>
      <x:c r="Z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  <x:c r="Q11" s="84"/>
      <x:c r="R11" s="84"/>
      <x:c r="S11" s="84"/>
      <x:c r="T11" s="84"/>
      <x:c r="U11" s="84"/>
      <x:c r="V11" s="84"/>
      <x:c r="W11" s="84"/>
      <x:c r="X11" s="84"/>
      <x:c r="Y11" s="84"/>
      <x:c r="Z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  <x:c r="N12" s="84"/>
      <x:c r="O12" s="84"/>
      <x:c r="P12" s="84"/>
      <x:c r="Q12" s="84"/>
      <x:c r="R12" s="84"/>
      <x:c r="S12" s="84"/>
      <x:c r="T12" s="84"/>
      <x:c r="U12" s="84"/>
      <x:c r="V12" s="84"/>
      <x:c r="W12" s="84"/>
      <x:c r="X12" s="84"/>
      <x:c r="Y12" s="84"/>
      <x:c r="Z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84"/>
      <x:c r="S13" s="84"/>
      <x:c r="T13" s="84"/>
      <x:c r="U13" s="84"/>
      <x:c r="V13" s="84"/>
      <x:c r="W13" s="84"/>
      <x:c r="X13" s="84"/>
      <x:c r="Y13" s="84"/>
      <x:c r="Z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  <x:c r="N14" s="84"/>
      <x:c r="O14" s="84"/>
      <x:c r="P14" s="84"/>
      <x:c r="Q14" s="84"/>
      <x:c r="R14" s="84"/>
      <x:c r="S14" s="84"/>
      <x:c r="T14" s="84"/>
      <x:c r="U14" s="84"/>
      <x:c r="V14" s="84"/>
      <x:c r="W14" s="84"/>
      <x:c r="X14" s="84"/>
      <x:c r="Y14" s="84"/>
      <x:c r="Z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  <x:c r="M15" s="84"/>
      <x:c r="N15" s="84"/>
      <x:c r="O15" s="84"/>
      <x:c r="P15" s="84"/>
      <x:c r="Q15" s="84"/>
      <x:c r="R15" s="84"/>
      <x:c r="S15" s="84"/>
      <x:c r="T15" s="84"/>
      <x:c r="U15" s="84"/>
      <x:c r="V15" s="84"/>
      <x:c r="W15" s="84"/>
      <x:c r="X15" s="84"/>
      <x:c r="Y15" s="84"/>
      <x:c r="Z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  <x:c r="K16" s="84"/>
      <x:c r="L16" s="84"/>
      <x:c r="M16" s="84"/>
      <x:c r="N16" s="84"/>
      <x:c r="O16" s="84"/>
      <x:c r="P16" s="84"/>
      <x:c r="Q16" s="84"/>
      <x:c r="R16" s="84"/>
      <x:c r="S16" s="84"/>
      <x:c r="T16" s="84"/>
      <x:c r="U16" s="84"/>
      <x:c r="V16" s="84"/>
      <x:c r="W16" s="84"/>
      <x:c r="X16" s="84"/>
      <x:c r="Y16" s="84"/>
      <x:c r="Z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84"/>
      <x:c r="S17" s="84"/>
      <x:c r="T17" s="84"/>
      <x:c r="U17" s="84"/>
      <x:c r="V17" s="84"/>
      <x:c r="W17" s="84"/>
      <x:c r="X17" s="84"/>
      <x:c r="Y17" s="84"/>
      <x:c r="Z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  <x:c r="K18" s="84"/>
      <x:c r="L18" s="84"/>
      <x:c r="M18" s="84"/>
      <x:c r="N18" s="84"/>
      <x:c r="O18" s="84"/>
      <x:c r="P18" s="84"/>
      <x:c r="Q18" s="84"/>
      <x:c r="R18" s="84"/>
      <x:c r="S18" s="84"/>
      <x:c r="T18" s="84"/>
      <x:c r="U18" s="84"/>
      <x:c r="V18" s="84"/>
      <x:c r="W18" s="84"/>
      <x:c r="X18" s="84"/>
      <x:c r="Y18" s="84"/>
      <x:c r="Z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84"/>
      <x:c r="S19" s="84"/>
      <x:c r="T19" s="84"/>
      <x:c r="U19" s="84"/>
      <x:c r="V19" s="84"/>
      <x:c r="W19" s="84"/>
      <x:c r="X19" s="84"/>
      <x:c r="Y19" s="84"/>
      <x:c r="Z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  <x:c r="K20" s="84"/>
      <x:c r="L20" s="84"/>
      <x:c r="M20" s="84"/>
      <x:c r="N20" s="84"/>
      <x:c r="O20" s="84"/>
      <x:c r="P20" s="84"/>
      <x:c r="Q20" s="84"/>
      <x:c r="R20" s="84"/>
      <x:c r="S20" s="84"/>
      <x:c r="T20" s="84"/>
      <x:c r="U20" s="84"/>
      <x:c r="V20" s="84"/>
      <x:c r="W20" s="84"/>
      <x:c r="X20" s="84"/>
      <x:c r="Y20" s="84"/>
      <x:c r="Z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84"/>
      <x:c r="S21" s="84"/>
      <x:c r="T21" s="84"/>
      <x:c r="U21" s="84"/>
      <x:c r="V21" s="84"/>
      <x:c r="W21" s="84"/>
      <x:c r="X21" s="84"/>
      <x:c r="Y21" s="84"/>
      <x:c r="Z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84"/>
      <x:c r="S22" s="84"/>
      <x:c r="T22" s="84"/>
      <x:c r="U22" s="84"/>
      <x:c r="V22" s="84"/>
      <x:c r="W22" s="84"/>
      <x:c r="X22" s="84"/>
      <x:c r="Y22" s="84"/>
      <x:c r="Z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  <x:c r="O23" s="84"/>
      <x:c r="P23" s="84"/>
      <x:c r="Q23" s="84"/>
      <x:c r="R23" s="84"/>
      <x:c r="S23" s="84"/>
      <x:c r="T23" s="84"/>
      <x:c r="U23" s="84"/>
      <x:c r="V23" s="84"/>
      <x:c r="W23" s="84"/>
      <x:c r="X23" s="84"/>
      <x:c r="Y23" s="84"/>
      <x:c r="Z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84"/>
      <x:c r="S24" s="84"/>
      <x:c r="T24" s="84"/>
      <x:c r="U24" s="84"/>
      <x:c r="V24" s="84"/>
      <x:c r="W24" s="84"/>
      <x:c r="X24" s="84"/>
      <x:c r="Y24" s="84"/>
      <x:c r="Z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84"/>
      <x:c r="S25" s="84"/>
      <x:c r="T25" s="84"/>
      <x:c r="U25" s="84"/>
      <x:c r="V25" s="84"/>
      <x:c r="W25" s="84"/>
      <x:c r="X25" s="84"/>
      <x:c r="Y25" s="84"/>
      <x:c r="Z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  <x:c r="O26" s="84"/>
      <x:c r="P26" s="84"/>
      <x:c r="Q26" s="84"/>
      <x:c r="R26" s="84"/>
      <x:c r="S26" s="84"/>
      <x:c r="T26" s="84"/>
      <x:c r="U26" s="84"/>
      <x:c r="V26" s="84"/>
      <x:c r="W26" s="84"/>
      <x:c r="X26" s="84"/>
      <x:c r="Y26" s="84"/>
      <x:c r="Z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84"/>
      <x:c r="S27" s="84"/>
      <x:c r="T27" s="84"/>
      <x:c r="U27" s="84"/>
      <x:c r="V27" s="84"/>
      <x:c r="W27" s="84"/>
      <x:c r="X27" s="84"/>
      <x:c r="Y27" s="84"/>
      <x:c r="Z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84"/>
      <x:c r="S28" s="84"/>
      <x:c r="T28" s="84"/>
      <x:c r="U28" s="84"/>
      <x:c r="V28" s="84"/>
      <x:c r="W28" s="84"/>
      <x:c r="X28" s="84"/>
      <x:c r="Y28" s="84"/>
      <x:c r="Z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  <x:c r="O29" s="84"/>
      <x:c r="P29" s="84"/>
      <x:c r="Q29" s="84"/>
      <x:c r="R29" s="84"/>
      <x:c r="S29" s="84"/>
      <x:c r="T29" s="84"/>
      <x:c r="U29" s="84"/>
      <x:c r="V29" s="84"/>
      <x:c r="W29" s="84"/>
      <x:c r="X29" s="84"/>
      <x:c r="Y29" s="84"/>
      <x:c r="Z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84"/>
      <x:c r="S30" s="84"/>
      <x:c r="T30" s="84"/>
      <x:c r="U30" s="84"/>
      <x:c r="V30" s="84"/>
      <x:c r="W30" s="84"/>
      <x:c r="X30" s="84"/>
      <x:c r="Y30" s="84"/>
      <x:c r="Z30" s="84"/>
    </x:row>
    <x:row r="31">
      <x:c r="A31" s="84"/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84"/>
      <x:c r="S31" s="84"/>
      <x:c r="T31" s="84"/>
      <x:c r="U31" s="84"/>
      <x:c r="V31" s="84"/>
      <x:c r="W31" s="84"/>
      <x:c r="X31" s="84"/>
      <x:c r="Y31" s="84"/>
      <x:c r="Z31" s="84"/>
    </x:row>
    <x:row r="32">
      <x:c r="A32" s="84"/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84"/>
      <x:c r="S32" s="84"/>
      <x:c r="T32" s="84"/>
      <x:c r="U32" s="84"/>
      <x:c r="V32" s="84"/>
      <x:c r="W32" s="84"/>
      <x:c r="X32" s="84"/>
      <x:c r="Y32" s="84"/>
      <x:c r="Z32" s="84"/>
    </x:row>
    <x:row r="33">
      <x:c r="A33" s="84"/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  <x:c r="O33" s="84"/>
      <x:c r="P33" s="84"/>
      <x:c r="Q33" s="84"/>
      <x:c r="R33" s="84"/>
      <x:c r="S33" s="84"/>
      <x:c r="T33" s="84"/>
      <x:c r="U33" s="84"/>
      <x:c r="V33" s="84"/>
      <x:c r="W33" s="84"/>
      <x:c r="X33" s="84"/>
      <x:c r="Y33" s="84"/>
      <x:c r="Z33" s="84"/>
    </x:row>
    <x:row r="34">
      <x:c r="A34" s="84"/>
      <x:c r="B34" s="84"/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  <x:c r="O34" s="84"/>
      <x:c r="P34" s="84"/>
      <x:c r="Q34" s="84"/>
      <x:c r="R34" s="84"/>
      <x:c r="S34" s="84"/>
      <x:c r="T34" s="84"/>
      <x:c r="U34" s="84"/>
      <x:c r="V34" s="84"/>
      <x:c r="W34" s="84"/>
      <x:c r="X34" s="84"/>
      <x:c r="Y34" s="84"/>
      <x:c r="Z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  <x:c r="O35" s="84"/>
      <x:c r="P35" s="84"/>
      <x:c r="Q35" s="84"/>
      <x:c r="R35" s="84"/>
      <x:c r="S35" s="84"/>
      <x:c r="T35" s="84"/>
      <x:c r="U35" s="84"/>
      <x:c r="V35" s="84"/>
      <x:c r="W35" s="84"/>
      <x:c r="X35" s="84"/>
      <x:c r="Y35" s="84"/>
      <x:c r="Z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  <x:c r="O36" s="84"/>
      <x:c r="P36" s="84"/>
      <x:c r="Q36" s="84"/>
      <x:c r="R36" s="84"/>
      <x:c r="S36" s="84"/>
      <x:c r="T36" s="84"/>
      <x:c r="U36" s="84"/>
      <x:c r="V36" s="84"/>
      <x:c r="W36" s="84"/>
      <x:c r="X36" s="84"/>
      <x:c r="Y36" s="84"/>
      <x:c r="Z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84"/>
      <x:c r="S37" s="84"/>
      <x:c r="T37" s="84"/>
      <x:c r="U37" s="84"/>
      <x:c r="V37" s="84"/>
      <x:c r="W37" s="84"/>
      <x:c r="X37" s="84"/>
      <x:c r="Y37" s="84"/>
      <x:c r="Z37" s="84"/>
    </x:row>
    <x:row r="38">
      <x:c r="A38" s="84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4"/>
      <x:c r="Q38" s="84"/>
      <x:c r="R38" s="84"/>
      <x:c r="S38" s="84"/>
      <x:c r="T38" s="84"/>
      <x:c r="U38" s="84"/>
      <x:c r="V38" s="84"/>
      <x:c r="W38" s="84"/>
      <x:c r="X38" s="84"/>
      <x:c r="Y38" s="84"/>
      <x:c r="Z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84"/>
      <x:c r="W39" s="84"/>
      <x:c r="X39" s="84"/>
      <x:c r="Y39" s="84"/>
      <x:c r="Z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  <x:c r="O40" s="84"/>
      <x:c r="P40" s="84"/>
      <x:c r="Q40" s="84"/>
      <x:c r="R40" s="84"/>
      <x:c r="S40" s="84"/>
      <x:c r="T40" s="84"/>
      <x:c r="U40" s="84"/>
      <x:c r="V40" s="84"/>
      <x:c r="W40" s="84"/>
      <x:c r="X40" s="84"/>
      <x:c r="Y40" s="84"/>
      <x:c r="Z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  <x:c r="O41" s="84"/>
      <x:c r="P41" s="84"/>
      <x:c r="Q41" s="84"/>
      <x:c r="R41" s="84"/>
      <x:c r="S41" s="84"/>
      <x:c r="T41" s="84"/>
      <x:c r="U41" s="84"/>
      <x:c r="V41" s="84"/>
      <x:c r="W41" s="84"/>
      <x:c r="X41" s="84"/>
      <x:c r="Y41" s="84"/>
      <x:c r="Z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  <x:c r="O42" s="84"/>
      <x:c r="P42" s="84"/>
      <x:c r="Q42" s="84"/>
      <x:c r="R42" s="84"/>
      <x:c r="S42" s="84"/>
      <x:c r="T42" s="84"/>
      <x:c r="U42" s="84"/>
      <x:c r="V42" s="84"/>
      <x:c r="W42" s="84"/>
      <x:c r="X42" s="84"/>
      <x:c r="Y42" s="84"/>
      <x:c r="Z42" s="84"/>
    </x:row>
    <x:row r="43">
      <x:c r="A43" s="84"/>
      <x:c r="B43" s="84"/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  <x:c r="O43" s="84"/>
      <x:c r="P43" s="84"/>
      <x:c r="Q43" s="84"/>
      <x:c r="R43" s="84"/>
      <x:c r="S43" s="84"/>
      <x:c r="T43" s="84"/>
      <x:c r="U43" s="84"/>
      <x:c r="V43" s="84"/>
      <x:c r="W43" s="84"/>
      <x:c r="X43" s="84"/>
      <x:c r="Y43" s="84"/>
      <x:c r="Z43" s="84"/>
    </x:row>
    <x:row r="44">
      <x:c r="A44" s="84"/>
      <x:c r="B44" s="84"/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84"/>
      <x:c r="S44" s="84"/>
      <x:c r="T44" s="84"/>
      <x:c r="U44" s="84"/>
      <x:c r="V44" s="84"/>
      <x:c r="W44" s="84"/>
      <x:c r="X44" s="84"/>
      <x:c r="Y44" s="84"/>
      <x:c r="Z44" s="84"/>
    </x:row>
    <x:row r="45">
      <x:c r="A45" s="84"/>
      <x:c r="B45" s="84"/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  <x:c r="O45" s="84"/>
      <x:c r="P45" s="84"/>
      <x:c r="Q45" s="84"/>
      <x:c r="R45" s="84"/>
      <x:c r="S45" s="84"/>
      <x:c r="T45" s="84"/>
      <x:c r="U45" s="84"/>
      <x:c r="V45" s="84"/>
      <x:c r="W45" s="84"/>
      <x:c r="X45" s="84"/>
      <x:c r="Y45" s="84"/>
      <x:c r="Z45" s="84"/>
    </x:row>
    <x:row r="46">
      <x:c r="A46" s="84"/>
      <x:c r="B46" s="84"/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  <x:c r="O46" s="84"/>
      <x:c r="P46" s="84"/>
      <x:c r="Q46" s="84"/>
      <x:c r="R46" s="84"/>
      <x:c r="S46" s="84"/>
      <x:c r="T46" s="84"/>
      <x:c r="U46" s="84"/>
      <x:c r="V46" s="84"/>
      <x:c r="W46" s="84"/>
      <x:c r="X46" s="84"/>
      <x:c r="Y46" s="84"/>
      <x:c r="Z46" s="84"/>
    </x:row>
    <x:row r="47">
      <x:c r="A47" s="84"/>
      <x:c r="B47" s="84"/>
      <x:c r="C47" s="84"/>
      <x:c r="D47" s="84"/>
      <x:c r="E47" s="84"/>
      <x:c r="F47" s="84"/>
      <x:c r="G47" s="84"/>
      <x:c r="H47" s="84"/>
      <x:c r="I47" s="84"/>
      <x:c r="J47" s="84"/>
      <x:c r="K47" s="84"/>
      <x:c r="L47" s="84"/>
      <x:c r="M47" s="84"/>
      <x:c r="N47" s="84"/>
      <x:c r="O47" s="84"/>
      <x:c r="P47" s="84"/>
      <x:c r="Q47" s="84"/>
      <x:c r="R47" s="84"/>
      <x:c r="S47" s="84"/>
      <x:c r="T47" s="84"/>
      <x:c r="U47" s="84"/>
      <x:c r="V47" s="84"/>
      <x:c r="W47" s="84"/>
      <x:c r="X47" s="84"/>
      <x:c r="Y47" s="84"/>
      <x:c r="Z47" s="84"/>
    </x:row>
    <x:row r="48">
      <x:c r="A48" s="84"/>
      <x:c r="B48" s="84"/>
      <x:c r="C48" s="84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84"/>
      <x:c r="S48" s="84"/>
      <x:c r="T48" s="84"/>
      <x:c r="U48" s="84"/>
      <x:c r="V48" s="84"/>
      <x:c r="W48" s="84"/>
      <x:c r="X48" s="84"/>
      <x:c r="Y48" s="84"/>
      <x:c r="Z48" s="84"/>
    </x:row>
    <x:row r="49">
      <x:c r="A49" s="84"/>
      <x:c r="B49" s="84"/>
      <x:c r="C49" s="84"/>
      <x:c r="D49" s="84"/>
      <x:c r="E49" s="84"/>
      <x:c r="F49" s="84"/>
      <x:c r="G49" s="84"/>
      <x:c r="H49" s="84"/>
      <x:c r="I49" s="84"/>
      <x:c r="J49" s="84"/>
      <x:c r="K49" s="84"/>
      <x:c r="L49" s="84"/>
      <x:c r="M49" s="84"/>
      <x:c r="N49" s="84"/>
      <x:c r="O49" s="84"/>
      <x:c r="P49" s="84"/>
      <x:c r="Q49" s="84"/>
      <x:c r="R49" s="84"/>
      <x:c r="S49" s="84"/>
      <x:c r="T49" s="84"/>
      <x:c r="U49" s="84"/>
      <x:c r="V49" s="84"/>
      <x:c r="W49" s="84"/>
      <x:c r="X49" s="84"/>
      <x:c r="Y49" s="84"/>
      <x:c r="Z49" s="84"/>
    </x:row>
    <x:row r="50">
      <x:c r="A50" s="84"/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  <x:c r="M50" s="84"/>
      <x:c r="N50" s="84"/>
      <x:c r="O50" s="84"/>
      <x:c r="P50" s="84"/>
      <x:c r="Q50" s="84"/>
      <x:c r="R50" s="84"/>
      <x:c r="S50" s="84"/>
      <x:c r="T50" s="84"/>
      <x:c r="U50" s="84"/>
      <x:c r="V50" s="84"/>
      <x:c r="W50" s="84"/>
      <x:c r="X50" s="84"/>
      <x:c r="Y50" s="84"/>
      <x:c r="Z50" s="84"/>
    </x:row>
    <x:row r="51">
      <x:c r="A51" s="84"/>
      <x:c r="B51" s="84"/>
      <x:c r="C51" s="84"/>
      <x:c r="D51" s="84"/>
      <x:c r="E51" s="84"/>
      <x:c r="F51" s="84"/>
      <x:c r="G51" s="84"/>
      <x:c r="H51" s="84"/>
      <x:c r="I51" s="84"/>
      <x:c r="J51" s="84"/>
      <x:c r="K51" s="84"/>
      <x:c r="L51" s="84"/>
      <x:c r="M51" s="84"/>
      <x:c r="N51" s="84"/>
      <x:c r="O51" s="84"/>
      <x:c r="P51" s="84"/>
      <x:c r="Q51" s="84"/>
      <x:c r="R51" s="84"/>
      <x:c r="S51" s="84"/>
      <x:c r="T51" s="84"/>
      <x:c r="U51" s="84"/>
      <x:c r="V51" s="84"/>
      <x:c r="W51" s="84"/>
      <x:c r="X51" s="84"/>
      <x:c r="Y51" s="84"/>
      <x:c r="Z51" s="84"/>
    </x:row>
    <x:row r="52">
      <x:c r="A52" s="84"/>
      <x:c r="B52" s="84"/>
      <x:c r="C52" s="84"/>
      <x:c r="D52" s="84"/>
      <x:c r="E52" s="84"/>
      <x:c r="F52" s="84"/>
      <x:c r="G52" s="84"/>
      <x:c r="H52" s="84"/>
      <x:c r="I52" s="84"/>
      <x:c r="J52" s="84"/>
      <x:c r="K52" s="84"/>
      <x:c r="L52" s="84"/>
      <x:c r="M52" s="84"/>
      <x:c r="N52" s="84"/>
      <x:c r="O52" s="84"/>
      <x:c r="P52" s="84"/>
      <x:c r="Q52" s="84"/>
      <x:c r="R52" s="84"/>
      <x:c r="S52" s="84"/>
      <x:c r="T52" s="84"/>
      <x:c r="U52" s="84"/>
      <x:c r="V52" s="84"/>
      <x:c r="W52" s="84"/>
      <x:c r="X52" s="84"/>
      <x:c r="Y52" s="84"/>
      <x:c r="Z52" s="84"/>
    </x:row>
    <x:row r="53">
      <x:c r="A53" s="84"/>
      <x:c r="B53" s="84"/>
      <x:c r="C53" s="84"/>
      <x:c r="D53" s="84"/>
      <x:c r="E53" s="84"/>
      <x:c r="F53" s="84"/>
      <x:c r="G53" s="84"/>
      <x:c r="H53" s="84"/>
      <x:c r="I53" s="84"/>
      <x:c r="J53" s="84"/>
      <x:c r="K53" s="84"/>
      <x:c r="L53" s="84"/>
      <x:c r="M53" s="84"/>
      <x:c r="N53" s="84"/>
      <x:c r="O53" s="84"/>
      <x:c r="P53" s="84"/>
      <x:c r="Q53" s="84"/>
      <x:c r="R53" s="84"/>
      <x:c r="S53" s="84"/>
      <x:c r="T53" s="84"/>
      <x:c r="U53" s="84"/>
      <x:c r="V53" s="84"/>
      <x:c r="W53" s="84"/>
      <x:c r="X53" s="84"/>
      <x:c r="Y53" s="84"/>
      <x:c r="Z53" s="84"/>
    </x:row>
    <x:row r="54">
      <x:c r="A54" s="84"/>
      <x:c r="B54" s="84"/>
      <x:c r="C54" s="84"/>
      <x:c r="D54" s="84"/>
      <x:c r="E54" s="84"/>
      <x:c r="F54" s="84"/>
      <x:c r="G54" s="84"/>
      <x:c r="H54" s="84"/>
      <x:c r="I54" s="84"/>
      <x:c r="J54" s="84"/>
      <x:c r="K54" s="84"/>
      <x:c r="L54" s="84"/>
      <x:c r="M54" s="84"/>
      <x:c r="N54" s="84"/>
      <x:c r="O54" s="84"/>
      <x:c r="P54" s="84"/>
      <x:c r="Q54" s="84"/>
      <x:c r="R54" s="84"/>
      <x:c r="S54" s="84"/>
      <x:c r="T54" s="84"/>
      <x:c r="U54" s="84"/>
      <x:c r="V54" s="84"/>
      <x:c r="W54" s="84"/>
      <x:c r="X54" s="84"/>
      <x:c r="Y54" s="84"/>
      <x:c r="Z54" s="84"/>
    </x:row>
    <x:row r="55">
      <x:c r="A55" s="84"/>
      <x:c r="B55" s="84"/>
      <x:c r="C55" s="84"/>
      <x:c r="D55" s="84"/>
      <x:c r="E55" s="84"/>
      <x:c r="F55" s="84"/>
      <x:c r="G55" s="84"/>
      <x:c r="H55" s="84"/>
      <x:c r="I55" s="84"/>
      <x:c r="J55" s="84"/>
      <x:c r="K55" s="84"/>
      <x:c r="L55" s="84"/>
      <x:c r="M55" s="84"/>
      <x:c r="N55" s="84"/>
      <x:c r="O55" s="84"/>
      <x:c r="P55" s="84"/>
      <x:c r="Q55" s="84"/>
      <x:c r="R55" s="84"/>
      <x:c r="S55" s="84"/>
      <x:c r="T55" s="84"/>
      <x:c r="U55" s="84"/>
      <x:c r="V55" s="84"/>
      <x:c r="W55" s="84"/>
      <x:c r="X55" s="84"/>
      <x:c r="Y55" s="84"/>
      <x:c r="Z55" s="84"/>
    </x:row>
    <x:row r="56">
      <x:c r="A56" s="84"/>
      <x:c r="B56" s="84"/>
      <x:c r="C56" s="84"/>
      <x:c r="D56" s="84"/>
      <x:c r="E56" s="84"/>
      <x:c r="F56" s="84"/>
      <x:c r="G56" s="84"/>
      <x:c r="H56" s="84"/>
      <x:c r="I56" s="84"/>
      <x:c r="J56" s="84"/>
      <x:c r="K56" s="84"/>
      <x:c r="L56" s="84"/>
      <x:c r="M56" s="84"/>
      <x:c r="N56" s="84"/>
      <x:c r="O56" s="84"/>
      <x:c r="P56" s="84"/>
      <x:c r="Q56" s="84"/>
      <x:c r="R56" s="84"/>
      <x:c r="S56" s="84"/>
      <x:c r="T56" s="84"/>
      <x:c r="U56" s="84"/>
      <x:c r="V56" s="84"/>
      <x:c r="W56" s="84"/>
      <x:c r="X56" s="84"/>
      <x:c r="Y56" s="84"/>
      <x:c r="Z56" s="84"/>
    </x:row>
    <x:row r="57">
      <x:c r="A57" s="84"/>
      <x:c r="B57" s="84"/>
      <x:c r="C57" s="84"/>
      <x:c r="D57" s="84"/>
      <x:c r="E57" s="84"/>
      <x:c r="F57" s="84"/>
      <x:c r="G57" s="84"/>
      <x:c r="H57" s="84"/>
      <x:c r="I57" s="84"/>
      <x:c r="J57" s="84"/>
      <x:c r="K57" s="84"/>
      <x:c r="L57" s="84"/>
      <x:c r="M57" s="84"/>
      <x:c r="N57" s="84"/>
      <x:c r="O57" s="84"/>
      <x:c r="P57" s="84"/>
      <x:c r="Q57" s="84"/>
      <x:c r="R57" s="84"/>
      <x:c r="S57" s="84"/>
      <x:c r="T57" s="84"/>
      <x:c r="U57" s="84"/>
      <x:c r="V57" s="84"/>
      <x:c r="W57" s="84"/>
      <x:c r="X57" s="84"/>
      <x:c r="Y57" s="84"/>
      <x:c r="Z57" s="84"/>
    </x:row>
    <x:row r="58">
      <x:c r="A58" s="84"/>
      <x:c r="B58" s="84"/>
      <x:c r="C58" s="84"/>
      <x:c r="D58" s="84"/>
      <x:c r="E58" s="84"/>
      <x:c r="F58" s="84"/>
      <x:c r="G58" s="84"/>
      <x:c r="H58" s="84"/>
      <x:c r="I58" s="84"/>
      <x:c r="J58" s="84"/>
      <x:c r="K58" s="84"/>
      <x:c r="L58" s="84"/>
      <x:c r="M58" s="84"/>
      <x:c r="N58" s="84"/>
      <x:c r="O58" s="84"/>
      <x:c r="P58" s="84"/>
      <x:c r="Q58" s="84"/>
      <x:c r="R58" s="84"/>
      <x:c r="S58" s="84"/>
      <x:c r="T58" s="84"/>
      <x:c r="U58" s="84"/>
      <x:c r="V58" s="84"/>
      <x:c r="W58" s="84"/>
      <x:c r="X58" s="84"/>
      <x:c r="Y58" s="84"/>
      <x:c r="Z58" s="84"/>
    </x:row>
    <x:row r="59">
      <x:c r="A59" s="84"/>
      <x:c r="B59" s="84"/>
      <x:c r="C59" s="84"/>
      <x:c r="D59" s="84"/>
      <x:c r="E59" s="84"/>
      <x:c r="F59" s="84"/>
      <x:c r="G59" s="84"/>
      <x:c r="H59" s="84"/>
      <x:c r="I59" s="84"/>
      <x:c r="J59" s="84"/>
      <x:c r="K59" s="84"/>
      <x:c r="L59" s="84"/>
      <x:c r="M59" s="84"/>
      <x:c r="N59" s="84"/>
      <x:c r="O59" s="84"/>
      <x:c r="P59" s="84"/>
      <x:c r="Q59" s="84"/>
      <x:c r="R59" s="84"/>
      <x:c r="S59" s="84"/>
      <x:c r="T59" s="84"/>
      <x:c r="U59" s="84"/>
      <x:c r="V59" s="84"/>
      <x:c r="W59" s="84"/>
      <x:c r="X59" s="84"/>
      <x:c r="Y59" s="84"/>
      <x:c r="Z59" s="84"/>
    </x:row>
    <x:row r="60">
      <x:c r="A60" s="84"/>
      <x:c r="B60" s="84"/>
      <x:c r="C60" s="84"/>
      <x:c r="D60" s="8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84"/>
      <x:c r="W60" s="84"/>
      <x:c r="X60" s="84"/>
      <x:c r="Y60" s="84"/>
      <x:c r="Z60" s="84"/>
    </x:row>
    <x:row r="61">
      <x:c r="A61" s="84"/>
      <x:c r="B61" s="84"/>
      <x:c r="C61" s="84"/>
      <x:c r="D61" s="84"/>
      <x:c r="E61" s="84"/>
      <x:c r="F61" s="84"/>
      <x:c r="G61" s="84"/>
      <x:c r="H61" s="84"/>
      <x:c r="I61" s="84"/>
      <x:c r="J61" s="84"/>
      <x:c r="K61" s="84"/>
      <x:c r="L61" s="84"/>
      <x:c r="M61" s="84"/>
      <x:c r="N61" s="84"/>
      <x:c r="O61" s="84"/>
      <x:c r="P61" s="84"/>
      <x:c r="Q61" s="84"/>
      <x:c r="R61" s="84"/>
      <x:c r="S61" s="84"/>
      <x:c r="T61" s="84"/>
      <x:c r="U61" s="84"/>
      <x:c r="V61" s="84"/>
      <x:c r="W61" s="84"/>
      <x:c r="X61" s="84"/>
      <x:c r="Y61" s="84"/>
      <x:c r="Z61" s="84"/>
    </x:row>
    <x:row r="62">
      <x:c r="A62" s="84"/>
      <x:c r="B62" s="84"/>
      <x:c r="C62" s="84"/>
      <x:c r="D62" s="84"/>
      <x:c r="E62" s="84"/>
      <x:c r="F62" s="84"/>
      <x:c r="G62" s="84"/>
      <x:c r="H62" s="84"/>
      <x:c r="I62" s="84"/>
      <x:c r="J62" s="84"/>
      <x:c r="K62" s="84"/>
      <x:c r="L62" s="84"/>
      <x:c r="M62" s="84"/>
      <x:c r="N62" s="84"/>
      <x:c r="O62" s="84"/>
      <x:c r="P62" s="84"/>
      <x:c r="Q62" s="84"/>
      <x:c r="R62" s="84"/>
      <x:c r="S62" s="84"/>
      <x:c r="T62" s="84"/>
      <x:c r="U62" s="84"/>
      <x:c r="V62" s="84"/>
      <x:c r="W62" s="84"/>
      <x:c r="X62" s="84"/>
      <x:c r="Y62" s="84"/>
      <x:c r="Z62" s="84"/>
    </x:row>
    <x:row r="63">
      <x:c r="A63" s="84"/>
      <x:c r="B63" s="84"/>
      <x:c r="C63" s="84"/>
      <x:c r="D63" s="84"/>
      <x:c r="E63" s="84"/>
      <x:c r="F63" s="84"/>
      <x:c r="G63" s="84"/>
      <x:c r="H63" s="84"/>
      <x:c r="I63" s="84"/>
      <x:c r="J63" s="84"/>
      <x:c r="K63" s="84"/>
      <x:c r="L63" s="84"/>
      <x:c r="M63" s="84"/>
      <x:c r="N63" s="84"/>
      <x:c r="O63" s="84"/>
      <x:c r="P63" s="84"/>
      <x:c r="Q63" s="84"/>
      <x:c r="R63" s="84"/>
      <x:c r="S63" s="84"/>
      <x:c r="T63" s="84"/>
      <x:c r="U63" s="84"/>
      <x:c r="V63" s="84"/>
      <x:c r="W63" s="84"/>
      <x:c r="X63" s="84"/>
      <x:c r="Y63" s="84"/>
      <x:c r="Z63" s="84"/>
    </x:row>
    <x:row r="64">
      <x:c r="A64" s="84"/>
      <x:c r="B64" s="84"/>
      <x:c r="C64" s="84"/>
      <x:c r="D64" s="84"/>
      <x:c r="E64" s="84"/>
      <x:c r="F64" s="84"/>
      <x:c r="G64" s="84"/>
      <x:c r="H64" s="84"/>
      <x:c r="I64" s="84"/>
      <x:c r="J64" s="84"/>
      <x:c r="K64" s="84"/>
      <x:c r="L64" s="84"/>
      <x:c r="M64" s="84"/>
      <x:c r="N64" s="84"/>
      <x:c r="O64" s="84"/>
      <x:c r="P64" s="84"/>
      <x:c r="Q64" s="84"/>
      <x:c r="R64" s="84"/>
      <x:c r="S64" s="84"/>
      <x:c r="T64" s="84"/>
      <x:c r="U64" s="84"/>
      <x:c r="V64" s="84"/>
      <x:c r="W64" s="84"/>
      <x:c r="X64" s="84"/>
      <x:c r="Y64" s="84"/>
      <x:c r="Z64" s="84"/>
    </x:row>
    <x:row r="65">
      <x:c r="A65" s="84"/>
      <x:c r="B65" s="84"/>
      <x:c r="C65" s="84"/>
      <x:c r="D65" s="84"/>
      <x:c r="E65" s="84"/>
      <x:c r="F65" s="84"/>
      <x:c r="G65" s="84"/>
      <x:c r="H65" s="84"/>
      <x:c r="I65" s="84"/>
      <x:c r="J65" s="84"/>
      <x:c r="K65" s="84"/>
      <x:c r="L65" s="84"/>
      <x:c r="M65" s="84"/>
      <x:c r="N65" s="84"/>
      <x:c r="O65" s="84"/>
      <x:c r="P65" s="84"/>
      <x:c r="Q65" s="84"/>
      <x:c r="R65" s="84"/>
      <x:c r="S65" s="84"/>
      <x:c r="T65" s="84"/>
      <x:c r="U65" s="84"/>
      <x:c r="V65" s="84"/>
      <x:c r="W65" s="84"/>
      <x:c r="X65" s="84"/>
      <x:c r="Y65" s="84"/>
      <x:c r="Z65" s="84"/>
    </x:row>
    <x:row r="66">
      <x:c r="A66" s="84"/>
      <x:c r="B66" s="84"/>
      <x:c r="C66" s="84"/>
      <x:c r="D66" s="84"/>
      <x:c r="E66" s="84"/>
      <x:c r="F66" s="84"/>
      <x:c r="G66" s="84"/>
      <x:c r="H66" s="84"/>
      <x:c r="I66" s="84"/>
      <x:c r="J66" s="84"/>
      <x:c r="K66" s="84"/>
      <x:c r="L66" s="84"/>
      <x:c r="M66" s="84"/>
      <x:c r="N66" s="84"/>
      <x:c r="O66" s="84"/>
      <x:c r="P66" s="84"/>
      <x:c r="Q66" s="84"/>
      <x:c r="R66" s="84"/>
      <x:c r="S66" s="84"/>
      <x:c r="T66" s="84"/>
      <x:c r="U66" s="84"/>
      <x:c r="V66" s="84"/>
      <x:c r="W66" s="84"/>
      <x:c r="X66" s="84"/>
      <x:c r="Y66" s="84"/>
      <x:c r="Z66" s="84"/>
    </x:row>
    <x:row r="67">
      <x:c r="A67" s="84"/>
      <x:c r="B67" s="84"/>
      <x:c r="C67" s="84"/>
      <x:c r="D67" s="84"/>
      <x:c r="E67" s="84"/>
      <x:c r="F67" s="84"/>
      <x:c r="G67" s="84"/>
      <x:c r="H67" s="84"/>
      <x:c r="I67" s="84"/>
      <x:c r="J67" s="84"/>
      <x:c r="K67" s="84"/>
      <x:c r="L67" s="84"/>
      <x:c r="M67" s="84"/>
      <x:c r="N67" s="84"/>
      <x:c r="O67" s="84"/>
      <x:c r="P67" s="84"/>
      <x:c r="Q67" s="84"/>
      <x:c r="R67" s="84"/>
      <x:c r="S67" s="84"/>
      <x:c r="T67" s="84"/>
      <x:c r="U67" s="84"/>
      <x:c r="V67" s="84"/>
      <x:c r="W67" s="84"/>
      <x:c r="X67" s="84"/>
      <x:c r="Y67" s="84"/>
      <x:c r="Z67" s="84"/>
    </x:row>
    <x:row r="68">
      <x:c r="A68" s="84"/>
      <x:c r="B68" s="84"/>
      <x:c r="C68" s="84"/>
      <x:c r="D68" s="84"/>
      <x:c r="E68" s="84"/>
      <x:c r="F68" s="84"/>
      <x:c r="G68" s="84"/>
      <x:c r="H68" s="84"/>
      <x:c r="I68" s="84"/>
      <x:c r="J68" s="84"/>
      <x:c r="K68" s="84"/>
      <x:c r="L68" s="84"/>
      <x:c r="M68" s="84"/>
      <x:c r="N68" s="84"/>
      <x:c r="O68" s="84"/>
      <x:c r="P68" s="84"/>
      <x:c r="Q68" s="84"/>
      <x:c r="R68" s="84"/>
      <x:c r="S68" s="84"/>
      <x:c r="T68" s="84"/>
      <x:c r="U68" s="84"/>
      <x:c r="V68" s="84"/>
      <x:c r="W68" s="84"/>
      <x:c r="X68" s="84"/>
      <x:c r="Y68" s="84"/>
      <x:c r="Z68" s="84"/>
    </x:row>
    <x:row r="69">
      <x:c r="A69" s="84"/>
      <x:c r="B69" s="84"/>
      <x:c r="C69" s="84"/>
      <x:c r="D69" s="84"/>
      <x:c r="E69" s="84"/>
      <x:c r="F69" s="84"/>
      <x:c r="G69" s="84"/>
      <x:c r="H69" s="84"/>
      <x:c r="I69" s="84"/>
      <x:c r="J69" s="84"/>
      <x:c r="K69" s="84"/>
      <x:c r="L69" s="84"/>
      <x:c r="M69" s="84"/>
      <x:c r="N69" s="84"/>
      <x:c r="O69" s="84"/>
      <x:c r="P69" s="84"/>
      <x:c r="Q69" s="84"/>
      <x:c r="R69" s="84"/>
      <x:c r="S69" s="84"/>
      <x:c r="T69" s="84"/>
      <x:c r="U69" s="84"/>
      <x:c r="V69" s="84"/>
      <x:c r="W69" s="84"/>
      <x:c r="X69" s="84"/>
      <x:c r="Y69" s="84"/>
      <x:c r="Z69" s="84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 s="84"/>
      <x:c r="K70" s="84"/>
      <x:c r="L70" s="84"/>
      <x:c r="M70" s="84"/>
      <x:c r="N70" s="84"/>
      <x:c r="O70" s="84"/>
      <x:c r="P70" s="84"/>
      <x:c r="Q70" s="84"/>
      <x:c r="R70" s="84"/>
      <x:c r="S70" s="84"/>
      <x:c r="T70" s="84"/>
      <x:c r="U70" s="84"/>
      <x:c r="V70" s="84"/>
      <x:c r="W70" s="84"/>
      <x:c r="X70" s="84"/>
      <x:c r="Y70" s="84"/>
      <x:c r="Z70" s="84"/>
    </x:row>
    <x:row r="71">
      <x:c r="A71" s="84"/>
      <x:c r="B71" s="84"/>
      <x:c r="C71" s="84"/>
      <x:c r="D71" s="84"/>
      <x:c r="E71" s="84"/>
      <x:c r="F71" s="84"/>
      <x:c r="G71" s="84"/>
      <x:c r="H71" s="84"/>
      <x:c r="I71" s="84"/>
      <x:c r="J71" s="84"/>
      <x:c r="K71" s="84"/>
      <x:c r="L71" s="84"/>
      <x:c r="M71" s="84"/>
      <x:c r="N71" s="84"/>
      <x:c r="O71" s="84"/>
      <x:c r="P71" s="84"/>
      <x:c r="Q71" s="84"/>
      <x:c r="R71" s="84"/>
      <x:c r="S71" s="84"/>
      <x:c r="T71" s="84"/>
      <x:c r="U71" s="84"/>
      <x:c r="V71" s="84"/>
      <x:c r="W71" s="84"/>
      <x:c r="X71" s="84"/>
      <x:c r="Y71" s="84"/>
      <x:c r="Z71" s="84"/>
    </x:row>
    <x:row r="72">
      <x:c r="A72" s="84"/>
      <x:c r="B72" s="84"/>
      <x:c r="C72" s="84"/>
      <x:c r="D72" s="84"/>
      <x:c r="E72" s="84"/>
      <x:c r="F72" s="84"/>
      <x:c r="G72" s="84"/>
      <x:c r="H72" s="84"/>
      <x:c r="I72" s="84"/>
      <x:c r="J72" s="84"/>
      <x:c r="K72" s="84"/>
      <x:c r="L72" s="84"/>
      <x:c r="M72" s="84"/>
      <x:c r="N72" s="84"/>
      <x:c r="O72" s="84"/>
      <x:c r="P72" s="84"/>
      <x:c r="Q72" s="84"/>
      <x:c r="R72" s="84"/>
      <x:c r="S72" s="84"/>
      <x:c r="T72" s="84"/>
      <x:c r="U72" s="84"/>
      <x:c r="V72" s="84"/>
      <x:c r="W72" s="84"/>
      <x:c r="X72" s="84"/>
      <x:c r="Y72" s="84"/>
      <x:c r="Z72" s="84"/>
    </x:row>
    <x:row r="73">
      <x:c r="A73" s="84"/>
      <x:c r="B73" s="84"/>
      <x:c r="C73" s="84"/>
      <x:c r="D73" s="84"/>
      <x:c r="E73" s="84"/>
      <x:c r="F73" s="84"/>
      <x:c r="G73" s="84"/>
      <x:c r="H73" s="84"/>
      <x:c r="I73" s="84"/>
      <x:c r="J73" s="84"/>
      <x:c r="K73" s="84"/>
      <x:c r="L73" s="84"/>
      <x:c r="M73" s="84"/>
      <x:c r="N73" s="84"/>
      <x:c r="O73" s="84"/>
      <x:c r="P73" s="84"/>
      <x:c r="Q73" s="84"/>
      <x:c r="R73" s="84"/>
      <x:c r="S73" s="84"/>
      <x:c r="T73" s="84"/>
      <x:c r="U73" s="84"/>
      <x:c r="V73" s="84"/>
      <x:c r="W73" s="84"/>
      <x:c r="X73" s="84"/>
      <x:c r="Y73" s="84"/>
      <x:c r="Z73" s="84"/>
    </x:row>
    <x:row r="74">
      <x:c r="A74" s="84"/>
      <x:c r="B74" s="84"/>
      <x:c r="C74" s="84"/>
      <x:c r="D74" s="84"/>
      <x:c r="E74" s="84"/>
      <x:c r="F74" s="84"/>
      <x:c r="G74" s="84"/>
      <x:c r="H74" s="84"/>
      <x:c r="I74" s="84"/>
      <x:c r="J74" s="84"/>
      <x:c r="K74" s="84"/>
      <x:c r="L74" s="84"/>
      <x:c r="M74" s="84"/>
      <x:c r="N74" s="84"/>
      <x:c r="O74" s="84"/>
      <x:c r="P74" s="84"/>
      <x:c r="Q74" s="84"/>
      <x:c r="R74" s="84"/>
      <x:c r="S74" s="84"/>
      <x:c r="T74" s="84"/>
      <x:c r="U74" s="84"/>
      <x:c r="V74" s="84"/>
      <x:c r="W74" s="84"/>
      <x:c r="X74" s="84"/>
      <x:c r="Y74" s="84"/>
      <x:c r="Z74" s="84"/>
    </x:row>
    <x:row r="75">
      <x:c r="A75" s="84"/>
      <x:c r="B75" s="84"/>
      <x:c r="C75" s="84"/>
      <x:c r="D75" s="8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84"/>
      <x:c r="W75" s="84"/>
      <x:c r="X75" s="84"/>
      <x:c r="Y75" s="84"/>
      <x:c r="Z75" s="84"/>
    </x:row>
    <x:row r="76">
      <x:c r="A76" s="84"/>
      <x:c r="B76" s="84"/>
      <x:c r="C76" s="84"/>
      <x:c r="D76" s="84"/>
      <x:c r="E76" s="84"/>
      <x:c r="F76" s="84"/>
      <x:c r="G76" s="84"/>
      <x:c r="H76" s="84"/>
      <x:c r="I76" s="84"/>
      <x:c r="J76" s="84"/>
      <x:c r="K76" s="84"/>
      <x:c r="L76" s="84"/>
      <x:c r="M76" s="84"/>
      <x:c r="N76" s="84"/>
      <x:c r="O76" s="84"/>
      <x:c r="P76" s="84"/>
      <x:c r="Q76" s="84"/>
      <x:c r="R76" s="84"/>
      <x:c r="S76" s="84"/>
      <x:c r="T76" s="84"/>
      <x:c r="U76" s="84"/>
      <x:c r="V76" s="84"/>
      <x:c r="W76" s="84"/>
      <x:c r="X76" s="84"/>
      <x:c r="Y76" s="84"/>
      <x:c r="Z76" s="84"/>
    </x:row>
    <x:row r="77">
      <x:c r="A77" s="84"/>
      <x:c r="B77" s="84"/>
      <x:c r="C77" s="84"/>
      <x:c r="D77" s="84"/>
      <x:c r="E77" s="84"/>
      <x:c r="F77" s="84"/>
      <x:c r="G77" s="84"/>
      <x:c r="H77" s="84"/>
      <x:c r="I77" s="84"/>
      <x:c r="J77" s="84"/>
      <x:c r="K77" s="84"/>
      <x:c r="L77" s="84"/>
      <x:c r="M77" s="84"/>
      <x:c r="N77" s="84"/>
      <x:c r="O77" s="84"/>
      <x:c r="P77" s="84"/>
      <x:c r="Q77" s="84"/>
      <x:c r="R77" s="84"/>
      <x:c r="S77" s="84"/>
      <x:c r="T77" s="84"/>
      <x:c r="U77" s="84"/>
      <x:c r="V77" s="84"/>
      <x:c r="W77" s="84"/>
      <x:c r="X77" s="84"/>
      <x:c r="Y77" s="84"/>
      <x:c r="Z77" s="84"/>
    </x:row>
    <x:row r="78">
      <x:c r="A78" s="84"/>
      <x:c r="B78" s="84"/>
      <x:c r="C78" s="84"/>
      <x:c r="D78" s="84"/>
      <x:c r="E78" s="84"/>
      <x:c r="F78" s="84"/>
      <x:c r="G78" s="84"/>
      <x:c r="H78" s="84"/>
      <x:c r="I78" s="84"/>
      <x:c r="J78" s="84"/>
      <x:c r="K78" s="84"/>
      <x:c r="L78" s="84"/>
      <x:c r="M78" s="84"/>
      <x:c r="N78" s="84"/>
      <x:c r="O78" s="84"/>
      <x:c r="P78" s="84"/>
      <x:c r="Q78" s="84"/>
      <x:c r="R78" s="84"/>
      <x:c r="S78" s="84"/>
      <x:c r="T78" s="84"/>
      <x:c r="U78" s="84"/>
      <x:c r="V78" s="84"/>
      <x:c r="W78" s="84"/>
      <x:c r="X78" s="84"/>
      <x:c r="Y78" s="84"/>
      <x:c r="Z78" s="84"/>
    </x:row>
    <x:row r="79">
      <x:c r="A79" s="84"/>
      <x:c r="B79" s="84"/>
      <x:c r="C79" s="84"/>
      <x:c r="D79" s="84"/>
      <x:c r="E79" s="84"/>
      <x:c r="F79" s="84"/>
      <x:c r="G79" s="84"/>
      <x:c r="H79" s="84"/>
      <x:c r="I79" s="84"/>
      <x:c r="J79" s="84"/>
      <x:c r="K79" s="84"/>
      <x:c r="L79" s="84"/>
      <x:c r="M79" s="84"/>
      <x:c r="N79" s="84"/>
      <x:c r="O79" s="84"/>
      <x:c r="P79" s="84"/>
      <x:c r="Q79" s="84"/>
      <x:c r="R79" s="84"/>
      <x:c r="S79" s="84"/>
      <x:c r="T79" s="84"/>
      <x:c r="U79" s="84"/>
      <x:c r="V79" s="84"/>
      <x:c r="W79" s="84"/>
      <x:c r="X79" s="84"/>
      <x:c r="Y79" s="84"/>
      <x:c r="Z79" s="84"/>
    </x:row>
    <x:row r="80">
      <x:c r="A80" s="84"/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  <x:c r="M80" s="84"/>
      <x:c r="N80" s="84"/>
      <x:c r="O80" s="84"/>
      <x:c r="P80" s="84"/>
      <x:c r="Q80" s="84"/>
      <x:c r="R80" s="84"/>
      <x:c r="S80" s="84"/>
      <x:c r="T80" s="84"/>
      <x:c r="U80" s="84"/>
      <x:c r="V80" s="84"/>
      <x:c r="W80" s="84"/>
      <x:c r="X80" s="84"/>
      <x:c r="Y80" s="84"/>
      <x:c r="Z80" s="84"/>
    </x:row>
    <x:row r="81">
      <x:c r="A81" s="84"/>
      <x:c r="B81" s="84"/>
      <x:c r="C81" s="84"/>
      <x:c r="D81" s="84"/>
      <x:c r="E81" s="84"/>
      <x:c r="F81" s="84"/>
      <x:c r="G81" s="84"/>
      <x:c r="H81" s="84"/>
      <x:c r="I81" s="84"/>
      <x:c r="J81" s="84"/>
      <x:c r="K81" s="84"/>
      <x:c r="L81" s="84"/>
      <x:c r="M81" s="84"/>
      <x:c r="N81" s="84"/>
      <x:c r="O81" s="84"/>
      <x:c r="P81" s="84"/>
      <x:c r="Q81" s="84"/>
      <x:c r="R81" s="84"/>
      <x:c r="S81" s="84"/>
      <x:c r="T81" s="84"/>
      <x:c r="U81" s="84"/>
      <x:c r="V81" s="84"/>
      <x:c r="W81" s="84"/>
      <x:c r="X81" s="84"/>
      <x:c r="Y81" s="84"/>
      <x:c r="Z81" s="84"/>
    </x:row>
    <x:row r="82">
      <x:c r="A82" s="84"/>
      <x:c r="B82" s="84"/>
      <x:c r="C82" s="84"/>
      <x:c r="D82" s="84"/>
      <x:c r="E82" s="84"/>
      <x:c r="F82" s="84"/>
      <x:c r="G82" s="84"/>
      <x:c r="H82" s="84"/>
      <x:c r="I82" s="84"/>
      <x:c r="J82" s="84"/>
      <x:c r="K82" s="84"/>
      <x:c r="L82" s="84"/>
      <x:c r="M82" s="84"/>
      <x:c r="N82" s="84"/>
      <x:c r="O82" s="84"/>
      <x:c r="P82" s="84"/>
      <x:c r="Q82" s="84"/>
      <x:c r="R82" s="84"/>
      <x:c r="S82" s="84"/>
      <x:c r="T82" s="84"/>
      <x:c r="U82" s="84"/>
      <x:c r="V82" s="84"/>
      <x:c r="W82" s="84"/>
      <x:c r="X82" s="84"/>
      <x:c r="Y82" s="84"/>
      <x:c r="Z82" s="84"/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  <x:c r="V83" s="84"/>
      <x:c r="W83" s="84"/>
      <x:c r="X83" s="84"/>
      <x:c r="Y83" s="84"/>
      <x:c r="Z83" s="84"/>
    </x:row>
    <x:row r="84">
      <x:c r="A84" s="84"/>
      <x:c r="B84" s="84"/>
      <x:c r="C84" s="84"/>
      <x:c r="D84" s="84"/>
      <x:c r="E84" s="84"/>
      <x:c r="F84" s="84"/>
      <x:c r="G84" s="84"/>
      <x:c r="H84" s="84"/>
      <x:c r="I84" s="84"/>
      <x:c r="J84" s="84"/>
      <x:c r="K84" s="84"/>
      <x:c r="L84" s="84"/>
      <x:c r="M84" s="84"/>
      <x:c r="N84" s="84"/>
      <x:c r="O84" s="84"/>
      <x:c r="P84" s="84"/>
      <x:c r="Q84" s="84"/>
      <x:c r="R84" s="84"/>
      <x:c r="S84" s="84"/>
      <x:c r="T84" s="84"/>
      <x:c r="U84" s="84"/>
      <x:c r="V84" s="84"/>
      <x:c r="W84" s="84"/>
      <x:c r="X84" s="84"/>
      <x:c r="Y84" s="84"/>
      <x:c r="Z84" s="84"/>
    </x:row>
    <x:row r="85">
      <x:c r="A85" s="84"/>
      <x:c r="B85" s="84"/>
      <x:c r="C85" s="84"/>
      <x:c r="D85" s="84"/>
      <x:c r="E85" s="84"/>
      <x:c r="F85" s="84"/>
      <x:c r="G85" s="84"/>
      <x:c r="H85" s="84"/>
      <x:c r="I85" s="84"/>
      <x:c r="J85" s="84"/>
      <x:c r="K85" s="84"/>
      <x:c r="L85" s="84"/>
      <x:c r="M85" s="84"/>
      <x:c r="N85" s="84"/>
      <x:c r="O85" s="84"/>
      <x:c r="P85" s="84"/>
      <x:c r="Q85" s="84"/>
      <x:c r="R85" s="84"/>
      <x:c r="S85" s="84"/>
      <x:c r="T85" s="84"/>
      <x:c r="U85" s="84"/>
      <x:c r="V85" s="84"/>
      <x:c r="W85" s="84"/>
      <x:c r="X85" s="84"/>
      <x:c r="Y85" s="84"/>
      <x:c r="Z85" s="84"/>
    </x:row>
    <x:row r="86">
      <x:c r="A86" s="84"/>
      <x:c r="B86" s="84"/>
      <x:c r="C86" s="84"/>
      <x:c r="D86" s="84"/>
      <x:c r="E86" s="84"/>
      <x:c r="F86" s="84"/>
      <x:c r="G86" s="84"/>
      <x:c r="H86" s="84"/>
      <x:c r="I86" s="84"/>
      <x:c r="J86" s="84"/>
      <x:c r="K86" s="84"/>
      <x:c r="L86" s="84"/>
      <x:c r="M86" s="84"/>
      <x:c r="N86" s="84"/>
      <x:c r="O86" s="84"/>
      <x:c r="P86" s="84"/>
      <x:c r="Q86" s="84"/>
      <x:c r="R86" s="84"/>
      <x:c r="S86" s="84"/>
      <x:c r="T86" s="84"/>
      <x:c r="U86" s="84"/>
      <x:c r="V86" s="84"/>
      <x:c r="W86" s="84"/>
      <x:c r="X86" s="84"/>
      <x:c r="Y86" s="84"/>
      <x:c r="Z86" s="84"/>
    </x:row>
    <x:row r="87">
      <x:c r="A87" s="84"/>
      <x:c r="B87" s="84"/>
      <x:c r="C87" s="84"/>
      <x:c r="D87" s="84"/>
      <x:c r="E87" s="84"/>
      <x:c r="F87" s="84"/>
      <x:c r="G87" s="84"/>
      <x:c r="H87" s="84"/>
      <x:c r="I87" s="84"/>
      <x:c r="J87" s="84"/>
      <x:c r="K87" s="84"/>
      <x:c r="L87" s="84"/>
      <x:c r="M87" s="84"/>
      <x:c r="N87" s="84"/>
      <x:c r="O87" s="84"/>
      <x:c r="P87" s="84"/>
      <x:c r="Q87" s="84"/>
      <x:c r="R87" s="84"/>
      <x:c r="S87" s="84"/>
      <x:c r="T87" s="84"/>
      <x:c r="U87" s="84"/>
      <x:c r="V87" s="84"/>
      <x:c r="W87" s="84"/>
      <x:c r="X87" s="84"/>
      <x:c r="Y87" s="84"/>
      <x:c r="Z87" s="84"/>
    </x:row>
    <x:row r="88">
      <x:c r="A88" s="84"/>
      <x:c r="B88" s="84"/>
      <x:c r="C88" s="84"/>
      <x:c r="D88" s="84"/>
      <x:c r="E88" s="84"/>
      <x:c r="F88" s="84"/>
      <x:c r="G88" s="84"/>
      <x:c r="H88" s="84"/>
      <x:c r="I88" s="84"/>
      <x:c r="J88" s="84"/>
      <x:c r="K88" s="84"/>
      <x:c r="L88" s="84"/>
      <x:c r="M88" s="84"/>
      <x:c r="N88" s="84"/>
      <x:c r="O88" s="84"/>
      <x:c r="P88" s="84"/>
      <x:c r="Q88" s="84"/>
      <x:c r="R88" s="84"/>
      <x:c r="S88" s="84"/>
      <x:c r="T88" s="84"/>
      <x:c r="U88" s="84"/>
      <x:c r="V88" s="84"/>
      <x:c r="W88" s="84"/>
      <x:c r="X88" s="84"/>
      <x:c r="Y88" s="84"/>
      <x:c r="Z88" s="84"/>
    </x:row>
    <x:row r="89">
      <x:c r="A89" s="84"/>
      <x:c r="B89" s="84"/>
      <x:c r="C89" s="84"/>
      <x:c r="D89" s="84"/>
      <x:c r="E89" s="84"/>
      <x:c r="F89" s="84"/>
      <x:c r="G89" s="84"/>
      <x:c r="H89" s="84"/>
      <x:c r="I89" s="84"/>
      <x:c r="J89" s="84"/>
      <x:c r="K89" s="84"/>
      <x:c r="L89" s="84"/>
      <x:c r="M89" s="84"/>
      <x:c r="N89" s="84"/>
      <x:c r="O89" s="84"/>
      <x:c r="P89" s="84"/>
      <x:c r="Q89" s="84"/>
      <x:c r="R89" s="84"/>
      <x:c r="S89" s="84"/>
      <x:c r="T89" s="84"/>
      <x:c r="U89" s="84"/>
      <x:c r="V89" s="84"/>
      <x:c r="W89" s="84"/>
      <x:c r="X89" s="84"/>
      <x:c r="Y89" s="84"/>
      <x:c r="Z89" s="84"/>
    </x:row>
    <x:row r="90">
      <x:c r="A90" s="84"/>
      <x:c r="B90" s="84"/>
      <x:c r="C90" s="84"/>
      <x:c r="D90" s="84"/>
      <x:c r="E90" s="84"/>
      <x:c r="F90" s="84"/>
      <x:c r="G90" s="84"/>
      <x:c r="H90" s="84"/>
      <x:c r="I90" s="84"/>
      <x:c r="J90" s="84"/>
      <x:c r="K90" s="84"/>
      <x:c r="L90" s="84"/>
      <x:c r="M90" s="84"/>
      <x:c r="N90" s="84"/>
      <x:c r="O90" s="84"/>
      <x:c r="P90" s="84"/>
      <x:c r="Q90" s="84"/>
      <x:c r="R90" s="84"/>
      <x:c r="S90" s="84"/>
      <x:c r="T90" s="84"/>
      <x:c r="U90" s="84"/>
      <x:c r="V90" s="84"/>
      <x:c r="W90" s="84"/>
      <x:c r="X90" s="84"/>
      <x:c r="Y90" s="84"/>
      <x:c r="Z90" s="84"/>
    </x:row>
    <x:row r="91">
      <x:c r="A91" s="84"/>
      <x:c r="B91" s="84"/>
      <x:c r="C91" s="84"/>
      <x:c r="D91" s="84"/>
      <x:c r="E91" s="84"/>
      <x:c r="F91" s="84"/>
      <x:c r="G91" s="84"/>
      <x:c r="H91" s="84"/>
      <x:c r="I91" s="84"/>
      <x:c r="J91" s="84"/>
      <x:c r="K91" s="84"/>
      <x:c r="L91" s="84"/>
      <x:c r="M91" s="84"/>
      <x:c r="N91" s="84"/>
      <x:c r="O91" s="84"/>
      <x:c r="P91" s="84"/>
      <x:c r="Q91" s="84"/>
      <x:c r="R91" s="84"/>
      <x:c r="S91" s="84"/>
      <x:c r="T91" s="84"/>
      <x:c r="U91" s="84"/>
      <x:c r="V91" s="84"/>
      <x:c r="W91" s="84"/>
      <x:c r="X91" s="84"/>
      <x:c r="Y91" s="84"/>
      <x:c r="Z91" s="84"/>
    </x:row>
    <x:row r="92">
      <x:c r="A92" s="84"/>
      <x:c r="B92" s="84"/>
      <x:c r="C92" s="84"/>
      <x:c r="D92" s="84"/>
      <x:c r="E92" s="84"/>
      <x:c r="F92" s="84"/>
      <x:c r="G92" s="84"/>
      <x:c r="H92" s="84"/>
      <x:c r="I92" s="84"/>
      <x:c r="J92" s="84"/>
      <x:c r="K92" s="84"/>
      <x:c r="L92" s="84"/>
      <x:c r="M92" s="84"/>
      <x:c r="N92" s="84"/>
      <x:c r="O92" s="84"/>
      <x:c r="P92" s="84"/>
      <x:c r="Q92" s="84"/>
      <x:c r="R92" s="84"/>
      <x:c r="S92" s="84"/>
      <x:c r="T92" s="84"/>
      <x:c r="U92" s="84"/>
      <x:c r="V92" s="84"/>
      <x:c r="W92" s="84"/>
      <x:c r="X92" s="84"/>
      <x:c r="Y92" s="84"/>
      <x:c r="Z92" s="84"/>
    </x:row>
    <x:row r="93">
      <x:c r="A93" s="84"/>
      <x:c r="B93" s="84"/>
      <x:c r="C93" s="84"/>
      <x:c r="D93" s="84"/>
      <x:c r="E93" s="84"/>
      <x:c r="F93" s="84"/>
      <x:c r="G93" s="84"/>
      <x:c r="H93" s="84"/>
      <x:c r="I93" s="84"/>
      <x:c r="J93" s="84"/>
      <x:c r="K93" s="84"/>
      <x:c r="L93" s="84"/>
      <x:c r="M93" s="84"/>
      <x:c r="N93" s="84"/>
      <x:c r="O93" s="84"/>
      <x:c r="P93" s="84"/>
      <x:c r="Q93" s="84"/>
      <x:c r="R93" s="84"/>
      <x:c r="S93" s="84"/>
      <x:c r="T93" s="84"/>
      <x:c r="U93" s="84"/>
      <x:c r="V93" s="84"/>
      <x:c r="W93" s="84"/>
      <x:c r="X93" s="84"/>
      <x:c r="Y93" s="84"/>
      <x:c r="Z93" s="84"/>
    </x:row>
    <x:row r="94">
      <x:c r="A94" s="84"/>
      <x:c r="B94" s="84"/>
      <x:c r="C94" s="84"/>
      <x:c r="D94" s="84"/>
      <x:c r="E94" s="84"/>
      <x:c r="F94" s="84"/>
      <x:c r="G94" s="84"/>
      <x:c r="H94" s="84"/>
      <x:c r="I94" s="84"/>
      <x:c r="J94" s="84"/>
      <x:c r="K94" s="84"/>
      <x:c r="L94" s="84"/>
      <x:c r="M94" s="84"/>
      <x:c r="N94" s="84"/>
      <x:c r="O94" s="84"/>
      <x:c r="P94" s="84"/>
      <x:c r="Q94" s="84"/>
      <x:c r="R94" s="84"/>
      <x:c r="S94" s="84"/>
      <x:c r="T94" s="84"/>
      <x:c r="U94" s="84"/>
      <x:c r="V94" s="84"/>
      <x:c r="W94" s="84"/>
      <x:c r="X94" s="84"/>
      <x:c r="Y94" s="84"/>
      <x:c r="Z94" s="84"/>
    </x:row>
    <x:row r="95">
      <x:c r="A95" s="84"/>
      <x:c r="B95" s="84"/>
      <x:c r="C95" s="84"/>
      <x:c r="D95" s="84"/>
      <x:c r="E95" s="84"/>
      <x:c r="F95" s="84"/>
      <x:c r="G95" s="84"/>
      <x:c r="H95" s="84"/>
      <x:c r="I95" s="84"/>
      <x:c r="J95" s="84"/>
      <x:c r="K95" s="84"/>
      <x:c r="L95" s="84"/>
      <x:c r="M95" s="84"/>
      <x:c r="N95" s="84"/>
      <x:c r="O95" s="84"/>
      <x:c r="P95" s="84"/>
      <x:c r="Q95" s="84"/>
      <x:c r="R95" s="84"/>
      <x:c r="S95" s="84"/>
      <x:c r="T95" s="84"/>
      <x:c r="U95" s="84"/>
      <x:c r="V95" s="84"/>
      <x:c r="W95" s="84"/>
      <x:c r="X95" s="84"/>
      <x:c r="Y95" s="84"/>
      <x:c r="Z95" s="84"/>
    </x:row>
    <x:row r="96">
      <x:c r="A96" s="84"/>
      <x:c r="B96" s="84"/>
      <x:c r="C96" s="84"/>
      <x:c r="D96" s="84"/>
      <x:c r="E96" s="84"/>
      <x:c r="F96" s="84"/>
      <x:c r="G96" s="84"/>
      <x:c r="H96" s="84"/>
      <x:c r="I96" s="84"/>
      <x:c r="J96" s="84"/>
      <x:c r="K96" s="84"/>
      <x:c r="L96" s="84"/>
      <x:c r="M96" s="84"/>
      <x:c r="N96" s="84"/>
      <x:c r="O96" s="84"/>
      <x:c r="P96" s="84"/>
      <x:c r="Q96" s="84"/>
      <x:c r="R96" s="84"/>
      <x:c r="S96" s="84"/>
      <x:c r="T96" s="84"/>
      <x:c r="U96" s="84"/>
      <x:c r="V96" s="84"/>
      <x:c r="W96" s="84"/>
      <x:c r="X96" s="84"/>
      <x:c r="Y96" s="84"/>
      <x:c r="Z96" s="84"/>
    </x:row>
    <x:row r="97">
      <x:c r="A97" s="84"/>
      <x:c r="B97" s="84"/>
      <x:c r="C97" s="84"/>
      <x:c r="D97" s="84"/>
      <x:c r="E97" s="84"/>
      <x:c r="F97" s="84"/>
      <x:c r="G97" s="84"/>
      <x:c r="H97" s="84"/>
      <x:c r="I97" s="84"/>
      <x:c r="J97" s="84"/>
      <x:c r="K97" s="84"/>
      <x:c r="L97" s="84"/>
      <x:c r="M97" s="84"/>
      <x:c r="N97" s="84"/>
      <x:c r="O97" s="84"/>
      <x:c r="P97" s="84"/>
      <x:c r="Q97" s="84"/>
      <x:c r="R97" s="84"/>
      <x:c r="S97" s="84"/>
      <x:c r="T97" s="84"/>
      <x:c r="U97" s="84"/>
      <x:c r="V97" s="84"/>
      <x:c r="W97" s="84"/>
      <x:c r="X97" s="84"/>
      <x:c r="Y97" s="84"/>
      <x:c r="Z97" s="84"/>
    </x:row>
    <x:row r="98">
      <x:c r="A98" s="84"/>
      <x:c r="B98" s="84"/>
      <x:c r="C98" s="84"/>
      <x:c r="D98" s="84"/>
      <x:c r="E98" s="84"/>
      <x:c r="F98" s="84"/>
      <x:c r="G98" s="84"/>
      <x:c r="H98" s="84"/>
      <x:c r="I98" s="84"/>
      <x:c r="J98" s="84"/>
      <x:c r="K98" s="84"/>
      <x:c r="L98" s="84"/>
      <x:c r="M98" s="84"/>
      <x:c r="N98" s="84"/>
      <x:c r="O98" s="84"/>
      <x:c r="P98" s="84"/>
      <x:c r="Q98" s="84"/>
      <x:c r="R98" s="84"/>
      <x:c r="S98" s="84"/>
      <x:c r="T98" s="84"/>
      <x:c r="U98" s="84"/>
      <x:c r="V98" s="84"/>
      <x:c r="W98" s="84"/>
      <x:c r="X98" s="84"/>
      <x:c r="Y98" s="84"/>
      <x:c r="Z98" s="84"/>
    </x:row>
    <x:row r="99">
      <x:c r="A99" s="84"/>
      <x:c r="B99" s="84"/>
      <x:c r="C99" s="84"/>
      <x:c r="D99" s="84"/>
      <x:c r="E99" s="84"/>
      <x:c r="F99" s="84"/>
      <x:c r="G99" s="84"/>
      <x:c r="H99" s="84"/>
      <x:c r="I99" s="84"/>
      <x:c r="J99" s="84"/>
      <x:c r="K99" s="84"/>
      <x:c r="L99" s="84"/>
      <x:c r="M99" s="84"/>
      <x:c r="N99" s="84"/>
      <x:c r="O99" s="84"/>
      <x:c r="P99" s="84"/>
      <x:c r="Q99" s="84"/>
      <x:c r="R99" s="84"/>
      <x:c r="S99" s="84"/>
      <x:c r="T99" s="84"/>
      <x:c r="U99" s="84"/>
      <x:c r="V99" s="84"/>
      <x:c r="W99" s="84"/>
      <x:c r="X99" s="84"/>
      <x:c r="Y99" s="84"/>
      <x:c r="Z99" s="84"/>
    </x:row>
    <x:row r="100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4"/>
      <x:c r="K100" s="84"/>
      <x:c r="L100" s="84"/>
      <x:c r="M100" s="84"/>
      <x:c r="N100" s="84"/>
      <x:c r="O100" s="84"/>
      <x:c r="P100" s="84"/>
      <x:c r="Q100" s="84"/>
      <x:c r="R100" s="84"/>
      <x:c r="S100" s="84"/>
      <x:c r="T100" s="84"/>
      <x:c r="U100" s="84"/>
      <x:c r="V100" s="84"/>
      <x:c r="W100" s="84"/>
      <x:c r="X100" s="84"/>
      <x:c r="Y100" s="84"/>
      <x:c r="Z100" s="84"/>
    </x:row>
    <x:row r="10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4"/>
      <x:c r="K101" s="84"/>
      <x:c r="L101" s="84"/>
      <x:c r="M101" s="84"/>
      <x:c r="N101" s="84"/>
      <x:c r="O101" s="84"/>
      <x:c r="P101" s="84"/>
      <x:c r="Q101" s="84"/>
      <x:c r="R101" s="84"/>
      <x:c r="S101" s="84"/>
      <x:c r="T101" s="84"/>
      <x:c r="U101" s="84"/>
      <x:c r="V101" s="84"/>
      <x:c r="W101" s="84"/>
      <x:c r="X101" s="84"/>
      <x:c r="Y101" s="84"/>
      <x:c r="Z101" s="84"/>
    </x:row>
    <x:row r="102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4"/>
      <x:c r="K102" s="84"/>
      <x:c r="L102" s="84"/>
      <x:c r="M102" s="84"/>
      <x:c r="N102" s="84"/>
      <x:c r="O102" s="84"/>
      <x:c r="P102" s="84"/>
      <x:c r="Q102" s="84"/>
      <x:c r="R102" s="84"/>
      <x:c r="S102" s="84"/>
      <x:c r="T102" s="84"/>
      <x:c r="U102" s="84"/>
      <x:c r="V102" s="84"/>
      <x:c r="W102" s="84"/>
      <x:c r="X102" s="84"/>
      <x:c r="Y102" s="84"/>
      <x:c r="Z102" s="84"/>
    </x:row>
    <x:row r="103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4"/>
      <x:c r="K103" s="84"/>
      <x:c r="L103" s="84"/>
      <x:c r="M103" s="84"/>
      <x:c r="N103" s="84"/>
      <x:c r="O103" s="84"/>
      <x:c r="P103" s="84"/>
      <x:c r="Q103" s="84"/>
      <x:c r="R103" s="84"/>
      <x:c r="S103" s="84"/>
      <x:c r="T103" s="84"/>
      <x:c r="U103" s="84"/>
      <x:c r="V103" s="84"/>
      <x:c r="W103" s="84"/>
      <x:c r="X103" s="84"/>
      <x:c r="Y103" s="84"/>
      <x:c r="Z103" s="84"/>
    </x:row>
    <x:row r="104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4"/>
      <x:c r="K104" s="84"/>
      <x:c r="L104" s="84"/>
      <x:c r="M104" s="84"/>
      <x:c r="N104" s="84"/>
      <x:c r="O104" s="84"/>
      <x:c r="P104" s="84"/>
      <x:c r="Q104" s="84"/>
      <x:c r="R104" s="84"/>
      <x:c r="S104" s="84"/>
      <x:c r="T104" s="84"/>
      <x:c r="U104" s="84"/>
      <x:c r="V104" s="84"/>
      <x:c r="W104" s="84"/>
      <x:c r="X104" s="84"/>
      <x:c r="Y104" s="84"/>
      <x:c r="Z104" s="84"/>
    </x:row>
    <x:row r="105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4"/>
      <x:c r="K105" s="84"/>
      <x:c r="L105" s="84"/>
      <x:c r="M105" s="84"/>
      <x:c r="N105" s="84"/>
      <x:c r="O105" s="84"/>
      <x:c r="P105" s="84"/>
      <x:c r="Q105" s="84"/>
      <x:c r="R105" s="84"/>
      <x:c r="S105" s="84"/>
      <x:c r="T105" s="84"/>
      <x:c r="U105" s="84"/>
      <x:c r="V105" s="84"/>
      <x:c r="W105" s="84"/>
      <x:c r="X105" s="84"/>
      <x:c r="Y105" s="84"/>
      <x:c r="Z105" s="84"/>
    </x:row>
    <x:row r="106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4"/>
      <x:c r="K106" s="84"/>
      <x:c r="L106" s="84"/>
      <x:c r="M106" s="84"/>
      <x:c r="N106" s="84"/>
      <x:c r="O106" s="84"/>
      <x:c r="P106" s="84"/>
      <x:c r="Q106" s="84"/>
      <x:c r="R106" s="84"/>
      <x:c r="S106" s="84"/>
      <x:c r="T106" s="84"/>
      <x:c r="U106" s="84"/>
      <x:c r="V106" s="84"/>
      <x:c r="W106" s="84"/>
      <x:c r="X106" s="84"/>
      <x:c r="Y106" s="84"/>
      <x:c r="Z106" s="84"/>
    </x:row>
    <x:row r="107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4"/>
      <x:c r="K107" s="84"/>
      <x:c r="L107" s="84"/>
      <x:c r="M107" s="84"/>
      <x:c r="N107" s="84"/>
      <x:c r="O107" s="84"/>
      <x:c r="P107" s="84"/>
      <x:c r="Q107" s="84"/>
      <x:c r="R107" s="84"/>
      <x:c r="S107" s="84"/>
      <x:c r="T107" s="84"/>
      <x:c r="U107" s="84"/>
      <x:c r="V107" s="84"/>
      <x:c r="W107" s="84"/>
      <x:c r="X107" s="84"/>
      <x:c r="Y107" s="84"/>
      <x:c r="Z107" s="84"/>
    </x:row>
    <x:row r="108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4"/>
      <x:c r="K108" s="84"/>
      <x:c r="L108" s="84"/>
      <x:c r="M108" s="84"/>
      <x:c r="N108" s="84"/>
      <x:c r="O108" s="84"/>
      <x:c r="P108" s="84"/>
      <x:c r="Q108" s="84"/>
      <x:c r="R108" s="84"/>
      <x:c r="S108" s="84"/>
      <x:c r="T108" s="84"/>
      <x:c r="U108" s="84"/>
      <x:c r="V108" s="84"/>
      <x:c r="W108" s="84"/>
      <x:c r="X108" s="84"/>
      <x:c r="Y108" s="84"/>
      <x:c r="Z108" s="84"/>
    </x:row>
    <x:row r="109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4"/>
      <x:c r="K109" s="84"/>
      <x:c r="L109" s="84"/>
      <x:c r="M109" s="84"/>
      <x:c r="N109" s="84"/>
      <x:c r="O109" s="84"/>
      <x:c r="P109" s="84"/>
      <x:c r="Q109" s="84"/>
      <x:c r="R109" s="84"/>
      <x:c r="S109" s="84"/>
      <x:c r="T109" s="84"/>
      <x:c r="U109" s="84"/>
      <x:c r="V109" s="84"/>
      <x:c r="W109" s="84"/>
      <x:c r="X109" s="84"/>
      <x:c r="Y109" s="84"/>
      <x:c r="Z109" s="84"/>
    </x:row>
    <x:row r="110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4"/>
      <x:c r="K110" s="84"/>
      <x:c r="L110" s="84"/>
      <x:c r="M110" s="84"/>
      <x:c r="N110" s="84"/>
      <x:c r="O110" s="84"/>
      <x:c r="P110" s="84"/>
      <x:c r="Q110" s="84"/>
      <x:c r="R110" s="84"/>
      <x:c r="S110" s="84"/>
      <x:c r="T110" s="84"/>
      <x:c r="U110" s="84"/>
      <x:c r="V110" s="84"/>
      <x:c r="W110" s="84"/>
      <x:c r="X110" s="84"/>
      <x:c r="Y110" s="84"/>
      <x:c r="Z110" s="84"/>
    </x:row>
    <x:row r="11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4"/>
      <x:c r="K111" s="84"/>
      <x:c r="L111" s="84"/>
      <x:c r="M111" s="84"/>
      <x:c r="N111" s="84"/>
      <x:c r="O111" s="84"/>
      <x:c r="P111" s="84"/>
      <x:c r="Q111" s="84"/>
      <x:c r="R111" s="84"/>
      <x:c r="S111" s="84"/>
      <x:c r="T111" s="84"/>
      <x:c r="U111" s="84"/>
      <x:c r="V111" s="84"/>
      <x:c r="W111" s="84"/>
      <x:c r="X111" s="84"/>
      <x:c r="Y111" s="84"/>
      <x:c r="Z111" s="84"/>
    </x:row>
    <x:row r="112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4"/>
      <x:c r="K112" s="84"/>
      <x:c r="L112" s="84"/>
      <x:c r="M112" s="84"/>
      <x:c r="N112" s="84"/>
      <x:c r="O112" s="84"/>
      <x:c r="P112" s="84"/>
      <x:c r="Q112" s="84"/>
      <x:c r="R112" s="84"/>
      <x:c r="S112" s="84"/>
      <x:c r="T112" s="84"/>
      <x:c r="U112" s="84"/>
      <x:c r="V112" s="84"/>
      <x:c r="W112" s="84"/>
      <x:c r="X112" s="84"/>
      <x:c r="Y112" s="84"/>
      <x:c r="Z112" s="84"/>
    </x:row>
    <x:row r="113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4"/>
      <x:c r="K113" s="84"/>
      <x:c r="L113" s="84"/>
      <x:c r="M113" s="84"/>
      <x:c r="N113" s="84"/>
      <x:c r="O113" s="84"/>
      <x:c r="P113" s="84"/>
      <x:c r="Q113" s="84"/>
      <x:c r="R113" s="84"/>
      <x:c r="S113" s="84"/>
      <x:c r="T113" s="84"/>
      <x:c r="U113" s="84"/>
      <x:c r="V113" s="84"/>
      <x:c r="W113" s="84"/>
      <x:c r="X113" s="84"/>
      <x:c r="Y113" s="84"/>
      <x:c r="Z113" s="84"/>
    </x:row>
    <x:row r="114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4"/>
      <x:c r="K114" s="84"/>
      <x:c r="L114" s="84"/>
      <x:c r="M114" s="84"/>
      <x:c r="N114" s="84"/>
      <x:c r="O114" s="84"/>
      <x:c r="P114" s="84"/>
      <x:c r="Q114" s="84"/>
      <x:c r="R114" s="84"/>
      <x:c r="S114" s="84"/>
      <x:c r="T114" s="84"/>
      <x:c r="U114" s="84"/>
      <x:c r="V114" s="84"/>
      <x:c r="W114" s="84"/>
      <x:c r="X114" s="84"/>
      <x:c r="Y114" s="84"/>
      <x:c r="Z114" s="84"/>
    </x:row>
    <x:row r="115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4"/>
      <x:c r="K115" s="84"/>
      <x:c r="L115" s="84"/>
      <x:c r="M115" s="84"/>
      <x:c r="N115" s="84"/>
      <x:c r="O115" s="84"/>
      <x:c r="P115" s="84"/>
      <x:c r="Q115" s="84"/>
      <x:c r="R115" s="84"/>
      <x:c r="S115" s="84"/>
      <x:c r="T115" s="84"/>
      <x:c r="U115" s="84"/>
      <x:c r="V115" s="84"/>
      <x:c r="W115" s="84"/>
      <x:c r="X115" s="84"/>
      <x:c r="Y115" s="84"/>
      <x:c r="Z115" s="84"/>
    </x:row>
    <x:row r="116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4"/>
      <x:c r="K116" s="84"/>
      <x:c r="L116" s="84"/>
      <x:c r="M116" s="84"/>
      <x:c r="N116" s="84"/>
      <x:c r="O116" s="84"/>
      <x:c r="P116" s="84"/>
      <x:c r="Q116" s="84"/>
      <x:c r="R116" s="84"/>
      <x:c r="S116" s="84"/>
      <x:c r="T116" s="84"/>
      <x:c r="U116" s="84"/>
      <x:c r="V116" s="84"/>
      <x:c r="W116" s="84"/>
      <x:c r="X116" s="84"/>
      <x:c r="Y116" s="84"/>
      <x:c r="Z116" s="84"/>
    </x:row>
    <x:row r="117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4"/>
      <x:c r="K117" s="84"/>
      <x:c r="L117" s="84"/>
      <x:c r="M117" s="84"/>
      <x:c r="N117" s="84"/>
      <x:c r="O117" s="84"/>
      <x:c r="P117" s="84"/>
      <x:c r="Q117" s="84"/>
      <x:c r="R117" s="84"/>
      <x:c r="S117" s="84"/>
      <x:c r="T117" s="84"/>
      <x:c r="U117" s="84"/>
      <x:c r="V117" s="84"/>
      <x:c r="W117" s="84"/>
      <x:c r="X117" s="84"/>
      <x:c r="Y117" s="84"/>
      <x:c r="Z117" s="84"/>
    </x:row>
    <x:row r="118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4"/>
      <x:c r="K118" s="84"/>
      <x:c r="L118" s="84"/>
      <x:c r="M118" s="84"/>
      <x:c r="N118" s="84"/>
      <x:c r="O118" s="84"/>
      <x:c r="P118" s="84"/>
      <x:c r="Q118" s="84"/>
      <x:c r="R118" s="84"/>
      <x:c r="S118" s="84"/>
      <x:c r="T118" s="84"/>
      <x:c r="U118" s="84"/>
      <x:c r="V118" s="84"/>
      <x:c r="W118" s="84"/>
      <x:c r="X118" s="84"/>
      <x:c r="Y118" s="84"/>
      <x:c r="Z118" s="84"/>
    </x:row>
    <x:row r="119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4"/>
      <x:c r="K119" s="84"/>
      <x:c r="L119" s="84"/>
      <x:c r="M119" s="84"/>
      <x:c r="N119" s="84"/>
      <x:c r="O119" s="84"/>
      <x:c r="P119" s="84"/>
      <x:c r="Q119" s="84"/>
      <x:c r="R119" s="84"/>
      <x:c r="S119" s="84"/>
      <x:c r="T119" s="84"/>
      <x:c r="U119" s="84"/>
      <x:c r="V119" s="84"/>
      <x:c r="W119" s="84"/>
      <x:c r="X119" s="84"/>
      <x:c r="Y119" s="84"/>
      <x:c r="Z119" s="84"/>
    </x:row>
    <x:row r="120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4"/>
      <x:c r="K120" s="84"/>
      <x:c r="L120" s="84"/>
      <x:c r="M120" s="84"/>
      <x:c r="N120" s="84"/>
      <x:c r="O120" s="84"/>
      <x:c r="P120" s="84"/>
      <x:c r="Q120" s="84"/>
      <x:c r="R120" s="84"/>
      <x:c r="S120" s="84"/>
      <x:c r="T120" s="84"/>
      <x:c r="U120" s="84"/>
      <x:c r="V120" s="84"/>
      <x:c r="W120" s="84"/>
      <x:c r="X120" s="84"/>
      <x:c r="Y120" s="84"/>
      <x:c r="Z120" s="84"/>
    </x:row>
    <x:row r="12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4"/>
      <x:c r="K121" s="84"/>
      <x:c r="L121" s="84"/>
      <x:c r="M121" s="84"/>
      <x:c r="N121" s="84"/>
      <x:c r="O121" s="84"/>
      <x:c r="P121" s="84"/>
      <x:c r="Q121" s="84"/>
      <x:c r="R121" s="84"/>
      <x:c r="S121" s="84"/>
      <x:c r="T121" s="84"/>
      <x:c r="U121" s="84"/>
      <x:c r="V121" s="84"/>
      <x:c r="W121" s="84"/>
      <x:c r="X121" s="84"/>
      <x:c r="Y121" s="84"/>
      <x:c r="Z121" s="84"/>
    </x:row>
    <x:row r="122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4"/>
      <x:c r="K122" s="84"/>
      <x:c r="L122" s="84"/>
      <x:c r="M122" s="84"/>
      <x:c r="N122" s="84"/>
      <x:c r="O122" s="84"/>
      <x:c r="P122" s="84"/>
      <x:c r="Q122" s="84"/>
      <x:c r="R122" s="84"/>
      <x:c r="S122" s="84"/>
      <x:c r="T122" s="84"/>
      <x:c r="U122" s="84"/>
      <x:c r="V122" s="84"/>
      <x:c r="W122" s="84"/>
      <x:c r="X122" s="84"/>
      <x:c r="Y122" s="84"/>
      <x:c r="Z122" s="84"/>
    </x:row>
    <x:row r="123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4"/>
      <x:c r="K123" s="84"/>
      <x:c r="L123" s="84"/>
      <x:c r="M123" s="84"/>
      <x:c r="N123" s="84"/>
      <x:c r="O123" s="84"/>
      <x:c r="P123" s="84"/>
      <x:c r="Q123" s="84"/>
      <x:c r="R123" s="84"/>
      <x:c r="S123" s="84"/>
      <x:c r="T123" s="84"/>
      <x:c r="U123" s="84"/>
      <x:c r="V123" s="84"/>
      <x:c r="W123" s="84"/>
      <x:c r="X123" s="84"/>
      <x:c r="Y123" s="84"/>
      <x:c r="Z123" s="84"/>
    </x:row>
    <x:row r="124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4"/>
      <x:c r="K124" s="84"/>
      <x:c r="L124" s="84"/>
      <x:c r="M124" s="84"/>
      <x:c r="N124" s="84"/>
      <x:c r="O124" s="84"/>
      <x:c r="P124" s="84"/>
      <x:c r="Q124" s="84"/>
      <x:c r="R124" s="84"/>
      <x:c r="S124" s="84"/>
      <x:c r="T124" s="84"/>
      <x:c r="U124" s="84"/>
      <x:c r="V124" s="84"/>
      <x:c r="W124" s="84"/>
      <x:c r="X124" s="84"/>
      <x:c r="Y124" s="84"/>
      <x:c r="Z124" s="84"/>
    </x:row>
    <x:row r="125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  <x:c r="S125" s="84"/>
      <x:c r="T125" s="84"/>
      <x:c r="U125" s="84"/>
      <x:c r="V125" s="84"/>
      <x:c r="W125" s="84"/>
      <x:c r="X125" s="84"/>
      <x:c r="Y125" s="84"/>
      <x:c r="Z125" s="84"/>
    </x:row>
    <x:row r="126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4"/>
      <x:c r="K126" s="84"/>
      <x:c r="L126" s="84"/>
      <x:c r="M126" s="84"/>
      <x:c r="N126" s="84"/>
      <x:c r="O126" s="84"/>
      <x:c r="P126" s="84"/>
      <x:c r="Q126" s="84"/>
      <x:c r="R126" s="84"/>
      <x:c r="S126" s="84"/>
      <x:c r="T126" s="84"/>
      <x:c r="U126" s="84"/>
      <x:c r="V126" s="84"/>
      <x:c r="W126" s="84"/>
      <x:c r="X126" s="84"/>
      <x:c r="Y126" s="84"/>
      <x:c r="Z126" s="84"/>
    </x:row>
    <x:row r="127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4"/>
      <x:c r="K127" s="84"/>
      <x:c r="L127" s="84"/>
      <x:c r="M127" s="84"/>
      <x:c r="N127" s="84"/>
      <x:c r="O127" s="84"/>
      <x:c r="P127" s="84"/>
      <x:c r="Q127" s="84"/>
      <x:c r="R127" s="84"/>
      <x:c r="S127" s="84"/>
      <x:c r="T127" s="84"/>
      <x:c r="U127" s="84"/>
      <x:c r="V127" s="84"/>
      <x:c r="W127" s="84"/>
      <x:c r="X127" s="84"/>
      <x:c r="Y127" s="84"/>
      <x:c r="Z127" s="84"/>
    </x:row>
    <x:row r="128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4"/>
      <x:c r="K128" s="84"/>
      <x:c r="L128" s="84"/>
      <x:c r="M128" s="84"/>
      <x:c r="N128" s="84"/>
      <x:c r="O128" s="84"/>
      <x:c r="P128" s="84"/>
      <x:c r="Q128" s="84"/>
      <x:c r="R128" s="84"/>
      <x:c r="S128" s="84"/>
      <x:c r="T128" s="84"/>
      <x:c r="U128" s="84"/>
      <x:c r="V128" s="84"/>
      <x:c r="W128" s="84"/>
      <x:c r="X128" s="84"/>
      <x:c r="Y128" s="84"/>
      <x:c r="Z128" s="84"/>
    </x:row>
    <x:row r="129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4"/>
      <x:c r="K129" s="84"/>
      <x:c r="L129" s="84"/>
      <x:c r="M129" s="84"/>
      <x:c r="N129" s="84"/>
      <x:c r="O129" s="84"/>
      <x:c r="P129" s="84"/>
      <x:c r="Q129" s="84"/>
      <x:c r="R129" s="84"/>
      <x:c r="S129" s="84"/>
      <x:c r="T129" s="84"/>
      <x:c r="U129" s="84"/>
      <x:c r="V129" s="84"/>
      <x:c r="W129" s="84"/>
      <x:c r="X129" s="84"/>
      <x:c r="Y129" s="84"/>
      <x:c r="Z129" s="84"/>
    </x:row>
    <x:row r="130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4"/>
      <x:c r="K130" s="84"/>
      <x:c r="L130" s="84"/>
      <x:c r="M130" s="84"/>
      <x:c r="N130" s="84"/>
      <x:c r="O130" s="84"/>
      <x:c r="P130" s="84"/>
      <x:c r="Q130" s="84"/>
      <x:c r="R130" s="84"/>
      <x:c r="S130" s="84"/>
      <x:c r="T130" s="84"/>
      <x:c r="U130" s="84"/>
      <x:c r="V130" s="84"/>
      <x:c r="W130" s="84"/>
      <x:c r="X130" s="84"/>
      <x:c r="Y130" s="84"/>
      <x:c r="Z130" s="84"/>
    </x:row>
    <x:row r="13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4"/>
      <x:c r="K131" s="84"/>
      <x:c r="L131" s="84"/>
      <x:c r="M131" s="84"/>
      <x:c r="N131" s="84"/>
      <x:c r="O131" s="84"/>
      <x:c r="P131" s="84"/>
      <x:c r="Q131" s="84"/>
      <x:c r="R131" s="84"/>
      <x:c r="S131" s="84"/>
      <x:c r="T131" s="84"/>
      <x:c r="U131" s="84"/>
      <x:c r="V131" s="84"/>
      <x:c r="W131" s="84"/>
      <x:c r="X131" s="84"/>
      <x:c r="Y131" s="84"/>
      <x:c r="Z131" s="84"/>
    </x:row>
    <x:row r="132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4"/>
      <x:c r="K132" s="84"/>
      <x:c r="L132" s="84"/>
      <x:c r="M132" s="84"/>
      <x:c r="N132" s="84"/>
      <x:c r="O132" s="84"/>
      <x:c r="P132" s="84"/>
      <x:c r="Q132" s="84"/>
      <x:c r="R132" s="84"/>
      <x:c r="S132" s="84"/>
      <x:c r="T132" s="84"/>
      <x:c r="U132" s="84"/>
      <x:c r="V132" s="84"/>
      <x:c r="W132" s="84"/>
      <x:c r="X132" s="84"/>
      <x:c r="Y132" s="84"/>
      <x:c r="Z132" s="84"/>
    </x:row>
    <x:row r="133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4"/>
      <x:c r="K133" s="84"/>
      <x:c r="L133" s="84"/>
      <x:c r="M133" s="84"/>
      <x:c r="N133" s="84"/>
      <x:c r="O133" s="84"/>
      <x:c r="P133" s="84"/>
      <x:c r="Q133" s="84"/>
      <x:c r="R133" s="84"/>
      <x:c r="S133" s="84"/>
      <x:c r="T133" s="84"/>
      <x:c r="U133" s="84"/>
      <x:c r="V133" s="84"/>
      <x:c r="W133" s="84"/>
      <x:c r="X133" s="84"/>
      <x:c r="Y133" s="84"/>
      <x:c r="Z133" s="84"/>
    </x:row>
    <x:row r="134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4"/>
      <x:c r="K134" s="84"/>
      <x:c r="L134" s="84"/>
      <x:c r="M134" s="84"/>
      <x:c r="N134" s="84"/>
      <x:c r="O134" s="84"/>
      <x:c r="P134" s="84"/>
      <x:c r="Q134" s="84"/>
      <x:c r="R134" s="84"/>
      <x:c r="S134" s="84"/>
      <x:c r="T134" s="84"/>
      <x:c r="U134" s="84"/>
      <x:c r="V134" s="84"/>
      <x:c r="W134" s="84"/>
      <x:c r="X134" s="84"/>
      <x:c r="Y134" s="84"/>
      <x:c r="Z134" s="84"/>
    </x:row>
    <x:row r="135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84"/>
      <x:c r="W135" s="84"/>
      <x:c r="X135" s="84"/>
      <x:c r="Y135" s="84"/>
      <x:c r="Z135" s="84"/>
    </x:row>
    <x:row r="136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4"/>
      <x:c r="K136" s="84"/>
      <x:c r="L136" s="84"/>
      <x:c r="M136" s="84"/>
      <x:c r="N136" s="84"/>
      <x:c r="O136" s="84"/>
      <x:c r="P136" s="84"/>
      <x:c r="Q136" s="84"/>
      <x:c r="R136" s="84"/>
      <x:c r="S136" s="84"/>
      <x:c r="T136" s="84"/>
      <x:c r="U136" s="84"/>
      <x:c r="V136" s="84"/>
      <x:c r="W136" s="84"/>
      <x:c r="X136" s="84"/>
      <x:c r="Y136" s="84"/>
      <x:c r="Z136" s="84"/>
    </x:row>
    <x:row r="137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4"/>
      <x:c r="K137" s="84"/>
      <x:c r="L137" s="84"/>
      <x:c r="M137" s="84"/>
      <x:c r="N137" s="84"/>
      <x:c r="O137" s="84"/>
      <x:c r="P137" s="84"/>
      <x:c r="Q137" s="84"/>
      <x:c r="R137" s="84"/>
      <x:c r="S137" s="84"/>
      <x:c r="T137" s="84"/>
      <x:c r="U137" s="84"/>
      <x:c r="V137" s="84"/>
      <x:c r="W137" s="84"/>
      <x:c r="X137" s="84"/>
      <x:c r="Y137" s="84"/>
      <x:c r="Z137" s="84"/>
    </x:row>
    <x:row r="138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4"/>
      <x:c r="K138" s="84"/>
      <x:c r="L138" s="84"/>
      <x:c r="M138" s="84"/>
      <x:c r="N138" s="84"/>
      <x:c r="O138" s="84"/>
      <x:c r="P138" s="84"/>
      <x:c r="Q138" s="84"/>
      <x:c r="R138" s="84"/>
      <x:c r="S138" s="84"/>
      <x:c r="T138" s="84"/>
      <x:c r="U138" s="84"/>
      <x:c r="V138" s="84"/>
      <x:c r="W138" s="84"/>
      <x:c r="X138" s="84"/>
      <x:c r="Y138" s="84"/>
      <x:c r="Z138" s="84"/>
    </x:row>
    <x:row r="139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4"/>
      <x:c r="K139" s="84"/>
      <x:c r="L139" s="84"/>
      <x:c r="M139" s="84"/>
      <x:c r="N139" s="84"/>
      <x:c r="O139" s="84"/>
      <x:c r="P139" s="84"/>
      <x:c r="Q139" s="84"/>
      <x:c r="R139" s="84"/>
      <x:c r="S139" s="84"/>
      <x:c r="T139" s="84"/>
      <x:c r="U139" s="84"/>
      <x:c r="V139" s="84"/>
      <x:c r="W139" s="84"/>
      <x:c r="X139" s="84"/>
      <x:c r="Y139" s="84"/>
      <x:c r="Z139" s="84"/>
    </x:row>
    <x:row r="140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4"/>
      <x:c r="K140" s="84"/>
      <x:c r="L140" s="84"/>
      <x:c r="M140" s="84"/>
      <x:c r="N140" s="84"/>
      <x:c r="O140" s="84"/>
      <x:c r="P140" s="84"/>
      <x:c r="Q140" s="84"/>
      <x:c r="R140" s="84"/>
      <x:c r="S140" s="84"/>
      <x:c r="T140" s="84"/>
      <x:c r="U140" s="84"/>
      <x:c r="V140" s="84"/>
      <x:c r="W140" s="84"/>
      <x:c r="X140" s="84"/>
      <x:c r="Y140" s="84"/>
      <x:c r="Z140" s="84"/>
    </x:row>
    <x:row r="14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4"/>
      <x:c r="K141" s="84"/>
      <x:c r="L141" s="84"/>
      <x:c r="M141" s="84"/>
      <x:c r="N141" s="84"/>
      <x:c r="O141" s="84"/>
      <x:c r="P141" s="84"/>
      <x:c r="Q141" s="84"/>
      <x:c r="R141" s="84"/>
      <x:c r="S141" s="84"/>
      <x:c r="T141" s="84"/>
      <x:c r="U141" s="84"/>
      <x:c r="V141" s="84"/>
      <x:c r="W141" s="84"/>
      <x:c r="X141" s="84"/>
      <x:c r="Y141" s="84"/>
      <x:c r="Z141" s="84"/>
    </x:row>
    <x:row r="142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4"/>
      <x:c r="K142" s="84"/>
      <x:c r="L142" s="84"/>
      <x:c r="M142" s="84"/>
      <x:c r="N142" s="84"/>
      <x:c r="O142" s="84"/>
      <x:c r="P142" s="84"/>
      <x:c r="Q142" s="84"/>
      <x:c r="R142" s="84"/>
      <x:c r="S142" s="84"/>
      <x:c r="T142" s="84"/>
      <x:c r="U142" s="84"/>
      <x:c r="V142" s="84"/>
      <x:c r="W142" s="84"/>
      <x:c r="X142" s="84"/>
      <x:c r="Y142" s="84"/>
      <x:c r="Z142" s="84"/>
    </x:row>
    <x:row r="143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4"/>
      <x:c r="K143" s="84"/>
      <x:c r="L143" s="84"/>
      <x:c r="M143" s="84"/>
      <x:c r="N143" s="84"/>
      <x:c r="O143" s="84"/>
      <x:c r="P143" s="84"/>
      <x:c r="Q143" s="84"/>
      <x:c r="R143" s="84"/>
      <x:c r="S143" s="84"/>
      <x:c r="T143" s="84"/>
      <x:c r="U143" s="84"/>
      <x:c r="V143" s="84"/>
      <x:c r="W143" s="84"/>
      <x:c r="X143" s="84"/>
      <x:c r="Y143" s="84"/>
      <x:c r="Z143" s="84"/>
    </x:row>
    <x:row r="144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4"/>
      <x:c r="K144" s="84"/>
      <x:c r="L144" s="84"/>
      <x:c r="M144" s="84"/>
      <x:c r="N144" s="84"/>
      <x:c r="O144" s="84"/>
      <x:c r="P144" s="84"/>
      <x:c r="Q144" s="84"/>
      <x:c r="R144" s="84"/>
      <x:c r="S144" s="84"/>
      <x:c r="T144" s="84"/>
      <x:c r="U144" s="84"/>
      <x:c r="V144" s="84"/>
      <x:c r="W144" s="84"/>
      <x:c r="X144" s="84"/>
      <x:c r="Y144" s="84"/>
      <x:c r="Z144" s="84"/>
    </x:row>
    <x:row r="145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4"/>
      <x:c r="K145" s="84"/>
      <x:c r="L145" s="84"/>
      <x:c r="M145" s="84"/>
      <x:c r="N145" s="84"/>
      <x:c r="O145" s="84"/>
      <x:c r="P145" s="84"/>
      <x:c r="Q145" s="84"/>
      <x:c r="R145" s="84"/>
      <x:c r="S145" s="84"/>
      <x:c r="T145" s="84"/>
      <x:c r="U145" s="84"/>
      <x:c r="V145" s="84"/>
      <x:c r="W145" s="84"/>
      <x:c r="X145" s="84"/>
      <x:c r="Y145" s="84"/>
      <x:c r="Z145" s="84"/>
    </x:row>
    <x:row r="146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4"/>
      <x:c r="K146" s="84"/>
      <x:c r="L146" s="84"/>
      <x:c r="M146" s="84"/>
      <x:c r="N146" s="84"/>
      <x:c r="O146" s="84"/>
      <x:c r="P146" s="84"/>
      <x:c r="Q146" s="84"/>
      <x:c r="R146" s="84"/>
      <x:c r="S146" s="84"/>
      <x:c r="T146" s="84"/>
      <x:c r="U146" s="84"/>
      <x:c r="V146" s="84"/>
      <x:c r="W146" s="84"/>
      <x:c r="X146" s="84"/>
      <x:c r="Y146" s="84"/>
      <x:c r="Z146" s="84"/>
    </x:row>
    <x:row r="147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4"/>
      <x:c r="K147" s="84"/>
      <x:c r="L147" s="84"/>
      <x:c r="M147" s="84"/>
      <x:c r="N147" s="84"/>
      <x:c r="O147" s="84"/>
      <x:c r="P147" s="84"/>
      <x:c r="Q147" s="84"/>
      <x:c r="R147" s="84"/>
      <x:c r="S147" s="84"/>
      <x:c r="T147" s="84"/>
      <x:c r="U147" s="84"/>
      <x:c r="V147" s="84"/>
      <x:c r="W147" s="84"/>
      <x:c r="X147" s="84"/>
      <x:c r="Y147" s="84"/>
      <x:c r="Z147" s="84"/>
    </x:row>
    <x:row r="148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4"/>
      <x:c r="K148" s="84"/>
      <x:c r="L148" s="84"/>
      <x:c r="M148" s="84"/>
      <x:c r="N148" s="84"/>
      <x:c r="O148" s="84"/>
      <x:c r="P148" s="84"/>
      <x:c r="Q148" s="84"/>
      <x:c r="R148" s="84"/>
      <x:c r="S148" s="84"/>
      <x:c r="T148" s="84"/>
      <x:c r="U148" s="84"/>
      <x:c r="V148" s="84"/>
      <x:c r="W148" s="84"/>
      <x:c r="X148" s="84"/>
      <x:c r="Y148" s="84"/>
      <x:c r="Z148" s="84"/>
    </x:row>
    <x:row r="149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4"/>
      <x:c r="K149" s="84"/>
      <x:c r="L149" s="84"/>
      <x:c r="M149" s="84"/>
      <x:c r="N149" s="84"/>
      <x:c r="O149" s="84"/>
      <x:c r="P149" s="84"/>
      <x:c r="Q149" s="84"/>
      <x:c r="R149" s="84"/>
      <x:c r="S149" s="84"/>
      <x:c r="T149" s="84"/>
      <x:c r="U149" s="84"/>
      <x:c r="V149" s="84"/>
      <x:c r="W149" s="84"/>
      <x:c r="X149" s="84"/>
      <x:c r="Y149" s="84"/>
      <x:c r="Z149" s="84"/>
    </x:row>
    <x:row r="150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4"/>
      <x:c r="K150" s="84"/>
      <x:c r="L150" s="84"/>
      <x:c r="M150" s="84"/>
      <x:c r="N150" s="84"/>
      <x:c r="O150" s="84"/>
      <x:c r="P150" s="84"/>
      <x:c r="Q150" s="84"/>
      <x:c r="R150" s="84"/>
      <x:c r="S150" s="84"/>
      <x:c r="T150" s="84"/>
      <x:c r="U150" s="84"/>
      <x:c r="V150" s="84"/>
      <x:c r="W150" s="84"/>
      <x:c r="X150" s="84"/>
      <x:c r="Y150" s="84"/>
      <x:c r="Z150" s="84"/>
    </x:row>
    <x:row r="15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4"/>
      <x:c r="K151" s="84"/>
      <x:c r="L151" s="84"/>
      <x:c r="M151" s="84"/>
      <x:c r="N151" s="84"/>
      <x:c r="O151" s="84"/>
      <x:c r="P151" s="84"/>
      <x:c r="Q151" s="84"/>
      <x:c r="R151" s="84"/>
      <x:c r="S151" s="84"/>
      <x:c r="T151" s="84"/>
      <x:c r="U151" s="84"/>
      <x:c r="V151" s="84"/>
      <x:c r="W151" s="84"/>
      <x:c r="X151" s="84"/>
      <x:c r="Y151" s="84"/>
      <x:c r="Z151" s="84"/>
    </x:row>
    <x:row r="152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4"/>
      <x:c r="K152" s="84"/>
      <x:c r="L152" s="84"/>
      <x:c r="M152" s="84"/>
      <x:c r="N152" s="84"/>
      <x:c r="O152" s="84"/>
      <x:c r="P152" s="84"/>
      <x:c r="Q152" s="84"/>
      <x:c r="R152" s="84"/>
      <x:c r="S152" s="84"/>
      <x:c r="T152" s="84"/>
      <x:c r="U152" s="84"/>
      <x:c r="V152" s="84"/>
      <x:c r="W152" s="84"/>
      <x:c r="X152" s="84"/>
      <x:c r="Y152" s="84"/>
      <x:c r="Z152" s="84"/>
    </x:row>
    <x:row r="153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4"/>
      <x:c r="K153" s="84"/>
      <x:c r="L153" s="84"/>
      <x:c r="M153" s="84"/>
      <x:c r="N153" s="84"/>
      <x:c r="O153" s="84"/>
      <x:c r="P153" s="84"/>
      <x:c r="Q153" s="84"/>
      <x:c r="R153" s="84"/>
      <x:c r="S153" s="84"/>
      <x:c r="T153" s="84"/>
      <x:c r="U153" s="84"/>
      <x:c r="V153" s="84"/>
      <x:c r="W153" s="84"/>
      <x:c r="X153" s="84"/>
      <x:c r="Y153" s="84"/>
      <x:c r="Z153" s="84"/>
    </x:row>
    <x:row r="154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4"/>
      <x:c r="K154" s="84"/>
      <x:c r="L154" s="84"/>
      <x:c r="M154" s="84"/>
      <x:c r="N154" s="84"/>
      <x:c r="O154" s="84"/>
      <x:c r="P154" s="84"/>
      <x:c r="Q154" s="84"/>
      <x:c r="R154" s="84"/>
      <x:c r="S154" s="84"/>
      <x:c r="T154" s="84"/>
      <x:c r="U154" s="84"/>
      <x:c r="V154" s="84"/>
      <x:c r="W154" s="84"/>
      <x:c r="X154" s="84"/>
      <x:c r="Y154" s="84"/>
      <x:c r="Z154" s="84"/>
    </x:row>
    <x:row r="155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4"/>
      <x:c r="K155" s="84"/>
      <x:c r="L155" s="84"/>
      <x:c r="M155" s="84"/>
      <x:c r="N155" s="84"/>
      <x:c r="O155" s="84"/>
      <x:c r="P155" s="84"/>
      <x:c r="Q155" s="84"/>
      <x:c r="R155" s="84"/>
      <x:c r="S155" s="84"/>
      <x:c r="T155" s="84"/>
      <x:c r="U155" s="84"/>
      <x:c r="V155" s="84"/>
      <x:c r="W155" s="84"/>
      <x:c r="X155" s="84"/>
      <x:c r="Y155" s="84"/>
      <x:c r="Z155" s="84"/>
    </x:row>
    <x:row r="156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84"/>
      <x:c r="W156" s="84"/>
      <x:c r="X156" s="84"/>
      <x:c r="Y156" s="84"/>
      <x:c r="Z156" s="84"/>
    </x:row>
    <x:row r="157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4"/>
      <x:c r="K157" s="84"/>
      <x:c r="L157" s="84"/>
      <x:c r="M157" s="84"/>
      <x:c r="N157" s="84"/>
      <x:c r="O157" s="84"/>
      <x:c r="P157" s="84"/>
      <x:c r="Q157" s="84"/>
      <x:c r="R157" s="84"/>
      <x:c r="S157" s="84"/>
      <x:c r="T157" s="84"/>
      <x:c r="U157" s="84"/>
      <x:c r="V157" s="84"/>
      <x:c r="W157" s="84"/>
      <x:c r="X157" s="84"/>
      <x:c r="Y157" s="84"/>
      <x:c r="Z157" s="84"/>
    </x:row>
    <x:row r="158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4"/>
      <x:c r="K158" s="84"/>
      <x:c r="L158" s="84"/>
      <x:c r="M158" s="84"/>
      <x:c r="N158" s="84"/>
      <x:c r="O158" s="84"/>
      <x:c r="P158" s="84"/>
      <x:c r="Q158" s="84"/>
      <x:c r="R158" s="84"/>
      <x:c r="S158" s="84"/>
      <x:c r="T158" s="84"/>
      <x:c r="U158" s="84"/>
      <x:c r="V158" s="84"/>
      <x:c r="W158" s="84"/>
      <x:c r="X158" s="84"/>
      <x:c r="Y158" s="84"/>
      <x:c r="Z158" s="84"/>
    </x:row>
    <x:row r="159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4"/>
      <x:c r="K159" s="84"/>
      <x:c r="L159" s="84"/>
      <x:c r="M159" s="84"/>
      <x:c r="N159" s="84"/>
      <x:c r="O159" s="84"/>
      <x:c r="P159" s="84"/>
      <x:c r="Q159" s="84"/>
      <x:c r="R159" s="84"/>
      <x:c r="S159" s="84"/>
      <x:c r="T159" s="84"/>
      <x:c r="U159" s="84"/>
      <x:c r="V159" s="84"/>
      <x:c r="W159" s="84"/>
      <x:c r="X159" s="84"/>
      <x:c r="Y159" s="84"/>
      <x:c r="Z159" s="84"/>
    </x:row>
    <x:row r="160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4"/>
      <x:c r="K160" s="84"/>
      <x:c r="L160" s="84"/>
      <x:c r="M160" s="84"/>
      <x:c r="N160" s="84"/>
      <x:c r="O160" s="84"/>
      <x:c r="P160" s="84"/>
      <x:c r="Q160" s="84"/>
      <x:c r="R160" s="84"/>
      <x:c r="S160" s="84"/>
      <x:c r="T160" s="84"/>
      <x:c r="U160" s="84"/>
      <x:c r="V160" s="84"/>
      <x:c r="W160" s="84"/>
      <x:c r="X160" s="84"/>
      <x:c r="Y160" s="84"/>
      <x:c r="Z160" s="84"/>
    </x:row>
    <x:row r="16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4"/>
      <x:c r="K161" s="84"/>
      <x:c r="L161" s="84"/>
      <x:c r="M161" s="84"/>
      <x:c r="N161" s="84"/>
      <x:c r="O161" s="84"/>
      <x:c r="P161" s="84"/>
      <x:c r="Q161" s="84"/>
      <x:c r="R161" s="84"/>
      <x:c r="S161" s="84"/>
      <x:c r="T161" s="84"/>
      <x:c r="U161" s="84"/>
      <x:c r="V161" s="84"/>
      <x:c r="W161" s="84"/>
      <x:c r="X161" s="84"/>
      <x:c r="Y161" s="84"/>
      <x:c r="Z161" s="84"/>
    </x:row>
    <x:row r="162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4"/>
      <x:c r="K162" s="84"/>
      <x:c r="L162" s="84"/>
      <x:c r="M162" s="84"/>
      <x:c r="N162" s="84"/>
      <x:c r="O162" s="84"/>
      <x:c r="P162" s="84"/>
      <x:c r="Q162" s="84"/>
      <x:c r="R162" s="84"/>
      <x:c r="S162" s="84"/>
      <x:c r="T162" s="84"/>
      <x:c r="U162" s="84"/>
      <x:c r="V162" s="84"/>
      <x:c r="W162" s="84"/>
      <x:c r="X162" s="84"/>
      <x:c r="Y162" s="84"/>
      <x:c r="Z162" s="84"/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</x:row>
    <x:row r="164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4"/>
      <x:c r="K164" s="84"/>
      <x:c r="L164" s="84"/>
      <x:c r="M164" s="84"/>
      <x:c r="N164" s="84"/>
      <x:c r="O164" s="84"/>
      <x:c r="P164" s="84"/>
      <x:c r="Q164" s="84"/>
      <x:c r="R164" s="84"/>
      <x:c r="S164" s="84"/>
      <x:c r="T164" s="84"/>
      <x:c r="U164" s="84"/>
      <x:c r="V164" s="84"/>
      <x:c r="W164" s="84"/>
      <x:c r="X164" s="84"/>
      <x:c r="Y164" s="84"/>
      <x:c r="Z164" s="84"/>
    </x:row>
    <x:row r="165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4"/>
      <x:c r="K165" s="84"/>
      <x:c r="L165" s="84"/>
      <x:c r="M165" s="84"/>
      <x:c r="N165" s="84"/>
      <x:c r="O165" s="84"/>
      <x:c r="P165" s="84"/>
      <x:c r="Q165" s="84"/>
      <x:c r="R165" s="84"/>
      <x:c r="S165" s="84"/>
      <x:c r="T165" s="84"/>
      <x:c r="U165" s="84"/>
      <x:c r="V165" s="84"/>
      <x:c r="W165" s="84"/>
      <x:c r="X165" s="84"/>
      <x:c r="Y165" s="84"/>
      <x:c r="Z165" s="84"/>
    </x:row>
    <x:row r="166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4"/>
      <x:c r="S166" s="84"/>
      <x:c r="T166" s="84"/>
      <x:c r="U166" s="84"/>
      <x:c r="V166" s="84"/>
      <x:c r="W166" s="84"/>
      <x:c r="X166" s="84"/>
      <x:c r="Y166" s="84"/>
      <x:c r="Z166" s="84"/>
    </x:row>
    <x:row r="167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4"/>
      <x:c r="K167" s="84"/>
      <x:c r="L167" s="84"/>
      <x:c r="M167" s="84"/>
      <x:c r="N167" s="84"/>
      <x:c r="O167" s="84"/>
      <x:c r="P167" s="84"/>
      <x:c r="Q167" s="84"/>
      <x:c r="R167" s="84"/>
      <x:c r="S167" s="84"/>
      <x:c r="T167" s="84"/>
      <x:c r="U167" s="84"/>
      <x:c r="V167" s="84"/>
      <x:c r="W167" s="84"/>
      <x:c r="X167" s="84"/>
      <x:c r="Y167" s="84"/>
      <x:c r="Z167" s="84"/>
    </x:row>
    <x:row r="168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4"/>
      <x:c r="K168" s="84"/>
      <x:c r="L168" s="84"/>
      <x:c r="M168" s="84"/>
      <x:c r="N168" s="84"/>
      <x:c r="O168" s="84"/>
      <x:c r="P168" s="84"/>
      <x:c r="Q168" s="84"/>
      <x:c r="R168" s="84"/>
      <x:c r="S168" s="84"/>
      <x:c r="T168" s="84"/>
      <x:c r="U168" s="84"/>
      <x:c r="V168" s="84"/>
      <x:c r="W168" s="84"/>
      <x:c r="X168" s="84"/>
      <x:c r="Y168" s="84"/>
      <x:c r="Z168" s="84"/>
    </x:row>
    <x:row r="169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4"/>
      <x:c r="K169" s="84"/>
      <x:c r="L169" s="84"/>
      <x:c r="M169" s="84"/>
      <x:c r="N169" s="84"/>
      <x:c r="O169" s="84"/>
      <x:c r="P169" s="84"/>
      <x:c r="Q169" s="84"/>
      <x:c r="R169" s="84"/>
      <x:c r="S169" s="84"/>
      <x:c r="T169" s="84"/>
      <x:c r="U169" s="84"/>
      <x:c r="V169" s="84"/>
      <x:c r="W169" s="84"/>
      <x:c r="X169" s="84"/>
      <x:c r="Y169" s="84"/>
      <x:c r="Z169" s="84"/>
    </x:row>
    <x:row r="170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4"/>
      <x:c r="K170" s="84"/>
      <x:c r="L170" s="84"/>
      <x:c r="M170" s="84"/>
      <x:c r="N170" s="84"/>
      <x:c r="O170" s="84"/>
      <x:c r="P170" s="84"/>
      <x:c r="Q170" s="84"/>
      <x:c r="R170" s="84"/>
      <x:c r="S170" s="84"/>
      <x:c r="T170" s="84"/>
      <x:c r="U170" s="84"/>
      <x:c r="V170" s="84"/>
      <x:c r="W170" s="84"/>
      <x:c r="X170" s="84"/>
      <x:c r="Y170" s="84"/>
      <x:c r="Z170" s="84"/>
    </x:row>
    <x:row r="17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4"/>
      <x:c r="K171" s="84"/>
      <x:c r="L171" s="84"/>
      <x:c r="M171" s="84"/>
      <x:c r="N171" s="84"/>
      <x:c r="O171" s="84"/>
      <x:c r="P171" s="84"/>
      <x:c r="Q171" s="84"/>
      <x:c r="R171" s="84"/>
      <x:c r="S171" s="84"/>
      <x:c r="T171" s="84"/>
      <x:c r="U171" s="84"/>
      <x:c r="V171" s="84"/>
      <x:c r="W171" s="84"/>
      <x:c r="X171" s="84"/>
      <x:c r="Y171" s="84"/>
      <x:c r="Z171" s="84"/>
    </x:row>
    <x:row r="172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4"/>
      <x:c r="K172" s="84"/>
      <x:c r="L172" s="84"/>
      <x:c r="M172" s="84"/>
      <x:c r="N172" s="84"/>
      <x:c r="O172" s="84"/>
      <x:c r="P172" s="84"/>
      <x:c r="Q172" s="84"/>
      <x:c r="R172" s="84"/>
      <x:c r="S172" s="84"/>
      <x:c r="T172" s="84"/>
      <x:c r="U172" s="84"/>
      <x:c r="V172" s="84"/>
      <x:c r="W172" s="84"/>
      <x:c r="X172" s="84"/>
      <x:c r="Y172" s="84"/>
      <x:c r="Z172" s="84"/>
    </x:row>
    <x:row r="173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4"/>
      <x:c r="K173" s="84"/>
      <x:c r="L173" s="84"/>
      <x:c r="M173" s="84"/>
      <x:c r="N173" s="84"/>
      <x:c r="O173" s="84"/>
      <x:c r="P173" s="84"/>
      <x:c r="Q173" s="84"/>
      <x:c r="R173" s="84"/>
      <x:c r="S173" s="84"/>
      <x:c r="T173" s="84"/>
      <x:c r="U173" s="84"/>
      <x:c r="V173" s="84"/>
      <x:c r="W173" s="84"/>
      <x:c r="X173" s="84"/>
      <x:c r="Y173" s="84"/>
      <x:c r="Z173" s="84"/>
    </x:row>
    <x:row r="174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4"/>
      <x:c r="K174" s="84"/>
      <x:c r="L174" s="84"/>
      <x:c r="M174" s="84"/>
      <x:c r="N174" s="84"/>
      <x:c r="O174" s="84"/>
      <x:c r="P174" s="84"/>
      <x:c r="Q174" s="84"/>
      <x:c r="R174" s="84"/>
      <x:c r="S174" s="84"/>
      <x:c r="T174" s="84"/>
      <x:c r="U174" s="84"/>
      <x:c r="V174" s="84"/>
      <x:c r="W174" s="84"/>
      <x:c r="X174" s="84"/>
      <x:c r="Y174" s="84"/>
      <x:c r="Z174" s="84"/>
    </x:row>
    <x:row r="175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4"/>
      <x:c r="K175" s="84"/>
      <x:c r="L175" s="84"/>
      <x:c r="M175" s="84"/>
      <x:c r="N175" s="84"/>
      <x:c r="O175" s="84"/>
      <x:c r="P175" s="84"/>
      <x:c r="Q175" s="84"/>
      <x:c r="R175" s="84"/>
      <x:c r="S175" s="84"/>
      <x:c r="T175" s="84"/>
      <x:c r="U175" s="84"/>
      <x:c r="V175" s="84"/>
      <x:c r="W175" s="84"/>
      <x:c r="X175" s="84"/>
      <x:c r="Y175" s="84"/>
      <x:c r="Z175" s="84"/>
    </x:row>
    <x:row r="176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4"/>
      <x:c r="K176" s="84"/>
      <x:c r="L176" s="84"/>
      <x:c r="M176" s="84"/>
      <x:c r="N176" s="84"/>
      <x:c r="O176" s="84"/>
      <x:c r="P176" s="84"/>
      <x:c r="Q176" s="84"/>
      <x:c r="R176" s="84"/>
      <x:c r="S176" s="84"/>
      <x:c r="T176" s="84"/>
      <x:c r="U176" s="84"/>
      <x:c r="V176" s="84"/>
      <x:c r="W176" s="84"/>
      <x:c r="X176" s="84"/>
      <x:c r="Y176" s="84"/>
      <x:c r="Z176" s="84"/>
    </x:row>
    <x:row r="177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4"/>
      <x:c r="K177" s="84"/>
      <x:c r="L177" s="84"/>
      <x:c r="M177" s="84"/>
      <x:c r="N177" s="84"/>
      <x:c r="O177" s="84"/>
      <x:c r="P177" s="84"/>
      <x:c r="Q177" s="84"/>
      <x:c r="R177" s="84"/>
      <x:c r="S177" s="84"/>
      <x:c r="T177" s="84"/>
      <x:c r="U177" s="84"/>
      <x:c r="V177" s="84"/>
      <x:c r="W177" s="84"/>
      <x:c r="X177" s="84"/>
      <x:c r="Y177" s="84"/>
      <x:c r="Z177" s="84"/>
    </x:row>
    <x:row r="178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4"/>
      <x:c r="K178" s="84"/>
      <x:c r="L178" s="84"/>
      <x:c r="M178" s="84"/>
      <x:c r="N178" s="84"/>
      <x:c r="O178" s="84"/>
      <x:c r="P178" s="84"/>
      <x:c r="Q178" s="84"/>
      <x:c r="R178" s="84"/>
      <x:c r="S178" s="84"/>
      <x:c r="T178" s="84"/>
      <x:c r="U178" s="84"/>
      <x:c r="V178" s="84"/>
      <x:c r="W178" s="84"/>
      <x:c r="X178" s="84"/>
      <x:c r="Y178" s="84"/>
      <x:c r="Z178" s="84"/>
    </x:row>
    <x:row r="179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4"/>
      <x:c r="K179" s="84"/>
      <x:c r="L179" s="84"/>
      <x:c r="M179" s="84"/>
      <x:c r="N179" s="84"/>
      <x:c r="O179" s="84"/>
      <x:c r="P179" s="84"/>
      <x:c r="Q179" s="84"/>
      <x:c r="R179" s="84"/>
      <x:c r="S179" s="84"/>
      <x:c r="T179" s="84"/>
      <x:c r="U179" s="84"/>
      <x:c r="V179" s="84"/>
      <x:c r="W179" s="84"/>
      <x:c r="X179" s="84"/>
      <x:c r="Y179" s="84"/>
      <x:c r="Z179" s="84"/>
    </x:row>
    <x:row r="180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84"/>
      <x:c r="W180" s="84"/>
      <x:c r="X180" s="84"/>
      <x:c r="Y180" s="84"/>
      <x:c r="Z180" s="84"/>
    </x:row>
    <x:row r="18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4"/>
      <x:c r="K181" s="84"/>
      <x:c r="L181" s="84"/>
      <x:c r="M181" s="84"/>
      <x:c r="N181" s="84"/>
      <x:c r="O181" s="84"/>
      <x:c r="P181" s="84"/>
      <x:c r="Q181" s="84"/>
      <x:c r="R181" s="84"/>
      <x:c r="S181" s="84"/>
      <x:c r="T181" s="84"/>
      <x:c r="U181" s="84"/>
      <x:c r="V181" s="84"/>
      <x:c r="W181" s="84"/>
      <x:c r="X181" s="84"/>
      <x:c r="Y181" s="84"/>
      <x:c r="Z181" s="84"/>
    </x:row>
    <x:row r="182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4"/>
      <x:c r="K182" s="84"/>
      <x:c r="L182" s="84"/>
      <x:c r="M182" s="84"/>
      <x:c r="N182" s="84"/>
      <x:c r="O182" s="84"/>
      <x:c r="P182" s="84"/>
      <x:c r="Q182" s="84"/>
      <x:c r="R182" s="84"/>
      <x:c r="S182" s="84"/>
      <x:c r="T182" s="84"/>
      <x:c r="U182" s="84"/>
      <x:c r="V182" s="84"/>
      <x:c r="W182" s="84"/>
      <x:c r="X182" s="84"/>
      <x:c r="Y182" s="84"/>
      <x:c r="Z182" s="84"/>
    </x:row>
    <x:row r="183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4"/>
      <x:c r="K183" s="84"/>
      <x:c r="L183" s="84"/>
      <x:c r="M183" s="84"/>
      <x:c r="N183" s="84"/>
      <x:c r="O183" s="84"/>
      <x:c r="P183" s="84"/>
      <x:c r="Q183" s="84"/>
      <x:c r="R183" s="84"/>
      <x:c r="S183" s="84"/>
      <x:c r="T183" s="84"/>
      <x:c r="U183" s="84"/>
      <x:c r="V183" s="84"/>
      <x:c r="W183" s="84"/>
      <x:c r="X183" s="84"/>
      <x:c r="Y183" s="84"/>
      <x:c r="Z183" s="84"/>
    </x:row>
    <x:row r="184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4"/>
      <x:c r="K184" s="84"/>
      <x:c r="L184" s="84"/>
      <x:c r="M184" s="84"/>
      <x:c r="N184" s="84"/>
      <x:c r="O184" s="84"/>
      <x:c r="P184" s="84"/>
      <x:c r="Q184" s="84"/>
      <x:c r="R184" s="84"/>
      <x:c r="S184" s="84"/>
      <x:c r="T184" s="84"/>
      <x:c r="U184" s="84"/>
      <x:c r="V184" s="84"/>
      <x:c r="W184" s="84"/>
      <x:c r="X184" s="84"/>
      <x:c r="Y184" s="84"/>
      <x:c r="Z184" s="84"/>
    </x:row>
    <x:row r="185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4"/>
      <x:c r="K185" s="84"/>
      <x:c r="L185" s="84"/>
      <x:c r="M185" s="84"/>
      <x:c r="N185" s="84"/>
      <x:c r="O185" s="84"/>
      <x:c r="P185" s="84"/>
      <x:c r="Q185" s="84"/>
      <x:c r="R185" s="84"/>
      <x:c r="S185" s="84"/>
      <x:c r="T185" s="84"/>
      <x:c r="U185" s="84"/>
      <x:c r="V185" s="84"/>
      <x:c r="W185" s="84"/>
      <x:c r="X185" s="84"/>
      <x:c r="Y185" s="84"/>
      <x:c r="Z185" s="84"/>
    </x:row>
    <x:row r="186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4"/>
      <x:c r="K186" s="84"/>
      <x:c r="L186" s="84"/>
      <x:c r="M186" s="84"/>
      <x:c r="N186" s="84"/>
      <x:c r="O186" s="84"/>
      <x:c r="P186" s="84"/>
      <x:c r="Q186" s="84"/>
      <x:c r="R186" s="84"/>
      <x:c r="S186" s="84"/>
      <x:c r="T186" s="84"/>
      <x:c r="U186" s="84"/>
      <x:c r="V186" s="84"/>
      <x:c r="W186" s="84"/>
      <x:c r="X186" s="84"/>
      <x:c r="Y186" s="84"/>
      <x:c r="Z186" s="84"/>
    </x:row>
    <x:row r="187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4"/>
      <x:c r="K187" s="84"/>
      <x:c r="L187" s="84"/>
      <x:c r="M187" s="84"/>
      <x:c r="N187" s="84"/>
      <x:c r="O187" s="84"/>
      <x:c r="P187" s="84"/>
      <x:c r="Q187" s="84"/>
      <x:c r="R187" s="84"/>
      <x:c r="S187" s="84"/>
      <x:c r="T187" s="84"/>
      <x:c r="U187" s="84"/>
      <x:c r="V187" s="84"/>
      <x:c r="W187" s="84"/>
      <x:c r="X187" s="84"/>
      <x:c r="Y187" s="84"/>
      <x:c r="Z187" s="84"/>
    </x:row>
    <x:row r="188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4"/>
      <x:c r="K188" s="84"/>
      <x:c r="L188" s="84"/>
      <x:c r="M188" s="84"/>
      <x:c r="N188" s="84"/>
      <x:c r="O188" s="84"/>
      <x:c r="P188" s="84"/>
      <x:c r="Q188" s="84"/>
      <x:c r="R188" s="84"/>
      <x:c r="S188" s="84"/>
      <x:c r="T188" s="84"/>
      <x:c r="U188" s="84"/>
      <x:c r="V188" s="84"/>
      <x:c r="W188" s="84"/>
      <x:c r="X188" s="84"/>
      <x:c r="Y188" s="84"/>
      <x:c r="Z188" s="84"/>
    </x:row>
    <x:row r="189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4"/>
      <x:c r="K189" s="84"/>
      <x:c r="L189" s="84"/>
      <x:c r="M189" s="84"/>
      <x:c r="N189" s="84"/>
      <x:c r="O189" s="84"/>
      <x:c r="P189" s="84"/>
      <x:c r="Q189" s="84"/>
      <x:c r="R189" s="84"/>
      <x:c r="S189" s="84"/>
      <x:c r="T189" s="84"/>
      <x:c r="U189" s="84"/>
      <x:c r="V189" s="84"/>
      <x:c r="W189" s="84"/>
      <x:c r="X189" s="84"/>
      <x:c r="Y189" s="84"/>
      <x:c r="Z189" s="84"/>
    </x:row>
    <x:row r="190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4"/>
      <x:c r="K190" s="84"/>
      <x:c r="L190" s="84"/>
      <x:c r="M190" s="84"/>
      <x:c r="N190" s="84"/>
      <x:c r="O190" s="84"/>
      <x:c r="P190" s="84"/>
      <x:c r="Q190" s="84"/>
      <x:c r="R190" s="84"/>
      <x:c r="S190" s="84"/>
      <x:c r="T190" s="84"/>
      <x:c r="U190" s="84"/>
      <x:c r="V190" s="84"/>
      <x:c r="W190" s="84"/>
      <x:c r="X190" s="84"/>
      <x:c r="Y190" s="84"/>
      <x:c r="Z190" s="84"/>
    </x:row>
    <x:row r="19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4"/>
      <x:c r="K191" s="84"/>
      <x:c r="L191" s="84"/>
      <x:c r="M191" s="84"/>
      <x:c r="N191" s="84"/>
      <x:c r="O191" s="84"/>
      <x:c r="P191" s="84"/>
      <x:c r="Q191" s="84"/>
      <x:c r="R191" s="84"/>
      <x:c r="S191" s="84"/>
      <x:c r="T191" s="84"/>
      <x:c r="U191" s="84"/>
      <x:c r="V191" s="84"/>
      <x:c r="W191" s="84"/>
      <x:c r="X191" s="84"/>
      <x:c r="Y191" s="84"/>
      <x:c r="Z191" s="84"/>
    </x:row>
    <x:row r="192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4"/>
      <x:c r="K192" s="84"/>
      <x:c r="L192" s="84"/>
      <x:c r="M192" s="84"/>
      <x:c r="N192" s="84"/>
      <x:c r="O192" s="84"/>
      <x:c r="P192" s="84"/>
      <x:c r="Q192" s="84"/>
      <x:c r="R192" s="84"/>
      <x:c r="S192" s="84"/>
      <x:c r="T192" s="84"/>
      <x:c r="U192" s="84"/>
      <x:c r="V192" s="84"/>
      <x:c r="W192" s="84"/>
      <x:c r="X192" s="84"/>
      <x:c r="Y192" s="84"/>
      <x:c r="Z192" s="84"/>
    </x:row>
    <x:row r="193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4"/>
      <x:c r="K193" s="84"/>
      <x:c r="L193" s="84"/>
      <x:c r="M193" s="84"/>
      <x:c r="N193" s="84"/>
      <x:c r="O193" s="84"/>
      <x:c r="P193" s="84"/>
      <x:c r="Q193" s="84"/>
      <x:c r="R193" s="84"/>
      <x:c r="S193" s="84"/>
      <x:c r="T193" s="84"/>
      <x:c r="U193" s="84"/>
      <x:c r="V193" s="84"/>
      <x:c r="W193" s="84"/>
      <x:c r="X193" s="84"/>
      <x:c r="Y193" s="84"/>
      <x:c r="Z193" s="84"/>
    </x:row>
    <x:row r="194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4"/>
      <x:c r="K194" s="84"/>
      <x:c r="L194" s="84"/>
      <x:c r="M194" s="84"/>
      <x:c r="N194" s="84"/>
      <x:c r="O194" s="84"/>
      <x:c r="P194" s="84"/>
      <x:c r="Q194" s="84"/>
      <x:c r="R194" s="84"/>
      <x:c r="S194" s="84"/>
      <x:c r="T194" s="84"/>
      <x:c r="U194" s="84"/>
      <x:c r="V194" s="84"/>
      <x:c r="W194" s="84"/>
      <x:c r="X194" s="84"/>
      <x:c r="Y194" s="84"/>
      <x:c r="Z194" s="84"/>
    </x:row>
    <x:row r="195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4"/>
      <x:c r="K195" s="84"/>
      <x:c r="L195" s="84"/>
      <x:c r="M195" s="84"/>
      <x:c r="N195" s="84"/>
      <x:c r="O195" s="84"/>
      <x:c r="P195" s="84"/>
      <x:c r="Q195" s="84"/>
      <x:c r="R195" s="84"/>
      <x:c r="S195" s="84"/>
      <x:c r="T195" s="84"/>
      <x:c r="U195" s="84"/>
      <x:c r="V195" s="84"/>
      <x:c r="W195" s="84"/>
      <x:c r="X195" s="84"/>
      <x:c r="Y195" s="84"/>
      <x:c r="Z195" s="84"/>
    </x:row>
    <x:row r="196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4"/>
      <x:c r="K196" s="84"/>
      <x:c r="L196" s="84"/>
      <x:c r="M196" s="84"/>
      <x:c r="N196" s="84"/>
      <x:c r="O196" s="84"/>
      <x:c r="P196" s="84"/>
      <x:c r="Q196" s="84"/>
      <x:c r="R196" s="84"/>
      <x:c r="S196" s="84"/>
      <x:c r="T196" s="84"/>
      <x:c r="U196" s="84"/>
      <x:c r="V196" s="84"/>
      <x:c r="W196" s="84"/>
      <x:c r="X196" s="84"/>
      <x:c r="Y196" s="84"/>
      <x:c r="Z196" s="84"/>
    </x:row>
    <x:row r="197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4"/>
      <x:c r="K197" s="84"/>
      <x:c r="L197" s="84"/>
      <x:c r="M197" s="84"/>
      <x:c r="N197" s="84"/>
      <x:c r="O197" s="84"/>
      <x:c r="P197" s="84"/>
      <x:c r="Q197" s="84"/>
      <x:c r="R197" s="84"/>
      <x:c r="S197" s="84"/>
      <x:c r="T197" s="84"/>
      <x:c r="U197" s="84"/>
      <x:c r="V197" s="84"/>
      <x:c r="W197" s="84"/>
      <x:c r="X197" s="84"/>
      <x:c r="Y197" s="84"/>
      <x:c r="Z197" s="84"/>
    </x:row>
    <x:row r="198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4"/>
      <x:c r="K198" s="84"/>
      <x:c r="L198" s="84"/>
      <x:c r="M198" s="84"/>
      <x:c r="N198" s="84"/>
      <x:c r="O198" s="84"/>
      <x:c r="P198" s="84"/>
      <x:c r="Q198" s="84"/>
      <x:c r="R198" s="84"/>
      <x:c r="S198" s="84"/>
      <x:c r="T198" s="84"/>
      <x:c r="U198" s="84"/>
      <x:c r="V198" s="84"/>
      <x:c r="W198" s="84"/>
      <x:c r="X198" s="84"/>
      <x:c r="Y198" s="84"/>
      <x:c r="Z198" s="84"/>
    </x:row>
    <x:row r="199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4"/>
      <x:c r="K199" s="84"/>
      <x:c r="L199" s="84"/>
      <x:c r="M199" s="84"/>
      <x:c r="N199" s="84"/>
      <x:c r="O199" s="84"/>
      <x:c r="P199" s="84"/>
      <x:c r="Q199" s="84"/>
      <x:c r="R199" s="84"/>
      <x:c r="S199" s="84"/>
      <x:c r="T199" s="84"/>
      <x:c r="U199" s="84"/>
      <x:c r="V199" s="84"/>
      <x:c r="W199" s="84"/>
      <x:c r="X199" s="84"/>
      <x:c r="Y199" s="84"/>
      <x:c r="Z199" s="84"/>
    </x:row>
    <x:row r="200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4"/>
      <x:c r="K200" s="84"/>
      <x:c r="L200" s="84"/>
      <x:c r="M200" s="84"/>
      <x:c r="N200" s="84"/>
      <x:c r="O200" s="84"/>
      <x:c r="P200" s="84"/>
      <x:c r="Q200" s="84"/>
      <x:c r="R200" s="84"/>
      <x:c r="S200" s="84"/>
      <x:c r="T200" s="84"/>
      <x:c r="U200" s="84"/>
      <x:c r="V200" s="84"/>
      <x:c r="W200" s="84"/>
      <x:c r="X200" s="84"/>
      <x:c r="Y200" s="84"/>
      <x:c r="Z200" s="84"/>
    </x:row>
    <x:row r="20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4"/>
      <x:c r="K201" s="84"/>
      <x:c r="L201" s="84"/>
      <x:c r="M201" s="84"/>
      <x:c r="N201" s="84"/>
      <x:c r="O201" s="84"/>
      <x:c r="P201" s="84"/>
      <x:c r="Q201" s="84"/>
      <x:c r="R201" s="84"/>
      <x:c r="S201" s="84"/>
      <x:c r="T201" s="84"/>
      <x:c r="U201" s="84"/>
      <x:c r="V201" s="84"/>
      <x:c r="W201" s="84"/>
      <x:c r="X201" s="84"/>
      <x:c r="Y201" s="84"/>
      <x:c r="Z201" s="84"/>
    </x:row>
    <x:row r="202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4"/>
      <x:c r="K202" s="84"/>
      <x:c r="L202" s="84"/>
      <x:c r="M202" s="84"/>
      <x:c r="N202" s="84"/>
      <x:c r="O202" s="84"/>
      <x:c r="P202" s="84"/>
      <x:c r="Q202" s="84"/>
      <x:c r="R202" s="84"/>
      <x:c r="S202" s="84"/>
      <x:c r="T202" s="84"/>
      <x:c r="U202" s="84"/>
      <x:c r="V202" s="84"/>
      <x:c r="W202" s="84"/>
      <x:c r="X202" s="84"/>
      <x:c r="Y202" s="84"/>
      <x:c r="Z202" s="84"/>
    </x:row>
    <x:row r="203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4"/>
      <x:c r="K203" s="84"/>
      <x:c r="L203" s="84"/>
      <x:c r="M203" s="84"/>
      <x:c r="N203" s="84"/>
      <x:c r="O203" s="84"/>
      <x:c r="P203" s="84"/>
      <x:c r="Q203" s="84"/>
      <x:c r="R203" s="84"/>
      <x:c r="S203" s="84"/>
      <x:c r="T203" s="84"/>
      <x:c r="U203" s="84"/>
      <x:c r="V203" s="84"/>
      <x:c r="W203" s="84"/>
      <x:c r="X203" s="84"/>
      <x:c r="Y203" s="84"/>
      <x:c r="Z203" s="84"/>
    </x:row>
    <x:row r="204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4"/>
      <x:c r="K204" s="84"/>
      <x:c r="L204" s="84"/>
      <x:c r="M204" s="84"/>
      <x:c r="N204" s="84"/>
      <x:c r="O204" s="84"/>
      <x:c r="P204" s="84"/>
      <x:c r="Q204" s="84"/>
      <x:c r="R204" s="84"/>
      <x:c r="S204" s="84"/>
      <x:c r="T204" s="84"/>
      <x:c r="U204" s="84"/>
      <x:c r="V204" s="84"/>
      <x:c r="W204" s="84"/>
      <x:c r="X204" s="84"/>
      <x:c r="Y204" s="84"/>
      <x:c r="Z204" s="84"/>
    </x:row>
    <x:row r="205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4"/>
      <x:c r="K205" s="84"/>
      <x:c r="L205" s="84"/>
      <x:c r="M205" s="84"/>
      <x:c r="N205" s="84"/>
      <x:c r="O205" s="84"/>
      <x:c r="P205" s="84"/>
      <x:c r="Q205" s="84"/>
      <x:c r="R205" s="84"/>
      <x:c r="S205" s="84"/>
      <x:c r="T205" s="84"/>
      <x:c r="U205" s="84"/>
      <x:c r="V205" s="84"/>
      <x:c r="W205" s="84"/>
      <x:c r="X205" s="84"/>
      <x:c r="Y205" s="84"/>
      <x:c r="Z205" s="84"/>
    </x:row>
    <x:row r="206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4"/>
      <x:c r="K206" s="84"/>
      <x:c r="L206" s="84"/>
      <x:c r="M206" s="84"/>
      <x:c r="N206" s="84"/>
      <x:c r="O206" s="84"/>
      <x:c r="P206" s="84"/>
      <x:c r="Q206" s="84"/>
      <x:c r="R206" s="84"/>
      <x:c r="S206" s="84"/>
      <x:c r="T206" s="84"/>
      <x:c r="U206" s="84"/>
      <x:c r="V206" s="84"/>
      <x:c r="W206" s="84"/>
      <x:c r="X206" s="84"/>
      <x:c r="Y206" s="84"/>
      <x:c r="Z206" s="84"/>
    </x:row>
    <x:row r="207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4"/>
      <x:c r="K207" s="84"/>
      <x:c r="L207" s="84"/>
      <x:c r="M207" s="84"/>
      <x:c r="N207" s="84"/>
      <x:c r="O207" s="84"/>
      <x:c r="P207" s="84"/>
      <x:c r="Q207" s="84"/>
      <x:c r="R207" s="84"/>
      <x:c r="S207" s="84"/>
      <x:c r="T207" s="84"/>
      <x:c r="U207" s="84"/>
      <x:c r="V207" s="84"/>
      <x:c r="W207" s="84"/>
      <x:c r="X207" s="84"/>
      <x:c r="Y207" s="84"/>
      <x:c r="Z207" s="84"/>
    </x:row>
    <x:row r="208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4"/>
      <x:c r="K208" s="84"/>
      <x:c r="L208" s="84"/>
      <x:c r="M208" s="84"/>
      <x:c r="N208" s="84"/>
      <x:c r="O208" s="84"/>
      <x:c r="P208" s="84"/>
      <x:c r="Q208" s="84"/>
      <x:c r="R208" s="84"/>
      <x:c r="S208" s="84"/>
      <x:c r="T208" s="84"/>
      <x:c r="U208" s="84"/>
      <x:c r="V208" s="84"/>
      <x:c r="W208" s="84"/>
      <x:c r="X208" s="84"/>
      <x:c r="Y208" s="84"/>
      <x:c r="Z208" s="84"/>
    </x:row>
    <x:row r="209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4"/>
      <x:c r="K209" s="84"/>
      <x:c r="L209" s="84"/>
      <x:c r="M209" s="84"/>
      <x:c r="N209" s="84"/>
      <x:c r="O209" s="84"/>
      <x:c r="P209" s="84"/>
      <x:c r="Q209" s="84"/>
      <x:c r="R209" s="84"/>
      <x:c r="S209" s="84"/>
      <x:c r="T209" s="84"/>
      <x:c r="U209" s="84"/>
      <x:c r="V209" s="84"/>
      <x:c r="W209" s="84"/>
      <x:c r="X209" s="84"/>
      <x:c r="Y209" s="84"/>
      <x:c r="Z209" s="84"/>
    </x:row>
    <x:row r="210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4"/>
      <x:c r="K210" s="84"/>
      <x:c r="L210" s="84"/>
      <x:c r="M210" s="84"/>
      <x:c r="N210" s="84"/>
      <x:c r="O210" s="84"/>
      <x:c r="P210" s="84"/>
      <x:c r="Q210" s="84"/>
      <x:c r="R210" s="84"/>
      <x:c r="S210" s="84"/>
      <x:c r="T210" s="84"/>
      <x:c r="U210" s="84"/>
      <x:c r="V210" s="84"/>
      <x:c r="W210" s="84"/>
      <x:c r="X210" s="84"/>
      <x:c r="Y210" s="84"/>
      <x:c r="Z210" s="84"/>
    </x:row>
    <x:row r="21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4"/>
      <x:c r="K211" s="84"/>
      <x:c r="L211" s="84"/>
      <x:c r="M211" s="84"/>
      <x:c r="N211" s="84"/>
      <x:c r="O211" s="84"/>
      <x:c r="P211" s="84"/>
      <x:c r="Q211" s="84"/>
      <x:c r="R211" s="84"/>
      <x:c r="S211" s="84"/>
      <x:c r="T211" s="84"/>
      <x:c r="U211" s="84"/>
      <x:c r="V211" s="84"/>
      <x:c r="W211" s="84"/>
      <x:c r="X211" s="84"/>
      <x:c r="Y211" s="84"/>
      <x:c r="Z211" s="84"/>
    </x:row>
    <x:row r="212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4"/>
      <x:c r="K212" s="84"/>
      <x:c r="L212" s="84"/>
      <x:c r="M212" s="84"/>
      <x:c r="N212" s="84"/>
      <x:c r="O212" s="84"/>
      <x:c r="P212" s="84"/>
      <x:c r="Q212" s="84"/>
      <x:c r="R212" s="84"/>
      <x:c r="S212" s="84"/>
      <x:c r="T212" s="84"/>
      <x:c r="U212" s="84"/>
      <x:c r="V212" s="84"/>
      <x:c r="W212" s="84"/>
      <x:c r="X212" s="84"/>
      <x:c r="Y212" s="84"/>
      <x:c r="Z212" s="84"/>
    </x:row>
    <x:row r="213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4"/>
      <x:c r="K213" s="84"/>
      <x:c r="L213" s="84"/>
      <x:c r="M213" s="84"/>
      <x:c r="N213" s="84"/>
      <x:c r="O213" s="84"/>
      <x:c r="P213" s="84"/>
      <x:c r="Q213" s="84"/>
      <x:c r="R213" s="84"/>
      <x:c r="S213" s="84"/>
      <x:c r="T213" s="84"/>
      <x:c r="U213" s="84"/>
      <x:c r="V213" s="84"/>
      <x:c r="W213" s="84"/>
      <x:c r="X213" s="84"/>
      <x:c r="Y213" s="84"/>
      <x:c r="Z213" s="84"/>
    </x:row>
    <x:row r="214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4"/>
      <x:c r="K214" s="84"/>
      <x:c r="L214" s="84"/>
      <x:c r="M214" s="84"/>
      <x:c r="N214" s="84"/>
      <x:c r="O214" s="84"/>
      <x:c r="P214" s="84"/>
      <x:c r="Q214" s="84"/>
      <x:c r="R214" s="84"/>
      <x:c r="S214" s="84"/>
      <x:c r="T214" s="84"/>
      <x:c r="U214" s="84"/>
      <x:c r="V214" s="84"/>
      <x:c r="W214" s="84"/>
      <x:c r="X214" s="84"/>
      <x:c r="Y214" s="84"/>
      <x:c r="Z214" s="84"/>
    </x:row>
    <x:row r="215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4"/>
      <x:c r="K215" s="84"/>
      <x:c r="L215" s="84"/>
      <x:c r="M215" s="84"/>
      <x:c r="N215" s="84"/>
      <x:c r="O215" s="84"/>
      <x:c r="P215" s="84"/>
      <x:c r="Q215" s="84"/>
      <x:c r="R215" s="84"/>
      <x:c r="S215" s="84"/>
      <x:c r="T215" s="84"/>
      <x:c r="U215" s="84"/>
      <x:c r="V215" s="84"/>
      <x:c r="W215" s="84"/>
      <x:c r="X215" s="84"/>
      <x:c r="Y215" s="84"/>
      <x:c r="Z215" s="84"/>
    </x:row>
    <x:row r="216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4"/>
      <x:c r="K216" s="84"/>
      <x:c r="L216" s="84"/>
      <x:c r="M216" s="84"/>
      <x:c r="N216" s="84"/>
      <x:c r="O216" s="84"/>
      <x:c r="P216" s="84"/>
      <x:c r="Q216" s="84"/>
      <x:c r="R216" s="84"/>
      <x:c r="S216" s="84"/>
      <x:c r="T216" s="84"/>
      <x:c r="U216" s="84"/>
      <x:c r="V216" s="84"/>
      <x:c r="W216" s="84"/>
      <x:c r="X216" s="84"/>
      <x:c r="Y216" s="84"/>
      <x:c r="Z216" s="84"/>
    </x:row>
    <x:row r="217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4"/>
      <x:c r="K217" s="84"/>
      <x:c r="L217" s="84"/>
      <x:c r="M217" s="84"/>
      <x:c r="N217" s="84"/>
      <x:c r="O217" s="84"/>
      <x:c r="P217" s="84"/>
      <x:c r="Q217" s="84"/>
      <x:c r="R217" s="84"/>
      <x:c r="S217" s="84"/>
      <x:c r="T217" s="84"/>
      <x:c r="U217" s="84"/>
      <x:c r="V217" s="84"/>
      <x:c r="W217" s="84"/>
      <x:c r="X217" s="84"/>
      <x:c r="Y217" s="84"/>
      <x:c r="Z217" s="84"/>
    </x:row>
    <x:row r="218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4"/>
      <x:c r="K218" s="84"/>
      <x:c r="L218" s="84"/>
      <x:c r="M218" s="84"/>
      <x:c r="N218" s="84"/>
      <x:c r="O218" s="84"/>
      <x:c r="P218" s="84"/>
      <x:c r="Q218" s="84"/>
      <x:c r="R218" s="84"/>
      <x:c r="S218" s="84"/>
      <x:c r="T218" s="84"/>
      <x:c r="U218" s="84"/>
      <x:c r="V218" s="84"/>
      <x:c r="W218" s="84"/>
      <x:c r="X218" s="84"/>
      <x:c r="Y218" s="84"/>
      <x:c r="Z218" s="84"/>
    </x:row>
    <x:row r="219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4"/>
      <x:c r="K219" s="84"/>
      <x:c r="L219" s="84"/>
      <x:c r="M219" s="84"/>
      <x:c r="N219" s="84"/>
      <x:c r="O219" s="84"/>
      <x:c r="P219" s="84"/>
      <x:c r="Q219" s="84"/>
      <x:c r="R219" s="84"/>
      <x:c r="S219" s="84"/>
      <x:c r="T219" s="84"/>
      <x:c r="U219" s="84"/>
      <x:c r="V219" s="84"/>
      <x:c r="W219" s="84"/>
      <x:c r="X219" s="84"/>
      <x:c r="Y219" s="84"/>
      <x:c r="Z219" s="84"/>
    </x:row>
    <x:row r="220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4"/>
      <x:c r="K220" s="84"/>
      <x:c r="L220" s="84"/>
      <x:c r="M220" s="84"/>
      <x:c r="N220" s="84"/>
      <x:c r="O220" s="84"/>
      <x:c r="P220" s="84"/>
      <x:c r="Q220" s="84"/>
      <x:c r="R220" s="84"/>
      <x:c r="S220" s="84"/>
      <x:c r="T220" s="84"/>
      <x:c r="U220" s="84"/>
      <x:c r="V220" s="84"/>
      <x:c r="W220" s="84"/>
      <x:c r="X220" s="84"/>
      <x:c r="Y220" s="84"/>
      <x:c r="Z220" s="84"/>
    </x:row>
    <x:row r="22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4"/>
      <x:c r="K221" s="84"/>
      <x:c r="L221" s="84"/>
      <x:c r="M221" s="84"/>
      <x:c r="N221" s="84"/>
      <x:c r="O221" s="84"/>
      <x:c r="P221" s="84"/>
      <x:c r="Q221" s="84"/>
      <x:c r="R221" s="84"/>
      <x:c r="S221" s="84"/>
      <x:c r="T221" s="84"/>
      <x:c r="U221" s="84"/>
      <x:c r="V221" s="84"/>
      <x:c r="W221" s="84"/>
      <x:c r="X221" s="84"/>
      <x:c r="Y221" s="84"/>
      <x:c r="Z221" s="84"/>
    </x:row>
    <x:row r="222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4"/>
      <x:c r="K222" s="84"/>
      <x:c r="L222" s="84"/>
      <x:c r="M222" s="84"/>
      <x:c r="N222" s="84"/>
      <x:c r="O222" s="84"/>
      <x:c r="P222" s="84"/>
      <x:c r="Q222" s="84"/>
      <x:c r="R222" s="84"/>
      <x:c r="S222" s="84"/>
      <x:c r="T222" s="84"/>
      <x:c r="U222" s="84"/>
      <x:c r="V222" s="84"/>
      <x:c r="W222" s="84"/>
      <x:c r="X222" s="84"/>
      <x:c r="Y222" s="84"/>
      <x:c r="Z222" s="84"/>
    </x:row>
    <x:row r="223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4"/>
      <x:c r="K223" s="84"/>
      <x:c r="L223" s="84"/>
      <x:c r="M223" s="84"/>
      <x:c r="N223" s="84"/>
      <x:c r="O223" s="84"/>
      <x:c r="P223" s="84"/>
      <x:c r="Q223" s="84"/>
      <x:c r="R223" s="84"/>
      <x:c r="S223" s="84"/>
      <x:c r="T223" s="84"/>
      <x:c r="U223" s="84"/>
      <x:c r="V223" s="84"/>
      <x:c r="W223" s="84"/>
      <x:c r="X223" s="84"/>
      <x:c r="Y223" s="84"/>
      <x:c r="Z223" s="84"/>
    </x:row>
    <x:row r="224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4"/>
      <x:c r="K224" s="84"/>
      <x:c r="L224" s="84"/>
      <x:c r="M224" s="84"/>
      <x:c r="N224" s="84"/>
      <x:c r="O224" s="84"/>
      <x:c r="P224" s="84"/>
      <x:c r="Q224" s="84"/>
      <x:c r="R224" s="84"/>
      <x:c r="S224" s="84"/>
      <x:c r="T224" s="84"/>
      <x:c r="U224" s="84"/>
      <x:c r="V224" s="84"/>
      <x:c r="W224" s="84"/>
      <x:c r="X224" s="84"/>
      <x:c r="Y224" s="84"/>
      <x:c r="Z224" s="84"/>
    </x:row>
    <x:row r="225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4"/>
      <x:c r="K225" s="84"/>
      <x:c r="L225" s="84"/>
      <x:c r="M225" s="84"/>
      <x:c r="N225" s="84"/>
      <x:c r="O225" s="84"/>
      <x:c r="P225" s="84"/>
      <x:c r="Q225" s="84"/>
      <x:c r="R225" s="84"/>
      <x:c r="S225" s="84"/>
      <x:c r="T225" s="84"/>
      <x:c r="U225" s="84"/>
      <x:c r="V225" s="84"/>
      <x:c r="W225" s="84"/>
      <x:c r="X225" s="84"/>
      <x:c r="Y225" s="84"/>
      <x:c r="Z225" s="84"/>
    </x:row>
    <x:row r="226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4"/>
      <x:c r="K226" s="84"/>
      <x:c r="L226" s="84"/>
      <x:c r="M226" s="84"/>
      <x:c r="N226" s="84"/>
      <x:c r="O226" s="84"/>
      <x:c r="P226" s="84"/>
      <x:c r="Q226" s="84"/>
      <x:c r="R226" s="84"/>
      <x:c r="S226" s="84"/>
      <x:c r="T226" s="84"/>
      <x:c r="U226" s="84"/>
      <x:c r="V226" s="84"/>
      <x:c r="W226" s="84"/>
      <x:c r="X226" s="84"/>
      <x:c r="Y226" s="84"/>
      <x:c r="Z226" s="84"/>
    </x:row>
    <x:row r="227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4"/>
      <x:c r="K227" s="84"/>
      <x:c r="L227" s="84"/>
      <x:c r="M227" s="84"/>
      <x:c r="N227" s="84"/>
      <x:c r="O227" s="84"/>
      <x:c r="P227" s="84"/>
      <x:c r="Q227" s="84"/>
      <x:c r="R227" s="84"/>
      <x:c r="S227" s="84"/>
      <x:c r="T227" s="84"/>
      <x:c r="U227" s="84"/>
      <x:c r="V227" s="84"/>
      <x:c r="W227" s="84"/>
      <x:c r="X227" s="84"/>
      <x:c r="Y227" s="84"/>
      <x:c r="Z227" s="84"/>
    </x:row>
    <x:row r="228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4"/>
      <x:c r="K228" s="84"/>
      <x:c r="L228" s="84"/>
      <x:c r="M228" s="84"/>
      <x:c r="N228" s="84"/>
      <x:c r="O228" s="84"/>
      <x:c r="P228" s="84"/>
      <x:c r="Q228" s="84"/>
      <x:c r="R228" s="84"/>
      <x:c r="S228" s="84"/>
      <x:c r="T228" s="84"/>
      <x:c r="U228" s="84"/>
      <x:c r="V228" s="84"/>
      <x:c r="W228" s="84"/>
      <x:c r="X228" s="84"/>
      <x:c r="Y228" s="84"/>
      <x:c r="Z228" s="84"/>
    </x:row>
    <x:row r="229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4"/>
      <x:c r="K229" s="84"/>
      <x:c r="L229" s="84"/>
      <x:c r="M229" s="84"/>
      <x:c r="N229" s="84"/>
      <x:c r="O229" s="84"/>
      <x:c r="P229" s="84"/>
      <x:c r="Q229" s="84"/>
      <x:c r="R229" s="84"/>
      <x:c r="S229" s="84"/>
      <x:c r="T229" s="84"/>
      <x:c r="U229" s="84"/>
      <x:c r="V229" s="84"/>
      <x:c r="W229" s="84"/>
      <x:c r="X229" s="84"/>
      <x:c r="Y229" s="84"/>
      <x:c r="Z229" s="84"/>
    </x:row>
    <x:row r="230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4"/>
      <x:c r="K230" s="84"/>
      <x:c r="L230" s="84"/>
      <x:c r="M230" s="84"/>
      <x:c r="N230" s="84"/>
      <x:c r="O230" s="84"/>
      <x:c r="P230" s="84"/>
      <x:c r="Q230" s="84"/>
      <x:c r="R230" s="84"/>
      <x:c r="S230" s="84"/>
      <x:c r="T230" s="84"/>
      <x:c r="U230" s="84"/>
      <x:c r="V230" s="84"/>
      <x:c r="W230" s="84"/>
      <x:c r="X230" s="84"/>
      <x:c r="Y230" s="84"/>
      <x:c r="Z230" s="84"/>
    </x:row>
    <x:row r="23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4"/>
      <x:c r="K231" s="84"/>
      <x:c r="L231" s="84"/>
      <x:c r="M231" s="84"/>
      <x:c r="N231" s="84"/>
      <x:c r="O231" s="84"/>
      <x:c r="P231" s="84"/>
      <x:c r="Q231" s="84"/>
      <x:c r="R231" s="84"/>
      <x:c r="S231" s="84"/>
      <x:c r="T231" s="84"/>
      <x:c r="U231" s="84"/>
      <x:c r="V231" s="84"/>
      <x:c r="W231" s="84"/>
      <x:c r="X231" s="84"/>
      <x:c r="Y231" s="84"/>
      <x:c r="Z231" s="84"/>
    </x:row>
    <x:row r="232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4"/>
      <x:c r="K232" s="84"/>
      <x:c r="L232" s="84"/>
      <x:c r="M232" s="84"/>
      <x:c r="N232" s="84"/>
      <x:c r="O232" s="84"/>
      <x:c r="P232" s="84"/>
      <x:c r="Q232" s="84"/>
      <x:c r="R232" s="84"/>
      <x:c r="S232" s="84"/>
      <x:c r="T232" s="84"/>
      <x:c r="U232" s="84"/>
      <x:c r="V232" s="84"/>
      <x:c r="W232" s="84"/>
      <x:c r="X232" s="84"/>
      <x:c r="Y232" s="84"/>
      <x:c r="Z232" s="84"/>
    </x:row>
    <x:row r="233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4"/>
      <x:c r="K233" s="84"/>
      <x:c r="L233" s="84"/>
      <x:c r="M233" s="84"/>
      <x:c r="N233" s="84"/>
      <x:c r="O233" s="84"/>
      <x:c r="P233" s="84"/>
      <x:c r="Q233" s="84"/>
      <x:c r="R233" s="84"/>
      <x:c r="S233" s="84"/>
      <x:c r="T233" s="84"/>
      <x:c r="U233" s="84"/>
      <x:c r="V233" s="84"/>
      <x:c r="W233" s="84"/>
      <x:c r="X233" s="84"/>
      <x:c r="Y233" s="84"/>
      <x:c r="Z233" s="84"/>
    </x:row>
    <x:row r="234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4"/>
      <x:c r="K234" s="84"/>
      <x:c r="L234" s="84"/>
      <x:c r="M234" s="84"/>
      <x:c r="N234" s="84"/>
      <x:c r="O234" s="84"/>
      <x:c r="P234" s="84"/>
      <x:c r="Q234" s="84"/>
      <x:c r="R234" s="84"/>
      <x:c r="S234" s="84"/>
      <x:c r="T234" s="84"/>
      <x:c r="U234" s="84"/>
      <x:c r="V234" s="84"/>
      <x:c r="W234" s="84"/>
      <x:c r="X234" s="84"/>
      <x:c r="Y234" s="84"/>
      <x:c r="Z234" s="84"/>
    </x:row>
    <x:row r="235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4"/>
      <x:c r="K235" s="84"/>
      <x:c r="L235" s="84"/>
      <x:c r="M235" s="84"/>
      <x:c r="N235" s="84"/>
      <x:c r="O235" s="84"/>
      <x:c r="P235" s="84"/>
      <x:c r="Q235" s="84"/>
      <x:c r="R235" s="84"/>
      <x:c r="S235" s="84"/>
      <x:c r="T235" s="84"/>
      <x:c r="U235" s="84"/>
      <x:c r="V235" s="84"/>
      <x:c r="W235" s="84"/>
      <x:c r="X235" s="84"/>
      <x:c r="Y235" s="84"/>
      <x:c r="Z235" s="84"/>
    </x:row>
    <x:row r="236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4"/>
      <x:c r="K236" s="84"/>
      <x:c r="L236" s="84"/>
      <x:c r="M236" s="84"/>
      <x:c r="N236" s="84"/>
      <x:c r="O236" s="84"/>
      <x:c r="P236" s="84"/>
      <x:c r="Q236" s="84"/>
      <x:c r="R236" s="84"/>
      <x:c r="S236" s="84"/>
      <x:c r="T236" s="84"/>
      <x:c r="U236" s="84"/>
      <x:c r="V236" s="84"/>
      <x:c r="W236" s="84"/>
      <x:c r="X236" s="84"/>
      <x:c r="Y236" s="84"/>
      <x:c r="Z236" s="84"/>
    </x:row>
    <x:row r="237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4"/>
      <x:c r="K237" s="84"/>
      <x:c r="L237" s="84"/>
      <x:c r="M237" s="84"/>
      <x:c r="N237" s="84"/>
      <x:c r="O237" s="84"/>
      <x:c r="P237" s="84"/>
      <x:c r="Q237" s="84"/>
      <x:c r="R237" s="84"/>
      <x:c r="S237" s="84"/>
      <x:c r="T237" s="84"/>
      <x:c r="U237" s="84"/>
      <x:c r="V237" s="84"/>
      <x:c r="W237" s="84"/>
      <x:c r="X237" s="84"/>
      <x:c r="Y237" s="84"/>
      <x:c r="Z237" s="84"/>
    </x:row>
    <x:row r="238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4"/>
      <x:c r="K238" s="84"/>
      <x:c r="L238" s="84"/>
      <x:c r="M238" s="84"/>
      <x:c r="N238" s="84"/>
      <x:c r="O238" s="84"/>
      <x:c r="P238" s="84"/>
      <x:c r="Q238" s="84"/>
      <x:c r="R238" s="84"/>
      <x:c r="S238" s="84"/>
      <x:c r="T238" s="84"/>
      <x:c r="U238" s="84"/>
      <x:c r="V238" s="84"/>
      <x:c r="W238" s="84"/>
      <x:c r="X238" s="84"/>
      <x:c r="Y238" s="84"/>
      <x:c r="Z238" s="84"/>
    </x:row>
    <x:row r="239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4"/>
      <x:c r="K239" s="84"/>
      <x:c r="L239" s="84"/>
      <x:c r="M239" s="84"/>
      <x:c r="N239" s="84"/>
      <x:c r="O239" s="84"/>
      <x:c r="P239" s="84"/>
      <x:c r="Q239" s="84"/>
      <x:c r="R239" s="84"/>
      <x:c r="S239" s="84"/>
      <x:c r="T239" s="84"/>
      <x:c r="U239" s="84"/>
      <x:c r="V239" s="84"/>
      <x:c r="W239" s="84"/>
      <x:c r="X239" s="84"/>
      <x:c r="Y239" s="84"/>
      <x:c r="Z239" s="84"/>
    </x:row>
    <x:row r="240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4"/>
      <x:c r="K240" s="84"/>
      <x:c r="L240" s="84"/>
      <x:c r="M240" s="84"/>
      <x:c r="N240" s="84"/>
      <x:c r="O240" s="84"/>
      <x:c r="P240" s="84"/>
      <x:c r="Q240" s="84"/>
      <x:c r="R240" s="84"/>
      <x:c r="S240" s="84"/>
      <x:c r="T240" s="84"/>
      <x:c r="U240" s="84"/>
      <x:c r="V240" s="84"/>
      <x:c r="W240" s="84"/>
      <x:c r="X240" s="84"/>
      <x:c r="Y240" s="84"/>
      <x:c r="Z240" s="84"/>
    </x:row>
    <x:row r="24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4"/>
      <x:c r="K241" s="84"/>
      <x:c r="L241" s="84"/>
      <x:c r="M241" s="84"/>
      <x:c r="N241" s="84"/>
      <x:c r="O241" s="84"/>
      <x:c r="P241" s="84"/>
      <x:c r="Q241" s="84"/>
      <x:c r="R241" s="84"/>
      <x:c r="S241" s="84"/>
      <x:c r="T241" s="84"/>
      <x:c r="U241" s="84"/>
      <x:c r="V241" s="84"/>
      <x:c r="W241" s="84"/>
      <x:c r="X241" s="84"/>
      <x:c r="Y241" s="84"/>
      <x:c r="Z241" s="84"/>
    </x:row>
    <x:row r="242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4"/>
      <x:c r="K242" s="84"/>
      <x:c r="L242" s="84"/>
      <x:c r="M242" s="84"/>
      <x:c r="N242" s="84"/>
      <x:c r="O242" s="84"/>
      <x:c r="P242" s="84"/>
      <x:c r="Q242" s="84"/>
      <x:c r="R242" s="84"/>
      <x:c r="S242" s="84"/>
      <x:c r="T242" s="84"/>
      <x:c r="U242" s="84"/>
      <x:c r="V242" s="84"/>
      <x:c r="W242" s="84"/>
      <x:c r="X242" s="84"/>
      <x:c r="Y242" s="84"/>
      <x:c r="Z242" s="84"/>
    </x:row>
    <x:row r="243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4"/>
      <x:c r="K243" s="84"/>
      <x:c r="L243" s="84"/>
      <x:c r="M243" s="84"/>
      <x:c r="N243" s="84"/>
      <x:c r="O243" s="84"/>
      <x:c r="P243" s="84"/>
      <x:c r="Q243" s="84"/>
      <x:c r="R243" s="84"/>
      <x:c r="S243" s="84"/>
      <x:c r="T243" s="84"/>
      <x:c r="U243" s="84"/>
      <x:c r="V243" s="84"/>
      <x:c r="W243" s="84"/>
      <x:c r="X243" s="84"/>
      <x:c r="Y243" s="84"/>
      <x:c r="Z243" s="84"/>
    </x:row>
    <x:row r="244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4"/>
      <x:c r="K244" s="84"/>
      <x:c r="L244" s="84"/>
      <x:c r="M244" s="84"/>
      <x:c r="N244" s="84"/>
      <x:c r="O244" s="84"/>
      <x:c r="P244" s="84"/>
      <x:c r="Q244" s="84"/>
      <x:c r="R244" s="84"/>
      <x:c r="S244" s="84"/>
      <x:c r="T244" s="84"/>
      <x:c r="U244" s="84"/>
      <x:c r="V244" s="84"/>
      <x:c r="W244" s="84"/>
      <x:c r="X244" s="84"/>
      <x:c r="Y244" s="84"/>
      <x:c r="Z244" s="84"/>
    </x:row>
    <x:row r="245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4"/>
      <x:c r="K245" s="84"/>
      <x:c r="L245" s="84"/>
      <x:c r="M245" s="84"/>
      <x:c r="N245" s="84"/>
      <x:c r="O245" s="84"/>
      <x:c r="P245" s="84"/>
      <x:c r="Q245" s="84"/>
      <x:c r="R245" s="84"/>
      <x:c r="S245" s="84"/>
      <x:c r="T245" s="84"/>
      <x:c r="U245" s="84"/>
      <x:c r="V245" s="84"/>
      <x:c r="W245" s="84"/>
      <x:c r="X245" s="84"/>
      <x:c r="Y245" s="84"/>
      <x:c r="Z245" s="84"/>
    </x:row>
    <x:row r="246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4"/>
      <x:c r="K246" s="84"/>
      <x:c r="L246" s="84"/>
      <x:c r="M246" s="84"/>
      <x:c r="N246" s="84"/>
      <x:c r="O246" s="84"/>
      <x:c r="P246" s="84"/>
      <x:c r="Q246" s="84"/>
      <x:c r="R246" s="84"/>
      <x:c r="S246" s="84"/>
      <x:c r="T246" s="84"/>
      <x:c r="U246" s="84"/>
      <x:c r="V246" s="84"/>
      <x:c r="W246" s="84"/>
      <x:c r="X246" s="84"/>
      <x:c r="Y246" s="84"/>
      <x:c r="Z246" s="84"/>
    </x:row>
    <x:row r="247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4"/>
      <x:c r="K247" s="84"/>
      <x:c r="L247" s="84"/>
      <x:c r="M247" s="84"/>
      <x:c r="N247" s="84"/>
      <x:c r="O247" s="84"/>
      <x:c r="P247" s="84"/>
      <x:c r="Q247" s="84"/>
      <x:c r="R247" s="84"/>
      <x:c r="S247" s="84"/>
      <x:c r="T247" s="84"/>
      <x:c r="U247" s="84"/>
      <x:c r="V247" s="84"/>
      <x:c r="W247" s="84"/>
      <x:c r="X247" s="84"/>
      <x:c r="Y247" s="84"/>
      <x:c r="Z247" s="84"/>
    </x:row>
    <x:row r="248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4"/>
      <x:c r="K248" s="84"/>
      <x:c r="L248" s="84"/>
      <x:c r="M248" s="84"/>
      <x:c r="N248" s="84"/>
      <x:c r="O248" s="84"/>
      <x:c r="P248" s="84"/>
      <x:c r="Q248" s="84"/>
      <x:c r="R248" s="84"/>
      <x:c r="S248" s="84"/>
      <x:c r="T248" s="84"/>
      <x:c r="U248" s="84"/>
      <x:c r="V248" s="84"/>
      <x:c r="W248" s="84"/>
      <x:c r="X248" s="84"/>
      <x:c r="Y248" s="84"/>
      <x:c r="Z248" s="84"/>
    </x:row>
    <x:row r="249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4"/>
      <x:c r="K249" s="84"/>
      <x:c r="L249" s="84"/>
      <x:c r="M249" s="84"/>
      <x:c r="N249" s="84"/>
      <x:c r="O249" s="84"/>
      <x:c r="P249" s="84"/>
      <x:c r="Q249" s="84"/>
      <x:c r="R249" s="84"/>
      <x:c r="S249" s="84"/>
      <x:c r="T249" s="84"/>
      <x:c r="U249" s="84"/>
      <x:c r="V249" s="84"/>
      <x:c r="W249" s="84"/>
      <x:c r="X249" s="84"/>
      <x:c r="Y249" s="84"/>
      <x:c r="Z249" s="84"/>
    </x:row>
    <x:row r="250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4"/>
      <x:c r="K250" s="84"/>
      <x:c r="L250" s="84"/>
      <x:c r="M250" s="84"/>
      <x:c r="N250" s="84"/>
      <x:c r="O250" s="84"/>
      <x:c r="P250" s="84"/>
      <x:c r="Q250" s="84"/>
      <x:c r="R250" s="84"/>
      <x:c r="S250" s="84"/>
      <x:c r="T250" s="84"/>
      <x:c r="U250" s="84"/>
      <x:c r="V250" s="84"/>
      <x:c r="W250" s="84"/>
      <x:c r="X250" s="84"/>
      <x:c r="Y250" s="84"/>
      <x:c r="Z250" s="84"/>
    </x:row>
    <x:row r="25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4"/>
      <x:c r="K251" s="84"/>
      <x:c r="L251" s="84"/>
      <x:c r="M251" s="84"/>
      <x:c r="N251" s="84"/>
      <x:c r="O251" s="84"/>
      <x:c r="P251" s="84"/>
      <x:c r="Q251" s="84"/>
      <x:c r="R251" s="84"/>
      <x:c r="S251" s="84"/>
      <x:c r="T251" s="84"/>
      <x:c r="U251" s="84"/>
      <x:c r="V251" s="84"/>
      <x:c r="W251" s="84"/>
      <x:c r="X251" s="84"/>
      <x:c r="Y251" s="84"/>
      <x:c r="Z251" s="84"/>
    </x:row>
    <x:row r="252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4"/>
      <x:c r="K252" s="84"/>
      <x:c r="L252" s="84"/>
      <x:c r="M252" s="84"/>
      <x:c r="N252" s="84"/>
      <x:c r="O252" s="84"/>
      <x:c r="P252" s="84"/>
      <x:c r="Q252" s="84"/>
      <x:c r="R252" s="84"/>
      <x:c r="S252" s="84"/>
      <x:c r="T252" s="84"/>
      <x:c r="U252" s="84"/>
      <x:c r="V252" s="84"/>
      <x:c r="W252" s="84"/>
      <x:c r="X252" s="84"/>
      <x:c r="Y252" s="84"/>
      <x:c r="Z252" s="84"/>
    </x:row>
    <x:row r="253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4"/>
      <x:c r="K253" s="84"/>
      <x:c r="L253" s="84"/>
      <x:c r="M253" s="84"/>
      <x:c r="N253" s="84"/>
      <x:c r="O253" s="84"/>
      <x:c r="P253" s="84"/>
      <x:c r="Q253" s="84"/>
      <x:c r="R253" s="84"/>
      <x:c r="S253" s="84"/>
      <x:c r="T253" s="84"/>
      <x:c r="U253" s="84"/>
      <x:c r="V253" s="84"/>
      <x:c r="W253" s="84"/>
      <x:c r="X253" s="84"/>
      <x:c r="Y253" s="84"/>
      <x:c r="Z253" s="84"/>
    </x:row>
    <x:row r="254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4"/>
      <x:c r="K254" s="84"/>
      <x:c r="L254" s="84"/>
      <x:c r="M254" s="84"/>
      <x:c r="N254" s="84"/>
      <x:c r="O254" s="84"/>
      <x:c r="P254" s="84"/>
      <x:c r="Q254" s="84"/>
      <x:c r="R254" s="84"/>
      <x:c r="S254" s="84"/>
      <x:c r="T254" s="84"/>
      <x:c r="U254" s="84"/>
      <x:c r="V254" s="84"/>
      <x:c r="W254" s="84"/>
      <x:c r="X254" s="84"/>
      <x:c r="Y254" s="84"/>
      <x:c r="Z254" s="84"/>
    </x:row>
    <x:row r="255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4"/>
      <x:c r="K255" s="84"/>
      <x:c r="L255" s="84"/>
      <x:c r="M255" s="84"/>
      <x:c r="N255" s="84"/>
      <x:c r="O255" s="84"/>
      <x:c r="P255" s="84"/>
      <x:c r="Q255" s="84"/>
      <x:c r="R255" s="84"/>
      <x:c r="S255" s="84"/>
      <x:c r="T255" s="84"/>
      <x:c r="U255" s="84"/>
      <x:c r="V255" s="84"/>
      <x:c r="W255" s="84"/>
      <x:c r="X255" s="84"/>
      <x:c r="Y255" s="84"/>
      <x:c r="Z255" s="84"/>
    </x:row>
    <x:row r="256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4"/>
      <x:c r="K256" s="84"/>
      <x:c r="L256" s="84"/>
      <x:c r="M256" s="84"/>
      <x:c r="N256" s="84"/>
      <x:c r="O256" s="84"/>
      <x:c r="P256" s="84"/>
      <x:c r="Q256" s="84"/>
      <x:c r="R256" s="84"/>
      <x:c r="S256" s="84"/>
      <x:c r="T256" s="84"/>
      <x:c r="U256" s="84"/>
      <x:c r="V256" s="84"/>
      <x:c r="W256" s="84"/>
      <x:c r="X256" s="84"/>
      <x:c r="Y256" s="84"/>
      <x:c r="Z256" s="84"/>
    </x:row>
    <x:row r="257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4"/>
      <x:c r="K257" s="84"/>
      <x:c r="L257" s="84"/>
      <x:c r="M257" s="84"/>
      <x:c r="N257" s="84"/>
      <x:c r="O257" s="84"/>
      <x:c r="P257" s="84"/>
      <x:c r="Q257" s="84"/>
      <x:c r="R257" s="84"/>
      <x:c r="S257" s="84"/>
      <x:c r="T257" s="84"/>
      <x:c r="U257" s="84"/>
      <x:c r="V257" s="84"/>
      <x:c r="W257" s="84"/>
      <x:c r="X257" s="84"/>
      <x:c r="Y257" s="84"/>
      <x:c r="Z257" s="84"/>
    </x:row>
    <x:row r="258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4"/>
      <x:c r="K258" s="84"/>
      <x:c r="L258" s="84"/>
      <x:c r="M258" s="84"/>
      <x:c r="N258" s="84"/>
      <x:c r="O258" s="84"/>
      <x:c r="P258" s="84"/>
      <x:c r="Q258" s="84"/>
      <x:c r="R258" s="84"/>
      <x:c r="S258" s="84"/>
      <x:c r="T258" s="84"/>
      <x:c r="U258" s="84"/>
      <x:c r="V258" s="84"/>
      <x:c r="W258" s="84"/>
      <x:c r="X258" s="84"/>
      <x:c r="Y258" s="84"/>
      <x:c r="Z258" s="84"/>
    </x:row>
    <x:row r="259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4"/>
      <x:c r="K259" s="84"/>
      <x:c r="L259" s="84"/>
      <x:c r="M259" s="84"/>
      <x:c r="N259" s="84"/>
      <x:c r="O259" s="84"/>
      <x:c r="P259" s="84"/>
      <x:c r="Q259" s="84"/>
      <x:c r="R259" s="84"/>
      <x:c r="S259" s="84"/>
      <x:c r="T259" s="84"/>
      <x:c r="U259" s="84"/>
      <x:c r="V259" s="84"/>
      <x:c r="W259" s="84"/>
      <x:c r="X259" s="84"/>
      <x:c r="Y259" s="84"/>
      <x:c r="Z259" s="84"/>
    </x:row>
    <x:row r="260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4"/>
      <x:c r="K260" s="84"/>
      <x:c r="L260" s="84"/>
      <x:c r="M260" s="84"/>
      <x:c r="N260" s="84"/>
      <x:c r="O260" s="84"/>
      <x:c r="P260" s="84"/>
      <x:c r="Q260" s="84"/>
      <x:c r="R260" s="84"/>
      <x:c r="S260" s="84"/>
      <x:c r="T260" s="84"/>
      <x:c r="U260" s="84"/>
      <x:c r="V260" s="84"/>
      <x:c r="W260" s="84"/>
      <x:c r="X260" s="84"/>
      <x:c r="Y260" s="84"/>
      <x:c r="Z260" s="84"/>
    </x:row>
    <x:row r="26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4"/>
      <x:c r="K261" s="84"/>
      <x:c r="L261" s="84"/>
      <x:c r="M261" s="84"/>
      <x:c r="N261" s="84"/>
      <x:c r="O261" s="84"/>
      <x:c r="P261" s="84"/>
      <x:c r="Q261" s="84"/>
      <x:c r="R261" s="84"/>
      <x:c r="S261" s="84"/>
      <x:c r="T261" s="84"/>
      <x:c r="U261" s="84"/>
      <x:c r="V261" s="84"/>
      <x:c r="W261" s="84"/>
      <x:c r="X261" s="84"/>
      <x:c r="Y261" s="84"/>
      <x:c r="Z261" s="84"/>
    </x:row>
    <x:row r="262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4"/>
      <x:c r="K262" s="84"/>
      <x:c r="L262" s="84"/>
      <x:c r="M262" s="84"/>
      <x:c r="N262" s="84"/>
      <x:c r="O262" s="84"/>
      <x:c r="P262" s="84"/>
      <x:c r="Q262" s="84"/>
      <x:c r="R262" s="84"/>
      <x:c r="S262" s="84"/>
      <x:c r="T262" s="84"/>
      <x:c r="U262" s="84"/>
      <x:c r="V262" s="84"/>
      <x:c r="W262" s="84"/>
      <x:c r="X262" s="84"/>
      <x:c r="Y262" s="84"/>
      <x:c r="Z262" s="84"/>
    </x:row>
    <x:row r="263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4"/>
      <x:c r="K263" s="84"/>
      <x:c r="L263" s="84"/>
      <x:c r="M263" s="84"/>
      <x:c r="N263" s="84"/>
      <x:c r="O263" s="84"/>
      <x:c r="P263" s="84"/>
      <x:c r="Q263" s="84"/>
      <x:c r="R263" s="84"/>
      <x:c r="S263" s="84"/>
      <x:c r="T263" s="84"/>
      <x:c r="U263" s="84"/>
      <x:c r="V263" s="84"/>
      <x:c r="W263" s="84"/>
      <x:c r="X263" s="84"/>
      <x:c r="Y263" s="84"/>
      <x:c r="Z263" s="84"/>
    </x:row>
    <x:row r="264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4"/>
      <x:c r="K264" s="84"/>
      <x:c r="L264" s="84"/>
      <x:c r="M264" s="84"/>
      <x:c r="N264" s="84"/>
      <x:c r="O264" s="84"/>
      <x:c r="P264" s="84"/>
      <x:c r="Q264" s="84"/>
      <x:c r="R264" s="84"/>
      <x:c r="S264" s="84"/>
      <x:c r="T264" s="84"/>
      <x:c r="U264" s="84"/>
      <x:c r="V264" s="84"/>
      <x:c r="W264" s="84"/>
      <x:c r="X264" s="84"/>
      <x:c r="Y264" s="84"/>
      <x:c r="Z264" s="84"/>
    </x:row>
    <x:row r="265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4"/>
      <x:c r="K265" s="84"/>
      <x:c r="L265" s="84"/>
      <x:c r="M265" s="84"/>
      <x:c r="N265" s="84"/>
      <x:c r="O265" s="84"/>
      <x:c r="P265" s="84"/>
      <x:c r="Q265" s="84"/>
      <x:c r="R265" s="84"/>
      <x:c r="S265" s="84"/>
      <x:c r="T265" s="84"/>
      <x:c r="U265" s="84"/>
      <x:c r="V265" s="84"/>
      <x:c r="W265" s="84"/>
      <x:c r="X265" s="84"/>
      <x:c r="Y265" s="84"/>
      <x:c r="Z265" s="84"/>
    </x:row>
    <x:row r="266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4"/>
      <x:c r="K266" s="84"/>
      <x:c r="L266" s="84"/>
      <x:c r="M266" s="84"/>
      <x:c r="N266" s="84"/>
      <x:c r="O266" s="84"/>
      <x:c r="P266" s="84"/>
      <x:c r="Q266" s="84"/>
      <x:c r="R266" s="84"/>
      <x:c r="S266" s="84"/>
      <x:c r="T266" s="84"/>
      <x:c r="U266" s="84"/>
      <x:c r="V266" s="84"/>
      <x:c r="W266" s="84"/>
      <x:c r="X266" s="84"/>
      <x:c r="Y266" s="84"/>
      <x:c r="Z266" s="84"/>
    </x:row>
    <x:row r="267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4"/>
      <x:c r="K267" s="84"/>
      <x:c r="L267" s="84"/>
      <x:c r="M267" s="84"/>
      <x:c r="N267" s="84"/>
      <x:c r="O267" s="84"/>
      <x:c r="P267" s="84"/>
      <x:c r="Q267" s="84"/>
      <x:c r="R267" s="84"/>
      <x:c r="S267" s="84"/>
      <x:c r="T267" s="84"/>
      <x:c r="U267" s="84"/>
      <x:c r="V267" s="84"/>
      <x:c r="W267" s="84"/>
      <x:c r="X267" s="84"/>
      <x:c r="Y267" s="84"/>
      <x:c r="Z267" s="84"/>
    </x:row>
    <x:row r="268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4"/>
      <x:c r="K268" s="84"/>
      <x:c r="L268" s="84"/>
      <x:c r="M268" s="84"/>
      <x:c r="N268" s="84"/>
      <x:c r="O268" s="84"/>
      <x:c r="P268" s="84"/>
      <x:c r="Q268" s="84"/>
      <x:c r="R268" s="84"/>
      <x:c r="S268" s="84"/>
      <x:c r="T268" s="84"/>
      <x:c r="U268" s="84"/>
      <x:c r="V268" s="84"/>
      <x:c r="W268" s="84"/>
      <x:c r="X268" s="84"/>
      <x:c r="Y268" s="84"/>
      <x:c r="Z268" s="84"/>
    </x:row>
    <x:row r="269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4"/>
      <x:c r="K269" s="84"/>
      <x:c r="L269" s="84"/>
      <x:c r="M269" s="84"/>
      <x:c r="N269" s="84"/>
      <x:c r="O269" s="84"/>
      <x:c r="P269" s="84"/>
      <x:c r="Q269" s="84"/>
      <x:c r="R269" s="84"/>
      <x:c r="S269" s="84"/>
      <x:c r="T269" s="84"/>
      <x:c r="U269" s="84"/>
      <x:c r="V269" s="84"/>
      <x:c r="W269" s="84"/>
      <x:c r="X269" s="84"/>
      <x:c r="Y269" s="84"/>
      <x:c r="Z269" s="84"/>
    </x:row>
    <x:row r="270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4"/>
      <x:c r="K270" s="84"/>
      <x:c r="L270" s="84"/>
      <x:c r="M270" s="84"/>
      <x:c r="N270" s="84"/>
      <x:c r="O270" s="84"/>
      <x:c r="P270" s="84"/>
      <x:c r="Q270" s="84"/>
      <x:c r="R270" s="84"/>
      <x:c r="S270" s="84"/>
      <x:c r="T270" s="84"/>
      <x:c r="U270" s="84"/>
      <x:c r="V270" s="84"/>
      <x:c r="W270" s="84"/>
      <x:c r="X270" s="84"/>
      <x:c r="Y270" s="84"/>
      <x:c r="Z270" s="84"/>
    </x:row>
    <x:row r="27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4"/>
      <x:c r="K271" s="84"/>
      <x:c r="L271" s="84"/>
      <x:c r="M271" s="84"/>
      <x:c r="N271" s="84"/>
      <x:c r="O271" s="84"/>
      <x:c r="P271" s="84"/>
      <x:c r="Q271" s="84"/>
      <x:c r="R271" s="84"/>
      <x:c r="S271" s="84"/>
      <x:c r="T271" s="84"/>
      <x:c r="U271" s="84"/>
      <x:c r="V271" s="84"/>
      <x:c r="W271" s="84"/>
      <x:c r="X271" s="84"/>
      <x:c r="Y271" s="84"/>
      <x:c r="Z271" s="84"/>
    </x:row>
    <x:row r="272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4"/>
      <x:c r="K272" s="84"/>
      <x:c r="L272" s="84"/>
      <x:c r="M272" s="84"/>
      <x:c r="N272" s="84"/>
      <x:c r="O272" s="84"/>
      <x:c r="P272" s="84"/>
      <x:c r="Q272" s="84"/>
      <x:c r="R272" s="84"/>
      <x:c r="S272" s="84"/>
      <x:c r="T272" s="84"/>
      <x:c r="U272" s="84"/>
      <x:c r="V272" s="84"/>
      <x:c r="W272" s="84"/>
      <x:c r="X272" s="84"/>
      <x:c r="Y272" s="84"/>
      <x:c r="Z272" s="84"/>
    </x:row>
    <x:row r="273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4"/>
      <x:c r="K273" s="84"/>
      <x:c r="L273" s="84"/>
      <x:c r="M273" s="84"/>
      <x:c r="N273" s="84"/>
      <x:c r="O273" s="84"/>
      <x:c r="P273" s="84"/>
      <x:c r="Q273" s="84"/>
      <x:c r="R273" s="84"/>
      <x:c r="S273" s="84"/>
      <x:c r="T273" s="84"/>
      <x:c r="U273" s="84"/>
      <x:c r="V273" s="84"/>
      <x:c r="W273" s="84"/>
      <x:c r="X273" s="84"/>
      <x:c r="Y273" s="84"/>
      <x:c r="Z273" s="84"/>
    </x:row>
    <x:row r="274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4"/>
      <x:c r="K274" s="84"/>
      <x:c r="L274" s="84"/>
      <x:c r="M274" s="84"/>
      <x:c r="N274" s="84"/>
      <x:c r="O274" s="84"/>
      <x:c r="P274" s="84"/>
      <x:c r="Q274" s="84"/>
      <x:c r="R274" s="84"/>
      <x:c r="S274" s="84"/>
      <x:c r="T274" s="84"/>
      <x:c r="U274" s="84"/>
      <x:c r="V274" s="84"/>
      <x:c r="W274" s="84"/>
      <x:c r="X274" s="84"/>
      <x:c r="Y274" s="84"/>
      <x:c r="Z274" s="84"/>
    </x:row>
    <x:row r="275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4"/>
      <x:c r="K275" s="84"/>
      <x:c r="L275" s="84"/>
      <x:c r="M275" s="84"/>
      <x:c r="N275" s="84"/>
      <x:c r="O275" s="84"/>
      <x:c r="P275" s="84"/>
      <x:c r="Q275" s="84"/>
      <x:c r="R275" s="84"/>
      <x:c r="S275" s="84"/>
      <x:c r="T275" s="84"/>
      <x:c r="U275" s="84"/>
      <x:c r="V275" s="84"/>
      <x:c r="W275" s="84"/>
      <x:c r="X275" s="84"/>
      <x:c r="Y275" s="84"/>
      <x:c r="Z275" s="84"/>
    </x:row>
    <x:row r="276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4"/>
      <x:c r="K276" s="84"/>
      <x:c r="L276" s="84"/>
      <x:c r="M276" s="84"/>
      <x:c r="N276" s="84"/>
      <x:c r="O276" s="84"/>
      <x:c r="P276" s="84"/>
      <x:c r="Q276" s="84"/>
      <x:c r="R276" s="84"/>
      <x:c r="S276" s="84"/>
      <x:c r="T276" s="84"/>
      <x:c r="U276" s="84"/>
      <x:c r="V276" s="84"/>
      <x:c r="W276" s="84"/>
      <x:c r="X276" s="84"/>
      <x:c r="Y276" s="84"/>
      <x:c r="Z276" s="84"/>
    </x:row>
    <x:row r="277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4"/>
      <x:c r="K277" s="84"/>
      <x:c r="L277" s="84"/>
      <x:c r="M277" s="84"/>
      <x:c r="N277" s="84"/>
      <x:c r="O277" s="84"/>
      <x:c r="P277" s="84"/>
      <x:c r="Q277" s="84"/>
      <x:c r="R277" s="84"/>
      <x:c r="S277" s="84"/>
      <x:c r="T277" s="84"/>
      <x:c r="U277" s="84"/>
      <x:c r="V277" s="84"/>
      <x:c r="W277" s="84"/>
      <x:c r="X277" s="84"/>
      <x:c r="Y277" s="84"/>
      <x:c r="Z277" s="84"/>
    </x:row>
    <x:row r="278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4"/>
      <x:c r="K278" s="84"/>
      <x:c r="L278" s="84"/>
      <x:c r="M278" s="84"/>
      <x:c r="N278" s="84"/>
      <x:c r="O278" s="84"/>
      <x:c r="P278" s="84"/>
      <x:c r="Q278" s="84"/>
      <x:c r="R278" s="84"/>
      <x:c r="S278" s="84"/>
      <x:c r="T278" s="84"/>
      <x:c r="U278" s="84"/>
      <x:c r="V278" s="84"/>
      <x:c r="W278" s="84"/>
      <x:c r="X278" s="84"/>
      <x:c r="Y278" s="84"/>
      <x:c r="Z278" s="84"/>
    </x:row>
    <x:row r="279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4"/>
      <x:c r="K279" s="84"/>
      <x:c r="L279" s="84"/>
      <x:c r="M279" s="84"/>
      <x:c r="N279" s="84"/>
      <x:c r="O279" s="84"/>
      <x:c r="P279" s="84"/>
      <x:c r="Q279" s="84"/>
      <x:c r="R279" s="84"/>
      <x:c r="S279" s="84"/>
      <x:c r="T279" s="84"/>
      <x:c r="U279" s="84"/>
      <x:c r="V279" s="84"/>
      <x:c r="W279" s="84"/>
      <x:c r="X279" s="84"/>
      <x:c r="Y279" s="84"/>
      <x:c r="Z279" s="84"/>
    </x:row>
    <x:row r="280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4"/>
      <x:c r="K280" s="84"/>
      <x:c r="L280" s="84"/>
      <x:c r="M280" s="84"/>
      <x:c r="N280" s="84"/>
      <x:c r="O280" s="84"/>
      <x:c r="P280" s="84"/>
      <x:c r="Q280" s="84"/>
      <x:c r="R280" s="84"/>
      <x:c r="S280" s="84"/>
      <x:c r="T280" s="84"/>
      <x:c r="U280" s="84"/>
      <x:c r="V280" s="84"/>
      <x:c r="W280" s="84"/>
      <x:c r="X280" s="84"/>
      <x:c r="Y280" s="84"/>
      <x:c r="Z280" s="84"/>
    </x:row>
    <x:row r="28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4"/>
      <x:c r="K281" s="84"/>
      <x:c r="L281" s="84"/>
      <x:c r="M281" s="84"/>
      <x:c r="N281" s="84"/>
      <x:c r="O281" s="84"/>
      <x:c r="P281" s="84"/>
      <x:c r="Q281" s="84"/>
      <x:c r="R281" s="84"/>
      <x:c r="S281" s="84"/>
      <x:c r="T281" s="84"/>
      <x:c r="U281" s="84"/>
      <x:c r="V281" s="84"/>
      <x:c r="W281" s="84"/>
      <x:c r="X281" s="84"/>
      <x:c r="Y281" s="84"/>
      <x:c r="Z281" s="84"/>
    </x:row>
    <x:row r="282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4"/>
      <x:c r="K282" s="84"/>
      <x:c r="L282" s="84"/>
      <x:c r="M282" s="84"/>
      <x:c r="N282" s="84"/>
      <x:c r="O282" s="84"/>
      <x:c r="P282" s="84"/>
      <x:c r="Q282" s="84"/>
      <x:c r="R282" s="84"/>
      <x:c r="S282" s="84"/>
      <x:c r="T282" s="84"/>
      <x:c r="U282" s="84"/>
      <x:c r="V282" s="84"/>
      <x:c r="W282" s="84"/>
      <x:c r="X282" s="84"/>
      <x:c r="Y282" s="84"/>
      <x:c r="Z282" s="84"/>
    </x:row>
    <x:row r="283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4"/>
      <x:c r="K283" s="84"/>
      <x:c r="L283" s="84"/>
      <x:c r="M283" s="84"/>
      <x:c r="N283" s="84"/>
      <x:c r="O283" s="84"/>
      <x:c r="P283" s="84"/>
      <x:c r="Q283" s="84"/>
      <x:c r="R283" s="84"/>
      <x:c r="S283" s="84"/>
      <x:c r="T283" s="84"/>
      <x:c r="U283" s="84"/>
      <x:c r="V283" s="84"/>
      <x:c r="W283" s="84"/>
      <x:c r="X283" s="84"/>
      <x:c r="Y283" s="84"/>
      <x:c r="Z283" s="84"/>
    </x:row>
    <x:row r="284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4"/>
      <x:c r="K284" s="84"/>
      <x:c r="L284" s="84"/>
      <x:c r="M284" s="84"/>
      <x:c r="N284" s="84"/>
      <x:c r="O284" s="84"/>
      <x:c r="P284" s="84"/>
      <x:c r="Q284" s="84"/>
      <x:c r="R284" s="84"/>
      <x:c r="S284" s="84"/>
      <x:c r="T284" s="84"/>
      <x:c r="U284" s="84"/>
      <x:c r="V284" s="84"/>
      <x:c r="W284" s="84"/>
      <x:c r="X284" s="84"/>
      <x:c r="Y284" s="84"/>
      <x:c r="Z284" s="84"/>
    </x:row>
    <x:row r="285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4"/>
      <x:c r="K285" s="84"/>
      <x:c r="L285" s="84"/>
      <x:c r="M285" s="84"/>
      <x:c r="N285" s="84"/>
      <x:c r="O285" s="84"/>
      <x:c r="P285" s="84"/>
      <x:c r="Q285" s="84"/>
      <x:c r="R285" s="84"/>
      <x:c r="S285" s="84"/>
      <x:c r="T285" s="84"/>
      <x:c r="U285" s="84"/>
      <x:c r="V285" s="84"/>
      <x:c r="W285" s="84"/>
      <x:c r="X285" s="84"/>
      <x:c r="Y285" s="84"/>
      <x:c r="Z285" s="84"/>
    </x:row>
    <x:row r="286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4"/>
      <x:c r="K286" s="84"/>
      <x:c r="L286" s="84"/>
      <x:c r="M286" s="84"/>
      <x:c r="N286" s="84"/>
      <x:c r="O286" s="84"/>
      <x:c r="P286" s="84"/>
      <x:c r="Q286" s="84"/>
      <x:c r="R286" s="84"/>
      <x:c r="S286" s="84"/>
      <x:c r="T286" s="84"/>
      <x:c r="U286" s="84"/>
      <x:c r="V286" s="84"/>
      <x:c r="W286" s="84"/>
      <x:c r="X286" s="84"/>
      <x:c r="Y286" s="84"/>
      <x:c r="Z286" s="84"/>
    </x:row>
    <x:row r="287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4"/>
      <x:c r="K287" s="84"/>
      <x:c r="L287" s="84"/>
      <x:c r="M287" s="84"/>
      <x:c r="N287" s="84"/>
      <x:c r="O287" s="84"/>
      <x:c r="P287" s="84"/>
      <x:c r="Q287" s="84"/>
      <x:c r="R287" s="84"/>
      <x:c r="S287" s="84"/>
      <x:c r="T287" s="84"/>
      <x:c r="U287" s="84"/>
      <x:c r="V287" s="84"/>
      <x:c r="W287" s="84"/>
      <x:c r="X287" s="84"/>
      <x:c r="Y287" s="84"/>
      <x:c r="Z287" s="84"/>
    </x:row>
    <x:row r="288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4"/>
      <x:c r="K288" s="84"/>
      <x:c r="L288" s="84"/>
      <x:c r="M288" s="84"/>
      <x:c r="N288" s="84"/>
      <x:c r="O288" s="84"/>
      <x:c r="P288" s="84"/>
      <x:c r="Q288" s="84"/>
      <x:c r="R288" s="84"/>
      <x:c r="S288" s="84"/>
      <x:c r="T288" s="84"/>
      <x:c r="U288" s="84"/>
      <x:c r="V288" s="84"/>
      <x:c r="W288" s="84"/>
      <x:c r="X288" s="84"/>
      <x:c r="Y288" s="84"/>
      <x:c r="Z288" s="84"/>
    </x:row>
    <x:row r="289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4"/>
      <x:c r="K289" s="84"/>
      <x:c r="L289" s="84"/>
      <x:c r="M289" s="84"/>
      <x:c r="N289" s="84"/>
      <x:c r="O289" s="84"/>
      <x:c r="P289" s="84"/>
      <x:c r="Q289" s="84"/>
      <x:c r="R289" s="84"/>
      <x:c r="S289" s="84"/>
      <x:c r="T289" s="84"/>
      <x:c r="U289" s="84"/>
      <x:c r="V289" s="84"/>
      <x:c r="W289" s="84"/>
      <x:c r="X289" s="84"/>
      <x:c r="Y289" s="84"/>
      <x:c r="Z289" s="84"/>
    </x:row>
    <x:row r="290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4"/>
      <x:c r="K290" s="84"/>
      <x:c r="L290" s="84"/>
      <x:c r="M290" s="84"/>
      <x:c r="N290" s="84"/>
      <x:c r="O290" s="84"/>
      <x:c r="P290" s="84"/>
      <x:c r="Q290" s="84"/>
      <x:c r="R290" s="84"/>
      <x:c r="S290" s="84"/>
      <x:c r="T290" s="84"/>
      <x:c r="U290" s="84"/>
      <x:c r="V290" s="84"/>
      <x:c r="W290" s="84"/>
      <x:c r="X290" s="84"/>
      <x:c r="Y290" s="84"/>
      <x:c r="Z290" s="84"/>
    </x:row>
    <x:row r="29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4"/>
      <x:c r="K291" s="84"/>
      <x:c r="L291" s="84"/>
      <x:c r="M291" s="84"/>
      <x:c r="N291" s="84"/>
      <x:c r="O291" s="84"/>
      <x:c r="P291" s="84"/>
      <x:c r="Q291" s="84"/>
      <x:c r="R291" s="84"/>
      <x:c r="S291" s="84"/>
      <x:c r="T291" s="84"/>
      <x:c r="U291" s="84"/>
      <x:c r="V291" s="84"/>
      <x:c r="W291" s="84"/>
      <x:c r="X291" s="84"/>
      <x:c r="Y291" s="84"/>
      <x:c r="Z291" s="84"/>
    </x:row>
    <x:row r="292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4"/>
      <x:c r="K292" s="84"/>
      <x:c r="L292" s="84"/>
      <x:c r="M292" s="84"/>
      <x:c r="N292" s="84"/>
      <x:c r="O292" s="84"/>
      <x:c r="P292" s="84"/>
      <x:c r="Q292" s="84"/>
      <x:c r="R292" s="84"/>
      <x:c r="S292" s="84"/>
      <x:c r="T292" s="84"/>
      <x:c r="U292" s="84"/>
      <x:c r="V292" s="84"/>
      <x:c r="W292" s="84"/>
      <x:c r="X292" s="84"/>
      <x:c r="Y292" s="84"/>
      <x:c r="Z292" s="84"/>
    </x:row>
    <x:row r="293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4"/>
      <x:c r="K293" s="84"/>
      <x:c r="L293" s="84"/>
      <x:c r="M293" s="84"/>
      <x:c r="N293" s="84"/>
      <x:c r="O293" s="84"/>
      <x:c r="P293" s="84"/>
      <x:c r="Q293" s="84"/>
      <x:c r="R293" s="84"/>
      <x:c r="S293" s="84"/>
      <x:c r="T293" s="84"/>
      <x:c r="U293" s="84"/>
      <x:c r="V293" s="84"/>
      <x:c r="W293" s="84"/>
      <x:c r="X293" s="84"/>
      <x:c r="Y293" s="84"/>
      <x:c r="Z293" s="84"/>
    </x:row>
    <x:row r="294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4"/>
      <x:c r="K294" s="84"/>
      <x:c r="L294" s="84"/>
      <x:c r="M294" s="84"/>
      <x:c r="N294" s="84"/>
      <x:c r="O294" s="84"/>
      <x:c r="P294" s="84"/>
      <x:c r="Q294" s="84"/>
      <x:c r="R294" s="84"/>
      <x:c r="S294" s="84"/>
      <x:c r="T294" s="84"/>
      <x:c r="U294" s="84"/>
      <x:c r="V294" s="84"/>
      <x:c r="W294" s="84"/>
      <x:c r="X294" s="84"/>
      <x:c r="Y294" s="84"/>
      <x:c r="Z294" s="84"/>
    </x:row>
    <x:row r="295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4"/>
      <x:c r="K295" s="84"/>
      <x:c r="L295" s="84"/>
      <x:c r="M295" s="84"/>
      <x:c r="N295" s="84"/>
      <x:c r="O295" s="84"/>
      <x:c r="P295" s="84"/>
      <x:c r="Q295" s="84"/>
      <x:c r="R295" s="84"/>
      <x:c r="S295" s="84"/>
      <x:c r="T295" s="84"/>
      <x:c r="U295" s="84"/>
      <x:c r="V295" s="84"/>
      <x:c r="W295" s="84"/>
      <x:c r="X295" s="84"/>
      <x:c r="Y295" s="84"/>
      <x:c r="Z295" s="84"/>
    </x:row>
    <x:row r="296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4"/>
      <x:c r="K296" s="84"/>
      <x:c r="L296" s="84"/>
      <x:c r="M296" s="84"/>
      <x:c r="N296" s="84"/>
      <x:c r="O296" s="84"/>
      <x:c r="P296" s="84"/>
      <x:c r="Q296" s="84"/>
      <x:c r="R296" s="84"/>
      <x:c r="S296" s="84"/>
      <x:c r="T296" s="84"/>
      <x:c r="U296" s="84"/>
      <x:c r="V296" s="84"/>
      <x:c r="W296" s="84"/>
      <x:c r="X296" s="84"/>
      <x:c r="Y296" s="84"/>
      <x:c r="Z296" s="84"/>
    </x:row>
    <x:row r="297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4"/>
      <x:c r="K297" s="84"/>
      <x:c r="L297" s="84"/>
      <x:c r="M297" s="84"/>
      <x:c r="N297" s="84"/>
      <x:c r="O297" s="84"/>
      <x:c r="P297" s="84"/>
      <x:c r="Q297" s="84"/>
      <x:c r="R297" s="84"/>
      <x:c r="S297" s="84"/>
      <x:c r="T297" s="84"/>
      <x:c r="U297" s="84"/>
      <x:c r="V297" s="84"/>
      <x:c r="W297" s="84"/>
      <x:c r="X297" s="84"/>
      <x:c r="Y297" s="84"/>
      <x:c r="Z297" s="84"/>
    </x:row>
    <x:row r="298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4"/>
      <x:c r="K298" s="84"/>
      <x:c r="L298" s="84"/>
      <x:c r="M298" s="84"/>
      <x:c r="N298" s="84"/>
      <x:c r="O298" s="84"/>
      <x:c r="P298" s="84"/>
      <x:c r="Q298" s="84"/>
      <x:c r="R298" s="84"/>
      <x:c r="S298" s="84"/>
      <x:c r="T298" s="84"/>
      <x:c r="U298" s="84"/>
      <x:c r="V298" s="84"/>
      <x:c r="W298" s="84"/>
      <x:c r="X298" s="84"/>
      <x:c r="Y298" s="84"/>
      <x:c r="Z298" s="84"/>
    </x:row>
    <x:row r="299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4"/>
      <x:c r="K299" s="84"/>
      <x:c r="L299" s="84"/>
      <x:c r="M299" s="84"/>
      <x:c r="N299" s="84"/>
      <x:c r="O299" s="84"/>
      <x:c r="P299" s="84"/>
      <x:c r="Q299" s="84"/>
      <x:c r="R299" s="84"/>
      <x:c r="S299" s="84"/>
      <x:c r="T299" s="84"/>
      <x:c r="U299" s="84"/>
      <x:c r="V299" s="84"/>
      <x:c r="W299" s="84"/>
      <x:c r="X299" s="84"/>
      <x:c r="Y299" s="84"/>
      <x:c r="Z299" s="84"/>
    </x:row>
    <x:row r="300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4"/>
      <x:c r="K300" s="84"/>
      <x:c r="L300" s="84"/>
      <x:c r="M300" s="84"/>
      <x:c r="N300" s="84"/>
      <x:c r="O300" s="84"/>
      <x:c r="P300" s="84"/>
      <x:c r="Q300" s="84"/>
      <x:c r="R300" s="84"/>
      <x:c r="S300" s="84"/>
      <x:c r="T300" s="84"/>
      <x:c r="U300" s="84"/>
      <x:c r="V300" s="84"/>
      <x:c r="W300" s="84"/>
      <x:c r="X300" s="84"/>
      <x:c r="Y300" s="84"/>
      <x:c r="Z300" s="84"/>
    </x:row>
    <x:row r="30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4"/>
      <x:c r="K301" s="84"/>
      <x:c r="L301" s="84"/>
      <x:c r="M301" s="84"/>
      <x:c r="N301" s="84"/>
      <x:c r="O301" s="84"/>
      <x:c r="P301" s="84"/>
      <x:c r="Q301" s="84"/>
      <x:c r="R301" s="84"/>
      <x:c r="S301" s="84"/>
      <x:c r="T301" s="84"/>
      <x:c r="U301" s="84"/>
      <x:c r="V301" s="84"/>
      <x:c r="W301" s="84"/>
      <x:c r="X301" s="84"/>
      <x:c r="Y301" s="84"/>
      <x:c r="Z301" s="84"/>
    </x:row>
    <x:row r="302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4"/>
      <x:c r="K302" s="84"/>
      <x:c r="L302" s="84"/>
      <x:c r="M302" s="84"/>
      <x:c r="N302" s="84"/>
      <x:c r="O302" s="84"/>
      <x:c r="P302" s="84"/>
      <x:c r="Q302" s="84"/>
      <x:c r="R302" s="84"/>
      <x:c r="S302" s="84"/>
      <x:c r="T302" s="84"/>
      <x:c r="U302" s="84"/>
      <x:c r="V302" s="84"/>
      <x:c r="W302" s="84"/>
      <x:c r="X302" s="84"/>
      <x:c r="Y302" s="84"/>
      <x:c r="Z302" s="84"/>
    </x:row>
    <x:row r="303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4"/>
      <x:c r="K303" s="84"/>
      <x:c r="L303" s="84"/>
      <x:c r="M303" s="84"/>
      <x:c r="N303" s="84"/>
      <x:c r="O303" s="84"/>
      <x:c r="P303" s="84"/>
      <x:c r="Q303" s="84"/>
      <x:c r="R303" s="84"/>
      <x:c r="S303" s="84"/>
      <x:c r="T303" s="84"/>
      <x:c r="U303" s="84"/>
      <x:c r="V303" s="84"/>
      <x:c r="W303" s="84"/>
      <x:c r="X303" s="84"/>
      <x:c r="Y303" s="84"/>
      <x:c r="Z303" s="84"/>
    </x:row>
    <x:row r="304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4"/>
      <x:c r="K304" s="84"/>
      <x:c r="L304" s="84"/>
      <x:c r="M304" s="84"/>
      <x:c r="N304" s="84"/>
      <x:c r="O304" s="84"/>
      <x:c r="P304" s="84"/>
      <x:c r="Q304" s="84"/>
      <x:c r="R304" s="84"/>
      <x:c r="S304" s="84"/>
      <x:c r="T304" s="84"/>
      <x:c r="U304" s="84"/>
      <x:c r="V304" s="84"/>
      <x:c r="W304" s="84"/>
      <x:c r="X304" s="84"/>
      <x:c r="Y304" s="84"/>
      <x:c r="Z304" s="84"/>
    </x:row>
    <x:row r="305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4"/>
      <x:c r="K305" s="84"/>
      <x:c r="L305" s="84"/>
      <x:c r="M305" s="84"/>
      <x:c r="N305" s="84"/>
      <x:c r="O305" s="84"/>
      <x:c r="P305" s="84"/>
      <x:c r="Q305" s="84"/>
      <x:c r="R305" s="84"/>
      <x:c r="S305" s="84"/>
      <x:c r="T305" s="84"/>
      <x:c r="U305" s="84"/>
      <x:c r="V305" s="84"/>
      <x:c r="W305" s="84"/>
      <x:c r="X305" s="84"/>
      <x:c r="Y305" s="84"/>
      <x:c r="Z305" s="84"/>
    </x:row>
    <x:row r="306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4"/>
      <x:c r="K306" s="84"/>
      <x:c r="L306" s="84"/>
      <x:c r="M306" s="84"/>
      <x:c r="N306" s="84"/>
      <x:c r="O306" s="84"/>
      <x:c r="P306" s="84"/>
      <x:c r="Q306" s="84"/>
      <x:c r="R306" s="84"/>
      <x:c r="S306" s="84"/>
      <x:c r="T306" s="84"/>
      <x:c r="U306" s="84"/>
      <x:c r="V306" s="84"/>
      <x:c r="W306" s="84"/>
      <x:c r="X306" s="84"/>
      <x:c r="Y306" s="84"/>
      <x:c r="Z306" s="84"/>
    </x:row>
    <x:row r="307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4"/>
      <x:c r="K307" s="84"/>
      <x:c r="L307" s="84"/>
      <x:c r="M307" s="84"/>
      <x:c r="N307" s="84"/>
      <x:c r="O307" s="84"/>
      <x:c r="P307" s="84"/>
      <x:c r="Q307" s="84"/>
      <x:c r="R307" s="84"/>
      <x:c r="S307" s="84"/>
      <x:c r="T307" s="84"/>
      <x:c r="U307" s="84"/>
      <x:c r="V307" s="84"/>
      <x:c r="W307" s="84"/>
      <x:c r="X307" s="84"/>
      <x:c r="Y307" s="84"/>
      <x:c r="Z307" s="84"/>
    </x:row>
    <x:row r="308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4"/>
      <x:c r="K308" s="84"/>
      <x:c r="L308" s="84"/>
      <x:c r="M308" s="84"/>
      <x:c r="N308" s="84"/>
      <x:c r="O308" s="84"/>
      <x:c r="P308" s="84"/>
      <x:c r="Q308" s="84"/>
      <x:c r="R308" s="84"/>
      <x:c r="S308" s="84"/>
      <x:c r="T308" s="84"/>
      <x:c r="U308" s="84"/>
      <x:c r="V308" s="84"/>
      <x:c r="W308" s="84"/>
      <x:c r="X308" s="84"/>
      <x:c r="Y308" s="84"/>
      <x:c r="Z308" s="84"/>
    </x:row>
    <x:row r="309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4"/>
      <x:c r="K309" s="84"/>
      <x:c r="L309" s="84"/>
      <x:c r="M309" s="84"/>
      <x:c r="N309" s="84"/>
      <x:c r="O309" s="84"/>
      <x:c r="P309" s="84"/>
      <x:c r="Q309" s="84"/>
      <x:c r="R309" s="84"/>
      <x:c r="S309" s="84"/>
      <x:c r="T309" s="84"/>
      <x:c r="U309" s="84"/>
      <x:c r="V309" s="84"/>
      <x:c r="W309" s="84"/>
      <x:c r="X309" s="84"/>
      <x:c r="Y309" s="84"/>
      <x:c r="Z309" s="84"/>
    </x:row>
    <x:row r="310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4"/>
      <x:c r="K310" s="84"/>
      <x:c r="L310" s="84"/>
      <x:c r="M310" s="84"/>
      <x:c r="N310" s="84"/>
      <x:c r="O310" s="84"/>
      <x:c r="P310" s="84"/>
      <x:c r="Q310" s="84"/>
      <x:c r="R310" s="84"/>
      <x:c r="S310" s="84"/>
      <x:c r="T310" s="84"/>
      <x:c r="U310" s="84"/>
      <x:c r="V310" s="84"/>
      <x:c r="W310" s="84"/>
      <x:c r="X310" s="84"/>
      <x:c r="Y310" s="84"/>
      <x:c r="Z310" s="84"/>
    </x:row>
    <x:row r="31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4"/>
      <x:c r="K311" s="84"/>
      <x:c r="L311" s="84"/>
      <x:c r="M311" s="84"/>
      <x:c r="N311" s="84"/>
      <x:c r="O311" s="84"/>
      <x:c r="P311" s="84"/>
      <x:c r="Q311" s="84"/>
      <x:c r="R311" s="84"/>
      <x:c r="S311" s="84"/>
      <x:c r="T311" s="84"/>
      <x:c r="U311" s="84"/>
      <x:c r="V311" s="84"/>
      <x:c r="W311" s="84"/>
      <x:c r="X311" s="84"/>
      <x:c r="Y311" s="84"/>
      <x:c r="Z311" s="84"/>
    </x:row>
    <x:row r="312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4"/>
      <x:c r="K312" s="84"/>
      <x:c r="L312" s="84"/>
      <x:c r="M312" s="84"/>
      <x:c r="N312" s="84"/>
      <x:c r="O312" s="84"/>
      <x:c r="P312" s="84"/>
      <x:c r="Q312" s="84"/>
      <x:c r="R312" s="84"/>
      <x:c r="S312" s="84"/>
      <x:c r="T312" s="84"/>
      <x:c r="U312" s="84"/>
      <x:c r="V312" s="84"/>
      <x:c r="W312" s="84"/>
      <x:c r="X312" s="84"/>
      <x:c r="Y312" s="84"/>
      <x:c r="Z312" s="84"/>
    </x:row>
    <x:row r="313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4"/>
      <x:c r="K313" s="84"/>
      <x:c r="L313" s="84"/>
      <x:c r="M313" s="84"/>
      <x:c r="N313" s="84"/>
      <x:c r="O313" s="84"/>
      <x:c r="P313" s="84"/>
      <x:c r="Q313" s="84"/>
      <x:c r="R313" s="84"/>
      <x:c r="S313" s="84"/>
      <x:c r="T313" s="84"/>
      <x:c r="U313" s="84"/>
      <x:c r="V313" s="84"/>
      <x:c r="W313" s="84"/>
      <x:c r="X313" s="84"/>
      <x:c r="Y313" s="84"/>
      <x:c r="Z313" s="84"/>
    </x:row>
    <x:row r="314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4"/>
      <x:c r="K314" s="84"/>
      <x:c r="L314" s="84"/>
      <x:c r="M314" s="84"/>
      <x:c r="N314" s="84"/>
      <x:c r="O314" s="84"/>
      <x:c r="P314" s="84"/>
      <x:c r="Q314" s="84"/>
      <x:c r="R314" s="84"/>
      <x:c r="S314" s="84"/>
      <x:c r="T314" s="84"/>
      <x:c r="U314" s="84"/>
      <x:c r="V314" s="84"/>
      <x:c r="W314" s="84"/>
      <x:c r="X314" s="84"/>
      <x:c r="Y314" s="84"/>
      <x:c r="Z314" s="84"/>
    </x:row>
    <x:row r="315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4"/>
      <x:c r="K315" s="84"/>
      <x:c r="L315" s="84"/>
      <x:c r="M315" s="84"/>
      <x:c r="N315" s="84"/>
      <x:c r="O315" s="84"/>
      <x:c r="P315" s="84"/>
      <x:c r="Q315" s="84"/>
      <x:c r="R315" s="84"/>
      <x:c r="S315" s="84"/>
      <x:c r="T315" s="84"/>
      <x:c r="U315" s="84"/>
      <x:c r="V315" s="84"/>
      <x:c r="W315" s="84"/>
      <x:c r="X315" s="84"/>
      <x:c r="Y315" s="84"/>
      <x:c r="Z315" s="84"/>
    </x:row>
    <x:row r="316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4"/>
      <x:c r="K316" s="84"/>
      <x:c r="L316" s="84"/>
      <x:c r="M316" s="84"/>
      <x:c r="N316" s="84"/>
      <x:c r="O316" s="84"/>
      <x:c r="P316" s="84"/>
      <x:c r="Q316" s="84"/>
      <x:c r="R316" s="84"/>
      <x:c r="S316" s="84"/>
      <x:c r="T316" s="84"/>
      <x:c r="U316" s="84"/>
      <x:c r="V316" s="84"/>
      <x:c r="W316" s="84"/>
      <x:c r="X316" s="84"/>
      <x:c r="Y316" s="84"/>
      <x:c r="Z316" s="84"/>
    </x:row>
    <x:row r="317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4"/>
      <x:c r="K317" s="84"/>
      <x:c r="L317" s="84"/>
      <x:c r="M317" s="84"/>
      <x:c r="N317" s="84"/>
      <x:c r="O317" s="84"/>
      <x:c r="P317" s="84"/>
      <x:c r="Q317" s="84"/>
      <x:c r="R317" s="84"/>
      <x:c r="S317" s="84"/>
      <x:c r="T317" s="84"/>
      <x:c r="U317" s="84"/>
      <x:c r="V317" s="84"/>
      <x:c r="W317" s="84"/>
      <x:c r="X317" s="84"/>
      <x:c r="Y317" s="84"/>
      <x:c r="Z317" s="84"/>
    </x:row>
    <x:row r="318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4"/>
      <x:c r="K318" s="84"/>
      <x:c r="L318" s="84"/>
      <x:c r="M318" s="84"/>
      <x:c r="N318" s="84"/>
      <x:c r="O318" s="84"/>
      <x:c r="P318" s="84"/>
      <x:c r="Q318" s="84"/>
      <x:c r="R318" s="84"/>
      <x:c r="S318" s="84"/>
      <x:c r="T318" s="84"/>
      <x:c r="U318" s="84"/>
      <x:c r="V318" s="84"/>
      <x:c r="W318" s="84"/>
      <x:c r="X318" s="84"/>
      <x:c r="Y318" s="84"/>
      <x:c r="Z318" s="84"/>
    </x:row>
    <x:row r="319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4"/>
      <x:c r="K319" s="84"/>
      <x:c r="L319" s="84"/>
      <x:c r="M319" s="84"/>
      <x:c r="N319" s="84"/>
      <x:c r="O319" s="84"/>
      <x:c r="P319" s="84"/>
      <x:c r="Q319" s="84"/>
      <x:c r="R319" s="84"/>
      <x:c r="S319" s="84"/>
      <x:c r="T319" s="84"/>
      <x:c r="U319" s="84"/>
      <x:c r="V319" s="84"/>
      <x:c r="W319" s="84"/>
      <x:c r="X319" s="84"/>
      <x:c r="Y319" s="84"/>
      <x:c r="Z319" s="84"/>
    </x:row>
    <x:row r="320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4"/>
      <x:c r="K320" s="84"/>
      <x:c r="L320" s="84"/>
      <x:c r="M320" s="84"/>
      <x:c r="N320" s="84"/>
      <x:c r="O320" s="84"/>
      <x:c r="P320" s="84"/>
      <x:c r="Q320" s="84"/>
      <x:c r="R320" s="84"/>
      <x:c r="S320" s="84"/>
      <x:c r="T320" s="84"/>
      <x:c r="U320" s="84"/>
      <x:c r="V320" s="84"/>
      <x:c r="W320" s="84"/>
      <x:c r="X320" s="84"/>
      <x:c r="Y320" s="84"/>
      <x:c r="Z320" s="84"/>
    </x:row>
    <x:row r="32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4"/>
      <x:c r="K321" s="84"/>
      <x:c r="L321" s="84"/>
      <x:c r="M321" s="84"/>
      <x:c r="N321" s="84"/>
      <x:c r="O321" s="84"/>
      <x:c r="P321" s="84"/>
      <x:c r="Q321" s="84"/>
      <x:c r="R321" s="84"/>
      <x:c r="S321" s="84"/>
      <x:c r="T321" s="84"/>
      <x:c r="U321" s="84"/>
      <x:c r="V321" s="84"/>
      <x:c r="W321" s="84"/>
      <x:c r="X321" s="84"/>
      <x:c r="Y321" s="84"/>
      <x:c r="Z321" s="84"/>
    </x:row>
    <x:row r="322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4"/>
      <x:c r="K322" s="84"/>
      <x:c r="L322" s="84"/>
      <x:c r="M322" s="84"/>
      <x:c r="N322" s="84"/>
      <x:c r="O322" s="84"/>
      <x:c r="P322" s="84"/>
      <x:c r="Q322" s="84"/>
      <x:c r="R322" s="84"/>
      <x:c r="S322" s="84"/>
      <x:c r="T322" s="84"/>
      <x:c r="U322" s="84"/>
      <x:c r="V322" s="84"/>
      <x:c r="W322" s="84"/>
      <x:c r="X322" s="84"/>
      <x:c r="Y322" s="84"/>
      <x:c r="Z322" s="84"/>
    </x:row>
    <x:row r="323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4"/>
      <x:c r="K323" s="84"/>
      <x:c r="L323" s="84"/>
      <x:c r="M323" s="84"/>
      <x:c r="N323" s="84"/>
      <x:c r="O323" s="84"/>
      <x:c r="P323" s="84"/>
      <x:c r="Q323" s="84"/>
      <x:c r="R323" s="84"/>
      <x:c r="S323" s="84"/>
      <x:c r="T323" s="84"/>
      <x:c r="U323" s="84"/>
      <x:c r="V323" s="84"/>
      <x:c r="W323" s="84"/>
      <x:c r="X323" s="84"/>
      <x:c r="Y323" s="84"/>
      <x:c r="Z323" s="84"/>
    </x:row>
    <x:row r="324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4"/>
      <x:c r="K324" s="84"/>
      <x:c r="L324" s="84"/>
      <x:c r="M324" s="84"/>
      <x:c r="N324" s="84"/>
      <x:c r="O324" s="84"/>
      <x:c r="P324" s="84"/>
      <x:c r="Q324" s="84"/>
      <x:c r="R324" s="84"/>
      <x:c r="S324" s="84"/>
      <x:c r="T324" s="84"/>
      <x:c r="U324" s="84"/>
      <x:c r="V324" s="84"/>
      <x:c r="W324" s="84"/>
      <x:c r="X324" s="84"/>
      <x:c r="Y324" s="84"/>
      <x:c r="Z324" s="84"/>
    </x:row>
    <x:row r="325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4"/>
      <x:c r="K325" s="84"/>
      <x:c r="L325" s="84"/>
      <x:c r="M325" s="84"/>
      <x:c r="N325" s="84"/>
      <x:c r="O325" s="84"/>
      <x:c r="P325" s="84"/>
      <x:c r="Q325" s="84"/>
      <x:c r="R325" s="84"/>
      <x:c r="S325" s="84"/>
      <x:c r="T325" s="84"/>
      <x:c r="U325" s="84"/>
      <x:c r="V325" s="84"/>
      <x:c r="W325" s="84"/>
      <x:c r="X325" s="84"/>
      <x:c r="Y325" s="84"/>
      <x:c r="Z325" s="84"/>
    </x:row>
    <x:row r="326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4"/>
      <x:c r="K326" s="84"/>
      <x:c r="L326" s="84"/>
      <x:c r="M326" s="84"/>
      <x:c r="N326" s="84"/>
      <x:c r="O326" s="84"/>
      <x:c r="P326" s="84"/>
      <x:c r="Q326" s="84"/>
      <x:c r="R326" s="84"/>
      <x:c r="S326" s="84"/>
      <x:c r="T326" s="84"/>
      <x:c r="U326" s="84"/>
      <x:c r="V326" s="84"/>
      <x:c r="W326" s="84"/>
      <x:c r="X326" s="84"/>
      <x:c r="Y326" s="84"/>
      <x:c r="Z326" s="84"/>
    </x:row>
    <x:row r="327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4"/>
      <x:c r="K327" s="84"/>
      <x:c r="L327" s="84"/>
      <x:c r="M327" s="84"/>
      <x:c r="N327" s="84"/>
      <x:c r="O327" s="84"/>
      <x:c r="P327" s="84"/>
      <x:c r="Q327" s="84"/>
      <x:c r="R327" s="84"/>
      <x:c r="S327" s="84"/>
      <x:c r="T327" s="84"/>
      <x:c r="U327" s="84"/>
      <x:c r="V327" s="84"/>
      <x:c r="W327" s="84"/>
      <x:c r="X327" s="84"/>
      <x:c r="Y327" s="84"/>
      <x:c r="Z327" s="84"/>
    </x:row>
    <x:row r="328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4"/>
      <x:c r="K328" s="84"/>
      <x:c r="L328" s="84"/>
      <x:c r="M328" s="84"/>
      <x:c r="N328" s="84"/>
      <x:c r="O328" s="84"/>
      <x:c r="P328" s="84"/>
      <x:c r="Q328" s="84"/>
      <x:c r="R328" s="84"/>
      <x:c r="S328" s="84"/>
      <x:c r="T328" s="84"/>
      <x:c r="U328" s="84"/>
      <x:c r="V328" s="84"/>
      <x:c r="W328" s="84"/>
      <x:c r="X328" s="84"/>
      <x:c r="Y328" s="84"/>
      <x:c r="Z328" s="84"/>
    </x:row>
    <x:row r="329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4"/>
      <x:c r="K329" s="84"/>
      <x:c r="L329" s="84"/>
      <x:c r="M329" s="84"/>
      <x:c r="N329" s="84"/>
      <x:c r="O329" s="84"/>
      <x:c r="P329" s="84"/>
      <x:c r="Q329" s="84"/>
      <x:c r="R329" s="84"/>
      <x:c r="S329" s="84"/>
      <x:c r="T329" s="84"/>
      <x:c r="U329" s="84"/>
      <x:c r="V329" s="84"/>
      <x:c r="W329" s="84"/>
      <x:c r="X329" s="84"/>
      <x:c r="Y329" s="84"/>
      <x:c r="Z329" s="84"/>
    </x:row>
    <x:row r="330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4"/>
      <x:c r="K330" s="84"/>
      <x:c r="L330" s="84"/>
      <x:c r="M330" s="84"/>
      <x:c r="N330" s="84"/>
      <x:c r="O330" s="84"/>
      <x:c r="P330" s="84"/>
      <x:c r="Q330" s="84"/>
      <x:c r="R330" s="84"/>
      <x:c r="S330" s="84"/>
      <x:c r="T330" s="84"/>
      <x:c r="U330" s="84"/>
      <x:c r="V330" s="84"/>
      <x:c r="W330" s="84"/>
      <x:c r="X330" s="84"/>
      <x:c r="Y330" s="84"/>
      <x:c r="Z330" s="84"/>
    </x:row>
    <x:row r="33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4"/>
      <x:c r="K331" s="84"/>
      <x:c r="L331" s="84"/>
      <x:c r="M331" s="84"/>
      <x:c r="N331" s="84"/>
      <x:c r="O331" s="84"/>
      <x:c r="P331" s="84"/>
      <x:c r="Q331" s="84"/>
      <x:c r="R331" s="84"/>
      <x:c r="S331" s="84"/>
      <x:c r="T331" s="84"/>
      <x:c r="U331" s="84"/>
      <x:c r="V331" s="84"/>
      <x:c r="W331" s="84"/>
      <x:c r="X331" s="84"/>
      <x:c r="Y331" s="84"/>
      <x:c r="Z331" s="84"/>
    </x:row>
    <x:row r="332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4"/>
      <x:c r="K332" s="84"/>
      <x:c r="L332" s="84"/>
      <x:c r="M332" s="84"/>
      <x:c r="N332" s="84"/>
      <x:c r="O332" s="84"/>
      <x:c r="P332" s="84"/>
      <x:c r="Q332" s="84"/>
      <x:c r="R332" s="84"/>
      <x:c r="S332" s="84"/>
      <x:c r="T332" s="84"/>
      <x:c r="U332" s="84"/>
      <x:c r="V332" s="84"/>
      <x:c r="W332" s="84"/>
      <x:c r="X332" s="84"/>
      <x:c r="Y332" s="84"/>
      <x:c r="Z332" s="84"/>
    </x:row>
    <x:row r="333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4"/>
      <x:c r="K333" s="84"/>
      <x:c r="L333" s="84"/>
      <x:c r="M333" s="84"/>
      <x:c r="N333" s="84"/>
      <x:c r="O333" s="84"/>
      <x:c r="P333" s="84"/>
      <x:c r="Q333" s="84"/>
      <x:c r="R333" s="84"/>
      <x:c r="S333" s="84"/>
      <x:c r="T333" s="84"/>
      <x:c r="U333" s="84"/>
      <x:c r="V333" s="84"/>
      <x:c r="W333" s="84"/>
      <x:c r="X333" s="84"/>
      <x:c r="Y333" s="84"/>
      <x:c r="Z333" s="84"/>
    </x:row>
    <x:row r="334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4"/>
      <x:c r="K334" s="84"/>
      <x:c r="L334" s="84"/>
      <x:c r="M334" s="84"/>
      <x:c r="N334" s="84"/>
      <x:c r="O334" s="84"/>
      <x:c r="P334" s="84"/>
      <x:c r="Q334" s="84"/>
      <x:c r="R334" s="84"/>
      <x:c r="S334" s="84"/>
      <x:c r="T334" s="84"/>
      <x:c r="U334" s="84"/>
      <x:c r="V334" s="84"/>
      <x:c r="W334" s="84"/>
      <x:c r="X334" s="84"/>
      <x:c r="Y334" s="84"/>
      <x:c r="Z334" s="84"/>
    </x:row>
    <x:row r="335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4"/>
      <x:c r="K335" s="84"/>
      <x:c r="L335" s="84"/>
      <x:c r="M335" s="84"/>
      <x:c r="N335" s="84"/>
      <x:c r="O335" s="84"/>
      <x:c r="P335" s="84"/>
      <x:c r="Q335" s="84"/>
      <x:c r="R335" s="84"/>
      <x:c r="S335" s="84"/>
      <x:c r="T335" s="84"/>
      <x:c r="U335" s="84"/>
      <x:c r="V335" s="84"/>
      <x:c r="W335" s="84"/>
      <x:c r="X335" s="84"/>
      <x:c r="Y335" s="84"/>
      <x:c r="Z335" s="84"/>
    </x:row>
    <x:row r="336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4"/>
      <x:c r="K336" s="84"/>
      <x:c r="L336" s="84"/>
      <x:c r="M336" s="84"/>
      <x:c r="N336" s="84"/>
      <x:c r="O336" s="84"/>
      <x:c r="P336" s="84"/>
      <x:c r="Q336" s="84"/>
      <x:c r="R336" s="84"/>
      <x:c r="S336" s="84"/>
      <x:c r="T336" s="84"/>
      <x:c r="U336" s="84"/>
      <x:c r="V336" s="84"/>
      <x:c r="W336" s="84"/>
      <x:c r="X336" s="84"/>
      <x:c r="Y336" s="84"/>
      <x:c r="Z336" s="84"/>
    </x:row>
    <x:row r="337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4"/>
      <x:c r="K337" s="84"/>
      <x:c r="L337" s="84"/>
      <x:c r="M337" s="84"/>
      <x:c r="N337" s="84"/>
      <x:c r="O337" s="84"/>
      <x:c r="P337" s="84"/>
      <x:c r="Q337" s="84"/>
      <x:c r="R337" s="84"/>
      <x:c r="S337" s="84"/>
      <x:c r="T337" s="84"/>
      <x:c r="U337" s="84"/>
      <x:c r="V337" s="84"/>
      <x:c r="W337" s="84"/>
      <x:c r="X337" s="84"/>
      <x:c r="Y337" s="84"/>
      <x:c r="Z337" s="84"/>
    </x:row>
    <x:row r="338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4"/>
      <x:c r="K338" s="84"/>
      <x:c r="L338" s="84"/>
      <x:c r="M338" s="84"/>
      <x:c r="N338" s="84"/>
      <x:c r="O338" s="84"/>
      <x:c r="P338" s="84"/>
      <x:c r="Q338" s="84"/>
      <x:c r="R338" s="84"/>
      <x:c r="S338" s="84"/>
      <x:c r="T338" s="84"/>
      <x:c r="U338" s="84"/>
      <x:c r="V338" s="84"/>
      <x:c r="W338" s="84"/>
      <x:c r="X338" s="84"/>
      <x:c r="Y338" s="84"/>
      <x:c r="Z338" s="84"/>
    </x:row>
    <x:row r="339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4"/>
      <x:c r="K339" s="84"/>
      <x:c r="L339" s="84"/>
      <x:c r="M339" s="84"/>
      <x:c r="N339" s="84"/>
      <x:c r="O339" s="84"/>
      <x:c r="P339" s="84"/>
      <x:c r="Q339" s="84"/>
      <x:c r="R339" s="84"/>
      <x:c r="S339" s="84"/>
      <x:c r="T339" s="84"/>
      <x:c r="U339" s="84"/>
      <x:c r="V339" s="84"/>
      <x:c r="W339" s="84"/>
      <x:c r="X339" s="84"/>
      <x:c r="Y339" s="84"/>
      <x:c r="Z339" s="84"/>
    </x:row>
    <x:row r="340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4"/>
      <x:c r="K340" s="84"/>
      <x:c r="L340" s="84"/>
      <x:c r="M340" s="84"/>
      <x:c r="N340" s="84"/>
      <x:c r="O340" s="84"/>
      <x:c r="P340" s="84"/>
      <x:c r="Q340" s="84"/>
      <x:c r="R340" s="84"/>
      <x:c r="S340" s="84"/>
      <x:c r="T340" s="84"/>
      <x:c r="U340" s="84"/>
      <x:c r="V340" s="84"/>
      <x:c r="W340" s="84"/>
      <x:c r="X340" s="84"/>
      <x:c r="Y340" s="84"/>
      <x:c r="Z340" s="84"/>
    </x:row>
    <x:row r="34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4"/>
      <x:c r="K341" s="84"/>
      <x:c r="L341" s="84"/>
      <x:c r="M341" s="84"/>
      <x:c r="N341" s="84"/>
      <x:c r="O341" s="84"/>
      <x:c r="P341" s="84"/>
      <x:c r="Q341" s="84"/>
      <x:c r="R341" s="84"/>
      <x:c r="S341" s="84"/>
      <x:c r="T341" s="84"/>
      <x:c r="U341" s="84"/>
      <x:c r="V341" s="84"/>
      <x:c r="W341" s="84"/>
      <x:c r="X341" s="84"/>
      <x:c r="Y341" s="84"/>
      <x:c r="Z341" s="84"/>
    </x:row>
    <x:row r="342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4"/>
      <x:c r="K342" s="84"/>
      <x:c r="L342" s="84"/>
      <x:c r="M342" s="84"/>
      <x:c r="N342" s="84"/>
      <x:c r="O342" s="84"/>
      <x:c r="P342" s="84"/>
      <x:c r="Q342" s="84"/>
      <x:c r="R342" s="84"/>
      <x:c r="S342" s="84"/>
      <x:c r="T342" s="84"/>
      <x:c r="U342" s="84"/>
      <x:c r="V342" s="84"/>
      <x:c r="W342" s="84"/>
      <x:c r="X342" s="84"/>
      <x:c r="Y342" s="84"/>
      <x:c r="Z342" s="84"/>
    </x:row>
    <x:row r="343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4"/>
      <x:c r="K343" s="84"/>
      <x:c r="L343" s="84"/>
      <x:c r="M343" s="84"/>
      <x:c r="N343" s="84"/>
      <x:c r="O343" s="84"/>
      <x:c r="P343" s="84"/>
      <x:c r="Q343" s="84"/>
      <x:c r="R343" s="84"/>
      <x:c r="S343" s="84"/>
      <x:c r="T343" s="84"/>
      <x:c r="U343" s="84"/>
      <x:c r="V343" s="84"/>
      <x:c r="W343" s="84"/>
      <x:c r="X343" s="84"/>
      <x:c r="Y343" s="84"/>
      <x:c r="Z343" s="84"/>
    </x:row>
    <x:row r="344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4"/>
      <x:c r="K344" s="84"/>
      <x:c r="L344" s="84"/>
      <x:c r="M344" s="84"/>
      <x:c r="N344" s="84"/>
      <x:c r="O344" s="84"/>
      <x:c r="P344" s="84"/>
      <x:c r="Q344" s="84"/>
      <x:c r="R344" s="84"/>
      <x:c r="S344" s="84"/>
      <x:c r="T344" s="84"/>
      <x:c r="U344" s="84"/>
      <x:c r="V344" s="84"/>
      <x:c r="W344" s="84"/>
      <x:c r="X344" s="84"/>
      <x:c r="Y344" s="84"/>
      <x:c r="Z344" s="84"/>
    </x:row>
    <x:row r="345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4"/>
      <x:c r="K345" s="84"/>
      <x:c r="L345" s="84"/>
      <x:c r="M345" s="84"/>
      <x:c r="N345" s="84"/>
      <x:c r="O345" s="84"/>
      <x:c r="P345" s="84"/>
      <x:c r="Q345" s="84"/>
      <x:c r="R345" s="84"/>
      <x:c r="S345" s="84"/>
      <x:c r="T345" s="84"/>
      <x:c r="U345" s="84"/>
      <x:c r="V345" s="84"/>
      <x:c r="W345" s="84"/>
      <x:c r="X345" s="84"/>
      <x:c r="Y345" s="84"/>
      <x:c r="Z345" s="84"/>
    </x:row>
    <x:row r="346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4"/>
      <x:c r="K346" s="84"/>
      <x:c r="L346" s="84"/>
      <x:c r="M346" s="84"/>
      <x:c r="N346" s="84"/>
      <x:c r="O346" s="84"/>
      <x:c r="P346" s="84"/>
      <x:c r="Q346" s="84"/>
      <x:c r="R346" s="84"/>
      <x:c r="S346" s="84"/>
      <x:c r="T346" s="84"/>
      <x:c r="U346" s="84"/>
      <x:c r="V346" s="84"/>
      <x:c r="W346" s="84"/>
      <x:c r="X346" s="84"/>
      <x:c r="Y346" s="84"/>
      <x:c r="Z346" s="84"/>
    </x:row>
    <x:row r="347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4"/>
      <x:c r="K347" s="84"/>
      <x:c r="L347" s="84"/>
      <x:c r="M347" s="84"/>
      <x:c r="N347" s="84"/>
      <x:c r="O347" s="84"/>
      <x:c r="P347" s="84"/>
      <x:c r="Q347" s="84"/>
      <x:c r="R347" s="84"/>
      <x:c r="S347" s="84"/>
      <x:c r="T347" s="84"/>
      <x:c r="U347" s="84"/>
      <x:c r="V347" s="84"/>
      <x:c r="W347" s="84"/>
      <x:c r="X347" s="84"/>
      <x:c r="Y347" s="84"/>
      <x:c r="Z347" s="84"/>
    </x:row>
    <x:row r="348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4"/>
      <x:c r="K348" s="84"/>
      <x:c r="L348" s="84"/>
      <x:c r="M348" s="84"/>
      <x:c r="N348" s="84"/>
      <x:c r="O348" s="84"/>
      <x:c r="P348" s="84"/>
      <x:c r="Q348" s="84"/>
      <x:c r="R348" s="84"/>
      <x:c r="S348" s="84"/>
      <x:c r="T348" s="84"/>
      <x:c r="U348" s="84"/>
      <x:c r="V348" s="84"/>
      <x:c r="W348" s="84"/>
      <x:c r="X348" s="84"/>
      <x:c r="Y348" s="84"/>
      <x:c r="Z348" s="84"/>
    </x:row>
    <x:row r="349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4"/>
      <x:c r="K349" s="84"/>
      <x:c r="L349" s="84"/>
      <x:c r="M349" s="84"/>
      <x:c r="N349" s="84"/>
      <x:c r="O349" s="84"/>
      <x:c r="P349" s="84"/>
      <x:c r="Q349" s="84"/>
      <x:c r="R349" s="84"/>
      <x:c r="S349" s="84"/>
      <x:c r="T349" s="84"/>
      <x:c r="U349" s="84"/>
      <x:c r="V349" s="84"/>
      <x:c r="W349" s="84"/>
      <x:c r="X349" s="84"/>
      <x:c r="Y349" s="84"/>
      <x:c r="Z349" s="84"/>
    </x:row>
    <x:row r="350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4"/>
      <x:c r="K350" s="84"/>
      <x:c r="L350" s="84"/>
      <x:c r="M350" s="84"/>
      <x:c r="N350" s="84"/>
      <x:c r="O350" s="84"/>
      <x:c r="P350" s="84"/>
      <x:c r="Q350" s="84"/>
      <x:c r="R350" s="84"/>
      <x:c r="S350" s="84"/>
      <x:c r="T350" s="84"/>
      <x:c r="U350" s="84"/>
      <x:c r="V350" s="84"/>
      <x:c r="W350" s="84"/>
      <x:c r="X350" s="84"/>
      <x:c r="Y350" s="84"/>
      <x:c r="Z350" s="84"/>
    </x:row>
    <x:row r="35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4"/>
      <x:c r="K351" s="84"/>
      <x:c r="L351" s="84"/>
      <x:c r="M351" s="84"/>
      <x:c r="N351" s="84"/>
      <x:c r="O351" s="84"/>
      <x:c r="P351" s="84"/>
      <x:c r="Q351" s="84"/>
      <x:c r="R351" s="84"/>
      <x:c r="S351" s="84"/>
      <x:c r="T351" s="84"/>
      <x:c r="U351" s="84"/>
      <x:c r="V351" s="84"/>
      <x:c r="W351" s="84"/>
      <x:c r="X351" s="84"/>
      <x:c r="Y351" s="84"/>
      <x:c r="Z351" s="84"/>
    </x:row>
    <x:row r="352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4"/>
      <x:c r="K352" s="84"/>
      <x:c r="L352" s="84"/>
      <x:c r="M352" s="84"/>
      <x:c r="N352" s="84"/>
      <x:c r="O352" s="84"/>
      <x:c r="P352" s="84"/>
      <x:c r="Q352" s="84"/>
      <x:c r="R352" s="84"/>
      <x:c r="S352" s="84"/>
      <x:c r="T352" s="84"/>
      <x:c r="U352" s="84"/>
      <x:c r="V352" s="84"/>
      <x:c r="W352" s="84"/>
      <x:c r="X352" s="84"/>
      <x:c r="Y352" s="84"/>
      <x:c r="Z352" s="84"/>
    </x:row>
    <x:row r="353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4"/>
      <x:c r="K353" s="84"/>
      <x:c r="L353" s="84"/>
      <x:c r="M353" s="84"/>
      <x:c r="N353" s="84"/>
      <x:c r="O353" s="84"/>
      <x:c r="P353" s="84"/>
      <x:c r="Q353" s="84"/>
      <x:c r="R353" s="84"/>
      <x:c r="S353" s="84"/>
      <x:c r="T353" s="84"/>
      <x:c r="U353" s="84"/>
      <x:c r="V353" s="84"/>
      <x:c r="W353" s="84"/>
      <x:c r="X353" s="84"/>
      <x:c r="Y353" s="84"/>
      <x:c r="Z353" s="84"/>
    </x:row>
    <x:row r="354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4"/>
      <x:c r="K354" s="84"/>
      <x:c r="L354" s="84"/>
      <x:c r="M354" s="84"/>
      <x:c r="N354" s="84"/>
      <x:c r="O354" s="84"/>
      <x:c r="P354" s="84"/>
      <x:c r="Q354" s="84"/>
      <x:c r="R354" s="84"/>
      <x:c r="S354" s="84"/>
      <x:c r="T354" s="84"/>
      <x:c r="U354" s="84"/>
      <x:c r="V354" s="84"/>
      <x:c r="W354" s="84"/>
      <x:c r="X354" s="84"/>
      <x:c r="Y354" s="84"/>
      <x:c r="Z354" s="84"/>
    </x:row>
    <x:row r="355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4"/>
      <x:c r="K355" s="84"/>
      <x:c r="L355" s="84"/>
      <x:c r="M355" s="84"/>
      <x:c r="N355" s="84"/>
      <x:c r="O355" s="84"/>
      <x:c r="P355" s="84"/>
      <x:c r="Q355" s="84"/>
      <x:c r="R355" s="84"/>
      <x:c r="S355" s="84"/>
      <x:c r="T355" s="84"/>
      <x:c r="U355" s="84"/>
      <x:c r="V355" s="84"/>
      <x:c r="W355" s="84"/>
      <x:c r="X355" s="84"/>
      <x:c r="Y355" s="84"/>
      <x:c r="Z355" s="84"/>
    </x:row>
    <x:row r="356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4"/>
      <x:c r="K356" s="84"/>
      <x:c r="L356" s="84"/>
      <x:c r="M356" s="84"/>
      <x:c r="N356" s="84"/>
      <x:c r="O356" s="84"/>
      <x:c r="P356" s="84"/>
      <x:c r="Q356" s="84"/>
      <x:c r="R356" s="84"/>
      <x:c r="S356" s="84"/>
      <x:c r="T356" s="84"/>
      <x:c r="U356" s="84"/>
      <x:c r="V356" s="84"/>
      <x:c r="W356" s="84"/>
      <x:c r="X356" s="84"/>
      <x:c r="Y356" s="84"/>
      <x:c r="Z356" s="84"/>
    </x:row>
    <x:row r="357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4"/>
      <x:c r="K357" s="84"/>
      <x:c r="L357" s="84"/>
      <x:c r="M357" s="84"/>
      <x:c r="N357" s="84"/>
      <x:c r="O357" s="84"/>
      <x:c r="P357" s="84"/>
      <x:c r="Q357" s="84"/>
      <x:c r="R357" s="84"/>
      <x:c r="S357" s="84"/>
      <x:c r="T357" s="84"/>
      <x:c r="U357" s="84"/>
      <x:c r="V357" s="84"/>
      <x:c r="W357" s="84"/>
      <x:c r="X357" s="84"/>
      <x:c r="Y357" s="84"/>
      <x:c r="Z357" s="84"/>
    </x:row>
    <x:row r="358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4"/>
      <x:c r="K358" s="84"/>
      <x:c r="L358" s="84"/>
      <x:c r="M358" s="84"/>
      <x:c r="N358" s="84"/>
      <x:c r="O358" s="84"/>
      <x:c r="P358" s="84"/>
      <x:c r="Q358" s="84"/>
      <x:c r="R358" s="84"/>
      <x:c r="S358" s="84"/>
      <x:c r="T358" s="84"/>
      <x:c r="U358" s="84"/>
      <x:c r="V358" s="84"/>
      <x:c r="W358" s="84"/>
      <x:c r="X358" s="84"/>
      <x:c r="Y358" s="84"/>
      <x:c r="Z358" s="84"/>
    </x:row>
    <x:row r="359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4"/>
      <x:c r="K359" s="84"/>
      <x:c r="L359" s="84"/>
      <x:c r="M359" s="84"/>
      <x:c r="N359" s="84"/>
      <x:c r="O359" s="84"/>
      <x:c r="P359" s="84"/>
      <x:c r="Q359" s="84"/>
      <x:c r="R359" s="84"/>
      <x:c r="S359" s="84"/>
      <x:c r="T359" s="84"/>
      <x:c r="U359" s="84"/>
      <x:c r="V359" s="84"/>
      <x:c r="W359" s="84"/>
      <x:c r="X359" s="84"/>
      <x:c r="Y359" s="84"/>
      <x:c r="Z359" s="84"/>
    </x:row>
    <x:row r="360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4"/>
      <x:c r="K360" s="84"/>
      <x:c r="L360" s="84"/>
      <x:c r="M360" s="84"/>
      <x:c r="N360" s="84"/>
      <x:c r="O360" s="84"/>
      <x:c r="P360" s="84"/>
      <x:c r="Q360" s="84"/>
      <x:c r="R360" s="84"/>
      <x:c r="S360" s="84"/>
      <x:c r="T360" s="84"/>
      <x:c r="U360" s="84"/>
      <x:c r="V360" s="84"/>
      <x:c r="W360" s="84"/>
      <x:c r="X360" s="84"/>
      <x:c r="Y360" s="84"/>
      <x:c r="Z360" s="84"/>
    </x:row>
    <x:row r="36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4"/>
      <x:c r="K361" s="84"/>
      <x:c r="L361" s="84"/>
      <x:c r="M361" s="84"/>
      <x:c r="N361" s="84"/>
      <x:c r="O361" s="84"/>
      <x:c r="P361" s="84"/>
      <x:c r="Q361" s="84"/>
      <x:c r="R361" s="84"/>
      <x:c r="S361" s="84"/>
      <x:c r="T361" s="84"/>
      <x:c r="U361" s="84"/>
      <x:c r="V361" s="84"/>
      <x:c r="W361" s="84"/>
      <x:c r="X361" s="84"/>
      <x:c r="Y361" s="84"/>
      <x:c r="Z361" s="84"/>
    </x:row>
    <x:row r="362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4"/>
      <x:c r="K362" s="84"/>
      <x:c r="L362" s="84"/>
      <x:c r="M362" s="84"/>
      <x:c r="N362" s="84"/>
      <x:c r="O362" s="84"/>
      <x:c r="P362" s="84"/>
      <x:c r="Q362" s="84"/>
      <x:c r="R362" s="84"/>
      <x:c r="S362" s="84"/>
      <x:c r="T362" s="84"/>
      <x:c r="U362" s="84"/>
      <x:c r="V362" s="84"/>
      <x:c r="W362" s="84"/>
      <x:c r="X362" s="84"/>
      <x:c r="Y362" s="84"/>
      <x:c r="Z362" s="84"/>
    </x:row>
    <x:row r="363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4"/>
      <x:c r="K363" s="84"/>
      <x:c r="L363" s="84"/>
      <x:c r="M363" s="84"/>
      <x:c r="N363" s="84"/>
      <x:c r="O363" s="84"/>
      <x:c r="P363" s="84"/>
      <x:c r="Q363" s="84"/>
      <x:c r="R363" s="84"/>
      <x:c r="S363" s="84"/>
      <x:c r="T363" s="84"/>
      <x:c r="U363" s="84"/>
      <x:c r="V363" s="84"/>
      <x:c r="W363" s="84"/>
      <x:c r="X363" s="84"/>
      <x:c r="Y363" s="84"/>
      <x:c r="Z363" s="84"/>
    </x:row>
    <x:row r="364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4"/>
      <x:c r="K364" s="84"/>
      <x:c r="L364" s="84"/>
      <x:c r="M364" s="84"/>
      <x:c r="N364" s="84"/>
      <x:c r="O364" s="84"/>
      <x:c r="P364" s="84"/>
      <x:c r="Q364" s="84"/>
      <x:c r="R364" s="84"/>
      <x:c r="S364" s="84"/>
      <x:c r="T364" s="84"/>
      <x:c r="U364" s="84"/>
      <x:c r="V364" s="84"/>
      <x:c r="W364" s="84"/>
      <x:c r="X364" s="84"/>
      <x:c r="Y364" s="84"/>
      <x:c r="Z364" s="84"/>
    </x:row>
    <x:row r="365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4"/>
      <x:c r="K365" s="84"/>
      <x:c r="L365" s="84"/>
      <x:c r="M365" s="84"/>
      <x:c r="N365" s="84"/>
      <x:c r="O365" s="84"/>
      <x:c r="P365" s="84"/>
      <x:c r="Q365" s="84"/>
      <x:c r="R365" s="84"/>
      <x:c r="S365" s="84"/>
      <x:c r="T365" s="84"/>
      <x:c r="U365" s="84"/>
      <x:c r="V365" s="84"/>
      <x:c r="W365" s="84"/>
      <x:c r="X365" s="84"/>
      <x:c r="Y365" s="84"/>
      <x:c r="Z365" s="84"/>
    </x:row>
    <x:row r="366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4"/>
      <x:c r="K366" s="84"/>
      <x:c r="L366" s="84"/>
      <x:c r="M366" s="84"/>
      <x:c r="N366" s="84"/>
      <x:c r="O366" s="84"/>
      <x:c r="P366" s="84"/>
      <x:c r="Q366" s="84"/>
      <x:c r="R366" s="84"/>
      <x:c r="S366" s="84"/>
      <x:c r="T366" s="84"/>
      <x:c r="U366" s="84"/>
      <x:c r="V366" s="84"/>
      <x:c r="W366" s="84"/>
      <x:c r="X366" s="84"/>
      <x:c r="Y366" s="84"/>
      <x:c r="Z366" s="84"/>
    </x:row>
    <x:row r="367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4"/>
      <x:c r="K367" s="84"/>
      <x:c r="L367" s="84"/>
      <x:c r="M367" s="84"/>
      <x:c r="N367" s="84"/>
      <x:c r="O367" s="84"/>
      <x:c r="P367" s="84"/>
      <x:c r="Q367" s="84"/>
      <x:c r="R367" s="84"/>
      <x:c r="S367" s="84"/>
      <x:c r="T367" s="84"/>
      <x:c r="U367" s="84"/>
      <x:c r="V367" s="84"/>
      <x:c r="W367" s="84"/>
      <x:c r="X367" s="84"/>
      <x:c r="Y367" s="84"/>
      <x:c r="Z367" s="84"/>
    </x:row>
    <x:row r="368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4"/>
      <x:c r="K368" s="84"/>
      <x:c r="L368" s="84"/>
      <x:c r="M368" s="84"/>
      <x:c r="N368" s="84"/>
      <x:c r="O368" s="84"/>
      <x:c r="P368" s="84"/>
      <x:c r="Q368" s="84"/>
      <x:c r="R368" s="84"/>
      <x:c r="S368" s="84"/>
      <x:c r="T368" s="84"/>
      <x:c r="U368" s="84"/>
      <x:c r="V368" s="84"/>
      <x:c r="W368" s="84"/>
      <x:c r="X368" s="84"/>
      <x:c r="Y368" s="84"/>
      <x:c r="Z368" s="84"/>
    </x:row>
    <x:row r="369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4"/>
      <x:c r="K369" s="84"/>
      <x:c r="L369" s="84"/>
      <x:c r="M369" s="84"/>
      <x:c r="N369" s="84"/>
      <x:c r="O369" s="84"/>
      <x:c r="P369" s="84"/>
      <x:c r="Q369" s="84"/>
      <x:c r="R369" s="84"/>
      <x:c r="S369" s="84"/>
      <x:c r="T369" s="84"/>
      <x:c r="U369" s="84"/>
      <x:c r="V369" s="84"/>
      <x:c r="W369" s="84"/>
      <x:c r="X369" s="84"/>
      <x:c r="Y369" s="84"/>
      <x:c r="Z369" s="84"/>
    </x:row>
    <x:row r="370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4"/>
      <x:c r="K370" s="84"/>
      <x:c r="L370" s="84"/>
      <x:c r="M370" s="84"/>
      <x:c r="N370" s="84"/>
      <x:c r="O370" s="84"/>
      <x:c r="P370" s="84"/>
      <x:c r="Q370" s="84"/>
      <x:c r="R370" s="84"/>
      <x:c r="S370" s="84"/>
      <x:c r="T370" s="84"/>
      <x:c r="U370" s="84"/>
      <x:c r="V370" s="84"/>
      <x:c r="W370" s="84"/>
      <x:c r="X370" s="84"/>
      <x:c r="Y370" s="84"/>
      <x:c r="Z370" s="84"/>
    </x:row>
    <x:row r="37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4"/>
      <x:c r="K371" s="84"/>
      <x:c r="L371" s="84"/>
      <x:c r="M371" s="84"/>
      <x:c r="N371" s="84"/>
      <x:c r="O371" s="84"/>
      <x:c r="P371" s="84"/>
      <x:c r="Q371" s="84"/>
      <x:c r="R371" s="84"/>
      <x:c r="S371" s="84"/>
      <x:c r="T371" s="84"/>
      <x:c r="U371" s="84"/>
      <x:c r="V371" s="84"/>
      <x:c r="W371" s="84"/>
      <x:c r="X371" s="84"/>
      <x:c r="Y371" s="84"/>
      <x:c r="Z371" s="84"/>
    </x:row>
    <x:row r="372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4"/>
      <x:c r="K372" s="84"/>
      <x:c r="L372" s="84"/>
      <x:c r="M372" s="84"/>
      <x:c r="N372" s="84"/>
      <x:c r="O372" s="84"/>
      <x:c r="P372" s="84"/>
      <x:c r="Q372" s="84"/>
      <x:c r="R372" s="84"/>
      <x:c r="S372" s="84"/>
      <x:c r="T372" s="84"/>
      <x:c r="U372" s="84"/>
      <x:c r="V372" s="84"/>
      <x:c r="W372" s="84"/>
      <x:c r="X372" s="84"/>
      <x:c r="Y372" s="84"/>
      <x:c r="Z372" s="84"/>
    </x:row>
    <x:row r="373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4"/>
      <x:c r="K373" s="84"/>
      <x:c r="L373" s="84"/>
      <x:c r="M373" s="84"/>
      <x:c r="N373" s="84"/>
      <x:c r="O373" s="84"/>
      <x:c r="P373" s="84"/>
      <x:c r="Q373" s="84"/>
      <x:c r="R373" s="84"/>
      <x:c r="S373" s="84"/>
      <x:c r="T373" s="84"/>
      <x:c r="U373" s="84"/>
      <x:c r="V373" s="84"/>
      <x:c r="W373" s="84"/>
      <x:c r="X373" s="84"/>
      <x:c r="Y373" s="84"/>
      <x:c r="Z373" s="84"/>
    </x:row>
    <x:row r="374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4"/>
      <x:c r="K374" s="84"/>
      <x:c r="L374" s="84"/>
      <x:c r="M374" s="84"/>
      <x:c r="N374" s="84"/>
      <x:c r="O374" s="84"/>
      <x:c r="P374" s="84"/>
      <x:c r="Q374" s="84"/>
      <x:c r="R374" s="84"/>
      <x:c r="S374" s="84"/>
      <x:c r="T374" s="84"/>
      <x:c r="U374" s="84"/>
      <x:c r="V374" s="84"/>
      <x:c r="W374" s="84"/>
      <x:c r="X374" s="84"/>
      <x:c r="Y374" s="84"/>
      <x:c r="Z374" s="84"/>
    </x:row>
    <x:row r="375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4"/>
      <x:c r="K375" s="84"/>
      <x:c r="L375" s="84"/>
      <x:c r="M375" s="84"/>
      <x:c r="N375" s="84"/>
      <x:c r="O375" s="84"/>
      <x:c r="P375" s="84"/>
      <x:c r="Q375" s="84"/>
      <x:c r="R375" s="84"/>
      <x:c r="S375" s="84"/>
      <x:c r="T375" s="84"/>
      <x:c r="U375" s="84"/>
      <x:c r="V375" s="84"/>
      <x:c r="W375" s="84"/>
      <x:c r="X375" s="84"/>
      <x:c r="Y375" s="84"/>
      <x:c r="Z375" s="84"/>
    </x:row>
    <x:row r="376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4"/>
      <x:c r="K376" s="84"/>
      <x:c r="L376" s="84"/>
      <x:c r="M376" s="84"/>
      <x:c r="N376" s="84"/>
      <x:c r="O376" s="84"/>
      <x:c r="P376" s="84"/>
      <x:c r="Q376" s="84"/>
      <x:c r="R376" s="84"/>
      <x:c r="S376" s="84"/>
      <x:c r="T376" s="84"/>
      <x:c r="U376" s="84"/>
      <x:c r="V376" s="84"/>
      <x:c r="W376" s="84"/>
      <x:c r="X376" s="84"/>
      <x:c r="Y376" s="84"/>
      <x:c r="Z376" s="84"/>
    </x:row>
    <x:row r="377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4"/>
      <x:c r="K377" s="84"/>
      <x:c r="L377" s="84"/>
      <x:c r="M377" s="84"/>
      <x:c r="N377" s="84"/>
      <x:c r="O377" s="84"/>
      <x:c r="P377" s="84"/>
      <x:c r="Q377" s="84"/>
      <x:c r="R377" s="84"/>
      <x:c r="S377" s="84"/>
      <x:c r="T377" s="84"/>
      <x:c r="U377" s="84"/>
      <x:c r="V377" s="84"/>
      <x:c r="W377" s="84"/>
      <x:c r="X377" s="84"/>
      <x:c r="Y377" s="84"/>
      <x:c r="Z377" s="84"/>
    </x:row>
    <x:row r="378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4"/>
      <x:c r="K378" s="84"/>
      <x:c r="L378" s="84"/>
      <x:c r="M378" s="84"/>
      <x:c r="N378" s="84"/>
      <x:c r="O378" s="84"/>
      <x:c r="P378" s="84"/>
      <x:c r="Q378" s="84"/>
      <x:c r="R378" s="84"/>
      <x:c r="S378" s="84"/>
      <x:c r="T378" s="84"/>
      <x:c r="U378" s="84"/>
      <x:c r="V378" s="84"/>
      <x:c r="W378" s="84"/>
      <x:c r="X378" s="84"/>
      <x:c r="Y378" s="84"/>
      <x:c r="Z378" s="84"/>
    </x:row>
    <x:row r="379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4"/>
      <x:c r="K379" s="84"/>
      <x:c r="L379" s="84"/>
      <x:c r="M379" s="84"/>
      <x:c r="N379" s="84"/>
      <x:c r="O379" s="84"/>
      <x:c r="P379" s="84"/>
      <x:c r="Q379" s="84"/>
      <x:c r="R379" s="84"/>
      <x:c r="S379" s="84"/>
      <x:c r="T379" s="84"/>
      <x:c r="U379" s="84"/>
      <x:c r="V379" s="84"/>
      <x:c r="W379" s="84"/>
      <x:c r="X379" s="84"/>
      <x:c r="Y379" s="84"/>
      <x:c r="Z379" s="84"/>
    </x:row>
    <x:row r="380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4"/>
      <x:c r="K380" s="84"/>
      <x:c r="L380" s="84"/>
      <x:c r="M380" s="84"/>
      <x:c r="N380" s="84"/>
      <x:c r="O380" s="84"/>
      <x:c r="P380" s="84"/>
      <x:c r="Q380" s="84"/>
      <x:c r="R380" s="84"/>
      <x:c r="S380" s="84"/>
      <x:c r="T380" s="84"/>
      <x:c r="U380" s="84"/>
      <x:c r="V380" s="84"/>
      <x:c r="W380" s="84"/>
      <x:c r="X380" s="84"/>
      <x:c r="Y380" s="84"/>
      <x:c r="Z380" s="84"/>
    </x:row>
    <x:row r="38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4"/>
      <x:c r="K381" s="84"/>
      <x:c r="L381" s="84"/>
      <x:c r="M381" s="84"/>
      <x:c r="N381" s="84"/>
      <x:c r="O381" s="84"/>
      <x:c r="P381" s="84"/>
      <x:c r="Q381" s="84"/>
      <x:c r="R381" s="84"/>
      <x:c r="S381" s="84"/>
      <x:c r="T381" s="84"/>
      <x:c r="U381" s="84"/>
      <x:c r="V381" s="84"/>
      <x:c r="W381" s="84"/>
      <x:c r="X381" s="84"/>
      <x:c r="Y381" s="84"/>
      <x:c r="Z381" s="84"/>
    </x:row>
    <x:row r="382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4"/>
      <x:c r="K382" s="84"/>
      <x:c r="L382" s="84"/>
      <x:c r="M382" s="84"/>
      <x:c r="N382" s="84"/>
      <x:c r="O382" s="84"/>
      <x:c r="P382" s="84"/>
      <x:c r="Q382" s="84"/>
      <x:c r="R382" s="84"/>
      <x:c r="S382" s="84"/>
      <x:c r="T382" s="84"/>
      <x:c r="U382" s="84"/>
      <x:c r="V382" s="84"/>
      <x:c r="W382" s="84"/>
      <x:c r="X382" s="84"/>
      <x:c r="Y382" s="84"/>
      <x:c r="Z382" s="84"/>
    </x:row>
    <x:row r="383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4"/>
      <x:c r="K383" s="84"/>
      <x:c r="L383" s="84"/>
      <x:c r="M383" s="84"/>
      <x:c r="N383" s="84"/>
      <x:c r="O383" s="84"/>
      <x:c r="P383" s="84"/>
      <x:c r="Q383" s="84"/>
      <x:c r="R383" s="84"/>
      <x:c r="S383" s="84"/>
      <x:c r="T383" s="84"/>
      <x:c r="U383" s="84"/>
      <x:c r="V383" s="84"/>
      <x:c r="W383" s="84"/>
      <x:c r="X383" s="84"/>
      <x:c r="Y383" s="84"/>
      <x:c r="Z383" s="84"/>
    </x:row>
    <x:row r="384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4"/>
      <x:c r="K384" s="84"/>
      <x:c r="L384" s="84"/>
      <x:c r="M384" s="84"/>
      <x:c r="N384" s="84"/>
      <x:c r="O384" s="84"/>
      <x:c r="P384" s="84"/>
      <x:c r="Q384" s="84"/>
      <x:c r="R384" s="84"/>
      <x:c r="S384" s="84"/>
      <x:c r="T384" s="84"/>
      <x:c r="U384" s="84"/>
      <x:c r="V384" s="84"/>
      <x:c r="W384" s="84"/>
      <x:c r="X384" s="84"/>
      <x:c r="Y384" s="84"/>
      <x:c r="Z384" s="84"/>
    </x:row>
    <x:row r="385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4"/>
      <x:c r="K385" s="84"/>
      <x:c r="L385" s="84"/>
      <x:c r="M385" s="84"/>
      <x:c r="N385" s="84"/>
      <x:c r="O385" s="84"/>
      <x:c r="P385" s="84"/>
      <x:c r="Q385" s="84"/>
      <x:c r="R385" s="84"/>
      <x:c r="S385" s="84"/>
      <x:c r="T385" s="84"/>
      <x:c r="U385" s="84"/>
      <x:c r="V385" s="84"/>
      <x:c r="W385" s="84"/>
      <x:c r="X385" s="84"/>
      <x:c r="Y385" s="84"/>
      <x:c r="Z385" s="84"/>
    </x:row>
    <x:row r="386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4"/>
      <x:c r="K386" s="84"/>
      <x:c r="L386" s="84"/>
      <x:c r="M386" s="84"/>
      <x:c r="N386" s="84"/>
      <x:c r="O386" s="84"/>
      <x:c r="P386" s="84"/>
      <x:c r="Q386" s="84"/>
      <x:c r="R386" s="84"/>
      <x:c r="S386" s="84"/>
      <x:c r="T386" s="84"/>
      <x:c r="U386" s="84"/>
      <x:c r="V386" s="84"/>
      <x:c r="W386" s="84"/>
      <x:c r="X386" s="84"/>
      <x:c r="Y386" s="84"/>
      <x:c r="Z386" s="84"/>
    </x:row>
    <x:row r="387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4"/>
      <x:c r="K387" s="84"/>
      <x:c r="L387" s="84"/>
      <x:c r="M387" s="84"/>
      <x:c r="N387" s="84"/>
      <x:c r="O387" s="84"/>
      <x:c r="P387" s="84"/>
      <x:c r="Q387" s="84"/>
      <x:c r="R387" s="84"/>
      <x:c r="S387" s="84"/>
      <x:c r="T387" s="84"/>
      <x:c r="U387" s="84"/>
      <x:c r="V387" s="84"/>
      <x:c r="W387" s="84"/>
      <x:c r="X387" s="84"/>
      <x:c r="Y387" s="84"/>
      <x:c r="Z387" s="84"/>
    </x:row>
    <x:row r="388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4"/>
      <x:c r="K388" s="84"/>
      <x:c r="L388" s="84"/>
      <x:c r="M388" s="84"/>
      <x:c r="N388" s="84"/>
      <x:c r="O388" s="84"/>
      <x:c r="P388" s="84"/>
      <x:c r="Q388" s="84"/>
      <x:c r="R388" s="84"/>
      <x:c r="S388" s="84"/>
      <x:c r="T388" s="84"/>
      <x:c r="U388" s="84"/>
      <x:c r="V388" s="84"/>
      <x:c r="W388" s="84"/>
      <x:c r="X388" s="84"/>
      <x:c r="Y388" s="84"/>
      <x:c r="Z388" s="84"/>
    </x:row>
    <x:row r="389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4"/>
      <x:c r="K389" s="84"/>
      <x:c r="L389" s="84"/>
      <x:c r="M389" s="84"/>
      <x:c r="N389" s="84"/>
      <x:c r="O389" s="84"/>
      <x:c r="P389" s="84"/>
      <x:c r="Q389" s="84"/>
      <x:c r="R389" s="84"/>
      <x:c r="S389" s="84"/>
      <x:c r="T389" s="84"/>
      <x:c r="U389" s="84"/>
      <x:c r="V389" s="84"/>
      <x:c r="W389" s="84"/>
      <x:c r="X389" s="84"/>
      <x:c r="Y389" s="84"/>
      <x:c r="Z389" s="84"/>
    </x:row>
    <x:row r="390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4"/>
      <x:c r="K390" s="84"/>
      <x:c r="L390" s="84"/>
      <x:c r="M390" s="84"/>
      <x:c r="N390" s="84"/>
      <x:c r="O390" s="84"/>
      <x:c r="P390" s="84"/>
      <x:c r="Q390" s="84"/>
      <x:c r="R390" s="84"/>
      <x:c r="S390" s="84"/>
      <x:c r="T390" s="84"/>
      <x:c r="U390" s="84"/>
      <x:c r="V390" s="84"/>
      <x:c r="W390" s="84"/>
      <x:c r="X390" s="84"/>
      <x:c r="Y390" s="84"/>
      <x:c r="Z390" s="84"/>
    </x:row>
    <x:row r="39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4"/>
      <x:c r="K391" s="84"/>
      <x:c r="L391" s="84"/>
      <x:c r="M391" s="84"/>
      <x:c r="N391" s="84"/>
      <x:c r="O391" s="84"/>
      <x:c r="P391" s="84"/>
      <x:c r="Q391" s="84"/>
      <x:c r="R391" s="84"/>
      <x:c r="S391" s="84"/>
      <x:c r="T391" s="84"/>
      <x:c r="U391" s="84"/>
      <x:c r="V391" s="84"/>
      <x:c r="W391" s="84"/>
      <x:c r="X391" s="84"/>
      <x:c r="Y391" s="84"/>
      <x:c r="Z391" s="84"/>
    </x:row>
    <x:row r="392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4"/>
      <x:c r="K392" s="84"/>
      <x:c r="L392" s="84"/>
      <x:c r="M392" s="84"/>
      <x:c r="N392" s="84"/>
      <x:c r="O392" s="84"/>
      <x:c r="P392" s="84"/>
      <x:c r="Q392" s="84"/>
      <x:c r="R392" s="84"/>
      <x:c r="S392" s="84"/>
      <x:c r="T392" s="84"/>
      <x:c r="U392" s="84"/>
      <x:c r="V392" s="84"/>
      <x:c r="W392" s="84"/>
      <x:c r="X392" s="84"/>
      <x:c r="Y392" s="84"/>
      <x:c r="Z392" s="84"/>
    </x:row>
    <x:row r="393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4"/>
      <x:c r="K393" s="84"/>
      <x:c r="L393" s="84"/>
      <x:c r="M393" s="84"/>
      <x:c r="N393" s="84"/>
      <x:c r="O393" s="84"/>
      <x:c r="P393" s="84"/>
      <x:c r="Q393" s="84"/>
      <x:c r="R393" s="84"/>
      <x:c r="S393" s="84"/>
      <x:c r="T393" s="84"/>
      <x:c r="U393" s="84"/>
      <x:c r="V393" s="84"/>
      <x:c r="W393" s="84"/>
      <x:c r="X393" s="84"/>
      <x:c r="Y393" s="84"/>
      <x:c r="Z393" s="84"/>
    </x:row>
    <x:row r="394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4"/>
      <x:c r="K394" s="84"/>
      <x:c r="L394" s="84"/>
      <x:c r="M394" s="84"/>
      <x:c r="N394" s="84"/>
      <x:c r="O394" s="84"/>
      <x:c r="P394" s="84"/>
      <x:c r="Q394" s="84"/>
      <x:c r="R394" s="84"/>
      <x:c r="S394" s="84"/>
      <x:c r="T394" s="84"/>
      <x:c r="U394" s="84"/>
      <x:c r="V394" s="84"/>
      <x:c r="W394" s="84"/>
      <x:c r="X394" s="84"/>
      <x:c r="Y394" s="84"/>
      <x:c r="Z394" s="84"/>
    </x:row>
    <x:row r="395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4"/>
      <x:c r="K395" s="84"/>
      <x:c r="L395" s="84"/>
      <x:c r="M395" s="84"/>
      <x:c r="N395" s="84"/>
      <x:c r="O395" s="84"/>
      <x:c r="P395" s="84"/>
      <x:c r="Q395" s="84"/>
      <x:c r="R395" s="84"/>
      <x:c r="S395" s="84"/>
      <x:c r="T395" s="84"/>
      <x:c r="U395" s="84"/>
      <x:c r="V395" s="84"/>
      <x:c r="W395" s="84"/>
      <x:c r="X395" s="84"/>
      <x:c r="Y395" s="84"/>
      <x:c r="Z395" s="84"/>
    </x:row>
    <x:row r="396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4"/>
      <x:c r="K396" s="84"/>
      <x:c r="L396" s="84"/>
      <x:c r="M396" s="84"/>
      <x:c r="N396" s="84"/>
      <x:c r="O396" s="84"/>
      <x:c r="P396" s="84"/>
      <x:c r="Q396" s="84"/>
      <x:c r="R396" s="84"/>
      <x:c r="S396" s="84"/>
      <x:c r="T396" s="84"/>
      <x:c r="U396" s="84"/>
      <x:c r="V396" s="84"/>
      <x:c r="W396" s="84"/>
      <x:c r="X396" s="84"/>
      <x:c r="Y396" s="84"/>
      <x:c r="Z396" s="84"/>
    </x:row>
    <x:row r="397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4"/>
      <x:c r="K397" s="84"/>
      <x:c r="L397" s="84"/>
      <x:c r="M397" s="84"/>
      <x:c r="N397" s="84"/>
      <x:c r="O397" s="84"/>
      <x:c r="P397" s="84"/>
      <x:c r="Q397" s="84"/>
      <x:c r="R397" s="84"/>
      <x:c r="S397" s="84"/>
      <x:c r="T397" s="84"/>
      <x:c r="U397" s="84"/>
      <x:c r="V397" s="84"/>
      <x:c r="W397" s="84"/>
      <x:c r="X397" s="84"/>
      <x:c r="Y397" s="84"/>
      <x:c r="Z397" s="84"/>
    </x:row>
    <x:row r="398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4"/>
      <x:c r="K398" s="84"/>
      <x:c r="L398" s="84"/>
      <x:c r="M398" s="84"/>
      <x:c r="N398" s="84"/>
      <x:c r="O398" s="84"/>
      <x:c r="P398" s="84"/>
      <x:c r="Q398" s="84"/>
      <x:c r="R398" s="84"/>
      <x:c r="S398" s="84"/>
      <x:c r="T398" s="84"/>
      <x:c r="U398" s="84"/>
      <x:c r="V398" s="84"/>
      <x:c r="W398" s="84"/>
      <x:c r="X398" s="84"/>
      <x:c r="Y398" s="84"/>
      <x:c r="Z398" s="84"/>
    </x:row>
    <x:row r="399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4"/>
      <x:c r="K399" s="84"/>
      <x:c r="L399" s="84"/>
      <x:c r="M399" s="84"/>
      <x:c r="N399" s="84"/>
      <x:c r="O399" s="84"/>
      <x:c r="P399" s="84"/>
      <x:c r="Q399" s="84"/>
      <x:c r="R399" s="84"/>
      <x:c r="S399" s="84"/>
      <x:c r="T399" s="84"/>
      <x:c r="U399" s="84"/>
      <x:c r="V399" s="84"/>
      <x:c r="W399" s="84"/>
      <x:c r="X399" s="84"/>
      <x:c r="Y399" s="84"/>
      <x:c r="Z399" s="84"/>
    </x:row>
    <x:row r="400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4"/>
      <x:c r="K400" s="84"/>
      <x:c r="L400" s="84"/>
      <x:c r="M400" s="84"/>
      <x:c r="N400" s="84"/>
      <x:c r="O400" s="84"/>
      <x:c r="P400" s="84"/>
      <x:c r="Q400" s="84"/>
      <x:c r="R400" s="84"/>
      <x:c r="S400" s="84"/>
      <x:c r="T400" s="84"/>
      <x:c r="U400" s="84"/>
      <x:c r="V400" s="84"/>
      <x:c r="W400" s="84"/>
      <x:c r="X400" s="84"/>
      <x:c r="Y400" s="84"/>
      <x:c r="Z400" s="84"/>
    </x:row>
    <x:row r="40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4"/>
      <x:c r="K401" s="84"/>
      <x:c r="L401" s="84"/>
      <x:c r="M401" s="84"/>
      <x:c r="N401" s="84"/>
      <x:c r="O401" s="84"/>
      <x:c r="P401" s="84"/>
      <x:c r="Q401" s="84"/>
      <x:c r="R401" s="84"/>
      <x:c r="S401" s="84"/>
      <x:c r="T401" s="84"/>
      <x:c r="U401" s="84"/>
      <x:c r="V401" s="84"/>
      <x:c r="W401" s="84"/>
      <x:c r="X401" s="84"/>
      <x:c r="Y401" s="84"/>
      <x:c r="Z401" s="84"/>
    </x:row>
    <x:row r="402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4"/>
      <x:c r="K402" s="84"/>
      <x:c r="L402" s="84"/>
      <x:c r="M402" s="84"/>
      <x:c r="N402" s="84"/>
      <x:c r="O402" s="84"/>
      <x:c r="P402" s="84"/>
      <x:c r="Q402" s="84"/>
      <x:c r="R402" s="84"/>
      <x:c r="S402" s="84"/>
      <x:c r="T402" s="84"/>
      <x:c r="U402" s="84"/>
      <x:c r="V402" s="84"/>
      <x:c r="W402" s="84"/>
      <x:c r="X402" s="84"/>
      <x:c r="Y402" s="84"/>
      <x:c r="Z402" s="84"/>
    </x:row>
    <x:row r="403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4"/>
      <x:c r="K403" s="84"/>
      <x:c r="L403" s="84"/>
      <x:c r="M403" s="84"/>
      <x:c r="N403" s="84"/>
      <x:c r="O403" s="84"/>
      <x:c r="P403" s="84"/>
      <x:c r="Q403" s="84"/>
      <x:c r="R403" s="84"/>
      <x:c r="S403" s="84"/>
      <x:c r="T403" s="84"/>
      <x:c r="U403" s="84"/>
      <x:c r="V403" s="84"/>
      <x:c r="W403" s="84"/>
      <x:c r="X403" s="84"/>
      <x:c r="Y403" s="84"/>
      <x:c r="Z403" s="84"/>
    </x:row>
    <x:row r="404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4"/>
      <x:c r="K404" s="84"/>
      <x:c r="L404" s="84"/>
      <x:c r="M404" s="84"/>
      <x:c r="N404" s="84"/>
      <x:c r="O404" s="84"/>
      <x:c r="P404" s="84"/>
      <x:c r="Q404" s="84"/>
      <x:c r="R404" s="84"/>
      <x:c r="S404" s="84"/>
      <x:c r="T404" s="84"/>
      <x:c r="U404" s="84"/>
      <x:c r="V404" s="84"/>
      <x:c r="W404" s="84"/>
      <x:c r="X404" s="84"/>
      <x:c r="Y404" s="84"/>
      <x:c r="Z404" s="84"/>
    </x:row>
    <x:row r="405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4"/>
      <x:c r="K405" s="84"/>
      <x:c r="L405" s="84"/>
      <x:c r="M405" s="84"/>
      <x:c r="N405" s="84"/>
      <x:c r="O405" s="84"/>
      <x:c r="P405" s="84"/>
      <x:c r="Q405" s="84"/>
      <x:c r="R405" s="84"/>
      <x:c r="S405" s="84"/>
      <x:c r="T405" s="84"/>
      <x:c r="U405" s="84"/>
      <x:c r="V405" s="84"/>
      <x:c r="W405" s="84"/>
      <x:c r="X405" s="84"/>
      <x:c r="Y405" s="84"/>
      <x:c r="Z405" s="84"/>
    </x:row>
    <x:row r="406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4"/>
      <x:c r="K406" s="84"/>
      <x:c r="L406" s="84"/>
      <x:c r="M406" s="84"/>
      <x:c r="N406" s="84"/>
      <x:c r="O406" s="84"/>
      <x:c r="P406" s="84"/>
      <x:c r="Q406" s="84"/>
      <x:c r="R406" s="84"/>
      <x:c r="S406" s="84"/>
      <x:c r="T406" s="84"/>
      <x:c r="U406" s="84"/>
      <x:c r="V406" s="84"/>
      <x:c r="W406" s="84"/>
      <x:c r="X406" s="84"/>
      <x:c r="Y406" s="84"/>
      <x:c r="Z406" s="84"/>
    </x:row>
    <x:row r="407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4"/>
      <x:c r="K407" s="84"/>
      <x:c r="L407" s="84"/>
      <x:c r="M407" s="84"/>
      <x:c r="N407" s="84"/>
      <x:c r="O407" s="84"/>
      <x:c r="P407" s="84"/>
      <x:c r="Q407" s="84"/>
      <x:c r="R407" s="84"/>
      <x:c r="S407" s="84"/>
      <x:c r="T407" s="84"/>
      <x:c r="U407" s="84"/>
      <x:c r="V407" s="84"/>
      <x:c r="W407" s="84"/>
      <x:c r="X407" s="84"/>
      <x:c r="Y407" s="84"/>
      <x:c r="Z407" s="84"/>
    </x:row>
    <x:row r="408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4"/>
      <x:c r="K408" s="84"/>
      <x:c r="L408" s="84"/>
      <x:c r="M408" s="84"/>
      <x:c r="N408" s="84"/>
      <x:c r="O408" s="84"/>
      <x:c r="P408" s="84"/>
      <x:c r="Q408" s="84"/>
      <x:c r="R408" s="84"/>
      <x:c r="S408" s="84"/>
      <x:c r="T408" s="84"/>
      <x:c r="U408" s="84"/>
      <x:c r="V408" s="84"/>
      <x:c r="W408" s="84"/>
      <x:c r="X408" s="84"/>
      <x:c r="Y408" s="84"/>
      <x:c r="Z408" s="84"/>
    </x:row>
    <x:row r="409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4"/>
      <x:c r="K409" s="84"/>
      <x:c r="L409" s="84"/>
      <x:c r="M409" s="84"/>
      <x:c r="N409" s="84"/>
      <x:c r="O409" s="84"/>
      <x:c r="P409" s="84"/>
      <x:c r="Q409" s="84"/>
      <x:c r="R409" s="84"/>
      <x:c r="S409" s="84"/>
      <x:c r="T409" s="84"/>
      <x:c r="U409" s="84"/>
      <x:c r="V409" s="84"/>
      <x:c r="W409" s="84"/>
      <x:c r="X409" s="84"/>
      <x:c r="Y409" s="84"/>
      <x:c r="Z409" s="84"/>
    </x:row>
    <x:row r="410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4"/>
      <x:c r="K410" s="84"/>
      <x:c r="L410" s="84"/>
      <x:c r="M410" s="84"/>
      <x:c r="N410" s="84"/>
      <x:c r="O410" s="84"/>
      <x:c r="P410" s="84"/>
      <x:c r="Q410" s="84"/>
      <x:c r="R410" s="84"/>
      <x:c r="S410" s="84"/>
      <x:c r="T410" s="84"/>
      <x:c r="U410" s="84"/>
      <x:c r="V410" s="84"/>
      <x:c r="W410" s="84"/>
      <x:c r="X410" s="84"/>
      <x:c r="Y410" s="84"/>
      <x:c r="Z410" s="84"/>
    </x:row>
    <x:row r="41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4"/>
      <x:c r="K411" s="84"/>
      <x:c r="L411" s="84"/>
      <x:c r="M411" s="84"/>
      <x:c r="N411" s="84"/>
      <x:c r="O411" s="84"/>
      <x:c r="P411" s="84"/>
      <x:c r="Q411" s="84"/>
      <x:c r="R411" s="84"/>
      <x:c r="S411" s="84"/>
      <x:c r="T411" s="84"/>
      <x:c r="U411" s="84"/>
      <x:c r="V411" s="84"/>
      <x:c r="W411" s="84"/>
      <x:c r="X411" s="84"/>
      <x:c r="Y411" s="84"/>
      <x:c r="Z411" s="84"/>
    </x:row>
    <x:row r="412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4"/>
      <x:c r="K412" s="84"/>
      <x:c r="L412" s="84"/>
      <x:c r="M412" s="84"/>
      <x:c r="N412" s="84"/>
      <x:c r="O412" s="84"/>
      <x:c r="P412" s="84"/>
      <x:c r="Q412" s="84"/>
      <x:c r="R412" s="84"/>
      <x:c r="S412" s="84"/>
      <x:c r="T412" s="84"/>
      <x:c r="U412" s="84"/>
      <x:c r="V412" s="84"/>
      <x:c r="W412" s="84"/>
      <x:c r="X412" s="84"/>
      <x:c r="Y412" s="84"/>
      <x:c r="Z412" s="84"/>
    </x:row>
    <x:row r="413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4"/>
      <x:c r="K413" s="84"/>
      <x:c r="L413" s="84"/>
      <x:c r="M413" s="84"/>
      <x:c r="N413" s="84"/>
      <x:c r="O413" s="84"/>
      <x:c r="P413" s="84"/>
      <x:c r="Q413" s="84"/>
      <x:c r="R413" s="84"/>
      <x:c r="S413" s="84"/>
      <x:c r="T413" s="84"/>
      <x:c r="U413" s="84"/>
      <x:c r="V413" s="84"/>
      <x:c r="W413" s="84"/>
      <x:c r="X413" s="84"/>
      <x:c r="Y413" s="84"/>
      <x:c r="Z413" s="84"/>
    </x:row>
    <x:row r="414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4"/>
      <x:c r="K414" s="84"/>
      <x:c r="L414" s="84"/>
      <x:c r="M414" s="84"/>
      <x:c r="N414" s="84"/>
      <x:c r="O414" s="84"/>
      <x:c r="P414" s="84"/>
      <x:c r="Q414" s="84"/>
      <x:c r="R414" s="84"/>
      <x:c r="S414" s="84"/>
      <x:c r="T414" s="84"/>
      <x:c r="U414" s="84"/>
      <x:c r="V414" s="84"/>
      <x:c r="W414" s="84"/>
      <x:c r="X414" s="84"/>
      <x:c r="Y414" s="84"/>
      <x:c r="Z414" s="84"/>
    </x:row>
    <x:row r="415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4"/>
      <x:c r="K415" s="84"/>
      <x:c r="L415" s="84"/>
      <x:c r="M415" s="84"/>
      <x:c r="N415" s="84"/>
      <x:c r="O415" s="84"/>
      <x:c r="P415" s="84"/>
      <x:c r="Q415" s="84"/>
      <x:c r="R415" s="84"/>
      <x:c r="S415" s="84"/>
      <x:c r="T415" s="84"/>
      <x:c r="U415" s="84"/>
      <x:c r="V415" s="84"/>
      <x:c r="W415" s="84"/>
      <x:c r="X415" s="84"/>
      <x:c r="Y415" s="84"/>
      <x:c r="Z415" s="84"/>
    </x:row>
    <x:row r="416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4"/>
      <x:c r="K416" s="84"/>
      <x:c r="L416" s="84"/>
      <x:c r="M416" s="84"/>
      <x:c r="N416" s="84"/>
      <x:c r="O416" s="84"/>
      <x:c r="P416" s="84"/>
      <x:c r="Q416" s="84"/>
      <x:c r="R416" s="84"/>
      <x:c r="S416" s="84"/>
      <x:c r="T416" s="84"/>
      <x:c r="U416" s="84"/>
      <x:c r="V416" s="84"/>
      <x:c r="W416" s="84"/>
      <x:c r="X416" s="84"/>
      <x:c r="Y416" s="84"/>
      <x:c r="Z416" s="84"/>
    </x:row>
    <x:row r="417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4"/>
      <x:c r="K417" s="84"/>
      <x:c r="L417" s="84"/>
      <x:c r="M417" s="84"/>
      <x:c r="N417" s="84"/>
      <x:c r="O417" s="84"/>
      <x:c r="P417" s="84"/>
      <x:c r="Q417" s="84"/>
      <x:c r="R417" s="84"/>
      <x:c r="S417" s="84"/>
      <x:c r="T417" s="84"/>
      <x:c r="U417" s="84"/>
      <x:c r="V417" s="84"/>
      <x:c r="W417" s="84"/>
      <x:c r="X417" s="84"/>
      <x:c r="Y417" s="84"/>
      <x:c r="Z417" s="84"/>
    </x:row>
    <x:row r="418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4"/>
      <x:c r="K418" s="84"/>
      <x:c r="L418" s="84"/>
      <x:c r="M418" s="84"/>
      <x:c r="N418" s="84"/>
      <x:c r="O418" s="84"/>
      <x:c r="P418" s="84"/>
      <x:c r="Q418" s="84"/>
      <x:c r="R418" s="84"/>
      <x:c r="S418" s="84"/>
      <x:c r="T418" s="84"/>
      <x:c r="U418" s="84"/>
      <x:c r="V418" s="84"/>
      <x:c r="W418" s="84"/>
      <x:c r="X418" s="84"/>
      <x:c r="Y418" s="84"/>
      <x:c r="Z418" s="84"/>
    </x:row>
    <x:row r="419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4"/>
      <x:c r="K419" s="84"/>
      <x:c r="L419" s="84"/>
      <x:c r="M419" s="84"/>
      <x:c r="N419" s="84"/>
      <x:c r="O419" s="84"/>
      <x:c r="P419" s="84"/>
      <x:c r="Q419" s="84"/>
      <x:c r="R419" s="84"/>
      <x:c r="S419" s="84"/>
      <x:c r="T419" s="84"/>
      <x:c r="U419" s="84"/>
      <x:c r="V419" s="84"/>
      <x:c r="W419" s="84"/>
      <x:c r="X419" s="84"/>
      <x:c r="Y419" s="84"/>
      <x:c r="Z419" s="84"/>
    </x:row>
    <x:row r="420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4"/>
      <x:c r="K420" s="84"/>
      <x:c r="L420" s="84"/>
      <x:c r="M420" s="84"/>
      <x:c r="N420" s="84"/>
      <x:c r="O420" s="84"/>
      <x:c r="P420" s="84"/>
      <x:c r="Q420" s="84"/>
      <x:c r="R420" s="84"/>
      <x:c r="S420" s="84"/>
      <x:c r="T420" s="84"/>
      <x:c r="U420" s="84"/>
      <x:c r="V420" s="84"/>
      <x:c r="W420" s="84"/>
      <x:c r="X420" s="84"/>
      <x:c r="Y420" s="84"/>
      <x:c r="Z420" s="84"/>
    </x:row>
    <x:row r="42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4"/>
      <x:c r="K421" s="84"/>
      <x:c r="L421" s="84"/>
      <x:c r="M421" s="84"/>
      <x:c r="N421" s="84"/>
      <x:c r="O421" s="84"/>
      <x:c r="P421" s="84"/>
      <x:c r="Q421" s="84"/>
      <x:c r="R421" s="84"/>
      <x:c r="S421" s="84"/>
      <x:c r="T421" s="84"/>
      <x:c r="U421" s="84"/>
      <x:c r="V421" s="84"/>
      <x:c r="W421" s="84"/>
      <x:c r="X421" s="84"/>
      <x:c r="Y421" s="84"/>
      <x:c r="Z421" s="84"/>
    </x:row>
    <x:row r="422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4"/>
      <x:c r="K422" s="84"/>
      <x:c r="L422" s="84"/>
      <x:c r="M422" s="84"/>
      <x:c r="N422" s="84"/>
      <x:c r="O422" s="84"/>
      <x:c r="P422" s="84"/>
      <x:c r="Q422" s="84"/>
      <x:c r="R422" s="84"/>
      <x:c r="S422" s="84"/>
      <x:c r="T422" s="84"/>
      <x:c r="U422" s="84"/>
      <x:c r="V422" s="84"/>
      <x:c r="W422" s="84"/>
      <x:c r="X422" s="84"/>
      <x:c r="Y422" s="84"/>
      <x:c r="Z422" s="84"/>
    </x:row>
    <x:row r="423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4"/>
      <x:c r="K423" s="84"/>
      <x:c r="L423" s="84"/>
      <x:c r="M423" s="84"/>
      <x:c r="N423" s="84"/>
      <x:c r="O423" s="84"/>
      <x:c r="P423" s="84"/>
      <x:c r="Q423" s="84"/>
      <x:c r="R423" s="84"/>
      <x:c r="S423" s="84"/>
      <x:c r="T423" s="84"/>
      <x:c r="U423" s="84"/>
      <x:c r="V423" s="84"/>
      <x:c r="W423" s="84"/>
      <x:c r="X423" s="84"/>
      <x:c r="Y423" s="84"/>
      <x:c r="Z423" s="84"/>
    </x:row>
    <x:row r="424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4"/>
      <x:c r="K424" s="84"/>
      <x:c r="L424" s="84"/>
      <x:c r="M424" s="84"/>
      <x:c r="N424" s="84"/>
      <x:c r="O424" s="84"/>
      <x:c r="P424" s="84"/>
      <x:c r="Q424" s="84"/>
      <x:c r="R424" s="84"/>
      <x:c r="S424" s="84"/>
      <x:c r="T424" s="84"/>
      <x:c r="U424" s="84"/>
      <x:c r="V424" s="84"/>
      <x:c r="W424" s="84"/>
      <x:c r="X424" s="84"/>
      <x:c r="Y424" s="84"/>
      <x:c r="Z424" s="84"/>
    </x:row>
    <x:row r="425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4"/>
      <x:c r="K425" s="84"/>
      <x:c r="L425" s="84"/>
      <x:c r="M425" s="84"/>
      <x:c r="N425" s="84"/>
      <x:c r="O425" s="84"/>
      <x:c r="P425" s="84"/>
      <x:c r="Q425" s="84"/>
      <x:c r="R425" s="84"/>
      <x:c r="S425" s="84"/>
      <x:c r="T425" s="84"/>
      <x:c r="U425" s="84"/>
      <x:c r="V425" s="84"/>
      <x:c r="W425" s="84"/>
      <x:c r="X425" s="84"/>
      <x:c r="Y425" s="84"/>
      <x:c r="Z425" s="84"/>
    </x:row>
    <x:row r="426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4"/>
      <x:c r="K426" s="84"/>
      <x:c r="L426" s="84"/>
      <x:c r="M426" s="84"/>
      <x:c r="N426" s="84"/>
      <x:c r="O426" s="84"/>
      <x:c r="P426" s="84"/>
      <x:c r="Q426" s="84"/>
      <x:c r="R426" s="84"/>
      <x:c r="S426" s="84"/>
      <x:c r="T426" s="84"/>
      <x:c r="U426" s="84"/>
      <x:c r="V426" s="84"/>
      <x:c r="W426" s="84"/>
      <x:c r="X426" s="84"/>
      <x:c r="Y426" s="84"/>
      <x:c r="Z426" s="84"/>
    </x:row>
    <x:row r="427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4"/>
      <x:c r="K427" s="84"/>
      <x:c r="L427" s="84"/>
      <x:c r="M427" s="84"/>
      <x:c r="N427" s="84"/>
      <x:c r="O427" s="84"/>
      <x:c r="P427" s="84"/>
      <x:c r="Q427" s="84"/>
      <x:c r="R427" s="84"/>
      <x:c r="S427" s="84"/>
      <x:c r="T427" s="84"/>
      <x:c r="U427" s="84"/>
      <x:c r="V427" s="84"/>
      <x:c r="W427" s="84"/>
      <x:c r="X427" s="84"/>
      <x:c r="Y427" s="84"/>
      <x:c r="Z427" s="84"/>
    </x:row>
    <x:row r="428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4"/>
      <x:c r="K428" s="84"/>
      <x:c r="L428" s="84"/>
      <x:c r="M428" s="84"/>
      <x:c r="N428" s="84"/>
      <x:c r="O428" s="84"/>
      <x:c r="P428" s="84"/>
      <x:c r="Q428" s="84"/>
      <x:c r="R428" s="84"/>
      <x:c r="S428" s="84"/>
      <x:c r="T428" s="84"/>
      <x:c r="U428" s="84"/>
      <x:c r="V428" s="84"/>
      <x:c r="W428" s="84"/>
      <x:c r="X428" s="84"/>
      <x:c r="Y428" s="84"/>
      <x:c r="Z428" s="84"/>
    </x:row>
    <x:row r="429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4"/>
      <x:c r="K429" s="84"/>
      <x:c r="L429" s="84"/>
      <x:c r="M429" s="84"/>
      <x:c r="N429" s="84"/>
      <x:c r="O429" s="84"/>
      <x:c r="P429" s="84"/>
      <x:c r="Q429" s="84"/>
      <x:c r="R429" s="84"/>
      <x:c r="S429" s="84"/>
      <x:c r="T429" s="84"/>
      <x:c r="U429" s="84"/>
      <x:c r="V429" s="84"/>
      <x:c r="W429" s="84"/>
      <x:c r="X429" s="84"/>
      <x:c r="Y429" s="84"/>
      <x:c r="Z429" s="84"/>
    </x:row>
    <x:row r="430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4"/>
      <x:c r="K430" s="84"/>
      <x:c r="L430" s="84"/>
      <x:c r="M430" s="84"/>
      <x:c r="N430" s="84"/>
      <x:c r="O430" s="84"/>
      <x:c r="P430" s="84"/>
      <x:c r="Q430" s="84"/>
      <x:c r="R430" s="84"/>
      <x:c r="S430" s="84"/>
      <x:c r="T430" s="84"/>
      <x:c r="U430" s="84"/>
      <x:c r="V430" s="84"/>
      <x:c r="W430" s="84"/>
      <x:c r="X430" s="84"/>
      <x:c r="Y430" s="84"/>
      <x:c r="Z430" s="84"/>
    </x:row>
    <x:row r="43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4"/>
      <x:c r="K431" s="84"/>
      <x:c r="L431" s="84"/>
      <x:c r="M431" s="84"/>
      <x:c r="N431" s="84"/>
      <x:c r="O431" s="84"/>
      <x:c r="P431" s="84"/>
      <x:c r="Q431" s="84"/>
      <x:c r="R431" s="84"/>
      <x:c r="S431" s="84"/>
      <x:c r="T431" s="84"/>
      <x:c r="U431" s="84"/>
      <x:c r="V431" s="84"/>
      <x:c r="W431" s="84"/>
      <x:c r="X431" s="84"/>
      <x:c r="Y431" s="84"/>
      <x:c r="Z431" s="84"/>
    </x:row>
    <x:row r="432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4"/>
      <x:c r="K432" s="84"/>
      <x:c r="L432" s="84"/>
      <x:c r="M432" s="84"/>
      <x:c r="N432" s="84"/>
      <x:c r="O432" s="84"/>
      <x:c r="P432" s="84"/>
      <x:c r="Q432" s="84"/>
      <x:c r="R432" s="84"/>
      <x:c r="S432" s="84"/>
      <x:c r="T432" s="84"/>
      <x:c r="U432" s="84"/>
      <x:c r="V432" s="84"/>
      <x:c r="W432" s="84"/>
      <x:c r="X432" s="84"/>
      <x:c r="Y432" s="84"/>
      <x:c r="Z432" s="84"/>
    </x:row>
    <x:row r="433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4"/>
      <x:c r="K433" s="84"/>
      <x:c r="L433" s="84"/>
      <x:c r="M433" s="84"/>
      <x:c r="N433" s="84"/>
      <x:c r="O433" s="84"/>
      <x:c r="P433" s="84"/>
      <x:c r="Q433" s="84"/>
      <x:c r="R433" s="84"/>
      <x:c r="S433" s="84"/>
      <x:c r="T433" s="84"/>
      <x:c r="U433" s="84"/>
      <x:c r="V433" s="84"/>
      <x:c r="W433" s="84"/>
      <x:c r="X433" s="84"/>
      <x:c r="Y433" s="84"/>
      <x:c r="Z433" s="84"/>
    </x:row>
    <x:row r="434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4"/>
      <x:c r="K434" s="84"/>
      <x:c r="L434" s="84"/>
      <x:c r="M434" s="84"/>
      <x:c r="N434" s="84"/>
      <x:c r="O434" s="84"/>
      <x:c r="P434" s="84"/>
      <x:c r="Q434" s="84"/>
      <x:c r="R434" s="84"/>
      <x:c r="S434" s="84"/>
      <x:c r="T434" s="84"/>
      <x:c r="U434" s="84"/>
      <x:c r="V434" s="84"/>
      <x:c r="W434" s="84"/>
      <x:c r="X434" s="84"/>
      <x:c r="Y434" s="84"/>
      <x:c r="Z434" s="84"/>
    </x:row>
    <x:row r="435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4"/>
      <x:c r="K435" s="84"/>
      <x:c r="L435" s="84"/>
      <x:c r="M435" s="84"/>
      <x:c r="N435" s="84"/>
      <x:c r="O435" s="84"/>
      <x:c r="P435" s="84"/>
      <x:c r="Q435" s="84"/>
      <x:c r="R435" s="84"/>
      <x:c r="S435" s="84"/>
      <x:c r="T435" s="84"/>
      <x:c r="U435" s="84"/>
      <x:c r="V435" s="84"/>
      <x:c r="W435" s="84"/>
      <x:c r="X435" s="84"/>
      <x:c r="Y435" s="84"/>
      <x:c r="Z435" s="84"/>
    </x:row>
    <x:row r="436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4"/>
      <x:c r="K436" s="84"/>
      <x:c r="L436" s="84"/>
      <x:c r="M436" s="84"/>
      <x:c r="N436" s="84"/>
      <x:c r="O436" s="84"/>
      <x:c r="P436" s="84"/>
      <x:c r="Q436" s="84"/>
      <x:c r="R436" s="84"/>
      <x:c r="S436" s="84"/>
      <x:c r="T436" s="84"/>
      <x:c r="U436" s="84"/>
      <x:c r="V436" s="84"/>
      <x:c r="W436" s="84"/>
      <x:c r="X436" s="84"/>
      <x:c r="Y436" s="84"/>
      <x:c r="Z436" s="84"/>
    </x:row>
    <x:row r="437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4"/>
      <x:c r="K437" s="84"/>
      <x:c r="L437" s="84"/>
      <x:c r="M437" s="84"/>
      <x:c r="N437" s="84"/>
      <x:c r="O437" s="84"/>
      <x:c r="P437" s="84"/>
      <x:c r="Q437" s="84"/>
      <x:c r="R437" s="84"/>
      <x:c r="S437" s="84"/>
      <x:c r="T437" s="84"/>
      <x:c r="U437" s="84"/>
      <x:c r="V437" s="84"/>
      <x:c r="W437" s="84"/>
      <x:c r="X437" s="84"/>
      <x:c r="Y437" s="84"/>
      <x:c r="Z437" s="84"/>
    </x:row>
    <x:row r="438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4"/>
      <x:c r="K438" s="84"/>
      <x:c r="L438" s="84"/>
      <x:c r="M438" s="84"/>
      <x:c r="N438" s="84"/>
      <x:c r="O438" s="84"/>
      <x:c r="P438" s="84"/>
      <x:c r="Q438" s="84"/>
      <x:c r="R438" s="84"/>
      <x:c r="S438" s="84"/>
      <x:c r="T438" s="84"/>
      <x:c r="U438" s="84"/>
      <x:c r="V438" s="84"/>
      <x:c r="W438" s="84"/>
      <x:c r="X438" s="84"/>
      <x:c r="Y438" s="84"/>
      <x:c r="Z438" s="84"/>
    </x:row>
    <x:row r="439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4"/>
      <x:c r="K439" s="84"/>
      <x:c r="L439" s="84"/>
      <x:c r="M439" s="84"/>
      <x:c r="N439" s="84"/>
      <x:c r="O439" s="84"/>
      <x:c r="P439" s="84"/>
      <x:c r="Q439" s="84"/>
      <x:c r="R439" s="84"/>
      <x:c r="S439" s="84"/>
      <x:c r="T439" s="84"/>
      <x:c r="U439" s="84"/>
      <x:c r="V439" s="84"/>
      <x:c r="W439" s="84"/>
      <x:c r="X439" s="84"/>
      <x:c r="Y439" s="84"/>
      <x:c r="Z439" s="84"/>
    </x:row>
    <x:row r="440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4"/>
      <x:c r="K440" s="84"/>
      <x:c r="L440" s="84"/>
      <x:c r="M440" s="84"/>
      <x:c r="N440" s="84"/>
      <x:c r="O440" s="84"/>
      <x:c r="P440" s="84"/>
      <x:c r="Q440" s="84"/>
      <x:c r="R440" s="84"/>
      <x:c r="S440" s="84"/>
      <x:c r="T440" s="84"/>
      <x:c r="U440" s="84"/>
      <x:c r="V440" s="84"/>
      <x:c r="W440" s="84"/>
      <x:c r="X440" s="84"/>
      <x:c r="Y440" s="84"/>
      <x:c r="Z440" s="84"/>
    </x:row>
    <x:row r="44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4"/>
      <x:c r="K441" s="84"/>
      <x:c r="L441" s="84"/>
      <x:c r="M441" s="84"/>
      <x:c r="N441" s="84"/>
      <x:c r="O441" s="84"/>
      <x:c r="P441" s="84"/>
      <x:c r="Q441" s="84"/>
      <x:c r="R441" s="84"/>
      <x:c r="S441" s="84"/>
      <x:c r="T441" s="84"/>
      <x:c r="U441" s="84"/>
      <x:c r="V441" s="84"/>
      <x:c r="W441" s="84"/>
      <x:c r="X441" s="84"/>
      <x:c r="Y441" s="84"/>
      <x:c r="Z441" s="84"/>
    </x:row>
    <x:row r="442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4"/>
      <x:c r="K442" s="84"/>
      <x:c r="L442" s="84"/>
      <x:c r="M442" s="84"/>
      <x:c r="N442" s="84"/>
      <x:c r="O442" s="84"/>
      <x:c r="P442" s="84"/>
      <x:c r="Q442" s="84"/>
      <x:c r="R442" s="84"/>
      <x:c r="S442" s="84"/>
      <x:c r="T442" s="84"/>
      <x:c r="U442" s="84"/>
      <x:c r="V442" s="84"/>
      <x:c r="W442" s="84"/>
      <x:c r="X442" s="84"/>
      <x:c r="Y442" s="84"/>
      <x:c r="Z442" s="84"/>
    </x:row>
    <x:row r="443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4"/>
      <x:c r="K443" s="84"/>
      <x:c r="L443" s="84"/>
      <x:c r="M443" s="84"/>
      <x:c r="N443" s="84"/>
      <x:c r="O443" s="84"/>
      <x:c r="P443" s="84"/>
      <x:c r="Q443" s="84"/>
      <x:c r="R443" s="84"/>
      <x:c r="S443" s="84"/>
      <x:c r="T443" s="84"/>
      <x:c r="U443" s="84"/>
      <x:c r="V443" s="84"/>
      <x:c r="W443" s="84"/>
      <x:c r="X443" s="84"/>
      <x:c r="Y443" s="84"/>
      <x:c r="Z443" s="84"/>
    </x:row>
    <x:row r="444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4"/>
      <x:c r="K444" s="84"/>
      <x:c r="L444" s="84"/>
      <x:c r="M444" s="84"/>
      <x:c r="N444" s="84"/>
      <x:c r="O444" s="84"/>
      <x:c r="P444" s="84"/>
      <x:c r="Q444" s="84"/>
      <x:c r="R444" s="84"/>
      <x:c r="S444" s="84"/>
      <x:c r="T444" s="84"/>
      <x:c r="U444" s="84"/>
      <x:c r="V444" s="84"/>
      <x:c r="W444" s="84"/>
      <x:c r="X444" s="84"/>
      <x:c r="Y444" s="84"/>
      <x:c r="Z444" s="84"/>
    </x:row>
    <x:row r="445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4"/>
      <x:c r="K445" s="84"/>
      <x:c r="L445" s="84"/>
      <x:c r="M445" s="84"/>
      <x:c r="N445" s="84"/>
      <x:c r="O445" s="84"/>
      <x:c r="P445" s="84"/>
      <x:c r="Q445" s="84"/>
      <x:c r="R445" s="84"/>
      <x:c r="S445" s="84"/>
      <x:c r="T445" s="84"/>
      <x:c r="U445" s="84"/>
      <x:c r="V445" s="84"/>
      <x:c r="W445" s="84"/>
      <x:c r="X445" s="84"/>
      <x:c r="Y445" s="84"/>
      <x:c r="Z445" s="84"/>
    </x:row>
    <x:row r="446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4"/>
      <x:c r="K446" s="84"/>
      <x:c r="L446" s="84"/>
      <x:c r="M446" s="84"/>
      <x:c r="N446" s="84"/>
      <x:c r="O446" s="84"/>
      <x:c r="P446" s="84"/>
      <x:c r="Q446" s="84"/>
      <x:c r="R446" s="84"/>
      <x:c r="S446" s="84"/>
      <x:c r="T446" s="84"/>
      <x:c r="U446" s="84"/>
      <x:c r="V446" s="84"/>
      <x:c r="W446" s="84"/>
      <x:c r="X446" s="84"/>
      <x:c r="Y446" s="84"/>
      <x:c r="Z446" s="84"/>
    </x:row>
    <x:row r="447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4"/>
      <x:c r="K447" s="84"/>
      <x:c r="L447" s="84"/>
      <x:c r="M447" s="84"/>
      <x:c r="N447" s="84"/>
      <x:c r="O447" s="84"/>
      <x:c r="P447" s="84"/>
      <x:c r="Q447" s="84"/>
      <x:c r="R447" s="84"/>
      <x:c r="S447" s="84"/>
      <x:c r="T447" s="84"/>
      <x:c r="U447" s="84"/>
      <x:c r="V447" s="84"/>
      <x:c r="W447" s="84"/>
      <x:c r="X447" s="84"/>
      <x:c r="Y447" s="84"/>
      <x:c r="Z447" s="84"/>
    </x:row>
    <x:row r="448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4"/>
      <x:c r="K448" s="84"/>
      <x:c r="L448" s="84"/>
      <x:c r="M448" s="84"/>
      <x:c r="N448" s="84"/>
      <x:c r="O448" s="84"/>
      <x:c r="P448" s="84"/>
      <x:c r="Q448" s="84"/>
      <x:c r="R448" s="84"/>
      <x:c r="S448" s="84"/>
      <x:c r="T448" s="84"/>
      <x:c r="U448" s="84"/>
      <x:c r="V448" s="84"/>
      <x:c r="W448" s="84"/>
      <x:c r="X448" s="84"/>
      <x:c r="Y448" s="84"/>
      <x:c r="Z448" s="84"/>
    </x:row>
    <x:row r="449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4"/>
      <x:c r="K449" s="84"/>
      <x:c r="L449" s="84"/>
      <x:c r="M449" s="84"/>
      <x:c r="N449" s="84"/>
      <x:c r="O449" s="84"/>
      <x:c r="P449" s="84"/>
      <x:c r="Q449" s="84"/>
      <x:c r="R449" s="84"/>
      <x:c r="S449" s="84"/>
      <x:c r="T449" s="84"/>
      <x:c r="U449" s="84"/>
      <x:c r="V449" s="84"/>
      <x:c r="W449" s="84"/>
      <x:c r="X449" s="84"/>
      <x:c r="Y449" s="84"/>
      <x:c r="Z449" s="84"/>
    </x:row>
    <x:row r="450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4"/>
      <x:c r="K450" s="84"/>
      <x:c r="L450" s="84"/>
      <x:c r="M450" s="84"/>
      <x:c r="N450" s="84"/>
      <x:c r="O450" s="84"/>
      <x:c r="P450" s="84"/>
      <x:c r="Q450" s="84"/>
      <x:c r="R450" s="84"/>
      <x:c r="S450" s="84"/>
      <x:c r="T450" s="84"/>
      <x:c r="U450" s="84"/>
      <x:c r="V450" s="84"/>
      <x:c r="W450" s="84"/>
      <x:c r="X450" s="84"/>
      <x:c r="Y450" s="84"/>
      <x:c r="Z450" s="84"/>
    </x:row>
    <x:row r="45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4"/>
      <x:c r="K451" s="84"/>
      <x:c r="L451" s="84"/>
      <x:c r="M451" s="84"/>
      <x:c r="N451" s="84"/>
      <x:c r="O451" s="84"/>
      <x:c r="P451" s="84"/>
      <x:c r="Q451" s="84"/>
      <x:c r="R451" s="84"/>
      <x:c r="S451" s="84"/>
      <x:c r="T451" s="84"/>
      <x:c r="U451" s="84"/>
      <x:c r="V451" s="84"/>
      <x:c r="W451" s="84"/>
      <x:c r="X451" s="84"/>
      <x:c r="Y451" s="84"/>
      <x:c r="Z451" s="84"/>
    </x:row>
    <x:row r="452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4"/>
      <x:c r="K452" s="84"/>
      <x:c r="L452" s="84"/>
      <x:c r="M452" s="84"/>
      <x:c r="N452" s="84"/>
      <x:c r="O452" s="84"/>
      <x:c r="P452" s="84"/>
      <x:c r="Q452" s="84"/>
      <x:c r="R452" s="84"/>
      <x:c r="S452" s="84"/>
      <x:c r="T452" s="84"/>
      <x:c r="U452" s="84"/>
      <x:c r="V452" s="84"/>
      <x:c r="W452" s="84"/>
      <x:c r="X452" s="84"/>
      <x:c r="Y452" s="84"/>
      <x:c r="Z452" s="84"/>
    </x:row>
    <x:row r="453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4"/>
      <x:c r="K453" s="84"/>
      <x:c r="L453" s="84"/>
      <x:c r="M453" s="84"/>
      <x:c r="N453" s="84"/>
      <x:c r="O453" s="84"/>
      <x:c r="P453" s="84"/>
      <x:c r="Q453" s="84"/>
      <x:c r="R453" s="84"/>
      <x:c r="S453" s="84"/>
      <x:c r="T453" s="84"/>
      <x:c r="U453" s="84"/>
      <x:c r="V453" s="84"/>
      <x:c r="W453" s="84"/>
      <x:c r="X453" s="84"/>
      <x:c r="Y453" s="84"/>
      <x:c r="Z453" s="84"/>
    </x:row>
    <x:row r="454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4"/>
      <x:c r="K454" s="84"/>
      <x:c r="L454" s="84"/>
      <x:c r="M454" s="84"/>
      <x:c r="N454" s="84"/>
      <x:c r="O454" s="84"/>
      <x:c r="P454" s="84"/>
      <x:c r="Q454" s="84"/>
      <x:c r="R454" s="84"/>
      <x:c r="S454" s="84"/>
      <x:c r="T454" s="84"/>
      <x:c r="U454" s="84"/>
      <x:c r="V454" s="84"/>
      <x:c r="W454" s="84"/>
      <x:c r="X454" s="84"/>
      <x:c r="Y454" s="84"/>
      <x:c r="Z454" s="84"/>
    </x:row>
    <x:row r="455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4"/>
      <x:c r="K455" s="84"/>
      <x:c r="L455" s="84"/>
      <x:c r="M455" s="84"/>
      <x:c r="N455" s="84"/>
      <x:c r="O455" s="84"/>
      <x:c r="P455" s="84"/>
      <x:c r="Q455" s="84"/>
      <x:c r="R455" s="84"/>
      <x:c r="S455" s="84"/>
      <x:c r="T455" s="84"/>
      <x:c r="U455" s="84"/>
      <x:c r="V455" s="84"/>
      <x:c r="W455" s="84"/>
      <x:c r="X455" s="84"/>
      <x:c r="Y455" s="84"/>
      <x:c r="Z455" s="84"/>
    </x:row>
    <x:row r="456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4"/>
      <x:c r="K456" s="84"/>
      <x:c r="L456" s="84"/>
      <x:c r="M456" s="84"/>
      <x:c r="N456" s="84"/>
      <x:c r="O456" s="84"/>
      <x:c r="P456" s="84"/>
      <x:c r="Q456" s="84"/>
      <x:c r="R456" s="84"/>
      <x:c r="S456" s="84"/>
      <x:c r="T456" s="84"/>
      <x:c r="U456" s="84"/>
      <x:c r="V456" s="84"/>
      <x:c r="W456" s="84"/>
      <x:c r="X456" s="84"/>
      <x:c r="Y456" s="84"/>
      <x:c r="Z456" s="84"/>
    </x:row>
    <x:row r="457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4"/>
      <x:c r="K457" s="84"/>
      <x:c r="L457" s="84"/>
      <x:c r="M457" s="84"/>
      <x:c r="N457" s="84"/>
      <x:c r="O457" s="84"/>
      <x:c r="P457" s="84"/>
      <x:c r="Q457" s="84"/>
      <x:c r="R457" s="84"/>
      <x:c r="S457" s="84"/>
      <x:c r="T457" s="84"/>
      <x:c r="U457" s="84"/>
      <x:c r="V457" s="84"/>
      <x:c r="W457" s="84"/>
      <x:c r="X457" s="84"/>
      <x:c r="Y457" s="84"/>
      <x:c r="Z457" s="84"/>
    </x:row>
    <x:row r="458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4"/>
      <x:c r="K458" s="84"/>
      <x:c r="L458" s="84"/>
      <x:c r="M458" s="84"/>
      <x:c r="N458" s="84"/>
      <x:c r="O458" s="84"/>
      <x:c r="P458" s="84"/>
      <x:c r="Q458" s="84"/>
      <x:c r="R458" s="84"/>
      <x:c r="S458" s="84"/>
      <x:c r="T458" s="84"/>
      <x:c r="U458" s="84"/>
      <x:c r="V458" s="84"/>
      <x:c r="W458" s="84"/>
      <x:c r="X458" s="84"/>
      <x:c r="Y458" s="84"/>
      <x:c r="Z458" s="84"/>
    </x:row>
    <x:row r="459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4"/>
      <x:c r="K459" s="84"/>
      <x:c r="L459" s="84"/>
      <x:c r="M459" s="84"/>
      <x:c r="N459" s="84"/>
      <x:c r="O459" s="84"/>
      <x:c r="P459" s="84"/>
      <x:c r="Q459" s="84"/>
      <x:c r="R459" s="84"/>
      <x:c r="S459" s="84"/>
      <x:c r="T459" s="84"/>
      <x:c r="U459" s="84"/>
      <x:c r="V459" s="84"/>
      <x:c r="W459" s="84"/>
      <x:c r="X459" s="84"/>
      <x:c r="Y459" s="84"/>
      <x:c r="Z459" s="84"/>
    </x:row>
    <x:row r="460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4"/>
      <x:c r="K460" s="84"/>
      <x:c r="L460" s="84"/>
      <x:c r="M460" s="84"/>
      <x:c r="N460" s="84"/>
      <x:c r="O460" s="84"/>
      <x:c r="P460" s="84"/>
      <x:c r="Q460" s="84"/>
      <x:c r="R460" s="84"/>
      <x:c r="S460" s="84"/>
      <x:c r="T460" s="84"/>
      <x:c r="U460" s="84"/>
      <x:c r="V460" s="84"/>
      <x:c r="W460" s="84"/>
      <x:c r="X460" s="84"/>
      <x:c r="Y460" s="84"/>
      <x:c r="Z460" s="84"/>
    </x:row>
    <x:row r="46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4"/>
      <x:c r="K461" s="84"/>
      <x:c r="L461" s="84"/>
      <x:c r="M461" s="84"/>
      <x:c r="N461" s="84"/>
      <x:c r="O461" s="84"/>
      <x:c r="P461" s="84"/>
      <x:c r="Q461" s="84"/>
      <x:c r="R461" s="84"/>
      <x:c r="S461" s="84"/>
      <x:c r="T461" s="84"/>
      <x:c r="U461" s="84"/>
      <x:c r="V461" s="84"/>
      <x:c r="W461" s="84"/>
      <x:c r="X461" s="84"/>
      <x:c r="Y461" s="84"/>
      <x:c r="Z461" s="84"/>
    </x:row>
    <x:row r="462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4"/>
      <x:c r="K462" s="84"/>
      <x:c r="L462" s="84"/>
      <x:c r="M462" s="84"/>
      <x:c r="N462" s="84"/>
      <x:c r="O462" s="84"/>
      <x:c r="P462" s="84"/>
      <x:c r="Q462" s="84"/>
      <x:c r="R462" s="84"/>
      <x:c r="S462" s="84"/>
      <x:c r="T462" s="84"/>
      <x:c r="U462" s="84"/>
      <x:c r="V462" s="84"/>
      <x:c r="W462" s="84"/>
      <x:c r="X462" s="84"/>
      <x:c r="Y462" s="84"/>
      <x:c r="Z462" s="84"/>
    </x:row>
    <x:row r="463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4"/>
      <x:c r="K463" s="84"/>
      <x:c r="L463" s="84"/>
      <x:c r="M463" s="84"/>
      <x:c r="N463" s="84"/>
      <x:c r="O463" s="84"/>
      <x:c r="P463" s="84"/>
      <x:c r="Q463" s="84"/>
      <x:c r="R463" s="84"/>
      <x:c r="S463" s="84"/>
      <x:c r="T463" s="84"/>
      <x:c r="U463" s="84"/>
      <x:c r="V463" s="84"/>
      <x:c r="W463" s="84"/>
      <x:c r="X463" s="84"/>
      <x:c r="Y463" s="84"/>
      <x:c r="Z463" s="84"/>
    </x:row>
    <x:row r="464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4"/>
      <x:c r="K464" s="84"/>
      <x:c r="L464" s="84"/>
      <x:c r="M464" s="84"/>
      <x:c r="N464" s="84"/>
      <x:c r="O464" s="84"/>
      <x:c r="P464" s="84"/>
      <x:c r="Q464" s="84"/>
      <x:c r="R464" s="84"/>
      <x:c r="S464" s="84"/>
      <x:c r="T464" s="84"/>
      <x:c r="U464" s="84"/>
      <x:c r="V464" s="84"/>
      <x:c r="W464" s="84"/>
      <x:c r="X464" s="84"/>
      <x:c r="Y464" s="84"/>
      <x:c r="Z464" s="84"/>
    </x:row>
    <x:row r="465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4"/>
      <x:c r="K465" s="84"/>
      <x:c r="L465" s="84"/>
      <x:c r="M465" s="84"/>
      <x:c r="N465" s="84"/>
      <x:c r="O465" s="84"/>
      <x:c r="P465" s="84"/>
      <x:c r="Q465" s="84"/>
      <x:c r="R465" s="84"/>
      <x:c r="S465" s="84"/>
      <x:c r="T465" s="84"/>
      <x:c r="U465" s="84"/>
      <x:c r="V465" s="84"/>
      <x:c r="W465" s="84"/>
      <x:c r="X465" s="84"/>
      <x:c r="Y465" s="84"/>
      <x:c r="Z465" s="84"/>
    </x:row>
    <x:row r="466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4"/>
      <x:c r="K466" s="84"/>
      <x:c r="L466" s="84"/>
      <x:c r="M466" s="84"/>
      <x:c r="N466" s="84"/>
      <x:c r="O466" s="84"/>
      <x:c r="P466" s="84"/>
      <x:c r="Q466" s="84"/>
      <x:c r="R466" s="84"/>
      <x:c r="S466" s="84"/>
      <x:c r="T466" s="84"/>
      <x:c r="U466" s="84"/>
      <x:c r="V466" s="84"/>
      <x:c r="W466" s="84"/>
      <x:c r="X466" s="84"/>
      <x:c r="Y466" s="84"/>
      <x:c r="Z466" s="84"/>
    </x:row>
    <x:row r="467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4"/>
      <x:c r="K467" s="84"/>
      <x:c r="L467" s="84"/>
      <x:c r="M467" s="84"/>
      <x:c r="N467" s="84"/>
      <x:c r="O467" s="84"/>
      <x:c r="P467" s="84"/>
      <x:c r="Q467" s="84"/>
      <x:c r="R467" s="84"/>
      <x:c r="S467" s="84"/>
      <x:c r="T467" s="84"/>
      <x:c r="U467" s="84"/>
      <x:c r="V467" s="84"/>
      <x:c r="W467" s="84"/>
      <x:c r="X467" s="84"/>
      <x:c r="Y467" s="84"/>
      <x:c r="Z467" s="84"/>
    </x:row>
    <x:row r="468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4"/>
      <x:c r="K468" s="84"/>
      <x:c r="L468" s="84"/>
      <x:c r="M468" s="84"/>
      <x:c r="N468" s="84"/>
      <x:c r="O468" s="84"/>
      <x:c r="P468" s="84"/>
      <x:c r="Q468" s="84"/>
      <x:c r="R468" s="84"/>
      <x:c r="S468" s="84"/>
      <x:c r="T468" s="84"/>
      <x:c r="U468" s="84"/>
      <x:c r="V468" s="84"/>
      <x:c r="W468" s="84"/>
      <x:c r="X468" s="84"/>
      <x:c r="Y468" s="84"/>
      <x:c r="Z468" s="84"/>
    </x:row>
    <x:row r="469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4"/>
      <x:c r="K469" s="84"/>
      <x:c r="L469" s="84"/>
      <x:c r="M469" s="84"/>
      <x:c r="N469" s="84"/>
      <x:c r="O469" s="84"/>
      <x:c r="P469" s="84"/>
      <x:c r="Q469" s="84"/>
      <x:c r="R469" s="84"/>
      <x:c r="S469" s="84"/>
      <x:c r="T469" s="84"/>
      <x:c r="U469" s="84"/>
      <x:c r="V469" s="84"/>
      <x:c r="W469" s="84"/>
      <x:c r="X469" s="84"/>
      <x:c r="Y469" s="84"/>
      <x:c r="Z469" s="84"/>
    </x:row>
    <x:row r="470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4"/>
      <x:c r="K470" s="84"/>
      <x:c r="L470" s="84"/>
      <x:c r="M470" s="84"/>
      <x:c r="N470" s="84"/>
      <x:c r="O470" s="84"/>
      <x:c r="P470" s="84"/>
      <x:c r="Q470" s="84"/>
      <x:c r="R470" s="84"/>
      <x:c r="S470" s="84"/>
      <x:c r="T470" s="84"/>
      <x:c r="U470" s="84"/>
      <x:c r="V470" s="84"/>
      <x:c r="W470" s="84"/>
      <x:c r="X470" s="84"/>
      <x:c r="Y470" s="84"/>
      <x:c r="Z470" s="84"/>
    </x:row>
    <x:row r="47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4"/>
      <x:c r="K471" s="84"/>
      <x:c r="L471" s="84"/>
      <x:c r="M471" s="84"/>
      <x:c r="N471" s="84"/>
      <x:c r="O471" s="84"/>
      <x:c r="P471" s="84"/>
      <x:c r="Q471" s="84"/>
      <x:c r="R471" s="84"/>
      <x:c r="S471" s="84"/>
      <x:c r="T471" s="84"/>
      <x:c r="U471" s="84"/>
      <x:c r="V471" s="84"/>
      <x:c r="W471" s="84"/>
      <x:c r="X471" s="84"/>
      <x:c r="Y471" s="84"/>
      <x:c r="Z471" s="84"/>
    </x:row>
    <x:row r="472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4"/>
      <x:c r="K472" s="84"/>
      <x:c r="L472" s="84"/>
      <x:c r="M472" s="84"/>
      <x:c r="N472" s="84"/>
      <x:c r="O472" s="84"/>
      <x:c r="P472" s="84"/>
      <x:c r="Q472" s="84"/>
      <x:c r="R472" s="84"/>
      <x:c r="S472" s="84"/>
      <x:c r="T472" s="84"/>
      <x:c r="U472" s="84"/>
      <x:c r="V472" s="84"/>
      <x:c r="W472" s="84"/>
      <x:c r="X472" s="84"/>
      <x:c r="Y472" s="84"/>
      <x:c r="Z472" s="84"/>
    </x:row>
    <x:row r="473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4"/>
      <x:c r="K473" s="84"/>
      <x:c r="L473" s="84"/>
      <x:c r="M473" s="84"/>
      <x:c r="N473" s="84"/>
      <x:c r="O473" s="84"/>
      <x:c r="P473" s="84"/>
      <x:c r="Q473" s="84"/>
      <x:c r="R473" s="84"/>
      <x:c r="S473" s="84"/>
      <x:c r="T473" s="84"/>
      <x:c r="U473" s="84"/>
      <x:c r="V473" s="84"/>
      <x:c r="W473" s="84"/>
      <x:c r="X473" s="84"/>
      <x:c r="Y473" s="84"/>
      <x:c r="Z473" s="84"/>
    </x:row>
    <x:row r="474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4"/>
      <x:c r="K474" s="84"/>
      <x:c r="L474" s="84"/>
      <x:c r="M474" s="84"/>
      <x:c r="N474" s="84"/>
      <x:c r="O474" s="84"/>
      <x:c r="P474" s="84"/>
      <x:c r="Q474" s="84"/>
      <x:c r="R474" s="84"/>
      <x:c r="S474" s="84"/>
      <x:c r="T474" s="84"/>
      <x:c r="U474" s="84"/>
      <x:c r="V474" s="84"/>
      <x:c r="W474" s="84"/>
      <x:c r="X474" s="84"/>
      <x:c r="Y474" s="84"/>
      <x:c r="Z474" s="84"/>
    </x:row>
    <x:row r="475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4"/>
      <x:c r="K475" s="84"/>
      <x:c r="L475" s="84"/>
      <x:c r="M475" s="84"/>
      <x:c r="N475" s="84"/>
      <x:c r="O475" s="84"/>
      <x:c r="P475" s="84"/>
      <x:c r="Q475" s="84"/>
      <x:c r="R475" s="84"/>
      <x:c r="S475" s="84"/>
      <x:c r="T475" s="84"/>
      <x:c r="U475" s="84"/>
      <x:c r="V475" s="84"/>
      <x:c r="W475" s="84"/>
      <x:c r="X475" s="84"/>
      <x:c r="Y475" s="84"/>
      <x:c r="Z475" s="84"/>
    </x:row>
    <x:row r="476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4"/>
      <x:c r="K476" s="84"/>
      <x:c r="L476" s="84"/>
      <x:c r="M476" s="84"/>
      <x:c r="N476" s="84"/>
      <x:c r="O476" s="84"/>
      <x:c r="P476" s="84"/>
      <x:c r="Q476" s="84"/>
      <x:c r="R476" s="84"/>
      <x:c r="S476" s="84"/>
      <x:c r="T476" s="84"/>
      <x:c r="U476" s="84"/>
      <x:c r="V476" s="84"/>
      <x:c r="W476" s="84"/>
      <x:c r="X476" s="84"/>
      <x:c r="Y476" s="84"/>
      <x:c r="Z476" s="84"/>
    </x:row>
    <x:row r="477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4"/>
      <x:c r="K477" s="84"/>
      <x:c r="L477" s="84"/>
      <x:c r="M477" s="84"/>
      <x:c r="N477" s="84"/>
      <x:c r="O477" s="84"/>
      <x:c r="P477" s="84"/>
      <x:c r="Q477" s="84"/>
      <x:c r="R477" s="84"/>
      <x:c r="S477" s="84"/>
      <x:c r="T477" s="84"/>
      <x:c r="U477" s="84"/>
      <x:c r="V477" s="84"/>
      <x:c r="W477" s="84"/>
      <x:c r="X477" s="84"/>
      <x:c r="Y477" s="84"/>
      <x:c r="Z477" s="84"/>
    </x:row>
    <x:row r="478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4"/>
      <x:c r="K478" s="84"/>
      <x:c r="L478" s="84"/>
      <x:c r="M478" s="84"/>
      <x:c r="N478" s="84"/>
      <x:c r="O478" s="84"/>
      <x:c r="P478" s="84"/>
      <x:c r="Q478" s="84"/>
      <x:c r="R478" s="84"/>
      <x:c r="S478" s="84"/>
      <x:c r="T478" s="84"/>
      <x:c r="U478" s="84"/>
      <x:c r="V478" s="84"/>
      <x:c r="W478" s="84"/>
      <x:c r="X478" s="84"/>
      <x:c r="Y478" s="84"/>
      <x:c r="Z478" s="84"/>
    </x:row>
    <x:row r="479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4"/>
      <x:c r="K479" s="84"/>
      <x:c r="L479" s="84"/>
      <x:c r="M479" s="84"/>
      <x:c r="N479" s="84"/>
      <x:c r="O479" s="84"/>
      <x:c r="P479" s="84"/>
      <x:c r="Q479" s="84"/>
      <x:c r="R479" s="84"/>
      <x:c r="S479" s="84"/>
      <x:c r="T479" s="84"/>
      <x:c r="U479" s="84"/>
      <x:c r="V479" s="84"/>
      <x:c r="W479" s="84"/>
      <x:c r="X479" s="84"/>
      <x:c r="Y479" s="84"/>
      <x:c r="Z479" s="84"/>
    </x:row>
    <x:row r="480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4"/>
      <x:c r="K480" s="84"/>
      <x:c r="L480" s="84"/>
      <x:c r="M480" s="84"/>
      <x:c r="N480" s="84"/>
      <x:c r="O480" s="84"/>
      <x:c r="P480" s="84"/>
      <x:c r="Q480" s="84"/>
      <x:c r="R480" s="84"/>
      <x:c r="S480" s="84"/>
      <x:c r="T480" s="84"/>
      <x:c r="U480" s="84"/>
      <x:c r="V480" s="84"/>
      <x:c r="W480" s="84"/>
      <x:c r="X480" s="84"/>
      <x:c r="Y480" s="84"/>
      <x:c r="Z480" s="84"/>
    </x:row>
    <x:row r="48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4"/>
      <x:c r="K481" s="84"/>
      <x:c r="L481" s="84"/>
      <x:c r="M481" s="84"/>
      <x:c r="N481" s="84"/>
      <x:c r="O481" s="84"/>
      <x:c r="P481" s="84"/>
      <x:c r="Q481" s="84"/>
      <x:c r="R481" s="84"/>
      <x:c r="S481" s="84"/>
      <x:c r="T481" s="84"/>
      <x:c r="U481" s="84"/>
      <x:c r="V481" s="84"/>
      <x:c r="W481" s="84"/>
      <x:c r="X481" s="84"/>
      <x:c r="Y481" s="84"/>
      <x:c r="Z481" s="84"/>
    </x:row>
    <x:row r="482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4"/>
      <x:c r="K482" s="84"/>
      <x:c r="L482" s="84"/>
      <x:c r="M482" s="84"/>
      <x:c r="N482" s="84"/>
      <x:c r="O482" s="84"/>
      <x:c r="P482" s="84"/>
      <x:c r="Q482" s="84"/>
      <x:c r="R482" s="84"/>
      <x:c r="S482" s="84"/>
      <x:c r="T482" s="84"/>
      <x:c r="U482" s="84"/>
      <x:c r="V482" s="84"/>
      <x:c r="W482" s="84"/>
      <x:c r="X482" s="84"/>
      <x:c r="Y482" s="84"/>
      <x:c r="Z482" s="84"/>
    </x:row>
    <x:row r="483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4"/>
      <x:c r="K483" s="84"/>
      <x:c r="L483" s="84"/>
      <x:c r="M483" s="84"/>
      <x:c r="N483" s="84"/>
      <x:c r="O483" s="84"/>
      <x:c r="P483" s="84"/>
      <x:c r="Q483" s="84"/>
      <x:c r="R483" s="84"/>
      <x:c r="S483" s="84"/>
      <x:c r="T483" s="84"/>
      <x:c r="U483" s="84"/>
      <x:c r="V483" s="84"/>
      <x:c r="W483" s="84"/>
      <x:c r="X483" s="84"/>
      <x:c r="Y483" s="84"/>
      <x:c r="Z483" s="84"/>
    </x:row>
    <x:row r="484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4"/>
      <x:c r="K484" s="84"/>
      <x:c r="L484" s="84"/>
      <x:c r="M484" s="84"/>
      <x:c r="N484" s="84"/>
      <x:c r="O484" s="84"/>
      <x:c r="P484" s="84"/>
      <x:c r="Q484" s="84"/>
      <x:c r="R484" s="84"/>
      <x:c r="S484" s="84"/>
      <x:c r="T484" s="84"/>
      <x:c r="U484" s="84"/>
      <x:c r="V484" s="84"/>
      <x:c r="W484" s="84"/>
      <x:c r="X484" s="84"/>
      <x:c r="Y484" s="84"/>
      <x:c r="Z484" s="84"/>
    </x:row>
    <x:row r="485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4"/>
      <x:c r="K485" s="84"/>
      <x:c r="L485" s="84"/>
      <x:c r="M485" s="84"/>
      <x:c r="N485" s="84"/>
      <x:c r="O485" s="84"/>
      <x:c r="P485" s="84"/>
      <x:c r="Q485" s="84"/>
      <x:c r="R485" s="84"/>
      <x:c r="S485" s="84"/>
      <x:c r="T485" s="84"/>
      <x:c r="U485" s="84"/>
      <x:c r="V485" s="84"/>
      <x:c r="W485" s="84"/>
      <x:c r="X485" s="84"/>
      <x:c r="Y485" s="84"/>
      <x:c r="Z485" s="84"/>
    </x:row>
    <x:row r="486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4"/>
      <x:c r="K486" s="84"/>
      <x:c r="L486" s="84"/>
      <x:c r="M486" s="84"/>
      <x:c r="N486" s="84"/>
      <x:c r="O486" s="84"/>
      <x:c r="P486" s="84"/>
      <x:c r="Q486" s="84"/>
      <x:c r="R486" s="84"/>
      <x:c r="S486" s="84"/>
      <x:c r="T486" s="84"/>
      <x:c r="U486" s="84"/>
      <x:c r="V486" s="84"/>
      <x:c r="W486" s="84"/>
      <x:c r="X486" s="84"/>
      <x:c r="Y486" s="84"/>
      <x:c r="Z486" s="84"/>
    </x:row>
    <x:row r="487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4"/>
      <x:c r="K487" s="84"/>
      <x:c r="L487" s="84"/>
      <x:c r="M487" s="84"/>
      <x:c r="N487" s="84"/>
      <x:c r="O487" s="84"/>
      <x:c r="P487" s="84"/>
      <x:c r="Q487" s="84"/>
      <x:c r="R487" s="84"/>
      <x:c r="S487" s="84"/>
      <x:c r="T487" s="84"/>
      <x:c r="U487" s="84"/>
      <x:c r="V487" s="84"/>
      <x:c r="W487" s="84"/>
      <x:c r="X487" s="84"/>
      <x:c r="Y487" s="84"/>
      <x:c r="Z487" s="84"/>
    </x:row>
    <x:row r="488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4"/>
      <x:c r="K488" s="84"/>
      <x:c r="L488" s="84"/>
      <x:c r="M488" s="84"/>
      <x:c r="N488" s="84"/>
      <x:c r="O488" s="84"/>
      <x:c r="P488" s="84"/>
      <x:c r="Q488" s="84"/>
      <x:c r="R488" s="84"/>
      <x:c r="S488" s="84"/>
      <x:c r="T488" s="84"/>
      <x:c r="U488" s="84"/>
      <x:c r="V488" s="84"/>
      <x:c r="W488" s="84"/>
      <x:c r="X488" s="84"/>
      <x:c r="Y488" s="84"/>
      <x:c r="Z488" s="84"/>
    </x:row>
    <x:row r="489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4"/>
      <x:c r="K489" s="84"/>
      <x:c r="L489" s="84"/>
      <x:c r="M489" s="84"/>
      <x:c r="N489" s="84"/>
      <x:c r="O489" s="84"/>
      <x:c r="P489" s="84"/>
      <x:c r="Q489" s="84"/>
      <x:c r="R489" s="84"/>
      <x:c r="S489" s="84"/>
      <x:c r="T489" s="84"/>
      <x:c r="U489" s="84"/>
      <x:c r="V489" s="84"/>
      <x:c r="W489" s="84"/>
      <x:c r="X489" s="84"/>
      <x:c r="Y489" s="84"/>
      <x:c r="Z489" s="84"/>
    </x:row>
    <x:row r="490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4"/>
      <x:c r="K490" s="84"/>
      <x:c r="L490" s="84"/>
      <x:c r="M490" s="84"/>
      <x:c r="N490" s="84"/>
      <x:c r="O490" s="84"/>
      <x:c r="P490" s="84"/>
      <x:c r="Q490" s="84"/>
      <x:c r="R490" s="84"/>
      <x:c r="S490" s="84"/>
      <x:c r="T490" s="84"/>
      <x:c r="U490" s="84"/>
      <x:c r="V490" s="84"/>
      <x:c r="W490" s="84"/>
      <x:c r="X490" s="84"/>
      <x:c r="Y490" s="84"/>
      <x:c r="Z490" s="84"/>
    </x:row>
    <x:row r="49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4"/>
      <x:c r="K491" s="84"/>
      <x:c r="L491" s="84"/>
      <x:c r="M491" s="84"/>
      <x:c r="N491" s="84"/>
      <x:c r="O491" s="84"/>
      <x:c r="P491" s="84"/>
      <x:c r="Q491" s="84"/>
      <x:c r="R491" s="84"/>
      <x:c r="S491" s="84"/>
      <x:c r="T491" s="84"/>
      <x:c r="U491" s="84"/>
      <x:c r="V491" s="84"/>
      <x:c r="W491" s="84"/>
      <x:c r="X491" s="84"/>
      <x:c r="Y491" s="84"/>
      <x:c r="Z491" s="84"/>
    </x:row>
    <x:row r="492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4"/>
      <x:c r="K492" s="84"/>
      <x:c r="L492" s="84"/>
      <x:c r="M492" s="84"/>
      <x:c r="N492" s="84"/>
      <x:c r="O492" s="84"/>
      <x:c r="P492" s="84"/>
      <x:c r="Q492" s="84"/>
      <x:c r="R492" s="84"/>
      <x:c r="S492" s="84"/>
      <x:c r="T492" s="84"/>
      <x:c r="U492" s="84"/>
      <x:c r="V492" s="84"/>
      <x:c r="W492" s="84"/>
      <x:c r="X492" s="84"/>
      <x:c r="Y492" s="84"/>
      <x:c r="Z492" s="84"/>
    </x:row>
    <x:row r="493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4"/>
      <x:c r="K493" s="84"/>
      <x:c r="L493" s="84"/>
      <x:c r="M493" s="84"/>
      <x:c r="N493" s="84"/>
      <x:c r="O493" s="84"/>
      <x:c r="P493" s="84"/>
      <x:c r="Q493" s="84"/>
      <x:c r="R493" s="84"/>
      <x:c r="S493" s="84"/>
      <x:c r="T493" s="84"/>
      <x:c r="U493" s="84"/>
      <x:c r="V493" s="84"/>
      <x:c r="W493" s="84"/>
      <x:c r="X493" s="84"/>
      <x:c r="Y493" s="84"/>
      <x:c r="Z493" s="84"/>
    </x:row>
    <x:row r="494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4"/>
      <x:c r="K494" s="84"/>
      <x:c r="L494" s="84"/>
      <x:c r="M494" s="84"/>
      <x:c r="N494" s="84"/>
      <x:c r="O494" s="84"/>
      <x:c r="P494" s="84"/>
      <x:c r="Q494" s="84"/>
      <x:c r="R494" s="84"/>
      <x:c r="S494" s="84"/>
      <x:c r="T494" s="84"/>
      <x:c r="U494" s="84"/>
      <x:c r="V494" s="84"/>
      <x:c r="W494" s="84"/>
      <x:c r="X494" s="84"/>
      <x:c r="Y494" s="84"/>
      <x:c r="Z494" s="84"/>
    </x:row>
    <x:row r="495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4"/>
      <x:c r="K495" s="84"/>
      <x:c r="L495" s="84"/>
      <x:c r="M495" s="84"/>
      <x:c r="N495" s="84"/>
      <x:c r="O495" s="84"/>
      <x:c r="P495" s="84"/>
      <x:c r="Q495" s="84"/>
      <x:c r="R495" s="84"/>
      <x:c r="S495" s="84"/>
      <x:c r="T495" s="84"/>
      <x:c r="U495" s="84"/>
      <x:c r="V495" s="84"/>
      <x:c r="W495" s="84"/>
      <x:c r="X495" s="84"/>
      <x:c r="Y495" s="84"/>
      <x:c r="Z495" s="84"/>
    </x:row>
    <x:row r="496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4"/>
      <x:c r="K496" s="84"/>
      <x:c r="L496" s="84"/>
      <x:c r="M496" s="84"/>
      <x:c r="N496" s="84"/>
      <x:c r="O496" s="84"/>
      <x:c r="P496" s="84"/>
      <x:c r="Q496" s="84"/>
      <x:c r="R496" s="84"/>
      <x:c r="S496" s="84"/>
      <x:c r="T496" s="84"/>
      <x:c r="U496" s="84"/>
      <x:c r="V496" s="84"/>
      <x:c r="W496" s="84"/>
      <x:c r="X496" s="84"/>
      <x:c r="Y496" s="84"/>
      <x:c r="Z496" s="84"/>
    </x:row>
    <x:row r="497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4"/>
      <x:c r="K497" s="84"/>
      <x:c r="L497" s="84"/>
      <x:c r="M497" s="84"/>
      <x:c r="N497" s="84"/>
      <x:c r="O497" s="84"/>
      <x:c r="P497" s="84"/>
      <x:c r="Q497" s="84"/>
      <x:c r="R497" s="84"/>
      <x:c r="S497" s="84"/>
      <x:c r="T497" s="84"/>
      <x:c r="U497" s="84"/>
      <x:c r="V497" s="84"/>
      <x:c r="W497" s="84"/>
      <x:c r="X497" s="84"/>
      <x:c r="Y497" s="84"/>
      <x:c r="Z497" s="84"/>
    </x:row>
    <x:row r="498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4"/>
      <x:c r="K498" s="84"/>
      <x:c r="L498" s="84"/>
      <x:c r="M498" s="84"/>
      <x:c r="N498" s="84"/>
      <x:c r="O498" s="84"/>
      <x:c r="P498" s="84"/>
      <x:c r="Q498" s="84"/>
      <x:c r="R498" s="84"/>
      <x:c r="S498" s="84"/>
      <x:c r="T498" s="84"/>
      <x:c r="U498" s="84"/>
      <x:c r="V498" s="84"/>
      <x:c r="W498" s="84"/>
      <x:c r="X498" s="84"/>
      <x:c r="Y498" s="84"/>
      <x:c r="Z498" s="84"/>
    </x:row>
    <x:row r="499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4"/>
      <x:c r="K499" s="84"/>
      <x:c r="L499" s="84"/>
      <x:c r="M499" s="84"/>
      <x:c r="N499" s="84"/>
      <x:c r="O499" s="84"/>
      <x:c r="P499" s="84"/>
      <x:c r="Q499" s="84"/>
      <x:c r="R499" s="84"/>
      <x:c r="S499" s="84"/>
      <x:c r="T499" s="84"/>
      <x:c r="U499" s="84"/>
      <x:c r="V499" s="84"/>
      <x:c r="W499" s="84"/>
      <x:c r="X499" s="84"/>
      <x:c r="Y499" s="84"/>
      <x:c r="Z499" s="84"/>
    </x:row>
    <x:row r="500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4"/>
      <x:c r="K500" s="84"/>
      <x:c r="L500" s="84"/>
      <x:c r="M500" s="84"/>
      <x:c r="N500" s="84"/>
      <x:c r="O500" s="84"/>
      <x:c r="P500" s="84"/>
      <x:c r="Q500" s="84"/>
      <x:c r="R500" s="84"/>
      <x:c r="S500" s="84"/>
      <x:c r="T500" s="84"/>
      <x:c r="U500" s="84"/>
      <x:c r="V500" s="84"/>
      <x:c r="W500" s="84"/>
      <x:c r="X500" s="84"/>
      <x:c r="Y500" s="84"/>
      <x:c r="Z500" s="84"/>
    </x:row>
    <x:row r="50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4"/>
      <x:c r="K501" s="84"/>
      <x:c r="L501" s="84"/>
      <x:c r="M501" s="84"/>
      <x:c r="N501" s="84"/>
      <x:c r="O501" s="84"/>
      <x:c r="P501" s="84"/>
      <x:c r="Q501" s="84"/>
      <x:c r="R501" s="84"/>
      <x:c r="S501" s="84"/>
      <x:c r="T501" s="84"/>
      <x:c r="U501" s="84"/>
      <x:c r="V501" s="84"/>
      <x:c r="W501" s="84"/>
      <x:c r="X501" s="84"/>
      <x:c r="Y501" s="84"/>
      <x:c r="Z501" s="84"/>
    </x:row>
    <x:row r="502">
      <x:c r="A502" s="84"/>
      <x:c r="B502" s="84"/>
      <x:c r="C502" s="84"/>
      <x:c r="D502" s="84"/>
      <x:c r="E502" s="84"/>
      <x:c r="F502" s="84"/>
      <x:c r="G502" s="84"/>
      <x:c r="H502" s="84"/>
      <x:c r="I502" s="84"/>
      <x:c r="J502" s="84"/>
      <x:c r="K502" s="84"/>
      <x:c r="L502" s="84"/>
      <x:c r="M502" s="84"/>
      <x:c r="N502" s="84"/>
      <x:c r="O502" s="84"/>
      <x:c r="P502" s="84"/>
      <x:c r="Q502" s="84"/>
      <x:c r="R502" s="84"/>
      <x:c r="S502" s="84"/>
      <x:c r="T502" s="84"/>
      <x:c r="U502" s="84"/>
      <x:c r="V502" s="84"/>
      <x:c r="W502" s="84"/>
      <x:c r="X502" s="84"/>
      <x:c r="Y502" s="84"/>
      <x:c r="Z502" s="84"/>
    </x:row>
    <x:row r="503">
      <x:c r="A503" s="84"/>
      <x:c r="B503" s="84"/>
      <x:c r="C503" s="84"/>
      <x:c r="D503" s="84"/>
      <x:c r="E503" s="84"/>
      <x:c r="F503" s="84"/>
      <x:c r="G503" s="84"/>
      <x:c r="H503" s="84"/>
      <x:c r="I503" s="84"/>
      <x:c r="J503" s="84"/>
      <x:c r="K503" s="84"/>
      <x:c r="L503" s="84"/>
      <x:c r="M503" s="84"/>
      <x:c r="N503" s="84"/>
      <x:c r="O503" s="84"/>
      <x:c r="P503" s="84"/>
      <x:c r="Q503" s="84"/>
      <x:c r="R503" s="84"/>
      <x:c r="S503" s="84"/>
      <x:c r="T503" s="84"/>
      <x:c r="U503" s="84"/>
      <x:c r="V503" s="84"/>
      <x:c r="W503" s="84"/>
      <x:c r="X503" s="84"/>
      <x:c r="Y503" s="84"/>
      <x:c r="Z503" s="84"/>
    </x:row>
    <x:row r="504">
      <x:c r="A504" s="84"/>
      <x:c r="B504" s="84"/>
      <x:c r="C504" s="84"/>
      <x:c r="D504" s="84"/>
      <x:c r="E504" s="84"/>
      <x:c r="F504" s="84"/>
      <x:c r="G504" s="84"/>
      <x:c r="H504" s="84"/>
      <x:c r="I504" s="84"/>
      <x:c r="J504" s="84"/>
      <x:c r="K504" s="84"/>
      <x:c r="L504" s="84"/>
      <x:c r="M504" s="84"/>
      <x:c r="N504" s="84"/>
      <x:c r="O504" s="84"/>
      <x:c r="P504" s="84"/>
      <x:c r="Q504" s="84"/>
      <x:c r="R504" s="84"/>
      <x:c r="S504" s="84"/>
      <x:c r="T504" s="84"/>
      <x:c r="U504" s="84"/>
      <x:c r="V504" s="84"/>
      <x:c r="W504" s="84"/>
      <x:c r="X504" s="84"/>
      <x:c r="Y504" s="84"/>
      <x:c r="Z504" s="84"/>
    </x:row>
    <x:row r="505">
      <x:c r="A505" s="84"/>
      <x:c r="B505" s="84"/>
      <x:c r="C505" s="84"/>
      <x:c r="D505" s="84"/>
      <x:c r="E505" s="84"/>
      <x:c r="F505" s="84"/>
      <x:c r="G505" s="84"/>
      <x:c r="H505" s="84"/>
      <x:c r="I505" s="84"/>
      <x:c r="J505" s="84"/>
      <x:c r="K505" s="84"/>
      <x:c r="L505" s="84"/>
      <x:c r="M505" s="84"/>
      <x:c r="N505" s="84"/>
      <x:c r="O505" s="84"/>
      <x:c r="P505" s="84"/>
      <x:c r="Q505" s="84"/>
      <x:c r="R505" s="84"/>
      <x:c r="S505" s="84"/>
      <x:c r="T505" s="84"/>
      <x:c r="U505" s="84"/>
      <x:c r="V505" s="84"/>
      <x:c r="W505" s="84"/>
      <x:c r="X505" s="84"/>
      <x:c r="Y505" s="84"/>
      <x:c r="Z505" s="84"/>
    </x:row>
    <x:row r="506">
      <x:c r="A506" s="84"/>
      <x:c r="B506" s="84"/>
      <x:c r="C506" s="84"/>
      <x:c r="D506" s="84"/>
      <x:c r="E506" s="84"/>
      <x:c r="F506" s="84"/>
      <x:c r="G506" s="84"/>
      <x:c r="H506" s="84"/>
      <x:c r="I506" s="84"/>
      <x:c r="J506" s="84"/>
      <x:c r="K506" s="84"/>
      <x:c r="L506" s="84"/>
      <x:c r="M506" s="84"/>
      <x:c r="N506" s="84"/>
      <x:c r="O506" s="84"/>
      <x:c r="P506" s="84"/>
      <x:c r="Q506" s="84"/>
      <x:c r="R506" s="84"/>
      <x:c r="S506" s="84"/>
      <x:c r="T506" s="84"/>
      <x:c r="U506" s="84"/>
      <x:c r="V506" s="84"/>
      <x:c r="W506" s="84"/>
      <x:c r="X506" s="84"/>
      <x:c r="Y506" s="84"/>
      <x:c r="Z506" s="84"/>
    </x:row>
    <x:row r="507">
      <x:c r="A507" s="84"/>
      <x:c r="B507" s="84"/>
      <x:c r="C507" s="84"/>
      <x:c r="D507" s="84"/>
      <x:c r="E507" s="84"/>
      <x:c r="F507" s="84"/>
      <x:c r="G507" s="84"/>
      <x:c r="H507" s="84"/>
      <x:c r="I507" s="84"/>
      <x:c r="J507" s="84"/>
      <x:c r="K507" s="84"/>
      <x:c r="L507" s="84"/>
      <x:c r="M507" s="84"/>
      <x:c r="N507" s="84"/>
      <x:c r="O507" s="84"/>
      <x:c r="P507" s="84"/>
      <x:c r="Q507" s="84"/>
      <x:c r="R507" s="84"/>
      <x:c r="S507" s="84"/>
      <x:c r="T507" s="84"/>
      <x:c r="U507" s="84"/>
      <x:c r="V507" s="84"/>
      <x:c r="W507" s="84"/>
      <x:c r="X507" s="84"/>
      <x:c r="Y507" s="84"/>
      <x:c r="Z507" s="84"/>
    </x:row>
    <x:row r="508">
      <x:c r="A508" s="84"/>
      <x:c r="B508" s="84"/>
      <x:c r="C508" s="84"/>
      <x:c r="D508" s="84"/>
      <x:c r="E508" s="84"/>
      <x:c r="F508" s="84"/>
      <x:c r="G508" s="84"/>
      <x:c r="H508" s="84"/>
      <x:c r="I508" s="84"/>
      <x:c r="J508" s="84"/>
      <x:c r="K508" s="84"/>
      <x:c r="L508" s="84"/>
      <x:c r="M508" s="84"/>
      <x:c r="N508" s="84"/>
      <x:c r="O508" s="84"/>
      <x:c r="P508" s="84"/>
      <x:c r="Q508" s="84"/>
      <x:c r="R508" s="84"/>
      <x:c r="S508" s="84"/>
      <x:c r="T508" s="84"/>
      <x:c r="U508" s="84"/>
      <x:c r="V508" s="84"/>
      <x:c r="W508" s="84"/>
      <x:c r="X508" s="84"/>
      <x:c r="Y508" s="84"/>
      <x:c r="Z508" s="84"/>
    </x:row>
    <x:row r="509">
      <x:c r="A509" s="84"/>
      <x:c r="B509" s="84"/>
      <x:c r="C509" s="84"/>
      <x:c r="D509" s="84"/>
      <x:c r="E509" s="84"/>
      <x:c r="F509" s="84"/>
      <x:c r="G509" s="84"/>
      <x:c r="H509" s="84"/>
      <x:c r="I509" s="84"/>
      <x:c r="J509" s="84"/>
      <x:c r="K509" s="84"/>
      <x:c r="L509" s="84"/>
      <x:c r="M509" s="84"/>
      <x:c r="N509" s="84"/>
      <x:c r="O509" s="84"/>
      <x:c r="P509" s="84"/>
      <x:c r="Q509" s="84"/>
      <x:c r="R509" s="84"/>
      <x:c r="S509" s="84"/>
      <x:c r="T509" s="84"/>
      <x:c r="U509" s="84"/>
      <x:c r="V509" s="84"/>
      <x:c r="W509" s="84"/>
      <x:c r="X509" s="84"/>
      <x:c r="Y509" s="84"/>
      <x:c r="Z509" s="84"/>
    </x:row>
    <x:row r="510">
      <x:c r="A510" s="84"/>
      <x:c r="B510" s="84"/>
      <x:c r="C510" s="84"/>
      <x:c r="D510" s="84"/>
      <x:c r="E510" s="84"/>
      <x:c r="F510" s="84"/>
      <x:c r="G510" s="84"/>
      <x:c r="H510" s="84"/>
      <x:c r="I510" s="84"/>
      <x:c r="J510" s="84"/>
      <x:c r="K510" s="84"/>
      <x:c r="L510" s="84"/>
      <x:c r="M510" s="84"/>
      <x:c r="N510" s="84"/>
      <x:c r="O510" s="84"/>
      <x:c r="P510" s="84"/>
      <x:c r="Q510" s="84"/>
      <x:c r="R510" s="84"/>
      <x:c r="S510" s="84"/>
      <x:c r="T510" s="84"/>
      <x:c r="U510" s="84"/>
      <x:c r="V510" s="84"/>
      <x:c r="W510" s="84"/>
      <x:c r="X510" s="84"/>
      <x:c r="Y510" s="84"/>
      <x:c r="Z510" s="84"/>
    </x:row>
    <x:row r="511">
      <x:c r="A511" s="84"/>
      <x:c r="B511" s="84"/>
      <x:c r="C511" s="84"/>
      <x:c r="D511" s="84"/>
      <x:c r="E511" s="84"/>
      <x:c r="F511" s="84"/>
      <x:c r="G511" s="84"/>
      <x:c r="H511" s="84"/>
      <x:c r="I511" s="84"/>
      <x:c r="J511" s="84"/>
      <x:c r="K511" s="84"/>
      <x:c r="L511" s="84"/>
      <x:c r="M511" s="84"/>
      <x:c r="N511" s="84"/>
      <x:c r="O511" s="84"/>
      <x:c r="P511" s="84"/>
      <x:c r="Q511" s="84"/>
      <x:c r="R511" s="84"/>
      <x:c r="S511" s="84"/>
      <x:c r="T511" s="84"/>
      <x:c r="U511" s="84"/>
      <x:c r="V511" s="84"/>
      <x:c r="W511" s="84"/>
      <x:c r="X511" s="84"/>
      <x:c r="Y511" s="84"/>
      <x:c r="Z511" s="84"/>
    </x:row>
    <x:row r="512">
      <x:c r="A512" s="84"/>
      <x:c r="B512" s="84"/>
      <x:c r="C512" s="84"/>
      <x:c r="D512" s="84"/>
      <x:c r="E512" s="84"/>
      <x:c r="F512" s="84"/>
      <x:c r="G512" s="84"/>
      <x:c r="H512" s="84"/>
      <x:c r="I512" s="84"/>
      <x:c r="J512" s="84"/>
      <x:c r="K512" s="84"/>
      <x:c r="L512" s="84"/>
      <x:c r="M512" s="84"/>
      <x:c r="N512" s="84"/>
      <x:c r="O512" s="84"/>
      <x:c r="P512" s="84"/>
      <x:c r="Q512" s="84"/>
      <x:c r="R512" s="84"/>
      <x:c r="S512" s="84"/>
      <x:c r="T512" s="84"/>
      <x:c r="U512" s="84"/>
      <x:c r="V512" s="84"/>
      <x:c r="W512" s="84"/>
      <x:c r="X512" s="84"/>
      <x:c r="Y512" s="84"/>
      <x:c r="Z512" s="84"/>
    </x:row>
    <x:row r="513">
      <x:c r="A513" s="84"/>
      <x:c r="B513" s="84"/>
      <x:c r="C513" s="84"/>
      <x:c r="D513" s="84"/>
      <x:c r="E513" s="84"/>
      <x:c r="F513" s="84"/>
      <x:c r="G513" s="84"/>
      <x:c r="H513" s="84"/>
      <x:c r="I513" s="84"/>
      <x:c r="J513" s="84"/>
      <x:c r="K513" s="84"/>
      <x:c r="L513" s="84"/>
      <x:c r="M513" s="84"/>
      <x:c r="N513" s="84"/>
      <x:c r="O513" s="84"/>
      <x:c r="P513" s="84"/>
      <x:c r="Q513" s="84"/>
      <x:c r="R513" s="84"/>
      <x:c r="S513" s="84"/>
      <x:c r="T513" s="84"/>
      <x:c r="U513" s="84"/>
      <x:c r="V513" s="84"/>
      <x:c r="W513" s="84"/>
      <x:c r="X513" s="84"/>
      <x:c r="Y513" s="84"/>
      <x:c r="Z513" s="84"/>
    </x:row>
    <x:row r="514">
      <x:c r="A514" s="84"/>
      <x:c r="B514" s="84"/>
      <x:c r="C514" s="84"/>
      <x:c r="D514" s="84"/>
      <x:c r="E514" s="84"/>
      <x:c r="F514" s="84"/>
      <x:c r="G514" s="84"/>
      <x:c r="H514" s="84"/>
      <x:c r="I514" s="84"/>
      <x:c r="J514" s="84"/>
      <x:c r="K514" s="84"/>
      <x:c r="L514" s="84"/>
      <x:c r="M514" s="84"/>
      <x:c r="N514" s="84"/>
      <x:c r="O514" s="84"/>
      <x:c r="P514" s="84"/>
      <x:c r="Q514" s="84"/>
      <x:c r="R514" s="84"/>
      <x:c r="S514" s="84"/>
      <x:c r="T514" s="84"/>
      <x:c r="U514" s="84"/>
      <x:c r="V514" s="84"/>
      <x:c r="W514" s="84"/>
      <x:c r="X514" s="84"/>
      <x:c r="Y514" s="84"/>
      <x:c r="Z514" s="84"/>
    </x:row>
    <x:row r="515">
      <x:c r="A515" s="84"/>
      <x:c r="B515" s="84"/>
      <x:c r="C515" s="84"/>
      <x:c r="D515" s="84"/>
      <x:c r="E515" s="84"/>
      <x:c r="F515" s="84"/>
      <x:c r="G515" s="84"/>
      <x:c r="H515" s="84"/>
      <x:c r="I515" s="84"/>
      <x:c r="J515" s="84"/>
      <x:c r="K515" s="84"/>
      <x:c r="L515" s="84"/>
      <x:c r="M515" s="84"/>
      <x:c r="N515" s="84"/>
      <x:c r="O515" s="84"/>
      <x:c r="P515" s="84"/>
      <x:c r="Q515" s="84"/>
      <x:c r="R515" s="84"/>
      <x:c r="S515" s="84"/>
      <x:c r="T515" s="84"/>
      <x:c r="U515" s="84"/>
      <x:c r="V515" s="84"/>
      <x:c r="W515" s="84"/>
      <x:c r="X515" s="84"/>
      <x:c r="Y515" s="84"/>
      <x:c r="Z515" s="84"/>
    </x:row>
    <x:row r="516">
      <x:c r="A516" s="84"/>
      <x:c r="B516" s="84"/>
      <x:c r="C516" s="84"/>
      <x:c r="D516" s="84"/>
      <x:c r="E516" s="84"/>
      <x:c r="F516" s="84"/>
      <x:c r="G516" s="84"/>
      <x:c r="H516" s="84"/>
      <x:c r="I516" s="84"/>
      <x:c r="J516" s="84"/>
      <x:c r="K516" s="84"/>
      <x:c r="L516" s="84"/>
      <x:c r="M516" s="84"/>
      <x:c r="N516" s="84"/>
      <x:c r="O516" s="84"/>
      <x:c r="P516" s="84"/>
      <x:c r="Q516" s="84"/>
      <x:c r="R516" s="84"/>
      <x:c r="S516" s="84"/>
      <x:c r="T516" s="84"/>
      <x:c r="U516" s="84"/>
      <x:c r="V516" s="84"/>
      <x:c r="W516" s="84"/>
      <x:c r="X516" s="84"/>
      <x:c r="Y516" s="84"/>
      <x:c r="Z516" s="84"/>
    </x:row>
    <x:row r="517">
      <x:c r="A517" s="84"/>
      <x:c r="B517" s="84"/>
      <x:c r="C517" s="84"/>
      <x:c r="D517" s="84"/>
      <x:c r="E517" s="84"/>
      <x:c r="F517" s="84"/>
      <x:c r="G517" s="84"/>
      <x:c r="H517" s="84"/>
      <x:c r="I517" s="84"/>
      <x:c r="J517" s="84"/>
      <x:c r="K517" s="84"/>
      <x:c r="L517" s="84"/>
      <x:c r="M517" s="84"/>
      <x:c r="N517" s="84"/>
      <x:c r="O517" s="84"/>
      <x:c r="P517" s="84"/>
      <x:c r="Q517" s="84"/>
      <x:c r="R517" s="84"/>
      <x:c r="S517" s="84"/>
      <x:c r="T517" s="84"/>
      <x:c r="U517" s="84"/>
      <x:c r="V517" s="84"/>
      <x:c r="W517" s="84"/>
      <x:c r="X517" s="84"/>
      <x:c r="Y517" s="84"/>
      <x:c r="Z517" s="84"/>
    </x:row>
    <x:row r="518">
      <x:c r="A518" s="84"/>
      <x:c r="B518" s="84"/>
      <x:c r="C518" s="84"/>
      <x:c r="D518" s="84"/>
      <x:c r="E518" s="84"/>
      <x:c r="F518" s="84"/>
      <x:c r="G518" s="84"/>
      <x:c r="H518" s="84"/>
      <x:c r="I518" s="84"/>
      <x:c r="J518" s="84"/>
      <x:c r="K518" s="84"/>
      <x:c r="L518" s="84"/>
      <x:c r="M518" s="84"/>
      <x:c r="N518" s="84"/>
      <x:c r="O518" s="84"/>
      <x:c r="P518" s="84"/>
      <x:c r="Q518" s="84"/>
      <x:c r="R518" s="84"/>
      <x:c r="S518" s="84"/>
      <x:c r="T518" s="84"/>
      <x:c r="U518" s="84"/>
      <x:c r="V518" s="84"/>
      <x:c r="W518" s="84"/>
      <x:c r="X518" s="84"/>
      <x:c r="Y518" s="84"/>
      <x:c r="Z518" s="84"/>
    </x:row>
    <x:row r="519">
      <x:c r="A519" s="84"/>
      <x:c r="B519" s="84"/>
      <x:c r="C519" s="84"/>
      <x:c r="D519" s="84"/>
      <x:c r="E519" s="84"/>
      <x:c r="F519" s="84"/>
      <x:c r="G519" s="84"/>
      <x:c r="H519" s="84"/>
      <x:c r="I519" s="84"/>
      <x:c r="J519" s="84"/>
      <x:c r="K519" s="84"/>
      <x:c r="L519" s="84"/>
      <x:c r="M519" s="84"/>
      <x:c r="N519" s="84"/>
      <x:c r="O519" s="84"/>
      <x:c r="P519" s="84"/>
      <x:c r="Q519" s="84"/>
      <x:c r="R519" s="84"/>
      <x:c r="S519" s="84"/>
      <x:c r="T519" s="84"/>
      <x:c r="U519" s="84"/>
      <x:c r="V519" s="84"/>
      <x:c r="W519" s="84"/>
      <x:c r="X519" s="84"/>
      <x:c r="Y519" s="84"/>
      <x:c r="Z519" s="84"/>
    </x:row>
    <x:row r="520">
      <x:c r="A520" s="84"/>
      <x:c r="B520" s="84"/>
      <x:c r="C520" s="84"/>
      <x:c r="D520" s="84"/>
      <x:c r="E520" s="84"/>
      <x:c r="F520" s="84"/>
      <x:c r="G520" s="84"/>
      <x:c r="H520" s="84"/>
      <x:c r="I520" s="84"/>
      <x:c r="J520" s="84"/>
      <x:c r="K520" s="84"/>
      <x:c r="L520" s="84"/>
      <x:c r="M520" s="84"/>
      <x:c r="N520" s="84"/>
      <x:c r="O520" s="84"/>
      <x:c r="P520" s="84"/>
      <x:c r="Q520" s="84"/>
      <x:c r="R520" s="84"/>
      <x:c r="S520" s="84"/>
      <x:c r="T520" s="84"/>
      <x:c r="U520" s="84"/>
      <x:c r="V520" s="84"/>
      <x:c r="W520" s="84"/>
      <x:c r="X520" s="84"/>
      <x:c r="Y520" s="84"/>
      <x:c r="Z520" s="84"/>
    </x:row>
    <x:row r="521">
      <x:c r="A521" s="84"/>
      <x:c r="B521" s="84"/>
      <x:c r="C521" s="84"/>
      <x:c r="D521" s="84"/>
      <x:c r="E521" s="84"/>
      <x:c r="F521" s="84"/>
      <x:c r="G521" s="84"/>
      <x:c r="H521" s="84"/>
      <x:c r="I521" s="84"/>
      <x:c r="J521" s="84"/>
      <x:c r="K521" s="84"/>
      <x:c r="L521" s="84"/>
      <x:c r="M521" s="84"/>
      <x:c r="N521" s="84"/>
      <x:c r="O521" s="84"/>
      <x:c r="P521" s="84"/>
      <x:c r="Q521" s="84"/>
      <x:c r="R521" s="84"/>
      <x:c r="S521" s="84"/>
      <x:c r="T521" s="84"/>
      <x:c r="U521" s="84"/>
      <x:c r="V521" s="84"/>
      <x:c r="W521" s="84"/>
      <x:c r="X521" s="84"/>
      <x:c r="Y521" s="84"/>
      <x:c r="Z521" s="84"/>
    </x:row>
    <x:row r="522">
      <x:c r="A522" s="84"/>
      <x:c r="B522" s="84"/>
      <x:c r="C522" s="84"/>
      <x:c r="D522" s="84"/>
      <x:c r="E522" s="84"/>
      <x:c r="F522" s="84"/>
      <x:c r="G522" s="84"/>
      <x:c r="H522" s="84"/>
      <x:c r="I522" s="84"/>
      <x:c r="J522" s="84"/>
      <x:c r="K522" s="84"/>
      <x:c r="L522" s="84"/>
      <x:c r="M522" s="84"/>
      <x:c r="N522" s="84"/>
      <x:c r="O522" s="84"/>
      <x:c r="P522" s="84"/>
      <x:c r="Q522" s="84"/>
      <x:c r="R522" s="84"/>
      <x:c r="S522" s="84"/>
      <x:c r="T522" s="84"/>
      <x:c r="U522" s="84"/>
      <x:c r="V522" s="84"/>
      <x:c r="W522" s="84"/>
      <x:c r="X522" s="84"/>
      <x:c r="Y522" s="84"/>
      <x:c r="Z522" s="84"/>
    </x:row>
    <x:row r="523">
      <x:c r="A523" s="84"/>
      <x:c r="B523" s="84"/>
      <x:c r="C523" s="84"/>
      <x:c r="D523" s="84"/>
      <x:c r="E523" s="84"/>
      <x:c r="F523" s="84"/>
      <x:c r="G523" s="84"/>
      <x:c r="H523" s="84"/>
      <x:c r="I523" s="84"/>
      <x:c r="J523" s="84"/>
      <x:c r="K523" s="84"/>
      <x:c r="L523" s="84"/>
      <x:c r="M523" s="84"/>
      <x:c r="N523" s="84"/>
      <x:c r="O523" s="84"/>
      <x:c r="P523" s="84"/>
      <x:c r="Q523" s="84"/>
      <x:c r="R523" s="84"/>
      <x:c r="S523" s="84"/>
      <x:c r="T523" s="84"/>
      <x:c r="U523" s="84"/>
      <x:c r="V523" s="84"/>
      <x:c r="W523" s="84"/>
      <x:c r="X523" s="84"/>
      <x:c r="Y523" s="84"/>
      <x:c r="Z523" s="84"/>
    </x:row>
    <x:row r="524">
      <x:c r="A524" s="84"/>
      <x:c r="B524" s="84"/>
      <x:c r="C524" s="84"/>
      <x:c r="D524" s="84"/>
      <x:c r="E524" s="84"/>
      <x:c r="F524" s="84"/>
      <x:c r="G524" s="84"/>
      <x:c r="H524" s="84"/>
      <x:c r="I524" s="84"/>
      <x:c r="J524" s="84"/>
      <x:c r="K524" s="84"/>
      <x:c r="L524" s="84"/>
      <x:c r="M524" s="84"/>
      <x:c r="N524" s="84"/>
      <x:c r="O524" s="84"/>
      <x:c r="P524" s="84"/>
      <x:c r="Q524" s="84"/>
      <x:c r="R524" s="84"/>
      <x:c r="S524" s="84"/>
      <x:c r="T524" s="84"/>
      <x:c r="U524" s="84"/>
      <x:c r="V524" s="84"/>
      <x:c r="W524" s="84"/>
      <x:c r="X524" s="84"/>
      <x:c r="Y524" s="84"/>
      <x:c r="Z524" s="84"/>
    </x:row>
    <x:row r="525">
      <x:c r="A525" s="84"/>
      <x:c r="B525" s="84"/>
      <x:c r="C525" s="84"/>
      <x:c r="D525" s="84"/>
      <x:c r="E525" s="84"/>
      <x:c r="F525" s="84"/>
      <x:c r="G525" s="84"/>
      <x:c r="H525" s="84"/>
      <x:c r="I525" s="84"/>
      <x:c r="J525" s="84"/>
      <x:c r="K525" s="84"/>
      <x:c r="L525" s="84"/>
      <x:c r="M525" s="84"/>
      <x:c r="N525" s="84"/>
      <x:c r="O525" s="84"/>
      <x:c r="P525" s="84"/>
      <x:c r="Q525" s="84"/>
      <x:c r="R525" s="84"/>
      <x:c r="S525" s="84"/>
      <x:c r="T525" s="84"/>
      <x:c r="U525" s="84"/>
      <x:c r="V525" s="84"/>
      <x:c r="W525" s="84"/>
      <x:c r="X525" s="84"/>
      <x:c r="Y525" s="84"/>
      <x:c r="Z525" s="84"/>
    </x:row>
    <x:row r="526">
      <x:c r="A526" s="84"/>
      <x:c r="B526" s="84"/>
      <x:c r="C526" s="84"/>
      <x:c r="D526" s="84"/>
      <x:c r="E526" s="84"/>
      <x:c r="F526" s="84"/>
      <x:c r="G526" s="84"/>
      <x:c r="H526" s="84"/>
      <x:c r="I526" s="84"/>
      <x:c r="J526" s="84"/>
      <x:c r="K526" s="84"/>
      <x:c r="L526" s="84"/>
      <x:c r="M526" s="84"/>
      <x:c r="N526" s="84"/>
      <x:c r="O526" s="84"/>
      <x:c r="P526" s="84"/>
      <x:c r="Q526" s="84"/>
      <x:c r="R526" s="84"/>
      <x:c r="S526" s="84"/>
      <x:c r="T526" s="84"/>
      <x:c r="U526" s="84"/>
      <x:c r="V526" s="84"/>
      <x:c r="W526" s="84"/>
      <x:c r="X526" s="84"/>
      <x:c r="Y526" s="84"/>
      <x:c r="Z526" s="84"/>
    </x:row>
    <x:row r="527">
      <x:c r="A527" s="84"/>
      <x:c r="B527" s="84"/>
      <x:c r="C527" s="84"/>
      <x:c r="D527" s="84"/>
      <x:c r="E527" s="84"/>
      <x:c r="F527" s="84"/>
      <x:c r="G527" s="84"/>
      <x:c r="H527" s="84"/>
      <x:c r="I527" s="84"/>
      <x:c r="J527" s="84"/>
      <x:c r="K527" s="84"/>
      <x:c r="L527" s="84"/>
      <x:c r="M527" s="84"/>
      <x:c r="N527" s="84"/>
      <x:c r="O527" s="84"/>
      <x:c r="P527" s="84"/>
      <x:c r="Q527" s="84"/>
      <x:c r="R527" s="84"/>
      <x:c r="S527" s="84"/>
      <x:c r="T527" s="84"/>
      <x:c r="U527" s="84"/>
      <x:c r="V527" s="84"/>
      <x:c r="W527" s="84"/>
      <x:c r="X527" s="84"/>
      <x:c r="Y527" s="84"/>
      <x:c r="Z527" s="84"/>
    </x:row>
    <x:row r="528">
      <x:c r="A528" s="84"/>
      <x:c r="B528" s="84"/>
      <x:c r="C528" s="84"/>
      <x:c r="D528" s="84"/>
      <x:c r="E528" s="84"/>
      <x:c r="F528" s="84"/>
      <x:c r="G528" s="84"/>
      <x:c r="H528" s="84"/>
      <x:c r="I528" s="84"/>
      <x:c r="J528" s="84"/>
      <x:c r="K528" s="84"/>
      <x:c r="L528" s="84"/>
      <x:c r="M528" s="84"/>
      <x:c r="N528" s="84"/>
      <x:c r="O528" s="84"/>
      <x:c r="P528" s="84"/>
      <x:c r="Q528" s="84"/>
      <x:c r="R528" s="84"/>
      <x:c r="S528" s="84"/>
      <x:c r="T528" s="84"/>
      <x:c r="U528" s="84"/>
      <x:c r="V528" s="84"/>
      <x:c r="W528" s="84"/>
      <x:c r="X528" s="84"/>
      <x:c r="Y528" s="84"/>
      <x:c r="Z528" s="84"/>
    </x:row>
    <x:row r="529">
      <x:c r="A529" s="84"/>
      <x:c r="B529" s="84"/>
      <x:c r="C529" s="84"/>
      <x:c r="D529" s="84"/>
      <x:c r="E529" s="84"/>
      <x:c r="F529" s="84"/>
      <x:c r="G529" s="84"/>
      <x:c r="H529" s="84"/>
      <x:c r="I529" s="84"/>
      <x:c r="J529" s="84"/>
      <x:c r="K529" s="84"/>
      <x:c r="L529" s="84"/>
      <x:c r="M529" s="84"/>
      <x:c r="N529" s="84"/>
      <x:c r="O529" s="84"/>
      <x:c r="P529" s="84"/>
      <x:c r="Q529" s="84"/>
      <x:c r="R529" s="84"/>
      <x:c r="S529" s="84"/>
      <x:c r="T529" s="84"/>
      <x:c r="U529" s="84"/>
      <x:c r="V529" s="84"/>
      <x:c r="W529" s="84"/>
      <x:c r="X529" s="84"/>
      <x:c r="Y529" s="84"/>
      <x:c r="Z529" s="84"/>
    </x:row>
    <x:row r="530">
      <x:c r="A530" s="84"/>
      <x:c r="B530" s="84"/>
      <x:c r="C530" s="84"/>
      <x:c r="D530" s="84"/>
      <x:c r="E530" s="84"/>
      <x:c r="F530" s="84"/>
      <x:c r="G530" s="84"/>
      <x:c r="H530" s="84"/>
      <x:c r="I530" s="84"/>
      <x:c r="J530" s="84"/>
      <x:c r="K530" s="84"/>
      <x:c r="L530" s="84"/>
      <x:c r="M530" s="84"/>
      <x:c r="N530" s="84"/>
      <x:c r="O530" s="84"/>
      <x:c r="P530" s="84"/>
      <x:c r="Q530" s="84"/>
      <x:c r="R530" s="84"/>
      <x:c r="S530" s="84"/>
      <x:c r="T530" s="84"/>
      <x:c r="U530" s="84"/>
      <x:c r="V530" s="84"/>
      <x:c r="W530" s="84"/>
      <x:c r="X530" s="84"/>
      <x:c r="Y530" s="84"/>
      <x:c r="Z530" s="84"/>
    </x:row>
    <x:row r="531">
      <x:c r="A531" s="84"/>
      <x:c r="B531" s="84"/>
      <x:c r="C531" s="84"/>
      <x:c r="D531" s="84"/>
      <x:c r="E531" s="84"/>
      <x:c r="F531" s="84"/>
      <x:c r="G531" s="84"/>
      <x:c r="H531" s="84"/>
      <x:c r="I531" s="84"/>
      <x:c r="J531" s="84"/>
      <x:c r="K531" s="84"/>
      <x:c r="L531" s="84"/>
      <x:c r="M531" s="84"/>
      <x:c r="N531" s="84"/>
      <x:c r="O531" s="84"/>
      <x:c r="P531" s="84"/>
      <x:c r="Q531" s="84"/>
      <x:c r="R531" s="84"/>
      <x:c r="S531" s="84"/>
      <x:c r="T531" s="84"/>
      <x:c r="U531" s="84"/>
      <x:c r="V531" s="84"/>
      <x:c r="W531" s="84"/>
      <x:c r="X531" s="84"/>
      <x:c r="Y531" s="84"/>
      <x:c r="Z531" s="84"/>
    </x:row>
    <x:row r="532">
      <x:c r="A532" s="84"/>
      <x:c r="B532" s="84"/>
      <x:c r="C532" s="84"/>
      <x:c r="D532" s="84"/>
      <x:c r="E532" s="84"/>
      <x:c r="F532" s="84"/>
      <x:c r="G532" s="84"/>
      <x:c r="H532" s="84"/>
      <x:c r="I532" s="84"/>
      <x:c r="J532" s="84"/>
      <x:c r="K532" s="84"/>
      <x:c r="L532" s="84"/>
      <x:c r="M532" s="84"/>
      <x:c r="N532" s="84"/>
      <x:c r="O532" s="84"/>
      <x:c r="P532" s="84"/>
      <x:c r="Q532" s="84"/>
      <x:c r="R532" s="84"/>
      <x:c r="S532" s="84"/>
      <x:c r="T532" s="84"/>
      <x:c r="U532" s="84"/>
      <x:c r="V532" s="84"/>
      <x:c r="W532" s="84"/>
      <x:c r="X532" s="84"/>
      <x:c r="Y532" s="84"/>
      <x:c r="Z532" s="84"/>
    </x:row>
    <x:row r="533">
      <x:c r="A533" s="84"/>
      <x:c r="B533" s="84"/>
      <x:c r="C533" s="84"/>
      <x:c r="D533" s="84"/>
      <x:c r="E533" s="84"/>
      <x:c r="F533" s="84"/>
      <x:c r="G533" s="84"/>
      <x:c r="H533" s="84"/>
      <x:c r="I533" s="84"/>
      <x:c r="J533" s="84"/>
      <x:c r="K533" s="84"/>
      <x:c r="L533" s="84"/>
      <x:c r="M533" s="84"/>
      <x:c r="N533" s="84"/>
      <x:c r="O533" s="84"/>
      <x:c r="P533" s="84"/>
      <x:c r="Q533" s="84"/>
      <x:c r="R533" s="84"/>
      <x:c r="S533" s="84"/>
      <x:c r="T533" s="84"/>
      <x:c r="U533" s="84"/>
      <x:c r="V533" s="84"/>
      <x:c r="W533" s="84"/>
      <x:c r="X533" s="84"/>
      <x:c r="Y533" s="84"/>
      <x:c r="Z533" s="84"/>
    </x:row>
    <x:row r="534">
      <x:c r="A534" s="84"/>
      <x:c r="B534" s="84"/>
      <x:c r="C534" s="84"/>
      <x:c r="D534" s="84"/>
      <x:c r="E534" s="84"/>
      <x:c r="F534" s="84"/>
      <x:c r="G534" s="84"/>
      <x:c r="H534" s="84"/>
      <x:c r="I534" s="84"/>
      <x:c r="J534" s="84"/>
      <x:c r="K534" s="84"/>
      <x:c r="L534" s="84"/>
      <x:c r="M534" s="84"/>
      <x:c r="N534" s="84"/>
      <x:c r="O534" s="84"/>
      <x:c r="P534" s="84"/>
      <x:c r="Q534" s="84"/>
      <x:c r="R534" s="84"/>
      <x:c r="S534" s="84"/>
      <x:c r="T534" s="84"/>
      <x:c r="U534" s="84"/>
      <x:c r="V534" s="84"/>
      <x:c r="W534" s="84"/>
      <x:c r="X534" s="84"/>
      <x:c r="Y534" s="84"/>
      <x:c r="Z534" s="84"/>
    </x:row>
    <x:row r="535">
      <x:c r="A535" s="84"/>
      <x:c r="B535" s="84"/>
      <x:c r="C535" s="84"/>
      <x:c r="D535" s="84"/>
      <x:c r="E535" s="84"/>
      <x:c r="F535" s="84"/>
      <x:c r="G535" s="84"/>
      <x:c r="H535" s="84"/>
      <x:c r="I535" s="84"/>
      <x:c r="J535" s="84"/>
      <x:c r="K535" s="84"/>
      <x:c r="L535" s="84"/>
      <x:c r="M535" s="84"/>
      <x:c r="N535" s="84"/>
      <x:c r="O535" s="84"/>
      <x:c r="P535" s="84"/>
      <x:c r="Q535" s="84"/>
      <x:c r="R535" s="84"/>
      <x:c r="S535" s="84"/>
      <x:c r="T535" s="84"/>
      <x:c r="U535" s="84"/>
      <x:c r="V535" s="84"/>
      <x:c r="W535" s="84"/>
      <x:c r="X535" s="84"/>
      <x:c r="Y535" s="84"/>
      <x:c r="Z535" s="84"/>
    </x:row>
    <x:row r="536">
      <x:c r="A536" s="84"/>
      <x:c r="B536" s="84"/>
      <x:c r="C536" s="84"/>
      <x:c r="D536" s="84"/>
      <x:c r="E536" s="84"/>
      <x:c r="F536" s="84"/>
      <x:c r="G536" s="84"/>
      <x:c r="H536" s="84"/>
      <x:c r="I536" s="84"/>
      <x:c r="J536" s="84"/>
      <x:c r="K536" s="84"/>
      <x:c r="L536" s="84"/>
      <x:c r="M536" s="84"/>
      <x:c r="N536" s="84"/>
      <x:c r="O536" s="84"/>
      <x:c r="P536" s="84"/>
      <x:c r="Q536" s="84"/>
      <x:c r="R536" s="84"/>
      <x:c r="S536" s="84"/>
      <x:c r="T536" s="84"/>
      <x:c r="U536" s="84"/>
      <x:c r="V536" s="84"/>
      <x:c r="W536" s="84"/>
      <x:c r="X536" s="84"/>
      <x:c r="Y536" s="84"/>
      <x:c r="Z536" s="84"/>
    </x:row>
    <x:row r="537">
      <x:c r="A537" s="84"/>
      <x:c r="B537" s="84"/>
      <x:c r="C537" s="84"/>
      <x:c r="D537" s="84"/>
      <x:c r="E537" s="84"/>
      <x:c r="F537" s="84"/>
      <x:c r="G537" s="84"/>
      <x:c r="H537" s="84"/>
      <x:c r="I537" s="84"/>
      <x:c r="J537" s="84"/>
      <x:c r="K537" s="84"/>
      <x:c r="L537" s="84"/>
      <x:c r="M537" s="84"/>
      <x:c r="N537" s="84"/>
      <x:c r="O537" s="84"/>
      <x:c r="P537" s="84"/>
      <x:c r="Q537" s="84"/>
      <x:c r="R537" s="84"/>
      <x:c r="S537" s="84"/>
      <x:c r="T537" s="84"/>
      <x:c r="U537" s="84"/>
      <x:c r="V537" s="84"/>
      <x:c r="W537" s="84"/>
      <x:c r="X537" s="84"/>
      <x:c r="Y537" s="84"/>
      <x:c r="Z537" s="84"/>
    </x:row>
    <x:row r="538">
      <x:c r="A538" s="84"/>
      <x:c r="B538" s="84"/>
      <x:c r="C538" s="84"/>
      <x:c r="D538" s="84"/>
      <x:c r="E538" s="84"/>
      <x:c r="F538" s="84"/>
      <x:c r="G538" s="84"/>
      <x:c r="H538" s="84"/>
      <x:c r="I538" s="84"/>
      <x:c r="J538" s="84"/>
      <x:c r="K538" s="84"/>
      <x:c r="L538" s="84"/>
      <x:c r="M538" s="84"/>
      <x:c r="N538" s="84"/>
      <x:c r="O538" s="84"/>
      <x:c r="P538" s="84"/>
      <x:c r="Q538" s="84"/>
      <x:c r="R538" s="84"/>
      <x:c r="S538" s="84"/>
      <x:c r="T538" s="84"/>
      <x:c r="U538" s="84"/>
      <x:c r="V538" s="84"/>
      <x:c r="W538" s="84"/>
      <x:c r="X538" s="84"/>
      <x:c r="Y538" s="84"/>
      <x:c r="Z538" s="84"/>
    </x:row>
    <x:row r="539">
      <x:c r="A539" s="84"/>
      <x:c r="B539" s="84"/>
      <x:c r="C539" s="84"/>
      <x:c r="D539" s="84"/>
      <x:c r="E539" s="84"/>
      <x:c r="F539" s="84"/>
      <x:c r="G539" s="84"/>
      <x:c r="H539" s="84"/>
      <x:c r="I539" s="84"/>
      <x:c r="J539" s="84"/>
      <x:c r="K539" s="84"/>
      <x:c r="L539" s="84"/>
      <x:c r="M539" s="84"/>
      <x:c r="N539" s="84"/>
      <x:c r="O539" s="84"/>
      <x:c r="P539" s="84"/>
      <x:c r="Q539" s="84"/>
      <x:c r="R539" s="84"/>
      <x:c r="S539" s="84"/>
      <x:c r="T539" s="84"/>
      <x:c r="U539" s="84"/>
      <x:c r="V539" s="84"/>
      <x:c r="W539" s="84"/>
      <x:c r="X539" s="84"/>
      <x:c r="Y539" s="84"/>
      <x:c r="Z539" s="84"/>
    </x:row>
    <x:row r="540">
      <x:c r="A540" s="84"/>
      <x:c r="B540" s="84"/>
      <x:c r="C540" s="84"/>
      <x:c r="D540" s="84"/>
      <x:c r="E540" s="84"/>
      <x:c r="F540" s="84"/>
      <x:c r="G540" s="84"/>
      <x:c r="H540" s="84"/>
      <x:c r="I540" s="84"/>
      <x:c r="J540" s="84"/>
      <x:c r="K540" s="84"/>
      <x:c r="L540" s="84"/>
      <x:c r="M540" s="84"/>
      <x:c r="N540" s="84"/>
      <x:c r="O540" s="84"/>
      <x:c r="P540" s="84"/>
      <x:c r="Q540" s="84"/>
      <x:c r="R540" s="84"/>
      <x:c r="S540" s="84"/>
      <x:c r="T540" s="84"/>
      <x:c r="U540" s="84"/>
      <x:c r="V540" s="84"/>
      <x:c r="W540" s="84"/>
      <x:c r="X540" s="84"/>
      <x:c r="Y540" s="84"/>
      <x:c r="Z540" s="84"/>
    </x:row>
    <x:row r="541">
      <x:c r="A541" s="84"/>
      <x:c r="B541" s="84"/>
      <x:c r="C541" s="84"/>
      <x:c r="D541" s="84"/>
      <x:c r="E541" s="84"/>
      <x:c r="F541" s="84"/>
      <x:c r="G541" s="84"/>
      <x:c r="H541" s="84"/>
      <x:c r="I541" s="84"/>
      <x:c r="J541" s="84"/>
      <x:c r="K541" s="84"/>
      <x:c r="L541" s="84"/>
      <x:c r="M541" s="84"/>
      <x:c r="N541" s="84"/>
      <x:c r="O541" s="84"/>
      <x:c r="P541" s="84"/>
      <x:c r="Q541" s="84"/>
      <x:c r="R541" s="84"/>
      <x:c r="S541" s="84"/>
      <x:c r="T541" s="84"/>
      <x:c r="U541" s="84"/>
      <x:c r="V541" s="84"/>
      <x:c r="W541" s="84"/>
      <x:c r="X541" s="84"/>
      <x:c r="Y541" s="84"/>
      <x:c r="Z541" s="84"/>
    </x:row>
    <x:row r="542">
      <x:c r="A542" s="84"/>
      <x:c r="B542" s="84"/>
      <x:c r="C542" s="84"/>
      <x:c r="D542" s="84"/>
      <x:c r="E542" s="84"/>
      <x:c r="F542" s="84"/>
      <x:c r="G542" s="84"/>
      <x:c r="H542" s="84"/>
      <x:c r="I542" s="84"/>
      <x:c r="J542" s="84"/>
      <x:c r="K542" s="84"/>
      <x:c r="L542" s="84"/>
      <x:c r="M542" s="84"/>
      <x:c r="N542" s="84"/>
      <x:c r="O542" s="84"/>
      <x:c r="P542" s="84"/>
      <x:c r="Q542" s="84"/>
      <x:c r="R542" s="84"/>
      <x:c r="S542" s="84"/>
      <x:c r="T542" s="84"/>
      <x:c r="U542" s="84"/>
      <x:c r="V542" s="84"/>
      <x:c r="W542" s="84"/>
      <x:c r="X542" s="84"/>
      <x:c r="Y542" s="84"/>
      <x:c r="Z542" s="84"/>
    </x:row>
    <x:row r="543">
      <x:c r="A543" s="84"/>
      <x:c r="B543" s="84"/>
      <x:c r="C543" s="84"/>
      <x:c r="D543" s="84"/>
      <x:c r="E543" s="84"/>
      <x:c r="F543" s="84"/>
      <x:c r="G543" s="84"/>
      <x:c r="H543" s="84"/>
      <x:c r="I543" s="84"/>
      <x:c r="J543" s="84"/>
      <x:c r="K543" s="84"/>
      <x:c r="L543" s="84"/>
      <x:c r="M543" s="84"/>
      <x:c r="N543" s="84"/>
      <x:c r="O543" s="84"/>
      <x:c r="P543" s="84"/>
      <x:c r="Q543" s="84"/>
      <x:c r="R543" s="84"/>
      <x:c r="S543" s="84"/>
      <x:c r="T543" s="84"/>
      <x:c r="U543" s="84"/>
      <x:c r="V543" s="84"/>
      <x:c r="W543" s="84"/>
      <x:c r="X543" s="84"/>
      <x:c r="Y543" s="84"/>
      <x:c r="Z543" s="84"/>
    </x:row>
    <x:row r="544">
      <x:c r="A544" s="84"/>
      <x:c r="B544" s="84"/>
      <x:c r="C544" s="84"/>
      <x:c r="D544" s="84"/>
      <x:c r="E544" s="84"/>
      <x:c r="F544" s="84"/>
      <x:c r="G544" s="84"/>
      <x:c r="H544" s="84"/>
      <x:c r="I544" s="84"/>
      <x:c r="J544" s="84"/>
      <x:c r="K544" s="84"/>
      <x:c r="L544" s="84"/>
      <x:c r="M544" s="84"/>
      <x:c r="N544" s="84"/>
      <x:c r="O544" s="84"/>
      <x:c r="P544" s="84"/>
      <x:c r="Q544" s="84"/>
      <x:c r="R544" s="84"/>
      <x:c r="S544" s="84"/>
      <x:c r="T544" s="84"/>
      <x:c r="U544" s="84"/>
      <x:c r="V544" s="84"/>
      <x:c r="W544" s="84"/>
      <x:c r="X544" s="84"/>
      <x:c r="Y544" s="84"/>
      <x:c r="Z544" s="84"/>
    </x:row>
    <x:row r="545">
      <x:c r="A545" s="84"/>
      <x:c r="B545" s="84"/>
      <x:c r="C545" s="84"/>
      <x:c r="D545" s="84"/>
      <x:c r="E545" s="84"/>
      <x:c r="F545" s="84"/>
      <x:c r="G545" s="84"/>
      <x:c r="H545" s="84"/>
      <x:c r="I545" s="84"/>
      <x:c r="J545" s="84"/>
      <x:c r="K545" s="84"/>
      <x:c r="L545" s="84"/>
      <x:c r="M545" s="84"/>
      <x:c r="N545" s="84"/>
      <x:c r="O545" s="84"/>
      <x:c r="P545" s="84"/>
      <x:c r="Q545" s="84"/>
      <x:c r="R545" s="84"/>
      <x:c r="S545" s="84"/>
      <x:c r="T545" s="84"/>
      <x:c r="U545" s="84"/>
      <x:c r="V545" s="84"/>
      <x:c r="W545" s="84"/>
      <x:c r="X545" s="84"/>
      <x:c r="Y545" s="84"/>
      <x:c r="Z545" s="84"/>
    </x:row>
    <x:row r="546">
      <x:c r="A546" s="84"/>
      <x:c r="B546" s="84"/>
      <x:c r="C546" s="84"/>
      <x:c r="D546" s="84"/>
      <x:c r="E546" s="84"/>
      <x:c r="F546" s="84"/>
      <x:c r="G546" s="84"/>
      <x:c r="H546" s="84"/>
      <x:c r="I546" s="84"/>
      <x:c r="J546" s="84"/>
      <x:c r="K546" s="84"/>
      <x:c r="L546" s="84"/>
      <x:c r="M546" s="84"/>
      <x:c r="N546" s="84"/>
      <x:c r="O546" s="84"/>
      <x:c r="P546" s="84"/>
      <x:c r="Q546" s="84"/>
      <x:c r="R546" s="84"/>
      <x:c r="S546" s="84"/>
      <x:c r="T546" s="84"/>
      <x:c r="U546" s="84"/>
      <x:c r="V546" s="84"/>
      <x:c r="W546" s="84"/>
      <x:c r="X546" s="84"/>
      <x:c r="Y546" s="84"/>
      <x:c r="Z546" s="84"/>
    </x:row>
    <x:row r="547">
      <x:c r="A547" s="84"/>
      <x:c r="B547" s="84"/>
      <x:c r="C547" s="84"/>
      <x:c r="D547" s="84"/>
      <x:c r="E547" s="84"/>
      <x:c r="F547" s="84"/>
      <x:c r="G547" s="84"/>
      <x:c r="H547" s="84"/>
      <x:c r="I547" s="84"/>
      <x:c r="J547" s="84"/>
      <x:c r="K547" s="84"/>
      <x:c r="L547" s="84"/>
      <x:c r="M547" s="84"/>
      <x:c r="N547" s="84"/>
      <x:c r="O547" s="84"/>
      <x:c r="P547" s="84"/>
      <x:c r="Q547" s="84"/>
      <x:c r="R547" s="84"/>
      <x:c r="S547" s="84"/>
      <x:c r="T547" s="84"/>
      <x:c r="U547" s="84"/>
      <x:c r="V547" s="84"/>
      <x:c r="W547" s="84"/>
      <x:c r="X547" s="84"/>
      <x:c r="Y547" s="84"/>
      <x:c r="Z547" s="84"/>
    </x:row>
    <x:row r="548">
      <x:c r="A548" s="84"/>
      <x:c r="B548" s="84"/>
      <x:c r="C548" s="84"/>
      <x:c r="D548" s="84"/>
      <x:c r="E548" s="84"/>
      <x:c r="F548" s="84"/>
      <x:c r="G548" s="84"/>
      <x:c r="H548" s="84"/>
      <x:c r="I548" s="84"/>
      <x:c r="J548" s="84"/>
      <x:c r="K548" s="84"/>
      <x:c r="L548" s="84"/>
      <x:c r="M548" s="84"/>
      <x:c r="N548" s="84"/>
      <x:c r="O548" s="84"/>
      <x:c r="P548" s="84"/>
      <x:c r="Q548" s="84"/>
      <x:c r="R548" s="84"/>
      <x:c r="S548" s="84"/>
      <x:c r="T548" s="84"/>
      <x:c r="U548" s="84"/>
      <x:c r="V548" s="84"/>
      <x:c r="W548" s="84"/>
      <x:c r="X548" s="84"/>
      <x:c r="Y548" s="84"/>
      <x:c r="Z548" s="84"/>
    </x:row>
    <x:row r="549">
      <x:c r="A549" s="84"/>
      <x:c r="B549" s="84"/>
      <x:c r="C549" s="84"/>
      <x:c r="D549" s="84"/>
      <x:c r="E549" s="84"/>
      <x:c r="F549" s="84"/>
      <x:c r="G549" s="84"/>
      <x:c r="H549" s="84"/>
      <x:c r="I549" s="84"/>
      <x:c r="J549" s="84"/>
      <x:c r="K549" s="84"/>
      <x:c r="L549" s="84"/>
      <x:c r="M549" s="84"/>
      <x:c r="N549" s="84"/>
      <x:c r="O549" s="84"/>
      <x:c r="P549" s="84"/>
      <x:c r="Q549" s="84"/>
      <x:c r="R549" s="84"/>
      <x:c r="S549" s="84"/>
      <x:c r="T549" s="84"/>
      <x:c r="U549" s="84"/>
      <x:c r="V549" s="84"/>
      <x:c r="W549" s="84"/>
      <x:c r="X549" s="84"/>
      <x:c r="Y549" s="84"/>
      <x:c r="Z549" s="84"/>
    </x:row>
    <x:row r="550">
      <x:c r="A550" s="84"/>
      <x:c r="B550" s="84"/>
      <x:c r="C550" s="84"/>
      <x:c r="D550" s="84"/>
      <x:c r="E550" s="84"/>
      <x:c r="F550" s="84"/>
      <x:c r="G550" s="84"/>
      <x:c r="H550" s="84"/>
      <x:c r="I550" s="84"/>
      <x:c r="J550" s="84"/>
      <x:c r="K550" s="84"/>
      <x:c r="L550" s="84"/>
      <x:c r="M550" s="84"/>
      <x:c r="N550" s="84"/>
      <x:c r="O550" s="84"/>
      <x:c r="P550" s="84"/>
      <x:c r="Q550" s="84"/>
      <x:c r="R550" s="84"/>
      <x:c r="S550" s="84"/>
      <x:c r="T550" s="84"/>
      <x:c r="U550" s="84"/>
      <x:c r="V550" s="84"/>
      <x:c r="W550" s="84"/>
      <x:c r="X550" s="84"/>
      <x:c r="Y550" s="84"/>
      <x:c r="Z550" s="84"/>
    </x:row>
    <x:row r="551">
      <x:c r="A551" s="84"/>
      <x:c r="B551" s="84"/>
      <x:c r="C551" s="84"/>
      <x:c r="D551" s="84"/>
      <x:c r="E551" s="84"/>
      <x:c r="F551" s="84"/>
      <x:c r="G551" s="84"/>
      <x:c r="H551" s="84"/>
      <x:c r="I551" s="84"/>
      <x:c r="J551" s="84"/>
      <x:c r="K551" s="84"/>
      <x:c r="L551" s="84"/>
      <x:c r="M551" s="84"/>
      <x:c r="N551" s="84"/>
      <x:c r="O551" s="84"/>
      <x:c r="P551" s="84"/>
      <x:c r="Q551" s="84"/>
      <x:c r="R551" s="84"/>
      <x:c r="S551" s="84"/>
      <x:c r="T551" s="84"/>
      <x:c r="U551" s="84"/>
      <x:c r="V551" s="84"/>
      <x:c r="W551" s="84"/>
      <x:c r="X551" s="84"/>
      <x:c r="Y551" s="84"/>
      <x:c r="Z551" s="84"/>
    </x:row>
    <x:row r="552">
      <x:c r="A552" s="84"/>
      <x:c r="B552" s="84"/>
      <x:c r="C552" s="84"/>
      <x:c r="D552" s="84"/>
      <x:c r="E552" s="84"/>
      <x:c r="F552" s="84"/>
      <x:c r="G552" s="84"/>
      <x:c r="H552" s="84"/>
      <x:c r="I552" s="84"/>
      <x:c r="J552" s="84"/>
      <x:c r="K552" s="84"/>
      <x:c r="L552" s="84"/>
      <x:c r="M552" s="84"/>
      <x:c r="N552" s="84"/>
      <x:c r="O552" s="84"/>
      <x:c r="P552" s="84"/>
      <x:c r="Q552" s="84"/>
      <x:c r="R552" s="84"/>
      <x:c r="S552" s="84"/>
      <x:c r="T552" s="84"/>
      <x:c r="U552" s="84"/>
      <x:c r="V552" s="84"/>
      <x:c r="W552" s="84"/>
      <x:c r="X552" s="84"/>
      <x:c r="Y552" s="84"/>
      <x:c r="Z552" s="84"/>
    </x:row>
    <x:row r="553">
      <x:c r="A553" s="84"/>
      <x:c r="B553" s="84"/>
      <x:c r="C553" s="84"/>
      <x:c r="D553" s="84"/>
      <x:c r="E553" s="84"/>
      <x:c r="F553" s="84"/>
      <x:c r="G553" s="84"/>
      <x:c r="H553" s="84"/>
      <x:c r="I553" s="84"/>
      <x:c r="J553" s="84"/>
      <x:c r="K553" s="84"/>
      <x:c r="L553" s="84"/>
      <x:c r="M553" s="84"/>
      <x:c r="N553" s="84"/>
      <x:c r="O553" s="84"/>
      <x:c r="P553" s="84"/>
      <x:c r="Q553" s="84"/>
      <x:c r="R553" s="84"/>
      <x:c r="S553" s="84"/>
      <x:c r="T553" s="84"/>
      <x:c r="U553" s="84"/>
      <x:c r="V553" s="84"/>
      <x:c r="W553" s="84"/>
      <x:c r="X553" s="84"/>
      <x:c r="Y553" s="84"/>
      <x:c r="Z553" s="84"/>
    </x:row>
    <x:row r="554">
      <x:c r="A554" s="84"/>
      <x:c r="B554" s="84"/>
      <x:c r="C554" s="84"/>
      <x:c r="D554" s="84"/>
      <x:c r="E554" s="84"/>
      <x:c r="F554" s="84"/>
      <x:c r="G554" s="84"/>
      <x:c r="H554" s="84"/>
      <x:c r="I554" s="84"/>
      <x:c r="J554" s="84"/>
      <x:c r="K554" s="84"/>
      <x:c r="L554" s="84"/>
      <x:c r="M554" s="84"/>
      <x:c r="N554" s="84"/>
      <x:c r="O554" s="84"/>
      <x:c r="P554" s="84"/>
      <x:c r="Q554" s="84"/>
      <x:c r="R554" s="84"/>
      <x:c r="S554" s="84"/>
      <x:c r="T554" s="84"/>
      <x:c r="U554" s="84"/>
      <x:c r="V554" s="84"/>
      <x:c r="W554" s="84"/>
      <x:c r="X554" s="84"/>
      <x:c r="Y554" s="84"/>
      <x:c r="Z554" s="84"/>
    </x:row>
    <x:row r="555">
      <x:c r="A555" s="84"/>
      <x:c r="B555" s="84"/>
      <x:c r="C555" s="84"/>
      <x:c r="D555" s="84"/>
      <x:c r="E555" s="84"/>
      <x:c r="F555" s="84"/>
      <x:c r="G555" s="84"/>
      <x:c r="H555" s="84"/>
      <x:c r="I555" s="84"/>
      <x:c r="J555" s="84"/>
      <x:c r="K555" s="84"/>
      <x:c r="L555" s="84"/>
      <x:c r="M555" s="84"/>
      <x:c r="N555" s="84"/>
      <x:c r="O555" s="84"/>
      <x:c r="P555" s="84"/>
      <x:c r="Q555" s="84"/>
      <x:c r="R555" s="84"/>
      <x:c r="S555" s="84"/>
      <x:c r="T555" s="84"/>
      <x:c r="U555" s="84"/>
      <x:c r="V555" s="84"/>
      <x:c r="W555" s="84"/>
      <x:c r="X555" s="84"/>
      <x:c r="Y555" s="84"/>
      <x:c r="Z555" s="84"/>
    </x:row>
    <x:row r="556">
      <x:c r="A556" s="84"/>
      <x:c r="B556" s="84"/>
      <x:c r="C556" s="84"/>
      <x:c r="D556" s="84"/>
      <x:c r="E556" s="84"/>
      <x:c r="F556" s="84"/>
      <x:c r="G556" s="84"/>
      <x:c r="H556" s="84"/>
      <x:c r="I556" s="84"/>
      <x:c r="J556" s="84"/>
      <x:c r="K556" s="84"/>
      <x:c r="L556" s="84"/>
      <x:c r="M556" s="84"/>
      <x:c r="N556" s="84"/>
      <x:c r="O556" s="84"/>
      <x:c r="P556" s="84"/>
      <x:c r="Q556" s="84"/>
      <x:c r="R556" s="84"/>
      <x:c r="S556" s="84"/>
      <x:c r="T556" s="84"/>
      <x:c r="U556" s="84"/>
      <x:c r="V556" s="84"/>
      <x:c r="W556" s="84"/>
      <x:c r="X556" s="84"/>
      <x:c r="Y556" s="84"/>
      <x:c r="Z556" s="84"/>
    </x:row>
    <x:row r="557">
      <x:c r="A557" s="84"/>
      <x:c r="B557" s="84"/>
      <x:c r="C557" s="84"/>
      <x:c r="D557" s="84"/>
      <x:c r="E557" s="84"/>
      <x:c r="F557" s="84"/>
      <x:c r="G557" s="84"/>
      <x:c r="H557" s="84"/>
      <x:c r="I557" s="84"/>
      <x:c r="J557" s="84"/>
      <x:c r="K557" s="84"/>
      <x:c r="L557" s="84"/>
      <x:c r="M557" s="84"/>
      <x:c r="N557" s="84"/>
      <x:c r="O557" s="84"/>
      <x:c r="P557" s="84"/>
      <x:c r="Q557" s="84"/>
      <x:c r="R557" s="84"/>
      <x:c r="S557" s="84"/>
      <x:c r="T557" s="84"/>
      <x:c r="U557" s="84"/>
      <x:c r="V557" s="84"/>
      <x:c r="W557" s="84"/>
      <x:c r="X557" s="84"/>
      <x:c r="Y557" s="84"/>
      <x:c r="Z557" s="84"/>
    </x:row>
    <x:row r="558">
      <x:c r="A558" s="84"/>
      <x:c r="B558" s="84"/>
      <x:c r="C558" s="84"/>
      <x:c r="D558" s="84"/>
      <x:c r="E558" s="84"/>
      <x:c r="F558" s="84"/>
      <x:c r="G558" s="84"/>
      <x:c r="H558" s="84"/>
      <x:c r="I558" s="84"/>
      <x:c r="J558" s="84"/>
      <x:c r="K558" s="84"/>
      <x:c r="L558" s="84"/>
      <x:c r="M558" s="84"/>
      <x:c r="N558" s="84"/>
      <x:c r="O558" s="84"/>
      <x:c r="P558" s="84"/>
      <x:c r="Q558" s="84"/>
      <x:c r="R558" s="84"/>
      <x:c r="S558" s="84"/>
      <x:c r="T558" s="84"/>
      <x:c r="U558" s="84"/>
      <x:c r="V558" s="84"/>
      <x:c r="W558" s="84"/>
      <x:c r="X558" s="84"/>
      <x:c r="Y558" s="84"/>
      <x:c r="Z558" s="84"/>
    </x:row>
    <x:row r="559">
      <x:c r="A559" s="84"/>
      <x:c r="B559" s="84"/>
      <x:c r="C559" s="84"/>
      <x:c r="D559" s="84"/>
      <x:c r="E559" s="84"/>
      <x:c r="F559" s="84"/>
      <x:c r="G559" s="84"/>
      <x:c r="H559" s="84"/>
      <x:c r="I559" s="84"/>
      <x:c r="J559" s="84"/>
      <x:c r="K559" s="84"/>
      <x:c r="L559" s="84"/>
      <x:c r="M559" s="84"/>
      <x:c r="N559" s="84"/>
      <x:c r="O559" s="84"/>
      <x:c r="P559" s="84"/>
      <x:c r="Q559" s="84"/>
      <x:c r="R559" s="84"/>
      <x:c r="S559" s="84"/>
      <x:c r="T559" s="84"/>
      <x:c r="U559" s="84"/>
      <x:c r="V559" s="84"/>
      <x:c r="W559" s="84"/>
      <x:c r="X559" s="84"/>
      <x:c r="Y559" s="84"/>
      <x:c r="Z559" s="84"/>
    </x:row>
    <x:row r="560">
      <x:c r="A560" s="84"/>
      <x:c r="B560" s="84"/>
      <x:c r="C560" s="84"/>
      <x:c r="D560" s="84"/>
      <x:c r="E560" s="84"/>
      <x:c r="F560" s="84"/>
      <x:c r="G560" s="84"/>
      <x:c r="H560" s="84"/>
      <x:c r="I560" s="84"/>
      <x:c r="J560" s="84"/>
      <x:c r="K560" s="84"/>
      <x:c r="L560" s="84"/>
      <x:c r="M560" s="84"/>
      <x:c r="N560" s="84"/>
      <x:c r="O560" s="84"/>
      <x:c r="P560" s="84"/>
      <x:c r="Q560" s="84"/>
      <x:c r="R560" s="84"/>
      <x:c r="S560" s="84"/>
      <x:c r="T560" s="84"/>
      <x:c r="U560" s="84"/>
      <x:c r="V560" s="84"/>
      <x:c r="W560" s="84"/>
      <x:c r="X560" s="84"/>
      <x:c r="Y560" s="84"/>
      <x:c r="Z560" s="84"/>
    </x:row>
    <x:row r="561">
      <x:c r="A561" s="84"/>
      <x:c r="B561" s="84"/>
      <x:c r="C561" s="84"/>
      <x:c r="D561" s="84"/>
      <x:c r="E561" s="84"/>
      <x:c r="F561" s="84"/>
      <x:c r="G561" s="84"/>
      <x:c r="H561" s="84"/>
      <x:c r="I561" s="84"/>
      <x:c r="J561" s="84"/>
      <x:c r="K561" s="84"/>
      <x:c r="L561" s="84"/>
      <x:c r="M561" s="84"/>
      <x:c r="N561" s="84"/>
      <x:c r="O561" s="84"/>
      <x:c r="P561" s="84"/>
      <x:c r="Q561" s="84"/>
      <x:c r="R561" s="84"/>
      <x:c r="S561" s="84"/>
      <x:c r="T561" s="84"/>
      <x:c r="U561" s="84"/>
      <x:c r="V561" s="84"/>
      <x:c r="W561" s="84"/>
      <x:c r="X561" s="84"/>
      <x:c r="Y561" s="84"/>
      <x:c r="Z561" s="84"/>
    </x:row>
    <x:row r="562">
      <x:c r="A562" s="84"/>
      <x:c r="B562" s="84"/>
      <x:c r="C562" s="84"/>
      <x:c r="D562" s="84"/>
      <x:c r="E562" s="84"/>
      <x:c r="F562" s="84"/>
      <x:c r="G562" s="84"/>
      <x:c r="H562" s="84"/>
      <x:c r="I562" s="84"/>
      <x:c r="J562" s="84"/>
      <x:c r="K562" s="84"/>
      <x:c r="L562" s="84"/>
      <x:c r="M562" s="84"/>
      <x:c r="N562" s="84"/>
      <x:c r="O562" s="84"/>
      <x:c r="P562" s="84"/>
      <x:c r="Q562" s="84"/>
      <x:c r="R562" s="84"/>
      <x:c r="S562" s="84"/>
      <x:c r="T562" s="84"/>
      <x:c r="U562" s="84"/>
      <x:c r="V562" s="84"/>
      <x:c r="W562" s="84"/>
      <x:c r="X562" s="84"/>
      <x:c r="Y562" s="84"/>
      <x:c r="Z562" s="84"/>
    </x:row>
    <x:row r="563">
      <x:c r="A563" s="84"/>
      <x:c r="B563" s="84"/>
      <x:c r="C563" s="84"/>
      <x:c r="D563" s="84"/>
      <x:c r="E563" s="84"/>
      <x:c r="F563" s="84"/>
      <x:c r="G563" s="84"/>
      <x:c r="H563" s="84"/>
      <x:c r="I563" s="84"/>
      <x:c r="J563" s="84"/>
      <x:c r="K563" s="84"/>
      <x:c r="L563" s="84"/>
      <x:c r="M563" s="84"/>
      <x:c r="N563" s="84"/>
      <x:c r="O563" s="84"/>
      <x:c r="P563" s="84"/>
      <x:c r="Q563" s="84"/>
      <x:c r="R563" s="84"/>
      <x:c r="S563" s="84"/>
      <x:c r="T563" s="84"/>
      <x:c r="U563" s="84"/>
      <x:c r="V563" s="84"/>
      <x:c r="W563" s="84"/>
      <x:c r="X563" s="84"/>
      <x:c r="Y563" s="84"/>
      <x:c r="Z563" s="84"/>
    </x:row>
    <x:row r="564">
      <x:c r="A564" s="84"/>
      <x:c r="B564" s="84"/>
      <x:c r="C564" s="84"/>
      <x:c r="D564" s="84"/>
      <x:c r="E564" s="84"/>
      <x:c r="F564" s="84"/>
      <x:c r="G564" s="84"/>
      <x:c r="H564" s="84"/>
      <x:c r="I564" s="84"/>
      <x:c r="J564" s="84"/>
      <x:c r="K564" s="84"/>
      <x:c r="L564" s="84"/>
      <x:c r="M564" s="84"/>
      <x:c r="N564" s="84"/>
      <x:c r="O564" s="84"/>
      <x:c r="P564" s="84"/>
      <x:c r="Q564" s="84"/>
      <x:c r="R564" s="84"/>
      <x:c r="S564" s="84"/>
      <x:c r="T564" s="84"/>
      <x:c r="U564" s="84"/>
      <x:c r="V564" s="84"/>
      <x:c r="W564" s="84"/>
      <x:c r="X564" s="84"/>
      <x:c r="Y564" s="84"/>
      <x:c r="Z564" s="84"/>
    </x:row>
    <x:row r="565">
      <x:c r="A565" s="84"/>
      <x:c r="B565" s="84"/>
      <x:c r="C565" s="84"/>
      <x:c r="D565" s="84"/>
      <x:c r="E565" s="84"/>
      <x:c r="F565" s="84"/>
      <x:c r="G565" s="84"/>
      <x:c r="H565" s="84"/>
      <x:c r="I565" s="84"/>
      <x:c r="J565" s="84"/>
      <x:c r="K565" s="84"/>
      <x:c r="L565" s="84"/>
      <x:c r="M565" s="84"/>
      <x:c r="N565" s="84"/>
      <x:c r="O565" s="84"/>
      <x:c r="P565" s="84"/>
      <x:c r="Q565" s="84"/>
      <x:c r="R565" s="84"/>
      <x:c r="S565" s="84"/>
      <x:c r="T565" s="84"/>
      <x:c r="U565" s="84"/>
      <x:c r="V565" s="84"/>
      <x:c r="W565" s="84"/>
      <x:c r="X565" s="84"/>
      <x:c r="Y565" s="84"/>
      <x:c r="Z565" s="84"/>
    </x:row>
    <x:row r="566">
      <x:c r="A566" s="84"/>
      <x:c r="B566" s="84"/>
      <x:c r="C566" s="84"/>
      <x:c r="D566" s="84"/>
      <x:c r="E566" s="84"/>
      <x:c r="F566" s="84"/>
      <x:c r="G566" s="84"/>
      <x:c r="H566" s="84"/>
      <x:c r="I566" s="84"/>
      <x:c r="J566" s="84"/>
      <x:c r="K566" s="84"/>
      <x:c r="L566" s="84"/>
      <x:c r="M566" s="84"/>
      <x:c r="N566" s="84"/>
      <x:c r="O566" s="84"/>
      <x:c r="P566" s="84"/>
      <x:c r="Q566" s="84"/>
      <x:c r="R566" s="84"/>
      <x:c r="S566" s="84"/>
      <x:c r="T566" s="84"/>
      <x:c r="U566" s="84"/>
      <x:c r="V566" s="84"/>
      <x:c r="W566" s="84"/>
      <x:c r="X566" s="84"/>
      <x:c r="Y566" s="84"/>
      <x:c r="Z566" s="84"/>
    </x:row>
    <x:row r="567">
      <x:c r="A567" s="84"/>
      <x:c r="B567" s="84"/>
      <x:c r="C567" s="84"/>
      <x:c r="D567" s="84"/>
      <x:c r="E567" s="84"/>
      <x:c r="F567" s="84"/>
      <x:c r="G567" s="84"/>
      <x:c r="H567" s="84"/>
      <x:c r="I567" s="84"/>
      <x:c r="J567" s="84"/>
      <x:c r="K567" s="84"/>
      <x:c r="L567" s="84"/>
      <x:c r="M567" s="84"/>
      <x:c r="N567" s="84"/>
      <x:c r="O567" s="84"/>
      <x:c r="P567" s="84"/>
      <x:c r="Q567" s="84"/>
      <x:c r="R567" s="84"/>
      <x:c r="S567" s="84"/>
      <x:c r="T567" s="84"/>
      <x:c r="U567" s="84"/>
      <x:c r="V567" s="84"/>
      <x:c r="W567" s="84"/>
      <x:c r="X567" s="84"/>
      <x:c r="Y567" s="84"/>
      <x:c r="Z567" s="84"/>
    </x:row>
    <x:row r="568">
      <x:c r="A568" s="84"/>
      <x:c r="B568" s="84"/>
      <x:c r="C568" s="84"/>
      <x:c r="D568" s="84"/>
      <x:c r="E568" s="84"/>
      <x:c r="F568" s="84"/>
      <x:c r="G568" s="84"/>
      <x:c r="H568" s="84"/>
      <x:c r="I568" s="84"/>
      <x:c r="J568" s="84"/>
      <x:c r="K568" s="84"/>
      <x:c r="L568" s="84"/>
      <x:c r="M568" s="84"/>
      <x:c r="N568" s="84"/>
      <x:c r="O568" s="84"/>
      <x:c r="P568" s="84"/>
      <x:c r="Q568" s="84"/>
      <x:c r="R568" s="84"/>
      <x:c r="S568" s="84"/>
      <x:c r="T568" s="84"/>
      <x:c r="U568" s="84"/>
      <x:c r="V568" s="84"/>
      <x:c r="W568" s="84"/>
      <x:c r="X568" s="84"/>
      <x:c r="Y568" s="84"/>
      <x:c r="Z568" s="84"/>
    </x:row>
    <x:row r="569">
      <x:c r="A569" s="84"/>
      <x:c r="B569" s="84"/>
      <x:c r="C569" s="84"/>
      <x:c r="D569" s="84"/>
      <x:c r="E569" s="84"/>
      <x:c r="F569" s="84"/>
      <x:c r="G569" s="84"/>
      <x:c r="H569" s="84"/>
      <x:c r="I569" s="84"/>
      <x:c r="J569" s="84"/>
      <x:c r="K569" s="84"/>
      <x:c r="L569" s="84"/>
      <x:c r="M569" s="84"/>
      <x:c r="N569" s="84"/>
      <x:c r="O569" s="84"/>
      <x:c r="P569" s="84"/>
      <x:c r="Q569" s="84"/>
      <x:c r="R569" s="84"/>
      <x:c r="S569" s="84"/>
      <x:c r="T569" s="84"/>
      <x:c r="U569" s="84"/>
      <x:c r="V569" s="84"/>
      <x:c r="W569" s="84"/>
      <x:c r="X569" s="84"/>
      <x:c r="Y569" s="84"/>
      <x:c r="Z569" s="84"/>
    </x:row>
    <x:row r="570">
      <x:c r="A570" s="84"/>
      <x:c r="B570" s="84"/>
      <x:c r="C570" s="84"/>
      <x:c r="D570" s="84"/>
      <x:c r="E570" s="84"/>
      <x:c r="F570" s="84"/>
      <x:c r="G570" s="84"/>
      <x:c r="H570" s="84"/>
      <x:c r="I570" s="84"/>
      <x:c r="J570" s="84"/>
      <x:c r="K570" s="84"/>
      <x:c r="L570" s="84"/>
      <x:c r="M570" s="84"/>
      <x:c r="N570" s="84"/>
      <x:c r="O570" s="84"/>
      <x:c r="P570" s="84"/>
      <x:c r="Q570" s="84"/>
      <x:c r="R570" s="84"/>
      <x:c r="S570" s="84"/>
      <x:c r="T570" s="84"/>
      <x:c r="U570" s="84"/>
      <x:c r="V570" s="84"/>
      <x:c r="W570" s="84"/>
      <x:c r="X570" s="84"/>
      <x:c r="Y570" s="84"/>
      <x:c r="Z570" s="84"/>
    </x:row>
    <x:row r="571">
      <x:c r="A571" s="84"/>
      <x:c r="B571" s="84"/>
      <x:c r="C571" s="84"/>
      <x:c r="D571" s="84"/>
      <x:c r="E571" s="84"/>
      <x:c r="F571" s="84"/>
      <x:c r="G571" s="84"/>
      <x:c r="H571" s="84"/>
      <x:c r="I571" s="84"/>
      <x:c r="J571" s="84"/>
      <x:c r="K571" s="84"/>
      <x:c r="L571" s="84"/>
      <x:c r="M571" s="84"/>
      <x:c r="N571" s="84"/>
      <x:c r="O571" s="84"/>
      <x:c r="P571" s="84"/>
      <x:c r="Q571" s="84"/>
      <x:c r="R571" s="84"/>
      <x:c r="S571" s="84"/>
      <x:c r="T571" s="84"/>
      <x:c r="U571" s="84"/>
      <x:c r="V571" s="84"/>
      <x:c r="W571" s="84"/>
      <x:c r="X571" s="84"/>
      <x:c r="Y571" s="84"/>
      <x:c r="Z571" s="84"/>
    </x:row>
    <x:row r="572">
      <x:c r="A572" s="84"/>
      <x:c r="B572" s="84"/>
      <x:c r="C572" s="84"/>
      <x:c r="D572" s="84"/>
      <x:c r="E572" s="84"/>
      <x:c r="F572" s="84"/>
      <x:c r="G572" s="84"/>
      <x:c r="H572" s="84"/>
      <x:c r="I572" s="84"/>
      <x:c r="J572" s="84"/>
      <x:c r="K572" s="84"/>
      <x:c r="L572" s="84"/>
      <x:c r="M572" s="84"/>
      <x:c r="N572" s="84"/>
      <x:c r="O572" s="84"/>
      <x:c r="P572" s="84"/>
      <x:c r="Q572" s="84"/>
      <x:c r="R572" s="84"/>
      <x:c r="S572" s="84"/>
      <x:c r="T572" s="84"/>
      <x:c r="U572" s="84"/>
      <x:c r="V572" s="84"/>
      <x:c r="W572" s="84"/>
      <x:c r="X572" s="84"/>
      <x:c r="Y572" s="84"/>
      <x:c r="Z572" s="84"/>
    </x:row>
    <x:row r="573">
      <x:c r="A573" s="84"/>
      <x:c r="B573" s="84"/>
      <x:c r="C573" s="84"/>
      <x:c r="D573" s="84"/>
      <x:c r="E573" s="84"/>
      <x:c r="F573" s="84"/>
      <x:c r="G573" s="84"/>
      <x:c r="H573" s="84"/>
      <x:c r="I573" s="84"/>
      <x:c r="J573" s="84"/>
      <x:c r="K573" s="84"/>
      <x:c r="L573" s="84"/>
      <x:c r="M573" s="84"/>
      <x:c r="N573" s="84"/>
      <x:c r="O573" s="84"/>
      <x:c r="P573" s="84"/>
      <x:c r="Q573" s="84"/>
      <x:c r="R573" s="84"/>
      <x:c r="S573" s="84"/>
      <x:c r="T573" s="84"/>
      <x:c r="U573" s="84"/>
      <x:c r="V573" s="84"/>
      <x:c r="W573" s="84"/>
      <x:c r="X573" s="84"/>
      <x:c r="Y573" s="84"/>
      <x:c r="Z573" s="84"/>
    </x:row>
    <x:row r="574">
      <x:c r="A574" s="84"/>
      <x:c r="B574" s="84"/>
      <x:c r="C574" s="84"/>
      <x:c r="D574" s="84"/>
      <x:c r="E574" s="84"/>
      <x:c r="F574" s="84"/>
      <x:c r="G574" s="84"/>
      <x:c r="H574" s="84"/>
      <x:c r="I574" s="84"/>
      <x:c r="J574" s="84"/>
      <x:c r="K574" s="84"/>
      <x:c r="L574" s="84"/>
      <x:c r="M574" s="84"/>
      <x:c r="N574" s="84"/>
      <x:c r="O574" s="84"/>
      <x:c r="P574" s="84"/>
      <x:c r="Q574" s="84"/>
      <x:c r="R574" s="84"/>
      <x:c r="S574" s="84"/>
      <x:c r="T574" s="84"/>
      <x:c r="U574" s="84"/>
      <x:c r="V574" s="84"/>
      <x:c r="W574" s="84"/>
      <x:c r="X574" s="84"/>
      <x:c r="Y574" s="84"/>
      <x:c r="Z574" s="84"/>
    </x:row>
    <x:row r="575">
      <x:c r="A575" s="84"/>
      <x:c r="B575" s="84"/>
      <x:c r="C575" s="84"/>
      <x:c r="D575" s="84"/>
      <x:c r="E575" s="84"/>
      <x:c r="F575" s="84"/>
      <x:c r="G575" s="84"/>
      <x:c r="H575" s="84"/>
      <x:c r="I575" s="84"/>
      <x:c r="J575" s="84"/>
      <x:c r="K575" s="84"/>
      <x:c r="L575" s="84"/>
      <x:c r="M575" s="84"/>
      <x:c r="N575" s="84"/>
      <x:c r="O575" s="84"/>
      <x:c r="P575" s="84"/>
      <x:c r="Q575" s="84"/>
      <x:c r="R575" s="84"/>
      <x:c r="S575" s="84"/>
      <x:c r="T575" s="84"/>
      <x:c r="U575" s="84"/>
      <x:c r="V575" s="84"/>
      <x:c r="W575" s="84"/>
      <x:c r="X575" s="84"/>
      <x:c r="Y575" s="84"/>
      <x:c r="Z575" s="84"/>
    </x:row>
    <x:row r="576">
      <x:c r="A576" s="84"/>
      <x:c r="B576" s="84"/>
      <x:c r="C576" s="84"/>
      <x:c r="D576" s="84"/>
      <x:c r="E576" s="84"/>
      <x:c r="F576" s="84"/>
      <x:c r="G576" s="84"/>
      <x:c r="H576" s="84"/>
      <x:c r="I576" s="84"/>
      <x:c r="J576" s="84"/>
      <x:c r="K576" s="84"/>
      <x:c r="L576" s="84"/>
      <x:c r="M576" s="84"/>
      <x:c r="N576" s="84"/>
      <x:c r="O576" s="84"/>
      <x:c r="P576" s="84"/>
      <x:c r="Q576" s="84"/>
      <x:c r="R576" s="84"/>
      <x:c r="S576" s="84"/>
      <x:c r="T576" s="84"/>
      <x:c r="U576" s="84"/>
      <x:c r="V576" s="84"/>
      <x:c r="W576" s="84"/>
      <x:c r="X576" s="84"/>
      <x:c r="Y576" s="84"/>
      <x:c r="Z576" s="84"/>
    </x:row>
    <x:row r="577">
      <x:c r="A577" s="84"/>
      <x:c r="B577" s="84"/>
      <x:c r="C577" s="84"/>
      <x:c r="D577" s="84"/>
      <x:c r="E577" s="84"/>
      <x:c r="F577" s="84"/>
      <x:c r="G577" s="84"/>
      <x:c r="H577" s="84"/>
      <x:c r="I577" s="84"/>
      <x:c r="J577" s="84"/>
      <x:c r="K577" s="84"/>
      <x:c r="L577" s="84"/>
      <x:c r="M577" s="84"/>
      <x:c r="N577" s="84"/>
      <x:c r="O577" s="84"/>
      <x:c r="P577" s="84"/>
      <x:c r="Q577" s="84"/>
      <x:c r="R577" s="84"/>
      <x:c r="S577" s="84"/>
      <x:c r="T577" s="84"/>
      <x:c r="U577" s="84"/>
      <x:c r="V577" s="84"/>
      <x:c r="W577" s="84"/>
      <x:c r="X577" s="84"/>
      <x:c r="Y577" s="84"/>
      <x:c r="Z577" s="84"/>
    </x:row>
    <x:row r="578">
      <x:c r="A578" s="84"/>
      <x:c r="B578" s="84"/>
      <x:c r="C578" s="84"/>
      <x:c r="D578" s="84"/>
      <x:c r="E578" s="84"/>
      <x:c r="F578" s="84"/>
      <x:c r="G578" s="84"/>
      <x:c r="H578" s="84"/>
      <x:c r="I578" s="84"/>
      <x:c r="J578" s="84"/>
      <x:c r="K578" s="84"/>
      <x:c r="L578" s="84"/>
      <x:c r="M578" s="84"/>
      <x:c r="N578" s="84"/>
      <x:c r="O578" s="84"/>
      <x:c r="P578" s="84"/>
      <x:c r="Q578" s="84"/>
      <x:c r="R578" s="84"/>
      <x:c r="S578" s="84"/>
      <x:c r="T578" s="84"/>
      <x:c r="U578" s="84"/>
      <x:c r="V578" s="84"/>
      <x:c r="W578" s="84"/>
      <x:c r="X578" s="84"/>
      <x:c r="Y578" s="84"/>
      <x:c r="Z578" s="84"/>
    </x:row>
    <x:row r="579">
      <x:c r="A579" s="84"/>
      <x:c r="B579" s="84"/>
      <x:c r="C579" s="84"/>
      <x:c r="D579" s="84"/>
      <x:c r="E579" s="84"/>
      <x:c r="F579" s="84"/>
      <x:c r="G579" s="84"/>
      <x:c r="H579" s="84"/>
      <x:c r="I579" s="84"/>
      <x:c r="J579" s="84"/>
      <x:c r="K579" s="84"/>
      <x:c r="L579" s="84"/>
      <x:c r="M579" s="84"/>
      <x:c r="N579" s="84"/>
      <x:c r="O579" s="84"/>
      <x:c r="P579" s="84"/>
      <x:c r="Q579" s="84"/>
      <x:c r="R579" s="84"/>
      <x:c r="S579" s="84"/>
      <x:c r="T579" s="84"/>
      <x:c r="U579" s="84"/>
      <x:c r="V579" s="84"/>
      <x:c r="W579" s="84"/>
      <x:c r="X579" s="84"/>
      <x:c r="Y579" s="84"/>
      <x:c r="Z579" s="84"/>
    </x:row>
    <x:row r="580">
      <x:c r="A580" s="84"/>
      <x:c r="B580" s="84"/>
      <x:c r="C580" s="84"/>
      <x:c r="D580" s="84"/>
      <x:c r="E580" s="84"/>
      <x:c r="F580" s="84"/>
      <x:c r="G580" s="84"/>
      <x:c r="H580" s="84"/>
      <x:c r="I580" s="84"/>
      <x:c r="J580" s="84"/>
      <x:c r="K580" s="84"/>
      <x:c r="L580" s="84"/>
      <x:c r="M580" s="84"/>
      <x:c r="N580" s="84"/>
      <x:c r="O580" s="84"/>
      <x:c r="P580" s="84"/>
      <x:c r="Q580" s="84"/>
      <x:c r="R580" s="84"/>
      <x:c r="S580" s="84"/>
      <x:c r="T580" s="84"/>
      <x:c r="U580" s="84"/>
      <x:c r="V580" s="84"/>
      <x:c r="W580" s="84"/>
      <x:c r="X580" s="84"/>
      <x:c r="Y580" s="84"/>
      <x:c r="Z580" s="84"/>
    </x:row>
    <x:row r="581">
      <x:c r="A581" s="84"/>
      <x:c r="B581" s="84"/>
      <x:c r="C581" s="84"/>
      <x:c r="D581" s="84"/>
      <x:c r="E581" s="84"/>
      <x:c r="F581" s="84"/>
      <x:c r="G581" s="84"/>
      <x:c r="H581" s="84"/>
      <x:c r="I581" s="84"/>
      <x:c r="J581" s="84"/>
      <x:c r="K581" s="84"/>
      <x:c r="L581" s="84"/>
      <x:c r="M581" s="84"/>
      <x:c r="N581" s="84"/>
      <x:c r="O581" s="84"/>
      <x:c r="P581" s="84"/>
      <x:c r="Q581" s="84"/>
      <x:c r="R581" s="84"/>
      <x:c r="S581" s="84"/>
      <x:c r="T581" s="84"/>
      <x:c r="U581" s="84"/>
      <x:c r="V581" s="84"/>
      <x:c r="W581" s="84"/>
      <x:c r="X581" s="84"/>
      <x:c r="Y581" s="84"/>
      <x:c r="Z581" s="84"/>
    </x:row>
    <x:row r="582">
      <x:c r="A582" s="84"/>
      <x:c r="B582" s="84"/>
      <x:c r="C582" s="84"/>
      <x:c r="D582" s="84"/>
      <x:c r="E582" s="84"/>
      <x:c r="F582" s="84"/>
      <x:c r="G582" s="84"/>
      <x:c r="H582" s="84"/>
      <x:c r="I582" s="84"/>
      <x:c r="J582" s="84"/>
      <x:c r="K582" s="84"/>
      <x:c r="L582" s="84"/>
      <x:c r="M582" s="84"/>
      <x:c r="N582" s="84"/>
      <x:c r="O582" s="84"/>
      <x:c r="P582" s="84"/>
      <x:c r="Q582" s="84"/>
      <x:c r="R582" s="84"/>
      <x:c r="S582" s="84"/>
      <x:c r="T582" s="84"/>
      <x:c r="U582" s="84"/>
      <x:c r="V582" s="84"/>
      <x:c r="W582" s="84"/>
      <x:c r="X582" s="84"/>
      <x:c r="Y582" s="84"/>
      <x:c r="Z582" s="84"/>
    </x:row>
    <x:row r="583">
      <x:c r="A583" s="84"/>
      <x:c r="B583" s="84"/>
      <x:c r="C583" s="84"/>
      <x:c r="D583" s="84"/>
      <x:c r="E583" s="84"/>
      <x:c r="F583" s="84"/>
      <x:c r="G583" s="84"/>
      <x:c r="H583" s="84"/>
      <x:c r="I583" s="84"/>
      <x:c r="J583" s="84"/>
      <x:c r="K583" s="84"/>
      <x:c r="L583" s="84"/>
      <x:c r="M583" s="84"/>
      <x:c r="N583" s="84"/>
      <x:c r="O583" s="84"/>
      <x:c r="P583" s="84"/>
      <x:c r="Q583" s="84"/>
      <x:c r="R583" s="84"/>
      <x:c r="S583" s="84"/>
      <x:c r="T583" s="84"/>
      <x:c r="U583" s="84"/>
      <x:c r="V583" s="84"/>
      <x:c r="W583" s="84"/>
      <x:c r="X583" s="84"/>
      <x:c r="Y583" s="84"/>
      <x:c r="Z583" s="84"/>
    </x:row>
    <x:row r="584">
      <x:c r="A584" s="84"/>
      <x:c r="B584" s="84"/>
      <x:c r="C584" s="84"/>
      <x:c r="D584" s="84"/>
      <x:c r="E584" s="84"/>
      <x:c r="F584" s="84"/>
      <x:c r="G584" s="84"/>
      <x:c r="H584" s="84"/>
      <x:c r="I584" s="84"/>
      <x:c r="J584" s="84"/>
      <x:c r="K584" s="84"/>
      <x:c r="L584" s="84"/>
      <x:c r="M584" s="84"/>
      <x:c r="N584" s="84"/>
      <x:c r="O584" s="84"/>
      <x:c r="P584" s="84"/>
      <x:c r="Q584" s="84"/>
      <x:c r="R584" s="84"/>
      <x:c r="S584" s="84"/>
      <x:c r="T584" s="84"/>
      <x:c r="U584" s="84"/>
      <x:c r="V584" s="84"/>
      <x:c r="W584" s="84"/>
      <x:c r="X584" s="84"/>
      <x:c r="Y584" s="84"/>
      <x:c r="Z584" s="84"/>
    </x:row>
    <x:row r="585">
      <x:c r="A585" s="84"/>
      <x:c r="B585" s="84"/>
      <x:c r="C585" s="84"/>
      <x:c r="D585" s="84"/>
      <x:c r="E585" s="84"/>
      <x:c r="F585" s="84"/>
      <x:c r="G585" s="84"/>
      <x:c r="H585" s="84"/>
      <x:c r="I585" s="84"/>
      <x:c r="J585" s="84"/>
      <x:c r="K585" s="84"/>
      <x:c r="L585" s="84"/>
      <x:c r="M585" s="84"/>
      <x:c r="N585" s="84"/>
      <x:c r="O585" s="84"/>
      <x:c r="P585" s="84"/>
      <x:c r="Q585" s="84"/>
      <x:c r="R585" s="84"/>
      <x:c r="S585" s="84"/>
      <x:c r="T585" s="84"/>
      <x:c r="U585" s="84"/>
      <x:c r="V585" s="84"/>
      <x:c r="W585" s="84"/>
      <x:c r="X585" s="84"/>
      <x:c r="Y585" s="84"/>
      <x:c r="Z585" s="84"/>
    </x:row>
    <x:row r="586">
      <x:c r="A586" s="84"/>
      <x:c r="B586" s="84"/>
      <x:c r="C586" s="84"/>
      <x:c r="D586" s="84"/>
      <x:c r="E586" s="84"/>
      <x:c r="F586" s="84"/>
      <x:c r="G586" s="84"/>
      <x:c r="H586" s="84"/>
      <x:c r="I586" s="84"/>
      <x:c r="J586" s="84"/>
      <x:c r="K586" s="84"/>
      <x:c r="L586" s="84"/>
      <x:c r="M586" s="84"/>
      <x:c r="N586" s="84"/>
      <x:c r="O586" s="84"/>
      <x:c r="P586" s="84"/>
      <x:c r="Q586" s="84"/>
      <x:c r="R586" s="84"/>
      <x:c r="S586" s="84"/>
      <x:c r="T586" s="84"/>
      <x:c r="U586" s="84"/>
      <x:c r="V586" s="84"/>
      <x:c r="W586" s="84"/>
      <x:c r="X586" s="84"/>
      <x:c r="Y586" s="84"/>
      <x:c r="Z586" s="84"/>
    </x:row>
    <x:row r="587">
      <x:c r="A587" s="84"/>
      <x:c r="B587" s="84"/>
      <x:c r="C587" s="84"/>
      <x:c r="D587" s="84"/>
      <x:c r="E587" s="84"/>
      <x:c r="F587" s="84"/>
      <x:c r="G587" s="84"/>
      <x:c r="H587" s="84"/>
      <x:c r="I587" s="84"/>
      <x:c r="J587" s="84"/>
      <x:c r="K587" s="84"/>
      <x:c r="L587" s="84"/>
      <x:c r="M587" s="84"/>
      <x:c r="N587" s="84"/>
      <x:c r="O587" s="84"/>
      <x:c r="P587" s="84"/>
      <x:c r="Q587" s="84"/>
      <x:c r="R587" s="84"/>
      <x:c r="S587" s="84"/>
      <x:c r="T587" s="84"/>
      <x:c r="U587" s="84"/>
      <x:c r="V587" s="84"/>
      <x:c r="W587" s="84"/>
      <x:c r="X587" s="84"/>
      <x:c r="Y587" s="84"/>
      <x:c r="Z587" s="84"/>
    </x:row>
    <x:row r="588">
      <x:c r="A588" s="84"/>
      <x:c r="B588" s="84"/>
      <x:c r="C588" s="84"/>
      <x:c r="D588" s="84"/>
      <x:c r="E588" s="84"/>
      <x:c r="F588" s="84"/>
      <x:c r="G588" s="84"/>
      <x:c r="H588" s="84"/>
      <x:c r="I588" s="84"/>
      <x:c r="J588" s="84"/>
      <x:c r="K588" s="84"/>
      <x:c r="L588" s="84"/>
      <x:c r="M588" s="84"/>
      <x:c r="N588" s="84"/>
      <x:c r="O588" s="84"/>
      <x:c r="P588" s="84"/>
      <x:c r="Q588" s="84"/>
      <x:c r="R588" s="84"/>
      <x:c r="S588" s="84"/>
      <x:c r="T588" s="84"/>
      <x:c r="U588" s="84"/>
      <x:c r="V588" s="84"/>
      <x:c r="W588" s="84"/>
      <x:c r="X588" s="84"/>
      <x:c r="Y588" s="84"/>
      <x:c r="Z588" s="84"/>
    </x:row>
    <x:row r="589">
      <x:c r="A589" s="84"/>
      <x:c r="B589" s="84"/>
      <x:c r="C589" s="84"/>
      <x:c r="D589" s="84"/>
      <x:c r="E589" s="84"/>
      <x:c r="F589" s="84"/>
      <x:c r="G589" s="84"/>
      <x:c r="H589" s="84"/>
      <x:c r="I589" s="84"/>
      <x:c r="J589" s="84"/>
      <x:c r="K589" s="84"/>
      <x:c r="L589" s="84"/>
      <x:c r="M589" s="84"/>
      <x:c r="N589" s="84"/>
      <x:c r="O589" s="84"/>
      <x:c r="P589" s="84"/>
      <x:c r="Q589" s="84"/>
      <x:c r="R589" s="84"/>
      <x:c r="S589" s="84"/>
      <x:c r="T589" s="84"/>
      <x:c r="U589" s="84"/>
      <x:c r="V589" s="84"/>
      <x:c r="W589" s="84"/>
      <x:c r="X589" s="84"/>
      <x:c r="Y589" s="84"/>
      <x:c r="Z589" s="84"/>
    </x:row>
    <x:row r="590">
      <x:c r="A590" s="84"/>
      <x:c r="B590" s="84"/>
      <x:c r="C590" s="84"/>
      <x:c r="D590" s="84"/>
      <x:c r="E590" s="84"/>
      <x:c r="F590" s="84"/>
      <x:c r="G590" s="84"/>
      <x:c r="H590" s="84"/>
      <x:c r="I590" s="84"/>
      <x:c r="J590" s="84"/>
      <x:c r="K590" s="84"/>
      <x:c r="L590" s="84"/>
      <x:c r="M590" s="84"/>
      <x:c r="N590" s="84"/>
      <x:c r="O590" s="84"/>
      <x:c r="P590" s="84"/>
      <x:c r="Q590" s="84"/>
      <x:c r="R590" s="84"/>
      <x:c r="S590" s="84"/>
      <x:c r="T590" s="84"/>
      <x:c r="U590" s="84"/>
      <x:c r="V590" s="84"/>
      <x:c r="W590" s="84"/>
      <x:c r="X590" s="84"/>
      <x:c r="Y590" s="84"/>
      <x:c r="Z590" s="84"/>
    </x:row>
    <x:row r="591">
      <x:c r="A591" s="84"/>
      <x:c r="B591" s="84"/>
      <x:c r="C591" s="84"/>
      <x:c r="D591" s="84"/>
      <x:c r="E591" s="84"/>
      <x:c r="F591" s="84"/>
      <x:c r="G591" s="84"/>
      <x:c r="H591" s="84"/>
      <x:c r="I591" s="84"/>
      <x:c r="J591" s="84"/>
      <x:c r="K591" s="84"/>
      <x:c r="L591" s="84"/>
      <x:c r="M591" s="84"/>
      <x:c r="N591" s="84"/>
      <x:c r="O591" s="84"/>
      <x:c r="P591" s="84"/>
      <x:c r="Q591" s="84"/>
      <x:c r="R591" s="84"/>
      <x:c r="S591" s="84"/>
      <x:c r="T591" s="84"/>
      <x:c r="U591" s="84"/>
      <x:c r="V591" s="84"/>
      <x:c r="W591" s="84"/>
      <x:c r="X591" s="84"/>
      <x:c r="Y591" s="84"/>
      <x:c r="Z591" s="84"/>
    </x:row>
    <x:row r="592">
      <x:c r="A592" s="84"/>
      <x:c r="B592" s="84"/>
      <x:c r="C592" s="84"/>
      <x:c r="D592" s="84"/>
      <x:c r="E592" s="84"/>
      <x:c r="F592" s="84"/>
      <x:c r="G592" s="84"/>
      <x:c r="H592" s="84"/>
      <x:c r="I592" s="84"/>
      <x:c r="J592" s="84"/>
      <x:c r="K592" s="84"/>
      <x:c r="L592" s="84"/>
      <x:c r="M592" s="84"/>
      <x:c r="N592" s="84"/>
      <x:c r="O592" s="84"/>
      <x:c r="P592" s="84"/>
      <x:c r="Q592" s="84"/>
      <x:c r="R592" s="84"/>
      <x:c r="S592" s="84"/>
      <x:c r="T592" s="84"/>
      <x:c r="U592" s="84"/>
      <x:c r="V592" s="84"/>
      <x:c r="W592" s="84"/>
      <x:c r="X592" s="84"/>
      <x:c r="Y592" s="84"/>
      <x:c r="Z592" s="84"/>
    </x:row>
    <x:row r="593">
      <x:c r="A593" s="84"/>
      <x:c r="B593" s="84"/>
      <x:c r="C593" s="84"/>
      <x:c r="D593" s="84"/>
      <x:c r="E593" s="84"/>
      <x:c r="F593" s="84"/>
      <x:c r="G593" s="84"/>
      <x:c r="H593" s="84"/>
      <x:c r="I593" s="84"/>
      <x:c r="J593" s="84"/>
      <x:c r="K593" s="84"/>
      <x:c r="L593" s="84"/>
      <x:c r="M593" s="84"/>
      <x:c r="N593" s="84"/>
      <x:c r="O593" s="84"/>
      <x:c r="P593" s="84"/>
      <x:c r="Q593" s="84"/>
      <x:c r="R593" s="84"/>
      <x:c r="S593" s="84"/>
      <x:c r="T593" s="84"/>
      <x:c r="U593" s="84"/>
      <x:c r="V593" s="84"/>
      <x:c r="W593" s="84"/>
      <x:c r="X593" s="84"/>
      <x:c r="Y593" s="84"/>
      <x:c r="Z593" s="84"/>
    </x:row>
    <x:row r="594">
      <x:c r="A594" s="84"/>
      <x:c r="B594" s="84"/>
      <x:c r="C594" s="84"/>
      <x:c r="D594" s="84"/>
      <x:c r="E594" s="84"/>
      <x:c r="F594" s="84"/>
      <x:c r="G594" s="84"/>
      <x:c r="H594" s="84"/>
      <x:c r="I594" s="84"/>
      <x:c r="J594" s="84"/>
      <x:c r="K594" s="84"/>
      <x:c r="L594" s="84"/>
      <x:c r="M594" s="84"/>
      <x:c r="N594" s="84"/>
      <x:c r="O594" s="84"/>
      <x:c r="P594" s="84"/>
      <x:c r="Q594" s="84"/>
      <x:c r="R594" s="84"/>
      <x:c r="S594" s="84"/>
      <x:c r="T594" s="84"/>
      <x:c r="U594" s="84"/>
      <x:c r="V594" s="84"/>
      <x:c r="W594" s="84"/>
      <x:c r="X594" s="84"/>
      <x:c r="Y594" s="84"/>
      <x:c r="Z594" s="84"/>
    </x:row>
    <x:row r="595">
      <x:c r="A595" s="84"/>
      <x:c r="B595" s="84"/>
      <x:c r="C595" s="84"/>
      <x:c r="D595" s="84"/>
      <x:c r="E595" s="84"/>
      <x:c r="F595" s="84"/>
      <x:c r="G595" s="84"/>
      <x:c r="H595" s="84"/>
      <x:c r="I595" s="84"/>
      <x:c r="J595" s="84"/>
      <x:c r="K595" s="84"/>
      <x:c r="L595" s="84"/>
      <x:c r="M595" s="84"/>
      <x:c r="N595" s="84"/>
      <x:c r="O595" s="84"/>
      <x:c r="P595" s="84"/>
      <x:c r="Q595" s="84"/>
      <x:c r="R595" s="84"/>
      <x:c r="S595" s="84"/>
      <x:c r="T595" s="84"/>
      <x:c r="U595" s="84"/>
      <x:c r="V595" s="84"/>
      <x:c r="W595" s="84"/>
      <x:c r="X595" s="84"/>
      <x:c r="Y595" s="84"/>
      <x:c r="Z595" s="84"/>
    </x:row>
    <x:row r="596">
      <x:c r="A596" s="84"/>
      <x:c r="B596" s="84"/>
      <x:c r="C596" s="84"/>
      <x:c r="D596" s="84"/>
      <x:c r="E596" s="84"/>
      <x:c r="F596" s="84"/>
      <x:c r="G596" s="84"/>
      <x:c r="H596" s="84"/>
      <x:c r="I596" s="84"/>
      <x:c r="J596" s="84"/>
      <x:c r="K596" s="84"/>
      <x:c r="L596" s="84"/>
      <x:c r="M596" s="84"/>
      <x:c r="N596" s="84"/>
      <x:c r="O596" s="84"/>
      <x:c r="P596" s="84"/>
      <x:c r="Q596" s="84"/>
      <x:c r="R596" s="84"/>
      <x:c r="S596" s="84"/>
      <x:c r="T596" s="84"/>
      <x:c r="U596" s="84"/>
      <x:c r="V596" s="84"/>
      <x:c r="W596" s="84"/>
      <x:c r="X596" s="84"/>
      <x:c r="Y596" s="84"/>
      <x:c r="Z596" s="84"/>
    </x:row>
    <x:row r="597">
      <x:c r="A597" s="84"/>
      <x:c r="B597" s="84"/>
      <x:c r="C597" s="84"/>
      <x:c r="D597" s="84"/>
      <x:c r="E597" s="84"/>
      <x:c r="F597" s="84"/>
      <x:c r="G597" s="84"/>
      <x:c r="H597" s="84"/>
      <x:c r="I597" s="84"/>
      <x:c r="J597" s="84"/>
      <x:c r="K597" s="84"/>
      <x:c r="L597" s="84"/>
      <x:c r="M597" s="84"/>
      <x:c r="N597" s="84"/>
      <x:c r="O597" s="84"/>
      <x:c r="P597" s="84"/>
      <x:c r="Q597" s="84"/>
      <x:c r="R597" s="84"/>
      <x:c r="S597" s="84"/>
      <x:c r="T597" s="84"/>
      <x:c r="U597" s="84"/>
      <x:c r="V597" s="84"/>
      <x:c r="W597" s="84"/>
      <x:c r="X597" s="84"/>
      <x:c r="Y597" s="84"/>
      <x:c r="Z597" s="84"/>
    </x:row>
    <x:row r="598">
      <x:c r="A598" s="84"/>
      <x:c r="B598" s="84"/>
      <x:c r="C598" s="84"/>
      <x:c r="D598" s="84"/>
      <x:c r="E598" s="84"/>
      <x:c r="F598" s="84"/>
      <x:c r="G598" s="84"/>
      <x:c r="H598" s="84"/>
      <x:c r="I598" s="84"/>
      <x:c r="J598" s="84"/>
      <x:c r="K598" s="84"/>
      <x:c r="L598" s="84"/>
      <x:c r="M598" s="84"/>
      <x:c r="N598" s="84"/>
      <x:c r="O598" s="84"/>
      <x:c r="P598" s="84"/>
      <x:c r="Q598" s="84"/>
      <x:c r="R598" s="84"/>
      <x:c r="S598" s="84"/>
      <x:c r="T598" s="84"/>
      <x:c r="U598" s="84"/>
      <x:c r="V598" s="84"/>
      <x:c r="W598" s="84"/>
      <x:c r="X598" s="84"/>
      <x:c r="Y598" s="84"/>
      <x:c r="Z598" s="84"/>
    </x:row>
    <x:row r="599">
      <x:c r="A599" s="84"/>
      <x:c r="B599" s="84"/>
      <x:c r="C599" s="84"/>
      <x:c r="D599" s="84"/>
      <x:c r="E599" s="84"/>
      <x:c r="F599" s="84"/>
      <x:c r="G599" s="84"/>
      <x:c r="H599" s="84"/>
      <x:c r="I599" s="84"/>
      <x:c r="J599" s="84"/>
      <x:c r="K599" s="84"/>
      <x:c r="L599" s="84"/>
      <x:c r="M599" s="84"/>
      <x:c r="N599" s="84"/>
      <x:c r="O599" s="84"/>
      <x:c r="P599" s="84"/>
      <x:c r="Q599" s="84"/>
      <x:c r="R599" s="84"/>
      <x:c r="S599" s="84"/>
      <x:c r="T599" s="84"/>
      <x:c r="U599" s="84"/>
      <x:c r="V599" s="84"/>
      <x:c r="W599" s="84"/>
      <x:c r="X599" s="84"/>
      <x:c r="Y599" s="84"/>
      <x:c r="Z599" s="84"/>
    </x:row>
    <x:row r="600">
      <x:c r="A600" s="84"/>
      <x:c r="B600" s="84"/>
      <x:c r="C600" s="84"/>
      <x:c r="D600" s="84"/>
      <x:c r="E600" s="84"/>
      <x:c r="F600" s="84"/>
      <x:c r="G600" s="84"/>
      <x:c r="H600" s="84"/>
      <x:c r="I600" s="84"/>
      <x:c r="J600" s="84"/>
      <x:c r="K600" s="84"/>
      <x:c r="L600" s="84"/>
      <x:c r="M600" s="84"/>
      <x:c r="N600" s="84"/>
      <x:c r="O600" s="84"/>
      <x:c r="P600" s="84"/>
      <x:c r="Q600" s="84"/>
      <x:c r="R600" s="84"/>
      <x:c r="S600" s="84"/>
      <x:c r="T600" s="84"/>
      <x:c r="U600" s="84"/>
      <x:c r="V600" s="84"/>
      <x:c r="W600" s="84"/>
      <x:c r="X600" s="84"/>
      <x:c r="Y600" s="84"/>
      <x:c r="Z600" s="84"/>
    </x:row>
    <x:row r="601">
      <x:c r="A601" s="84"/>
      <x:c r="B601" s="84"/>
      <x:c r="C601" s="84"/>
      <x:c r="D601" s="84"/>
      <x:c r="E601" s="84"/>
      <x:c r="F601" s="84"/>
      <x:c r="G601" s="84"/>
      <x:c r="H601" s="84"/>
      <x:c r="I601" s="84"/>
      <x:c r="J601" s="84"/>
      <x:c r="K601" s="84"/>
      <x:c r="L601" s="84"/>
      <x:c r="M601" s="84"/>
      <x:c r="N601" s="84"/>
      <x:c r="O601" s="84"/>
      <x:c r="P601" s="84"/>
      <x:c r="Q601" s="84"/>
      <x:c r="R601" s="84"/>
      <x:c r="S601" s="84"/>
      <x:c r="T601" s="84"/>
      <x:c r="U601" s="84"/>
      <x:c r="V601" s="84"/>
      <x:c r="W601" s="84"/>
      <x:c r="X601" s="84"/>
      <x:c r="Y601" s="84"/>
      <x:c r="Z601" s="84"/>
    </x:row>
    <x:row r="602">
      <x:c r="A602" s="84"/>
      <x:c r="B602" s="84"/>
      <x:c r="C602" s="84"/>
      <x:c r="D602" s="84"/>
      <x:c r="E602" s="84"/>
      <x:c r="F602" s="84"/>
      <x:c r="G602" s="84"/>
      <x:c r="H602" s="84"/>
      <x:c r="I602" s="84"/>
      <x:c r="J602" s="84"/>
      <x:c r="K602" s="84"/>
      <x:c r="L602" s="84"/>
      <x:c r="M602" s="84"/>
      <x:c r="N602" s="84"/>
      <x:c r="O602" s="84"/>
      <x:c r="P602" s="84"/>
      <x:c r="Q602" s="84"/>
      <x:c r="R602" s="84"/>
      <x:c r="S602" s="84"/>
      <x:c r="T602" s="84"/>
      <x:c r="U602" s="84"/>
      <x:c r="V602" s="84"/>
      <x:c r="W602" s="84"/>
      <x:c r="X602" s="84"/>
      <x:c r="Y602" s="84"/>
      <x:c r="Z602" s="84"/>
    </x:row>
    <x:row r="603">
      <x:c r="A603" s="84"/>
      <x:c r="B603" s="84"/>
      <x:c r="C603" s="84"/>
      <x:c r="D603" s="84"/>
      <x:c r="E603" s="84"/>
      <x:c r="F603" s="84"/>
      <x:c r="G603" s="84"/>
      <x:c r="H603" s="84"/>
      <x:c r="I603" s="84"/>
      <x:c r="J603" s="84"/>
      <x:c r="K603" s="84"/>
      <x:c r="L603" s="84"/>
      <x:c r="M603" s="84"/>
      <x:c r="N603" s="84"/>
      <x:c r="O603" s="84"/>
      <x:c r="P603" s="84"/>
      <x:c r="Q603" s="84"/>
      <x:c r="R603" s="84"/>
      <x:c r="S603" s="84"/>
      <x:c r="T603" s="84"/>
      <x:c r="U603" s="84"/>
      <x:c r="V603" s="84"/>
      <x:c r="W603" s="84"/>
      <x:c r="X603" s="84"/>
      <x:c r="Y603" s="84"/>
      <x:c r="Z603" s="84"/>
    </x:row>
    <x:row r="604">
      <x:c r="A604" s="84"/>
      <x:c r="B604" s="84"/>
      <x:c r="C604" s="84"/>
      <x:c r="D604" s="84"/>
      <x:c r="E604" s="84"/>
      <x:c r="F604" s="84"/>
      <x:c r="G604" s="84"/>
      <x:c r="H604" s="84"/>
      <x:c r="I604" s="84"/>
      <x:c r="J604" s="84"/>
      <x:c r="K604" s="84"/>
      <x:c r="L604" s="84"/>
      <x:c r="M604" s="84"/>
      <x:c r="N604" s="84"/>
      <x:c r="O604" s="84"/>
      <x:c r="P604" s="84"/>
      <x:c r="Q604" s="84"/>
      <x:c r="R604" s="84"/>
      <x:c r="S604" s="84"/>
      <x:c r="T604" s="84"/>
      <x:c r="U604" s="84"/>
      <x:c r="V604" s="84"/>
      <x:c r="W604" s="84"/>
      <x:c r="X604" s="84"/>
      <x:c r="Y604" s="84"/>
      <x:c r="Z604" s="84"/>
    </x:row>
    <x:row r="605">
      <x:c r="A605" s="84"/>
      <x:c r="B605" s="84"/>
      <x:c r="C605" s="84"/>
      <x:c r="D605" s="84"/>
      <x:c r="E605" s="84"/>
      <x:c r="F605" s="84"/>
      <x:c r="G605" s="84"/>
      <x:c r="H605" s="84"/>
      <x:c r="I605" s="84"/>
      <x:c r="J605" s="84"/>
      <x:c r="K605" s="84"/>
      <x:c r="L605" s="84"/>
      <x:c r="M605" s="84"/>
      <x:c r="N605" s="84"/>
      <x:c r="O605" s="84"/>
      <x:c r="P605" s="84"/>
      <x:c r="Q605" s="84"/>
      <x:c r="R605" s="84"/>
      <x:c r="S605" s="84"/>
      <x:c r="T605" s="84"/>
      <x:c r="U605" s="84"/>
      <x:c r="V605" s="84"/>
      <x:c r="W605" s="84"/>
      <x:c r="X605" s="84"/>
      <x:c r="Y605" s="84"/>
      <x:c r="Z605" s="84"/>
    </x:row>
    <x:row r="606">
      <x:c r="A606" s="84"/>
      <x:c r="B606" s="84"/>
      <x:c r="C606" s="84"/>
      <x:c r="D606" s="84"/>
      <x:c r="E606" s="84"/>
      <x:c r="F606" s="84"/>
      <x:c r="G606" s="84"/>
      <x:c r="H606" s="84"/>
      <x:c r="I606" s="84"/>
      <x:c r="J606" s="84"/>
      <x:c r="K606" s="84"/>
      <x:c r="L606" s="84"/>
      <x:c r="M606" s="84"/>
      <x:c r="N606" s="84"/>
      <x:c r="O606" s="84"/>
      <x:c r="P606" s="84"/>
      <x:c r="Q606" s="84"/>
      <x:c r="R606" s="84"/>
      <x:c r="S606" s="84"/>
      <x:c r="T606" s="84"/>
      <x:c r="U606" s="84"/>
      <x:c r="V606" s="84"/>
      <x:c r="W606" s="84"/>
      <x:c r="X606" s="84"/>
      <x:c r="Y606" s="84"/>
      <x:c r="Z606" s="84"/>
    </x:row>
    <x:row r="607">
      <x:c r="A607" s="84"/>
      <x:c r="B607" s="84"/>
      <x:c r="C607" s="84"/>
      <x:c r="D607" s="84"/>
      <x:c r="E607" s="84"/>
      <x:c r="F607" s="84"/>
      <x:c r="G607" s="84"/>
      <x:c r="H607" s="84"/>
      <x:c r="I607" s="84"/>
      <x:c r="J607" s="84"/>
      <x:c r="K607" s="84"/>
      <x:c r="L607" s="84"/>
      <x:c r="M607" s="84"/>
      <x:c r="N607" s="84"/>
      <x:c r="O607" s="84"/>
      <x:c r="P607" s="84"/>
      <x:c r="Q607" s="84"/>
      <x:c r="R607" s="84"/>
      <x:c r="S607" s="84"/>
      <x:c r="T607" s="84"/>
      <x:c r="U607" s="84"/>
      <x:c r="V607" s="84"/>
      <x:c r="W607" s="84"/>
      <x:c r="X607" s="84"/>
      <x:c r="Y607" s="84"/>
      <x:c r="Z607" s="84"/>
    </x:row>
    <x:row r="608">
      <x:c r="A608" s="84"/>
      <x:c r="B608" s="84"/>
      <x:c r="C608" s="84"/>
      <x:c r="D608" s="84"/>
      <x:c r="E608" s="84"/>
      <x:c r="F608" s="84"/>
      <x:c r="G608" s="84"/>
      <x:c r="H608" s="84"/>
      <x:c r="I608" s="84"/>
      <x:c r="J608" s="84"/>
      <x:c r="K608" s="84"/>
      <x:c r="L608" s="84"/>
      <x:c r="M608" s="84"/>
      <x:c r="N608" s="84"/>
      <x:c r="O608" s="84"/>
      <x:c r="P608" s="84"/>
      <x:c r="Q608" s="84"/>
      <x:c r="R608" s="84"/>
      <x:c r="S608" s="84"/>
      <x:c r="T608" s="84"/>
      <x:c r="U608" s="84"/>
      <x:c r="V608" s="84"/>
      <x:c r="W608" s="84"/>
      <x:c r="X608" s="84"/>
      <x:c r="Y608" s="84"/>
      <x:c r="Z608" s="84"/>
    </x:row>
    <x:row r="609">
      <x:c r="A609" s="84"/>
      <x:c r="B609" s="84"/>
      <x:c r="C609" s="84"/>
      <x:c r="D609" s="84"/>
      <x:c r="E609" s="84"/>
      <x:c r="F609" s="84"/>
      <x:c r="G609" s="84"/>
      <x:c r="H609" s="84"/>
      <x:c r="I609" s="84"/>
      <x:c r="J609" s="84"/>
      <x:c r="K609" s="84"/>
      <x:c r="L609" s="84"/>
      <x:c r="M609" s="84"/>
      <x:c r="N609" s="84"/>
      <x:c r="O609" s="84"/>
      <x:c r="P609" s="84"/>
      <x:c r="Q609" s="84"/>
      <x:c r="R609" s="84"/>
      <x:c r="S609" s="84"/>
      <x:c r="T609" s="84"/>
      <x:c r="U609" s="84"/>
      <x:c r="V609" s="84"/>
      <x:c r="W609" s="84"/>
      <x:c r="X609" s="84"/>
      <x:c r="Y609" s="84"/>
      <x:c r="Z609" s="84"/>
    </x:row>
    <x:row r="610">
      <x:c r="A610" s="84"/>
      <x:c r="B610" s="84"/>
      <x:c r="C610" s="84"/>
      <x:c r="D610" s="84"/>
      <x:c r="E610" s="84"/>
      <x:c r="F610" s="84"/>
      <x:c r="G610" s="84"/>
      <x:c r="H610" s="84"/>
      <x:c r="I610" s="84"/>
      <x:c r="J610" s="84"/>
      <x:c r="K610" s="84"/>
      <x:c r="L610" s="84"/>
      <x:c r="M610" s="84"/>
      <x:c r="N610" s="84"/>
      <x:c r="O610" s="84"/>
      <x:c r="P610" s="84"/>
      <x:c r="Q610" s="84"/>
      <x:c r="R610" s="84"/>
      <x:c r="S610" s="84"/>
      <x:c r="T610" s="84"/>
      <x:c r="U610" s="84"/>
      <x:c r="V610" s="84"/>
      <x:c r="W610" s="84"/>
      <x:c r="X610" s="84"/>
      <x:c r="Y610" s="84"/>
      <x:c r="Z610" s="84"/>
    </x:row>
    <x:row r="611">
      <x:c r="A611" s="84"/>
      <x:c r="B611" s="84"/>
      <x:c r="C611" s="84"/>
      <x:c r="D611" s="84"/>
      <x:c r="E611" s="84"/>
      <x:c r="F611" s="84"/>
      <x:c r="G611" s="84"/>
      <x:c r="H611" s="84"/>
      <x:c r="I611" s="84"/>
      <x:c r="J611" s="84"/>
      <x:c r="K611" s="84"/>
      <x:c r="L611" s="84"/>
      <x:c r="M611" s="84"/>
      <x:c r="N611" s="84"/>
      <x:c r="O611" s="84"/>
      <x:c r="P611" s="84"/>
      <x:c r="Q611" s="84"/>
      <x:c r="R611" s="84"/>
      <x:c r="S611" s="84"/>
      <x:c r="T611" s="84"/>
      <x:c r="U611" s="84"/>
      <x:c r="V611" s="84"/>
      <x:c r="W611" s="84"/>
      <x:c r="X611" s="84"/>
      <x:c r="Y611" s="84"/>
      <x:c r="Z611" s="84"/>
    </x:row>
    <x:row r="612">
      <x:c r="A612" s="84"/>
      <x:c r="B612" s="84"/>
      <x:c r="C612" s="84"/>
      <x:c r="D612" s="84"/>
      <x:c r="E612" s="84"/>
      <x:c r="F612" s="84"/>
      <x:c r="G612" s="84"/>
      <x:c r="H612" s="84"/>
      <x:c r="I612" s="84"/>
      <x:c r="J612" s="84"/>
      <x:c r="K612" s="84"/>
      <x:c r="L612" s="84"/>
      <x:c r="M612" s="84"/>
      <x:c r="N612" s="84"/>
      <x:c r="O612" s="84"/>
      <x:c r="P612" s="84"/>
      <x:c r="Q612" s="84"/>
      <x:c r="R612" s="84"/>
      <x:c r="S612" s="84"/>
      <x:c r="T612" s="84"/>
      <x:c r="U612" s="84"/>
      <x:c r="V612" s="84"/>
      <x:c r="W612" s="84"/>
      <x:c r="X612" s="84"/>
      <x:c r="Y612" s="84"/>
      <x:c r="Z612" s="84"/>
    </x:row>
    <x:row r="613">
      <x:c r="A613" s="84"/>
      <x:c r="B613" s="84"/>
      <x:c r="C613" s="84"/>
      <x:c r="D613" s="84"/>
      <x:c r="E613" s="84"/>
      <x:c r="F613" s="84"/>
      <x:c r="G613" s="84"/>
      <x:c r="H613" s="84"/>
      <x:c r="I613" s="84"/>
      <x:c r="J613" s="84"/>
      <x:c r="K613" s="84"/>
      <x:c r="L613" s="84"/>
      <x:c r="M613" s="84"/>
      <x:c r="N613" s="84"/>
      <x:c r="O613" s="84"/>
      <x:c r="P613" s="84"/>
      <x:c r="Q613" s="84"/>
      <x:c r="R613" s="84"/>
      <x:c r="S613" s="84"/>
      <x:c r="T613" s="84"/>
      <x:c r="U613" s="84"/>
      <x:c r="V613" s="84"/>
      <x:c r="W613" s="84"/>
      <x:c r="X613" s="84"/>
      <x:c r="Y613" s="84"/>
      <x:c r="Z613" s="84"/>
    </x:row>
    <x:row r="614">
      <x:c r="A614" s="84"/>
      <x:c r="B614" s="84"/>
      <x:c r="C614" s="84"/>
      <x:c r="D614" s="84"/>
      <x:c r="E614" s="84"/>
      <x:c r="F614" s="84"/>
      <x:c r="G614" s="84"/>
      <x:c r="H614" s="84"/>
      <x:c r="I614" s="84"/>
      <x:c r="J614" s="84"/>
      <x:c r="K614" s="84"/>
      <x:c r="L614" s="84"/>
      <x:c r="M614" s="84"/>
      <x:c r="N614" s="84"/>
      <x:c r="O614" s="84"/>
      <x:c r="P614" s="84"/>
      <x:c r="Q614" s="84"/>
      <x:c r="R614" s="84"/>
      <x:c r="S614" s="84"/>
      <x:c r="T614" s="84"/>
      <x:c r="U614" s="84"/>
      <x:c r="V614" s="84"/>
      <x:c r="W614" s="84"/>
      <x:c r="X614" s="84"/>
      <x:c r="Y614" s="84"/>
      <x:c r="Z614" s="84"/>
    </x:row>
    <x:row r="615">
      <x:c r="A615" s="84"/>
      <x:c r="B615" s="84"/>
      <x:c r="C615" s="84"/>
      <x:c r="D615" s="84"/>
      <x:c r="E615" s="84"/>
      <x:c r="F615" s="84"/>
      <x:c r="G615" s="84"/>
      <x:c r="H615" s="84"/>
      <x:c r="I615" s="84"/>
      <x:c r="J615" s="84"/>
      <x:c r="K615" s="84"/>
      <x:c r="L615" s="84"/>
      <x:c r="M615" s="84"/>
      <x:c r="N615" s="84"/>
      <x:c r="O615" s="84"/>
      <x:c r="P615" s="84"/>
      <x:c r="Q615" s="84"/>
      <x:c r="R615" s="84"/>
      <x:c r="S615" s="84"/>
      <x:c r="T615" s="84"/>
      <x:c r="U615" s="84"/>
      <x:c r="V615" s="84"/>
      <x:c r="W615" s="84"/>
      <x:c r="X615" s="84"/>
      <x:c r="Y615" s="84"/>
      <x:c r="Z615" s="84"/>
    </x:row>
    <x:row r="616">
      <x:c r="A616" s="84"/>
      <x:c r="B616" s="84"/>
      <x:c r="C616" s="84"/>
      <x:c r="D616" s="84"/>
      <x:c r="E616" s="84"/>
      <x:c r="F616" s="84"/>
      <x:c r="G616" s="84"/>
      <x:c r="H616" s="84"/>
      <x:c r="I616" s="84"/>
      <x:c r="J616" s="84"/>
      <x:c r="K616" s="84"/>
      <x:c r="L616" s="84"/>
      <x:c r="M616" s="84"/>
      <x:c r="N616" s="84"/>
      <x:c r="O616" s="84"/>
      <x:c r="P616" s="84"/>
      <x:c r="Q616" s="84"/>
      <x:c r="R616" s="84"/>
      <x:c r="S616" s="84"/>
      <x:c r="T616" s="84"/>
      <x:c r="U616" s="84"/>
      <x:c r="V616" s="84"/>
      <x:c r="W616" s="84"/>
      <x:c r="X616" s="84"/>
      <x:c r="Y616" s="84"/>
      <x:c r="Z616" s="84"/>
    </x:row>
    <x:row r="617">
      <x:c r="A617" s="84"/>
      <x:c r="B617" s="84"/>
      <x:c r="C617" s="84"/>
      <x:c r="D617" s="84"/>
      <x:c r="E617" s="84"/>
      <x:c r="F617" s="84"/>
      <x:c r="G617" s="84"/>
      <x:c r="H617" s="84"/>
      <x:c r="I617" s="84"/>
      <x:c r="J617" s="84"/>
      <x:c r="K617" s="84"/>
      <x:c r="L617" s="84"/>
      <x:c r="M617" s="84"/>
      <x:c r="N617" s="84"/>
      <x:c r="O617" s="84"/>
      <x:c r="P617" s="84"/>
      <x:c r="Q617" s="84"/>
      <x:c r="R617" s="84"/>
      <x:c r="S617" s="84"/>
      <x:c r="T617" s="84"/>
      <x:c r="U617" s="84"/>
      <x:c r="V617" s="84"/>
      <x:c r="W617" s="84"/>
      <x:c r="X617" s="84"/>
      <x:c r="Y617" s="84"/>
      <x:c r="Z617" s="84"/>
    </x:row>
    <x:row r="618">
      <x:c r="A618" s="84"/>
      <x:c r="B618" s="84"/>
      <x:c r="C618" s="84"/>
      <x:c r="D618" s="84"/>
      <x:c r="E618" s="84"/>
      <x:c r="F618" s="84"/>
      <x:c r="G618" s="84"/>
      <x:c r="H618" s="84"/>
      <x:c r="I618" s="84"/>
      <x:c r="J618" s="84"/>
      <x:c r="K618" s="84"/>
      <x:c r="L618" s="84"/>
      <x:c r="M618" s="84"/>
      <x:c r="N618" s="84"/>
      <x:c r="O618" s="84"/>
      <x:c r="P618" s="84"/>
      <x:c r="Q618" s="84"/>
      <x:c r="R618" s="84"/>
      <x:c r="S618" s="84"/>
      <x:c r="T618" s="84"/>
      <x:c r="U618" s="84"/>
      <x:c r="V618" s="84"/>
      <x:c r="W618" s="84"/>
      <x:c r="X618" s="84"/>
      <x:c r="Y618" s="84"/>
      <x:c r="Z618" s="84"/>
    </x:row>
    <x:row r="619">
      <x:c r="A619" s="84"/>
      <x:c r="B619" s="84"/>
      <x:c r="C619" s="84"/>
      <x:c r="D619" s="84"/>
      <x:c r="E619" s="84"/>
      <x:c r="F619" s="84"/>
      <x:c r="G619" s="84"/>
      <x:c r="H619" s="84"/>
      <x:c r="I619" s="84"/>
      <x:c r="J619" s="84"/>
      <x:c r="K619" s="84"/>
      <x:c r="L619" s="84"/>
      <x:c r="M619" s="84"/>
      <x:c r="N619" s="84"/>
      <x:c r="O619" s="84"/>
      <x:c r="P619" s="84"/>
      <x:c r="Q619" s="84"/>
      <x:c r="R619" s="84"/>
      <x:c r="S619" s="84"/>
      <x:c r="T619" s="84"/>
      <x:c r="U619" s="84"/>
      <x:c r="V619" s="84"/>
      <x:c r="W619" s="84"/>
      <x:c r="X619" s="84"/>
      <x:c r="Y619" s="84"/>
      <x:c r="Z619" s="84"/>
    </x:row>
    <x:row r="620">
      <x:c r="A620" s="84"/>
      <x:c r="B620" s="84"/>
      <x:c r="C620" s="84"/>
      <x:c r="D620" s="84"/>
      <x:c r="E620" s="84"/>
      <x:c r="F620" s="84"/>
      <x:c r="G620" s="84"/>
      <x:c r="H620" s="84"/>
      <x:c r="I620" s="84"/>
      <x:c r="J620" s="84"/>
      <x:c r="K620" s="84"/>
      <x:c r="L620" s="84"/>
      <x:c r="M620" s="84"/>
      <x:c r="N620" s="84"/>
      <x:c r="O620" s="84"/>
      <x:c r="P620" s="84"/>
      <x:c r="Q620" s="84"/>
      <x:c r="R620" s="84"/>
      <x:c r="S620" s="84"/>
      <x:c r="T620" s="84"/>
      <x:c r="U620" s="84"/>
      <x:c r="V620" s="84"/>
      <x:c r="W620" s="84"/>
      <x:c r="X620" s="84"/>
      <x:c r="Y620" s="84"/>
      <x:c r="Z620" s="84"/>
    </x:row>
    <x:row r="621">
      <x:c r="A621" s="84"/>
      <x:c r="B621" s="84"/>
      <x:c r="C621" s="84"/>
      <x:c r="D621" s="84"/>
      <x:c r="E621" s="84"/>
      <x:c r="F621" s="84"/>
      <x:c r="G621" s="84"/>
      <x:c r="H621" s="84"/>
      <x:c r="I621" s="84"/>
      <x:c r="J621" s="84"/>
      <x:c r="K621" s="84"/>
      <x:c r="L621" s="84"/>
      <x:c r="M621" s="84"/>
      <x:c r="N621" s="84"/>
      <x:c r="O621" s="84"/>
      <x:c r="P621" s="84"/>
      <x:c r="Q621" s="84"/>
      <x:c r="R621" s="84"/>
      <x:c r="S621" s="84"/>
      <x:c r="T621" s="84"/>
      <x:c r="U621" s="84"/>
      <x:c r="V621" s="84"/>
      <x:c r="W621" s="84"/>
      <x:c r="X621" s="84"/>
      <x:c r="Y621" s="84"/>
      <x:c r="Z621" s="84"/>
    </x:row>
    <x:row r="622">
      <x:c r="A622" s="84"/>
      <x:c r="B622" s="84"/>
      <x:c r="C622" s="84"/>
      <x:c r="D622" s="84"/>
      <x:c r="E622" s="84"/>
      <x:c r="F622" s="84"/>
      <x:c r="G622" s="84"/>
      <x:c r="H622" s="84"/>
      <x:c r="I622" s="84"/>
      <x:c r="J622" s="84"/>
      <x:c r="K622" s="84"/>
      <x:c r="L622" s="84"/>
      <x:c r="M622" s="84"/>
      <x:c r="N622" s="84"/>
      <x:c r="O622" s="84"/>
      <x:c r="P622" s="84"/>
      <x:c r="Q622" s="84"/>
      <x:c r="R622" s="84"/>
      <x:c r="S622" s="84"/>
      <x:c r="T622" s="84"/>
      <x:c r="U622" s="84"/>
      <x:c r="V622" s="84"/>
      <x:c r="W622" s="84"/>
      <x:c r="X622" s="84"/>
      <x:c r="Y622" s="84"/>
      <x:c r="Z622" s="84"/>
    </x:row>
    <x:row r="623">
      <x:c r="A623" s="84"/>
      <x:c r="B623" s="84"/>
      <x:c r="C623" s="84"/>
      <x:c r="D623" s="84"/>
      <x:c r="E623" s="84"/>
      <x:c r="F623" s="84"/>
      <x:c r="G623" s="84"/>
      <x:c r="H623" s="84"/>
      <x:c r="I623" s="84"/>
      <x:c r="J623" s="84"/>
      <x:c r="K623" s="84"/>
      <x:c r="L623" s="84"/>
      <x:c r="M623" s="84"/>
      <x:c r="N623" s="84"/>
      <x:c r="O623" s="84"/>
      <x:c r="P623" s="84"/>
      <x:c r="Q623" s="84"/>
      <x:c r="R623" s="84"/>
      <x:c r="S623" s="84"/>
      <x:c r="T623" s="84"/>
      <x:c r="U623" s="84"/>
      <x:c r="V623" s="84"/>
      <x:c r="W623" s="84"/>
      <x:c r="X623" s="84"/>
      <x:c r="Y623" s="84"/>
      <x:c r="Z623" s="84"/>
    </x:row>
    <x:row r="624">
      <x:c r="A624" s="84"/>
      <x:c r="B624" s="84"/>
      <x:c r="C624" s="84"/>
      <x:c r="D624" s="84"/>
      <x:c r="E624" s="84"/>
      <x:c r="F624" s="84"/>
      <x:c r="G624" s="84"/>
      <x:c r="H624" s="84"/>
      <x:c r="I624" s="84"/>
      <x:c r="J624" s="84"/>
      <x:c r="K624" s="84"/>
      <x:c r="L624" s="84"/>
      <x:c r="M624" s="84"/>
      <x:c r="N624" s="84"/>
      <x:c r="O624" s="84"/>
      <x:c r="P624" s="84"/>
      <x:c r="Q624" s="84"/>
      <x:c r="R624" s="84"/>
      <x:c r="S624" s="84"/>
      <x:c r="T624" s="84"/>
      <x:c r="U624" s="84"/>
      <x:c r="V624" s="84"/>
      <x:c r="W624" s="84"/>
      <x:c r="X624" s="84"/>
      <x:c r="Y624" s="84"/>
      <x:c r="Z624" s="84"/>
    </x:row>
    <x:row r="625">
      <x:c r="A625" s="84"/>
      <x:c r="B625" s="84"/>
      <x:c r="C625" s="84"/>
      <x:c r="D625" s="84"/>
      <x:c r="E625" s="84"/>
      <x:c r="F625" s="84"/>
      <x:c r="G625" s="84"/>
      <x:c r="H625" s="84"/>
      <x:c r="I625" s="84"/>
      <x:c r="J625" s="84"/>
      <x:c r="K625" s="84"/>
      <x:c r="L625" s="84"/>
      <x:c r="M625" s="84"/>
      <x:c r="N625" s="84"/>
      <x:c r="O625" s="84"/>
      <x:c r="P625" s="84"/>
      <x:c r="Q625" s="84"/>
      <x:c r="R625" s="84"/>
      <x:c r="S625" s="84"/>
      <x:c r="T625" s="84"/>
      <x:c r="U625" s="84"/>
      <x:c r="V625" s="84"/>
      <x:c r="W625" s="84"/>
      <x:c r="X625" s="84"/>
      <x:c r="Y625" s="84"/>
      <x:c r="Z625" s="84"/>
    </x:row>
    <x:row r="626">
      <x:c r="A626" s="84"/>
      <x:c r="B626" s="84"/>
      <x:c r="C626" s="84"/>
      <x:c r="D626" s="84"/>
      <x:c r="E626" s="84"/>
      <x:c r="F626" s="84"/>
      <x:c r="G626" s="84"/>
      <x:c r="H626" s="84"/>
      <x:c r="I626" s="84"/>
      <x:c r="J626" s="84"/>
      <x:c r="K626" s="84"/>
      <x:c r="L626" s="84"/>
      <x:c r="M626" s="84"/>
      <x:c r="N626" s="84"/>
      <x:c r="O626" s="84"/>
      <x:c r="P626" s="84"/>
      <x:c r="Q626" s="84"/>
      <x:c r="R626" s="84"/>
      <x:c r="S626" s="84"/>
      <x:c r="T626" s="84"/>
      <x:c r="U626" s="84"/>
      <x:c r="V626" s="84"/>
      <x:c r="W626" s="84"/>
      <x:c r="X626" s="84"/>
      <x:c r="Y626" s="84"/>
      <x:c r="Z626" s="84"/>
    </x:row>
    <x:row r="627">
      <x:c r="A627" s="84"/>
      <x:c r="B627" s="84"/>
      <x:c r="C627" s="84"/>
      <x:c r="D627" s="84"/>
      <x:c r="E627" s="84"/>
      <x:c r="F627" s="84"/>
      <x:c r="G627" s="84"/>
      <x:c r="H627" s="84"/>
      <x:c r="I627" s="84"/>
      <x:c r="J627" s="84"/>
      <x:c r="K627" s="84"/>
      <x:c r="L627" s="84"/>
      <x:c r="M627" s="84"/>
      <x:c r="N627" s="84"/>
      <x:c r="O627" s="84"/>
      <x:c r="P627" s="84"/>
      <x:c r="Q627" s="84"/>
      <x:c r="R627" s="84"/>
      <x:c r="S627" s="84"/>
      <x:c r="T627" s="84"/>
      <x:c r="U627" s="84"/>
      <x:c r="V627" s="84"/>
      <x:c r="W627" s="84"/>
      <x:c r="X627" s="84"/>
      <x:c r="Y627" s="84"/>
      <x:c r="Z627" s="84"/>
    </x:row>
    <x:row r="628">
      <x:c r="A628" s="84"/>
      <x:c r="B628" s="84"/>
      <x:c r="C628" s="84"/>
      <x:c r="D628" s="84"/>
      <x:c r="E628" s="84"/>
      <x:c r="F628" s="84"/>
      <x:c r="G628" s="84"/>
      <x:c r="H628" s="84"/>
      <x:c r="I628" s="84"/>
      <x:c r="J628" s="84"/>
      <x:c r="K628" s="84"/>
      <x:c r="L628" s="84"/>
      <x:c r="M628" s="84"/>
      <x:c r="N628" s="84"/>
      <x:c r="O628" s="84"/>
      <x:c r="P628" s="84"/>
      <x:c r="Q628" s="84"/>
      <x:c r="R628" s="84"/>
      <x:c r="S628" s="84"/>
      <x:c r="T628" s="84"/>
      <x:c r="U628" s="84"/>
      <x:c r="V628" s="84"/>
      <x:c r="W628" s="84"/>
      <x:c r="X628" s="84"/>
      <x:c r="Y628" s="84"/>
      <x:c r="Z628" s="84"/>
    </x:row>
    <x:row r="629">
      <x:c r="A629" s="84"/>
      <x:c r="B629" s="84"/>
      <x:c r="C629" s="84"/>
      <x:c r="D629" s="84"/>
      <x:c r="E629" s="84"/>
      <x:c r="F629" s="84"/>
      <x:c r="G629" s="84"/>
      <x:c r="H629" s="84"/>
      <x:c r="I629" s="84"/>
      <x:c r="J629" s="84"/>
      <x:c r="K629" s="84"/>
      <x:c r="L629" s="84"/>
      <x:c r="M629" s="84"/>
      <x:c r="N629" s="84"/>
      <x:c r="O629" s="84"/>
      <x:c r="P629" s="84"/>
      <x:c r="Q629" s="84"/>
      <x:c r="R629" s="84"/>
      <x:c r="S629" s="84"/>
      <x:c r="T629" s="84"/>
      <x:c r="U629" s="84"/>
      <x:c r="V629" s="84"/>
      <x:c r="W629" s="84"/>
      <x:c r="X629" s="84"/>
      <x:c r="Y629" s="84"/>
      <x:c r="Z629" s="84"/>
    </x:row>
    <x:row r="630">
      <x:c r="A630" s="84"/>
      <x:c r="B630" s="84"/>
      <x:c r="C630" s="84"/>
      <x:c r="D630" s="84"/>
      <x:c r="E630" s="84"/>
      <x:c r="F630" s="84"/>
      <x:c r="G630" s="84"/>
      <x:c r="H630" s="84"/>
      <x:c r="I630" s="84"/>
      <x:c r="J630" s="84"/>
      <x:c r="K630" s="84"/>
      <x:c r="L630" s="84"/>
      <x:c r="M630" s="84"/>
      <x:c r="N630" s="84"/>
      <x:c r="O630" s="84"/>
      <x:c r="P630" s="84"/>
      <x:c r="Q630" s="84"/>
      <x:c r="R630" s="84"/>
      <x:c r="S630" s="84"/>
      <x:c r="T630" s="84"/>
      <x:c r="U630" s="84"/>
      <x:c r="V630" s="84"/>
      <x:c r="W630" s="84"/>
      <x:c r="X630" s="84"/>
      <x:c r="Y630" s="84"/>
      <x:c r="Z630" s="84"/>
    </x:row>
    <x:row r="631">
      <x:c r="A631" s="84"/>
      <x:c r="B631" s="84"/>
      <x:c r="C631" s="84"/>
      <x:c r="D631" s="84"/>
      <x:c r="E631" s="84"/>
      <x:c r="F631" s="84"/>
      <x:c r="G631" s="84"/>
      <x:c r="H631" s="84"/>
      <x:c r="I631" s="84"/>
      <x:c r="J631" s="84"/>
      <x:c r="K631" s="84"/>
      <x:c r="L631" s="84"/>
      <x:c r="M631" s="84"/>
      <x:c r="N631" s="84"/>
      <x:c r="O631" s="84"/>
      <x:c r="P631" s="84"/>
      <x:c r="Q631" s="84"/>
      <x:c r="R631" s="84"/>
      <x:c r="S631" s="84"/>
      <x:c r="T631" s="84"/>
      <x:c r="U631" s="84"/>
      <x:c r="V631" s="84"/>
      <x:c r="W631" s="84"/>
      <x:c r="X631" s="84"/>
      <x:c r="Y631" s="84"/>
      <x:c r="Z631" s="84"/>
    </x:row>
    <x:row r="632">
      <x:c r="A632" s="84"/>
      <x:c r="B632" s="84"/>
      <x:c r="C632" s="84"/>
      <x:c r="D632" s="84"/>
      <x:c r="E632" s="84"/>
      <x:c r="F632" s="84"/>
      <x:c r="G632" s="84"/>
      <x:c r="H632" s="84"/>
      <x:c r="I632" s="84"/>
      <x:c r="J632" s="84"/>
      <x:c r="K632" s="84"/>
      <x:c r="L632" s="84"/>
      <x:c r="M632" s="84"/>
      <x:c r="N632" s="84"/>
      <x:c r="O632" s="84"/>
      <x:c r="P632" s="84"/>
      <x:c r="Q632" s="84"/>
      <x:c r="R632" s="84"/>
      <x:c r="S632" s="84"/>
      <x:c r="T632" s="84"/>
      <x:c r="U632" s="84"/>
      <x:c r="V632" s="84"/>
      <x:c r="W632" s="84"/>
      <x:c r="X632" s="84"/>
      <x:c r="Y632" s="84"/>
      <x:c r="Z632" s="84"/>
    </x:row>
    <x:row r="633">
      <x:c r="A633" s="84"/>
      <x:c r="B633" s="84"/>
      <x:c r="C633" s="84"/>
      <x:c r="D633" s="84"/>
      <x:c r="E633" s="84"/>
      <x:c r="F633" s="84"/>
      <x:c r="G633" s="84"/>
      <x:c r="H633" s="84"/>
      <x:c r="I633" s="84"/>
      <x:c r="J633" s="84"/>
      <x:c r="K633" s="84"/>
      <x:c r="L633" s="84"/>
      <x:c r="M633" s="84"/>
      <x:c r="N633" s="84"/>
      <x:c r="O633" s="84"/>
      <x:c r="P633" s="84"/>
      <x:c r="Q633" s="84"/>
      <x:c r="R633" s="84"/>
      <x:c r="S633" s="84"/>
      <x:c r="T633" s="84"/>
      <x:c r="U633" s="84"/>
      <x:c r="V633" s="84"/>
      <x:c r="W633" s="84"/>
      <x:c r="X633" s="84"/>
      <x:c r="Y633" s="84"/>
      <x:c r="Z633" s="84"/>
    </x:row>
    <x:row r="634">
      <x:c r="A634" s="84"/>
      <x:c r="B634" s="84"/>
      <x:c r="C634" s="84"/>
      <x:c r="D634" s="84"/>
      <x:c r="E634" s="84"/>
      <x:c r="F634" s="84"/>
      <x:c r="G634" s="84"/>
      <x:c r="H634" s="84"/>
      <x:c r="I634" s="84"/>
      <x:c r="J634" s="84"/>
      <x:c r="K634" s="84"/>
      <x:c r="L634" s="84"/>
      <x:c r="M634" s="84"/>
      <x:c r="N634" s="84"/>
      <x:c r="O634" s="84"/>
      <x:c r="P634" s="84"/>
      <x:c r="Q634" s="84"/>
      <x:c r="R634" s="84"/>
      <x:c r="S634" s="84"/>
      <x:c r="T634" s="84"/>
      <x:c r="U634" s="84"/>
      <x:c r="V634" s="84"/>
      <x:c r="W634" s="84"/>
      <x:c r="X634" s="84"/>
      <x:c r="Y634" s="84"/>
      <x:c r="Z634" s="84"/>
    </x:row>
    <x:row r="635">
      <x:c r="A635" s="84"/>
      <x:c r="B635" s="84"/>
      <x:c r="C635" s="84"/>
      <x:c r="D635" s="84"/>
      <x:c r="E635" s="84"/>
      <x:c r="F635" s="84"/>
      <x:c r="G635" s="84"/>
      <x:c r="H635" s="84"/>
      <x:c r="I635" s="84"/>
      <x:c r="J635" s="84"/>
      <x:c r="K635" s="84"/>
      <x:c r="L635" s="84"/>
      <x:c r="M635" s="84"/>
      <x:c r="N635" s="84"/>
      <x:c r="O635" s="84"/>
      <x:c r="P635" s="84"/>
      <x:c r="Q635" s="84"/>
      <x:c r="R635" s="84"/>
      <x:c r="S635" s="84"/>
      <x:c r="T635" s="84"/>
      <x:c r="U635" s="84"/>
      <x:c r="V635" s="84"/>
      <x:c r="W635" s="84"/>
      <x:c r="X635" s="84"/>
      <x:c r="Y635" s="84"/>
      <x:c r="Z635" s="84"/>
    </x:row>
    <x:row r="636">
      <x:c r="A636" s="84"/>
      <x:c r="B636" s="84"/>
      <x:c r="C636" s="84"/>
      <x:c r="D636" s="84"/>
      <x:c r="E636" s="84"/>
      <x:c r="F636" s="84"/>
      <x:c r="G636" s="84"/>
      <x:c r="H636" s="84"/>
      <x:c r="I636" s="84"/>
      <x:c r="J636" s="84"/>
      <x:c r="K636" s="84"/>
      <x:c r="L636" s="84"/>
      <x:c r="M636" s="84"/>
      <x:c r="N636" s="84"/>
      <x:c r="O636" s="84"/>
      <x:c r="P636" s="84"/>
      <x:c r="Q636" s="84"/>
      <x:c r="R636" s="84"/>
      <x:c r="S636" s="84"/>
      <x:c r="T636" s="84"/>
      <x:c r="U636" s="84"/>
      <x:c r="V636" s="84"/>
      <x:c r="W636" s="84"/>
      <x:c r="X636" s="84"/>
      <x:c r="Y636" s="84"/>
      <x:c r="Z636" s="84"/>
    </x:row>
    <x:row r="637">
      <x:c r="A637" s="84"/>
      <x:c r="B637" s="84"/>
      <x:c r="C637" s="84"/>
      <x:c r="D637" s="84"/>
      <x:c r="E637" s="84"/>
      <x:c r="F637" s="84"/>
      <x:c r="G637" s="84"/>
      <x:c r="H637" s="84"/>
      <x:c r="I637" s="84"/>
      <x:c r="J637" s="84"/>
      <x:c r="K637" s="84"/>
      <x:c r="L637" s="84"/>
      <x:c r="M637" s="84"/>
      <x:c r="N637" s="84"/>
      <x:c r="O637" s="84"/>
      <x:c r="P637" s="84"/>
      <x:c r="Q637" s="84"/>
      <x:c r="R637" s="84"/>
      <x:c r="S637" s="84"/>
      <x:c r="T637" s="84"/>
      <x:c r="U637" s="84"/>
      <x:c r="V637" s="84"/>
      <x:c r="W637" s="84"/>
      <x:c r="X637" s="84"/>
      <x:c r="Y637" s="84"/>
      <x:c r="Z637" s="84"/>
    </x:row>
    <x:row r="638">
      <x:c r="A638" s="84"/>
      <x:c r="B638" s="84"/>
      <x:c r="C638" s="84"/>
      <x:c r="D638" s="84"/>
      <x:c r="E638" s="84"/>
      <x:c r="F638" s="84"/>
      <x:c r="G638" s="84"/>
      <x:c r="H638" s="84"/>
      <x:c r="I638" s="84"/>
      <x:c r="J638" s="84"/>
      <x:c r="K638" s="84"/>
      <x:c r="L638" s="84"/>
      <x:c r="M638" s="84"/>
      <x:c r="N638" s="84"/>
      <x:c r="O638" s="84"/>
      <x:c r="P638" s="84"/>
      <x:c r="Q638" s="84"/>
      <x:c r="R638" s="84"/>
      <x:c r="S638" s="84"/>
      <x:c r="T638" s="84"/>
      <x:c r="U638" s="84"/>
      <x:c r="V638" s="84"/>
      <x:c r="W638" s="84"/>
      <x:c r="X638" s="84"/>
      <x:c r="Y638" s="84"/>
      <x:c r="Z638" s="84"/>
    </x:row>
    <x:row r="639">
      <x:c r="A639" s="84"/>
      <x:c r="B639" s="84"/>
      <x:c r="C639" s="84"/>
      <x:c r="D639" s="84"/>
      <x:c r="E639" s="84"/>
      <x:c r="F639" s="84"/>
      <x:c r="G639" s="84"/>
      <x:c r="H639" s="84"/>
      <x:c r="I639" s="84"/>
      <x:c r="J639" s="84"/>
      <x:c r="K639" s="84"/>
      <x:c r="L639" s="84"/>
      <x:c r="M639" s="84"/>
      <x:c r="N639" s="84"/>
      <x:c r="O639" s="84"/>
      <x:c r="P639" s="84"/>
      <x:c r="Q639" s="84"/>
      <x:c r="R639" s="84"/>
      <x:c r="S639" s="84"/>
      <x:c r="T639" s="84"/>
      <x:c r="U639" s="84"/>
      <x:c r="V639" s="84"/>
      <x:c r="W639" s="84"/>
      <x:c r="X639" s="84"/>
      <x:c r="Y639" s="84"/>
      <x:c r="Z639" s="84"/>
    </x:row>
    <x:row r="640">
      <x:c r="A640" s="84"/>
      <x:c r="B640" s="84"/>
      <x:c r="C640" s="84"/>
      <x:c r="D640" s="84"/>
      <x:c r="E640" s="84"/>
      <x:c r="F640" s="84"/>
      <x:c r="G640" s="84"/>
      <x:c r="H640" s="84"/>
      <x:c r="I640" s="84"/>
      <x:c r="J640" s="84"/>
      <x:c r="K640" s="84"/>
      <x:c r="L640" s="84"/>
      <x:c r="M640" s="84"/>
      <x:c r="N640" s="84"/>
      <x:c r="O640" s="84"/>
      <x:c r="P640" s="84"/>
      <x:c r="Q640" s="84"/>
      <x:c r="R640" s="84"/>
      <x:c r="S640" s="84"/>
      <x:c r="T640" s="84"/>
      <x:c r="U640" s="84"/>
      <x:c r="V640" s="84"/>
      <x:c r="W640" s="84"/>
      <x:c r="X640" s="84"/>
      <x:c r="Y640" s="84"/>
      <x:c r="Z640" s="84"/>
    </x:row>
    <x:row r="641">
      <x:c r="A641" s="84"/>
      <x:c r="B641" s="84"/>
      <x:c r="C641" s="84"/>
      <x:c r="D641" s="84"/>
      <x:c r="E641" s="84"/>
      <x:c r="F641" s="84"/>
      <x:c r="G641" s="84"/>
      <x:c r="H641" s="84"/>
      <x:c r="I641" s="84"/>
      <x:c r="J641" s="84"/>
      <x:c r="K641" s="84"/>
      <x:c r="L641" s="84"/>
      <x:c r="M641" s="84"/>
      <x:c r="N641" s="84"/>
      <x:c r="O641" s="84"/>
      <x:c r="P641" s="84"/>
      <x:c r="Q641" s="84"/>
      <x:c r="R641" s="84"/>
      <x:c r="S641" s="84"/>
      <x:c r="T641" s="84"/>
      <x:c r="U641" s="84"/>
      <x:c r="V641" s="84"/>
      <x:c r="W641" s="84"/>
      <x:c r="X641" s="84"/>
      <x:c r="Y641" s="84"/>
      <x:c r="Z641" s="84"/>
    </x:row>
    <x:row r="642">
      <x:c r="A642" s="84"/>
      <x:c r="B642" s="84"/>
      <x:c r="C642" s="84"/>
      <x:c r="D642" s="84"/>
      <x:c r="E642" s="84"/>
      <x:c r="F642" s="84"/>
      <x:c r="G642" s="84"/>
      <x:c r="H642" s="84"/>
      <x:c r="I642" s="84"/>
      <x:c r="J642" s="84"/>
      <x:c r="K642" s="84"/>
      <x:c r="L642" s="84"/>
      <x:c r="M642" s="84"/>
      <x:c r="N642" s="84"/>
      <x:c r="O642" s="84"/>
      <x:c r="P642" s="84"/>
      <x:c r="Q642" s="84"/>
      <x:c r="R642" s="84"/>
      <x:c r="S642" s="84"/>
      <x:c r="T642" s="84"/>
      <x:c r="U642" s="84"/>
      <x:c r="V642" s="84"/>
      <x:c r="W642" s="84"/>
      <x:c r="X642" s="84"/>
      <x:c r="Y642" s="84"/>
      <x:c r="Z642" s="84"/>
    </x:row>
    <x:row r="643">
      <x:c r="A643" s="84"/>
      <x:c r="B643" s="84"/>
      <x:c r="C643" s="84"/>
      <x:c r="D643" s="84"/>
      <x:c r="E643" s="84"/>
      <x:c r="F643" s="84"/>
      <x:c r="G643" s="84"/>
      <x:c r="H643" s="84"/>
      <x:c r="I643" s="84"/>
      <x:c r="J643" s="84"/>
      <x:c r="K643" s="84"/>
      <x:c r="L643" s="84"/>
      <x:c r="M643" s="84"/>
      <x:c r="N643" s="84"/>
      <x:c r="O643" s="84"/>
      <x:c r="P643" s="84"/>
      <x:c r="Q643" s="84"/>
      <x:c r="R643" s="84"/>
      <x:c r="S643" s="84"/>
      <x:c r="T643" s="84"/>
      <x:c r="U643" s="84"/>
      <x:c r="V643" s="84"/>
      <x:c r="W643" s="84"/>
      <x:c r="X643" s="84"/>
      <x:c r="Y643" s="84"/>
      <x:c r="Z643" s="84"/>
    </x:row>
    <x:row r="644">
      <x:c r="A644" s="84"/>
      <x:c r="B644" s="84"/>
      <x:c r="C644" s="84"/>
      <x:c r="D644" s="84"/>
      <x:c r="E644" s="84"/>
      <x:c r="F644" s="84"/>
      <x:c r="G644" s="84"/>
      <x:c r="H644" s="84"/>
      <x:c r="I644" s="84"/>
      <x:c r="J644" s="84"/>
      <x:c r="K644" s="84"/>
      <x:c r="L644" s="84"/>
      <x:c r="M644" s="84"/>
      <x:c r="N644" s="84"/>
      <x:c r="O644" s="84"/>
      <x:c r="P644" s="84"/>
      <x:c r="Q644" s="84"/>
      <x:c r="R644" s="84"/>
      <x:c r="S644" s="84"/>
      <x:c r="T644" s="84"/>
      <x:c r="U644" s="84"/>
      <x:c r="V644" s="84"/>
      <x:c r="W644" s="84"/>
      <x:c r="X644" s="84"/>
      <x:c r="Y644" s="84"/>
      <x:c r="Z644" s="84"/>
    </x:row>
    <x:row r="645">
      <x:c r="A645" s="84"/>
      <x:c r="B645" s="84"/>
      <x:c r="C645" s="84"/>
      <x:c r="D645" s="84"/>
      <x:c r="E645" s="84"/>
      <x:c r="F645" s="84"/>
      <x:c r="G645" s="84"/>
      <x:c r="H645" s="84"/>
      <x:c r="I645" s="84"/>
      <x:c r="J645" s="84"/>
      <x:c r="K645" s="84"/>
      <x:c r="L645" s="84"/>
      <x:c r="M645" s="84"/>
      <x:c r="N645" s="84"/>
      <x:c r="O645" s="84"/>
      <x:c r="P645" s="84"/>
      <x:c r="Q645" s="84"/>
      <x:c r="R645" s="84"/>
      <x:c r="S645" s="84"/>
      <x:c r="T645" s="84"/>
      <x:c r="U645" s="84"/>
      <x:c r="V645" s="84"/>
      <x:c r="W645" s="84"/>
      <x:c r="X645" s="84"/>
      <x:c r="Y645" s="84"/>
      <x:c r="Z645" s="84"/>
    </x:row>
    <x:row r="646">
      <x:c r="A646" s="84"/>
      <x:c r="B646" s="84"/>
      <x:c r="C646" s="84"/>
      <x:c r="D646" s="84"/>
      <x:c r="E646" s="84"/>
      <x:c r="F646" s="84"/>
      <x:c r="G646" s="84"/>
      <x:c r="H646" s="84"/>
      <x:c r="I646" s="84"/>
      <x:c r="J646" s="84"/>
      <x:c r="K646" s="84"/>
      <x:c r="L646" s="84"/>
      <x:c r="M646" s="84"/>
      <x:c r="N646" s="84"/>
      <x:c r="O646" s="84"/>
      <x:c r="P646" s="84"/>
      <x:c r="Q646" s="84"/>
      <x:c r="R646" s="84"/>
      <x:c r="S646" s="84"/>
      <x:c r="T646" s="84"/>
      <x:c r="U646" s="84"/>
      <x:c r="V646" s="84"/>
      <x:c r="W646" s="84"/>
      <x:c r="X646" s="84"/>
      <x:c r="Y646" s="84"/>
      <x:c r="Z646" s="84"/>
    </x:row>
    <x:row r="647">
      <x:c r="A647" s="84"/>
      <x:c r="B647" s="84"/>
      <x:c r="C647" s="84"/>
      <x:c r="D647" s="84"/>
      <x:c r="E647" s="84"/>
      <x:c r="F647" s="84"/>
      <x:c r="G647" s="84"/>
      <x:c r="H647" s="84"/>
      <x:c r="I647" s="84"/>
      <x:c r="J647" s="84"/>
      <x:c r="K647" s="84"/>
      <x:c r="L647" s="84"/>
      <x:c r="M647" s="84"/>
      <x:c r="N647" s="84"/>
      <x:c r="O647" s="84"/>
      <x:c r="P647" s="84"/>
      <x:c r="Q647" s="84"/>
      <x:c r="R647" s="84"/>
      <x:c r="S647" s="84"/>
      <x:c r="T647" s="84"/>
      <x:c r="U647" s="84"/>
      <x:c r="V647" s="84"/>
      <x:c r="W647" s="84"/>
      <x:c r="X647" s="84"/>
      <x:c r="Y647" s="84"/>
      <x:c r="Z647" s="84"/>
    </x:row>
    <x:row r="648">
      <x:c r="A648" s="84"/>
      <x:c r="B648" s="84"/>
      <x:c r="C648" s="84"/>
      <x:c r="D648" s="84"/>
      <x:c r="E648" s="84"/>
      <x:c r="F648" s="84"/>
      <x:c r="G648" s="84"/>
      <x:c r="H648" s="84"/>
      <x:c r="I648" s="84"/>
      <x:c r="J648" s="84"/>
      <x:c r="K648" s="84"/>
      <x:c r="L648" s="84"/>
      <x:c r="M648" s="84"/>
      <x:c r="N648" s="84"/>
      <x:c r="O648" s="84"/>
      <x:c r="P648" s="84"/>
      <x:c r="Q648" s="84"/>
      <x:c r="R648" s="84"/>
      <x:c r="S648" s="84"/>
      <x:c r="T648" s="84"/>
      <x:c r="U648" s="84"/>
      <x:c r="V648" s="84"/>
      <x:c r="W648" s="84"/>
      <x:c r="X648" s="84"/>
      <x:c r="Y648" s="84"/>
      <x:c r="Z648" s="84"/>
    </x:row>
    <x:row r="649">
      <x:c r="A649" s="84"/>
      <x:c r="B649" s="84"/>
      <x:c r="C649" s="84"/>
      <x:c r="D649" s="84"/>
      <x:c r="E649" s="84"/>
      <x:c r="F649" s="84"/>
      <x:c r="G649" s="84"/>
      <x:c r="H649" s="84"/>
      <x:c r="I649" s="84"/>
      <x:c r="J649" s="84"/>
      <x:c r="K649" s="84"/>
      <x:c r="L649" s="84"/>
      <x:c r="M649" s="84"/>
      <x:c r="N649" s="84"/>
      <x:c r="O649" s="84"/>
      <x:c r="P649" s="84"/>
      <x:c r="Q649" s="84"/>
      <x:c r="R649" s="84"/>
      <x:c r="S649" s="84"/>
      <x:c r="T649" s="84"/>
      <x:c r="U649" s="84"/>
      <x:c r="V649" s="84"/>
      <x:c r="W649" s="84"/>
      <x:c r="X649" s="84"/>
      <x:c r="Y649" s="84"/>
      <x:c r="Z649" s="84"/>
    </x:row>
    <x:row r="650">
      <x:c r="A650" s="84"/>
      <x:c r="B650" s="84"/>
      <x:c r="C650" s="84"/>
      <x:c r="D650" s="84"/>
      <x:c r="E650" s="84"/>
      <x:c r="F650" s="84"/>
      <x:c r="G650" s="84"/>
      <x:c r="H650" s="84"/>
      <x:c r="I650" s="84"/>
      <x:c r="J650" s="84"/>
      <x:c r="K650" s="84"/>
      <x:c r="L650" s="84"/>
      <x:c r="M650" s="84"/>
      <x:c r="N650" s="84"/>
      <x:c r="O650" s="84"/>
      <x:c r="P650" s="84"/>
      <x:c r="Q650" s="84"/>
      <x:c r="R650" s="84"/>
      <x:c r="S650" s="84"/>
      <x:c r="T650" s="84"/>
      <x:c r="U650" s="84"/>
      <x:c r="V650" s="84"/>
      <x:c r="W650" s="84"/>
      <x:c r="X650" s="84"/>
      <x:c r="Y650" s="84"/>
      <x:c r="Z650" s="84"/>
    </x:row>
    <x:row r="651">
      <x:c r="A651" s="84"/>
      <x:c r="B651" s="84"/>
      <x:c r="C651" s="84"/>
      <x:c r="D651" s="84"/>
      <x:c r="E651" s="84"/>
      <x:c r="F651" s="84"/>
      <x:c r="G651" s="84"/>
      <x:c r="H651" s="84"/>
      <x:c r="I651" s="84"/>
      <x:c r="J651" s="84"/>
      <x:c r="K651" s="84"/>
      <x:c r="L651" s="84"/>
      <x:c r="M651" s="84"/>
      <x:c r="N651" s="84"/>
      <x:c r="O651" s="84"/>
      <x:c r="P651" s="84"/>
      <x:c r="Q651" s="84"/>
      <x:c r="R651" s="84"/>
      <x:c r="S651" s="84"/>
      <x:c r="T651" s="84"/>
      <x:c r="U651" s="84"/>
      <x:c r="V651" s="84"/>
      <x:c r="W651" s="84"/>
      <x:c r="X651" s="84"/>
      <x:c r="Y651" s="84"/>
      <x:c r="Z651" s="84"/>
    </x:row>
    <x:row r="652">
      <x:c r="A652" s="84"/>
      <x:c r="B652" s="84"/>
      <x:c r="C652" s="84"/>
      <x:c r="D652" s="84"/>
      <x:c r="E652" s="84"/>
      <x:c r="F652" s="84"/>
      <x:c r="G652" s="84"/>
      <x:c r="H652" s="84"/>
      <x:c r="I652" s="84"/>
      <x:c r="J652" s="84"/>
      <x:c r="K652" s="84"/>
      <x:c r="L652" s="84"/>
      <x:c r="M652" s="84"/>
      <x:c r="N652" s="84"/>
      <x:c r="O652" s="84"/>
      <x:c r="P652" s="84"/>
      <x:c r="Q652" s="84"/>
      <x:c r="R652" s="84"/>
      <x:c r="S652" s="84"/>
      <x:c r="T652" s="84"/>
      <x:c r="U652" s="84"/>
      <x:c r="V652" s="84"/>
      <x:c r="W652" s="84"/>
      <x:c r="X652" s="84"/>
      <x:c r="Y652" s="84"/>
      <x:c r="Z652" s="84"/>
    </x:row>
    <x:row r="653">
      <x:c r="A653" s="84"/>
      <x:c r="B653" s="84"/>
      <x:c r="C653" s="84"/>
      <x:c r="D653" s="84"/>
      <x:c r="E653" s="84"/>
      <x:c r="F653" s="84"/>
      <x:c r="G653" s="84"/>
      <x:c r="H653" s="84"/>
      <x:c r="I653" s="84"/>
      <x:c r="J653" s="84"/>
      <x:c r="K653" s="84"/>
      <x:c r="L653" s="84"/>
      <x:c r="M653" s="84"/>
      <x:c r="N653" s="84"/>
      <x:c r="O653" s="84"/>
      <x:c r="P653" s="84"/>
      <x:c r="Q653" s="84"/>
      <x:c r="R653" s="84"/>
      <x:c r="S653" s="84"/>
      <x:c r="T653" s="84"/>
      <x:c r="U653" s="84"/>
      <x:c r="V653" s="84"/>
      <x:c r="W653" s="84"/>
      <x:c r="X653" s="84"/>
      <x:c r="Y653" s="84"/>
      <x:c r="Z653" s="84"/>
    </x:row>
    <x:row r="654">
      <x:c r="A654" s="84"/>
      <x:c r="B654" s="84"/>
      <x:c r="C654" s="84"/>
      <x:c r="D654" s="84"/>
      <x:c r="E654" s="84"/>
      <x:c r="F654" s="84"/>
      <x:c r="G654" s="84"/>
      <x:c r="H654" s="84"/>
      <x:c r="I654" s="84"/>
      <x:c r="J654" s="84"/>
      <x:c r="K654" s="84"/>
      <x:c r="L654" s="84"/>
      <x:c r="M654" s="84"/>
      <x:c r="N654" s="84"/>
      <x:c r="O654" s="84"/>
      <x:c r="P654" s="84"/>
      <x:c r="Q654" s="84"/>
      <x:c r="R654" s="84"/>
      <x:c r="S654" s="84"/>
      <x:c r="T654" s="84"/>
      <x:c r="U654" s="84"/>
      <x:c r="V654" s="84"/>
      <x:c r="W654" s="84"/>
      <x:c r="X654" s="84"/>
      <x:c r="Y654" s="84"/>
      <x:c r="Z654" s="84"/>
    </x:row>
    <x:row r="655">
      <x:c r="A655" s="84"/>
      <x:c r="B655" s="84"/>
      <x:c r="C655" s="84"/>
      <x:c r="D655" s="84"/>
      <x:c r="E655" s="84"/>
      <x:c r="F655" s="84"/>
      <x:c r="G655" s="84"/>
      <x:c r="H655" s="84"/>
      <x:c r="I655" s="84"/>
      <x:c r="J655" s="84"/>
      <x:c r="K655" s="84"/>
      <x:c r="L655" s="84"/>
      <x:c r="M655" s="84"/>
      <x:c r="N655" s="84"/>
      <x:c r="O655" s="84"/>
      <x:c r="P655" s="84"/>
      <x:c r="Q655" s="84"/>
      <x:c r="R655" s="84"/>
      <x:c r="S655" s="84"/>
      <x:c r="T655" s="84"/>
      <x:c r="U655" s="84"/>
      <x:c r="V655" s="84"/>
      <x:c r="W655" s="84"/>
      <x:c r="X655" s="84"/>
      <x:c r="Y655" s="84"/>
      <x:c r="Z655" s="84"/>
    </x:row>
    <x:row r="656">
      <x:c r="A656" s="84"/>
      <x:c r="B656" s="84"/>
      <x:c r="C656" s="84"/>
      <x:c r="D656" s="84"/>
      <x:c r="E656" s="84"/>
      <x:c r="F656" s="84"/>
      <x:c r="G656" s="84"/>
      <x:c r="H656" s="84"/>
      <x:c r="I656" s="84"/>
      <x:c r="J656" s="84"/>
      <x:c r="K656" s="84"/>
      <x:c r="L656" s="84"/>
      <x:c r="M656" s="84"/>
      <x:c r="N656" s="84"/>
      <x:c r="O656" s="84"/>
      <x:c r="P656" s="84"/>
      <x:c r="Q656" s="84"/>
      <x:c r="R656" s="84"/>
      <x:c r="S656" s="84"/>
      <x:c r="T656" s="84"/>
      <x:c r="U656" s="84"/>
      <x:c r="V656" s="84"/>
      <x:c r="W656" s="84"/>
      <x:c r="X656" s="84"/>
      <x:c r="Y656" s="84"/>
      <x:c r="Z656" s="84"/>
    </x:row>
    <x:row r="657">
      <x:c r="A657" s="84"/>
      <x:c r="B657" s="84"/>
      <x:c r="C657" s="84"/>
      <x:c r="D657" s="84"/>
      <x:c r="E657" s="84"/>
      <x:c r="F657" s="84"/>
      <x:c r="G657" s="84"/>
      <x:c r="H657" s="84"/>
      <x:c r="I657" s="84"/>
      <x:c r="J657" s="84"/>
      <x:c r="K657" s="84"/>
      <x:c r="L657" s="84"/>
      <x:c r="M657" s="84"/>
      <x:c r="N657" s="84"/>
      <x:c r="O657" s="84"/>
      <x:c r="P657" s="84"/>
      <x:c r="Q657" s="84"/>
      <x:c r="R657" s="84"/>
      <x:c r="S657" s="84"/>
      <x:c r="T657" s="84"/>
      <x:c r="U657" s="84"/>
      <x:c r="V657" s="84"/>
      <x:c r="W657" s="84"/>
      <x:c r="X657" s="84"/>
      <x:c r="Y657" s="84"/>
      <x:c r="Z657" s="84"/>
    </x:row>
    <x:row r="658">
      <x:c r="A658" s="84"/>
      <x:c r="B658" s="84"/>
      <x:c r="C658" s="84"/>
      <x:c r="D658" s="84"/>
      <x:c r="E658" s="84"/>
      <x:c r="F658" s="84"/>
      <x:c r="G658" s="84"/>
      <x:c r="H658" s="84"/>
      <x:c r="I658" s="84"/>
      <x:c r="J658" s="84"/>
      <x:c r="K658" s="84"/>
      <x:c r="L658" s="84"/>
      <x:c r="M658" s="84"/>
      <x:c r="N658" s="84"/>
      <x:c r="O658" s="84"/>
      <x:c r="P658" s="84"/>
      <x:c r="Q658" s="84"/>
      <x:c r="R658" s="84"/>
      <x:c r="S658" s="84"/>
      <x:c r="T658" s="84"/>
      <x:c r="U658" s="84"/>
      <x:c r="V658" s="84"/>
      <x:c r="W658" s="84"/>
      <x:c r="X658" s="84"/>
      <x:c r="Y658" s="84"/>
      <x:c r="Z658" s="84"/>
    </x:row>
    <x:row r="659">
      <x:c r="A659" s="84"/>
      <x:c r="B659" s="84"/>
      <x:c r="C659" s="84"/>
      <x:c r="D659" s="84"/>
      <x:c r="E659" s="84"/>
      <x:c r="F659" s="84"/>
      <x:c r="G659" s="84"/>
      <x:c r="H659" s="84"/>
      <x:c r="I659" s="84"/>
      <x:c r="J659" s="84"/>
      <x:c r="K659" s="84"/>
      <x:c r="L659" s="84"/>
      <x:c r="M659" s="84"/>
      <x:c r="N659" s="84"/>
      <x:c r="O659" s="84"/>
      <x:c r="P659" s="84"/>
      <x:c r="Q659" s="84"/>
      <x:c r="R659" s="84"/>
      <x:c r="S659" s="84"/>
      <x:c r="T659" s="84"/>
      <x:c r="U659" s="84"/>
      <x:c r="V659" s="84"/>
      <x:c r="W659" s="84"/>
      <x:c r="X659" s="84"/>
      <x:c r="Y659" s="84"/>
      <x:c r="Z659" s="84"/>
    </x:row>
    <x:row r="660">
      <x:c r="A660" s="84"/>
      <x:c r="B660" s="84"/>
      <x:c r="C660" s="84"/>
      <x:c r="D660" s="84"/>
      <x:c r="E660" s="84"/>
      <x:c r="F660" s="84"/>
      <x:c r="G660" s="84"/>
      <x:c r="H660" s="84"/>
      <x:c r="I660" s="84"/>
      <x:c r="J660" s="84"/>
      <x:c r="K660" s="84"/>
      <x:c r="L660" s="84"/>
      <x:c r="M660" s="84"/>
      <x:c r="N660" s="84"/>
      <x:c r="O660" s="84"/>
      <x:c r="P660" s="84"/>
      <x:c r="Q660" s="84"/>
      <x:c r="R660" s="84"/>
      <x:c r="S660" s="84"/>
      <x:c r="T660" s="84"/>
      <x:c r="U660" s="84"/>
      <x:c r="V660" s="84"/>
      <x:c r="W660" s="84"/>
      <x:c r="X660" s="84"/>
      <x:c r="Y660" s="84"/>
      <x:c r="Z660" s="84"/>
    </x:row>
    <x:row r="661">
      <x:c r="A661" s="84"/>
      <x:c r="B661" s="84"/>
      <x:c r="C661" s="84"/>
      <x:c r="D661" s="84"/>
      <x:c r="E661" s="84"/>
      <x:c r="F661" s="84"/>
      <x:c r="G661" s="84"/>
      <x:c r="H661" s="84"/>
      <x:c r="I661" s="84"/>
      <x:c r="J661" s="84"/>
      <x:c r="K661" s="84"/>
      <x:c r="L661" s="84"/>
      <x:c r="M661" s="84"/>
      <x:c r="N661" s="84"/>
      <x:c r="O661" s="84"/>
      <x:c r="P661" s="84"/>
      <x:c r="Q661" s="84"/>
      <x:c r="R661" s="84"/>
      <x:c r="S661" s="84"/>
      <x:c r="T661" s="84"/>
      <x:c r="U661" s="84"/>
      <x:c r="V661" s="84"/>
      <x:c r="W661" s="84"/>
      <x:c r="X661" s="84"/>
      <x:c r="Y661" s="84"/>
      <x:c r="Z661" s="84"/>
    </x:row>
    <x:row r="662">
      <x:c r="A662" s="84"/>
      <x:c r="B662" s="84"/>
      <x:c r="C662" s="84"/>
      <x:c r="D662" s="84"/>
      <x:c r="E662" s="84"/>
      <x:c r="F662" s="84"/>
      <x:c r="G662" s="84"/>
      <x:c r="H662" s="84"/>
      <x:c r="I662" s="84"/>
      <x:c r="J662" s="84"/>
      <x:c r="K662" s="84"/>
      <x:c r="L662" s="84"/>
      <x:c r="M662" s="84"/>
      <x:c r="N662" s="84"/>
      <x:c r="O662" s="84"/>
      <x:c r="P662" s="84"/>
      <x:c r="Q662" s="84"/>
      <x:c r="R662" s="84"/>
      <x:c r="S662" s="84"/>
      <x:c r="T662" s="84"/>
      <x:c r="U662" s="84"/>
      <x:c r="V662" s="84"/>
      <x:c r="W662" s="84"/>
      <x:c r="X662" s="84"/>
      <x:c r="Y662" s="84"/>
      <x:c r="Z662" s="84"/>
    </x:row>
    <x:row r="663">
      <x:c r="A663" s="84"/>
      <x:c r="B663" s="84"/>
      <x:c r="C663" s="84"/>
      <x:c r="D663" s="84"/>
      <x:c r="E663" s="84"/>
      <x:c r="F663" s="84"/>
      <x:c r="G663" s="84"/>
      <x:c r="H663" s="84"/>
      <x:c r="I663" s="84"/>
      <x:c r="J663" s="84"/>
      <x:c r="K663" s="84"/>
      <x:c r="L663" s="84"/>
      <x:c r="M663" s="84"/>
      <x:c r="N663" s="84"/>
      <x:c r="O663" s="84"/>
      <x:c r="P663" s="84"/>
      <x:c r="Q663" s="84"/>
      <x:c r="R663" s="84"/>
      <x:c r="S663" s="84"/>
      <x:c r="T663" s="84"/>
      <x:c r="U663" s="84"/>
      <x:c r="V663" s="84"/>
      <x:c r="W663" s="84"/>
      <x:c r="X663" s="84"/>
      <x:c r="Y663" s="84"/>
      <x:c r="Z663" s="84"/>
    </x:row>
    <x:row r="664">
      <x:c r="A664" s="84"/>
      <x:c r="B664" s="84"/>
      <x:c r="C664" s="84"/>
      <x:c r="D664" s="84"/>
      <x:c r="E664" s="84"/>
      <x:c r="F664" s="84"/>
      <x:c r="G664" s="84"/>
      <x:c r="H664" s="84"/>
      <x:c r="I664" s="84"/>
      <x:c r="J664" s="84"/>
      <x:c r="K664" s="84"/>
      <x:c r="L664" s="84"/>
      <x:c r="M664" s="84"/>
      <x:c r="N664" s="84"/>
      <x:c r="O664" s="84"/>
      <x:c r="P664" s="84"/>
      <x:c r="Q664" s="84"/>
      <x:c r="R664" s="84"/>
      <x:c r="S664" s="84"/>
      <x:c r="T664" s="84"/>
      <x:c r="U664" s="84"/>
      <x:c r="V664" s="84"/>
      <x:c r="W664" s="84"/>
      <x:c r="X664" s="84"/>
      <x:c r="Y664" s="84"/>
      <x:c r="Z664" s="84"/>
    </x:row>
    <x:row r="665">
      <x:c r="A665" s="84"/>
      <x:c r="B665" s="84"/>
      <x:c r="C665" s="84"/>
      <x:c r="D665" s="84"/>
      <x:c r="E665" s="84"/>
      <x:c r="F665" s="84"/>
      <x:c r="G665" s="84"/>
      <x:c r="H665" s="84"/>
      <x:c r="I665" s="84"/>
      <x:c r="J665" s="84"/>
      <x:c r="K665" s="84"/>
      <x:c r="L665" s="84"/>
      <x:c r="M665" s="84"/>
      <x:c r="N665" s="84"/>
      <x:c r="O665" s="84"/>
      <x:c r="P665" s="84"/>
      <x:c r="Q665" s="84"/>
      <x:c r="R665" s="84"/>
      <x:c r="S665" s="84"/>
      <x:c r="T665" s="84"/>
      <x:c r="U665" s="84"/>
      <x:c r="V665" s="84"/>
      <x:c r="W665" s="84"/>
      <x:c r="X665" s="84"/>
      <x:c r="Y665" s="84"/>
      <x:c r="Z665" s="84"/>
    </x:row>
    <x:row r="666">
      <x:c r="A666" s="84"/>
      <x:c r="B666" s="84"/>
      <x:c r="C666" s="84"/>
      <x:c r="D666" s="84"/>
      <x:c r="E666" s="84"/>
      <x:c r="F666" s="84"/>
      <x:c r="G666" s="84"/>
      <x:c r="H666" s="84"/>
      <x:c r="I666" s="84"/>
      <x:c r="J666" s="84"/>
      <x:c r="K666" s="84"/>
      <x:c r="L666" s="84"/>
      <x:c r="M666" s="84"/>
      <x:c r="N666" s="84"/>
      <x:c r="O666" s="84"/>
      <x:c r="P666" s="84"/>
      <x:c r="Q666" s="84"/>
      <x:c r="R666" s="84"/>
      <x:c r="S666" s="84"/>
      <x:c r="T666" s="84"/>
      <x:c r="U666" s="84"/>
      <x:c r="V666" s="84"/>
      <x:c r="W666" s="84"/>
      <x:c r="X666" s="84"/>
      <x:c r="Y666" s="84"/>
      <x:c r="Z666" s="84"/>
    </x:row>
    <x:row r="667">
      <x:c r="A667" s="84"/>
      <x:c r="B667" s="84"/>
      <x:c r="C667" s="84"/>
      <x:c r="D667" s="84"/>
      <x:c r="E667" s="84"/>
      <x:c r="F667" s="84"/>
      <x:c r="G667" s="84"/>
      <x:c r="H667" s="84"/>
      <x:c r="I667" s="84"/>
      <x:c r="J667" s="84"/>
      <x:c r="K667" s="84"/>
      <x:c r="L667" s="84"/>
      <x:c r="M667" s="84"/>
      <x:c r="N667" s="84"/>
      <x:c r="O667" s="84"/>
      <x:c r="P667" s="84"/>
      <x:c r="Q667" s="84"/>
      <x:c r="R667" s="84"/>
      <x:c r="S667" s="84"/>
      <x:c r="T667" s="84"/>
      <x:c r="U667" s="84"/>
      <x:c r="V667" s="84"/>
      <x:c r="W667" s="84"/>
      <x:c r="X667" s="84"/>
      <x:c r="Y667" s="84"/>
      <x:c r="Z667" s="84"/>
    </x:row>
    <x:row r="668">
      <x:c r="A668" s="84"/>
      <x:c r="B668" s="84"/>
      <x:c r="C668" s="84"/>
      <x:c r="D668" s="84"/>
      <x:c r="E668" s="84"/>
      <x:c r="F668" s="84"/>
      <x:c r="G668" s="84"/>
      <x:c r="H668" s="84"/>
      <x:c r="I668" s="84"/>
      <x:c r="J668" s="84"/>
      <x:c r="K668" s="84"/>
      <x:c r="L668" s="84"/>
      <x:c r="M668" s="84"/>
      <x:c r="N668" s="84"/>
      <x:c r="O668" s="84"/>
      <x:c r="P668" s="84"/>
      <x:c r="Q668" s="84"/>
      <x:c r="R668" s="84"/>
      <x:c r="S668" s="84"/>
      <x:c r="T668" s="84"/>
      <x:c r="U668" s="84"/>
      <x:c r="V668" s="84"/>
      <x:c r="W668" s="84"/>
      <x:c r="X668" s="84"/>
      <x:c r="Y668" s="84"/>
      <x:c r="Z668" s="84"/>
    </x:row>
    <x:row r="669">
      <x:c r="A669" s="84"/>
      <x:c r="B669" s="84"/>
      <x:c r="C669" s="84"/>
      <x:c r="D669" s="84"/>
      <x:c r="E669" s="84"/>
      <x:c r="F669" s="84"/>
      <x:c r="G669" s="84"/>
      <x:c r="H669" s="84"/>
      <x:c r="I669" s="84"/>
      <x:c r="J669" s="84"/>
      <x:c r="K669" s="84"/>
      <x:c r="L669" s="84"/>
      <x:c r="M669" s="84"/>
      <x:c r="N669" s="84"/>
      <x:c r="O669" s="84"/>
      <x:c r="P669" s="84"/>
      <x:c r="Q669" s="84"/>
      <x:c r="R669" s="84"/>
      <x:c r="S669" s="84"/>
      <x:c r="T669" s="84"/>
      <x:c r="U669" s="84"/>
      <x:c r="V669" s="84"/>
      <x:c r="W669" s="84"/>
      <x:c r="X669" s="84"/>
      <x:c r="Y669" s="84"/>
      <x:c r="Z669" s="84"/>
    </x:row>
    <x:row r="670">
      <x:c r="A670" s="84"/>
      <x:c r="B670" s="84"/>
      <x:c r="C670" s="84"/>
      <x:c r="D670" s="84"/>
      <x:c r="E670" s="84"/>
      <x:c r="F670" s="84"/>
      <x:c r="G670" s="84"/>
      <x:c r="H670" s="84"/>
      <x:c r="I670" s="84"/>
      <x:c r="J670" s="84"/>
      <x:c r="K670" s="84"/>
      <x:c r="L670" s="84"/>
      <x:c r="M670" s="84"/>
      <x:c r="N670" s="84"/>
      <x:c r="O670" s="84"/>
      <x:c r="P670" s="84"/>
      <x:c r="Q670" s="84"/>
      <x:c r="R670" s="84"/>
      <x:c r="S670" s="84"/>
      <x:c r="T670" s="84"/>
      <x:c r="U670" s="84"/>
      <x:c r="V670" s="84"/>
      <x:c r="W670" s="84"/>
      <x:c r="X670" s="84"/>
      <x:c r="Y670" s="84"/>
      <x:c r="Z670" s="84"/>
    </x:row>
    <x:row r="671">
      <x:c r="A671" s="84"/>
      <x:c r="B671" s="84"/>
      <x:c r="C671" s="84"/>
      <x:c r="D671" s="84"/>
      <x:c r="E671" s="84"/>
      <x:c r="F671" s="84"/>
      <x:c r="G671" s="84"/>
      <x:c r="H671" s="84"/>
      <x:c r="I671" s="84"/>
      <x:c r="J671" s="84"/>
      <x:c r="K671" s="84"/>
      <x:c r="L671" s="84"/>
      <x:c r="M671" s="84"/>
      <x:c r="N671" s="84"/>
      <x:c r="O671" s="84"/>
      <x:c r="P671" s="84"/>
      <x:c r="Q671" s="84"/>
      <x:c r="R671" s="84"/>
      <x:c r="S671" s="84"/>
      <x:c r="T671" s="84"/>
      <x:c r="U671" s="84"/>
      <x:c r="V671" s="84"/>
      <x:c r="W671" s="84"/>
      <x:c r="X671" s="84"/>
      <x:c r="Y671" s="84"/>
      <x:c r="Z671" s="84"/>
    </x:row>
    <x:row r="672">
      <x:c r="A672" s="84"/>
      <x:c r="B672" s="84"/>
      <x:c r="C672" s="84"/>
      <x:c r="D672" s="84"/>
      <x:c r="E672" s="84"/>
      <x:c r="F672" s="84"/>
      <x:c r="G672" s="84"/>
      <x:c r="H672" s="84"/>
      <x:c r="I672" s="84"/>
      <x:c r="J672" s="84"/>
      <x:c r="K672" s="84"/>
      <x:c r="L672" s="84"/>
      <x:c r="M672" s="84"/>
      <x:c r="N672" s="84"/>
      <x:c r="O672" s="84"/>
      <x:c r="P672" s="84"/>
      <x:c r="Q672" s="84"/>
      <x:c r="R672" s="84"/>
      <x:c r="S672" s="84"/>
      <x:c r="T672" s="84"/>
      <x:c r="U672" s="84"/>
      <x:c r="V672" s="84"/>
      <x:c r="W672" s="84"/>
      <x:c r="X672" s="84"/>
      <x:c r="Y672" s="84"/>
      <x:c r="Z672" s="84"/>
    </x:row>
    <x:row r="673">
      <x:c r="A673" s="84"/>
      <x:c r="B673" s="84"/>
      <x:c r="C673" s="84"/>
      <x:c r="D673" s="84"/>
      <x:c r="E673" s="84"/>
      <x:c r="F673" s="84"/>
      <x:c r="G673" s="84"/>
      <x:c r="H673" s="84"/>
      <x:c r="I673" s="84"/>
      <x:c r="J673" s="84"/>
      <x:c r="K673" s="84"/>
      <x:c r="L673" s="84"/>
      <x:c r="M673" s="84"/>
      <x:c r="N673" s="84"/>
      <x:c r="O673" s="84"/>
      <x:c r="P673" s="84"/>
      <x:c r="Q673" s="84"/>
      <x:c r="R673" s="84"/>
      <x:c r="S673" s="84"/>
      <x:c r="T673" s="84"/>
      <x:c r="U673" s="84"/>
      <x:c r="V673" s="84"/>
      <x:c r="W673" s="84"/>
      <x:c r="X673" s="84"/>
      <x:c r="Y673" s="84"/>
      <x:c r="Z673" s="84"/>
    </x:row>
    <x:row r="674">
      <x:c r="A674" s="84"/>
      <x:c r="B674" s="84"/>
      <x:c r="C674" s="84"/>
      <x:c r="D674" s="84"/>
      <x:c r="E674" s="84"/>
      <x:c r="F674" s="84"/>
      <x:c r="G674" s="84"/>
      <x:c r="H674" s="84"/>
      <x:c r="I674" s="84"/>
      <x:c r="J674" s="84"/>
      <x:c r="K674" s="84"/>
      <x:c r="L674" s="84"/>
      <x:c r="M674" s="84"/>
      <x:c r="N674" s="84"/>
      <x:c r="O674" s="84"/>
      <x:c r="P674" s="84"/>
      <x:c r="Q674" s="84"/>
      <x:c r="R674" s="84"/>
      <x:c r="S674" s="84"/>
      <x:c r="T674" s="84"/>
      <x:c r="U674" s="84"/>
      <x:c r="V674" s="84"/>
      <x:c r="W674" s="84"/>
      <x:c r="X674" s="84"/>
      <x:c r="Y674" s="84"/>
      <x:c r="Z674" s="84"/>
    </x:row>
    <x:row r="675">
      <x:c r="A675" s="84"/>
      <x:c r="B675" s="84"/>
      <x:c r="C675" s="84"/>
      <x:c r="D675" s="84"/>
      <x:c r="E675" s="84"/>
      <x:c r="F675" s="84"/>
      <x:c r="G675" s="84"/>
      <x:c r="H675" s="84"/>
      <x:c r="I675" s="84"/>
      <x:c r="J675" s="84"/>
      <x:c r="K675" s="84"/>
      <x:c r="L675" s="84"/>
      <x:c r="M675" s="84"/>
      <x:c r="N675" s="84"/>
      <x:c r="O675" s="84"/>
      <x:c r="P675" s="84"/>
      <x:c r="Q675" s="84"/>
      <x:c r="R675" s="84"/>
      <x:c r="S675" s="84"/>
      <x:c r="T675" s="84"/>
      <x:c r="U675" s="84"/>
      <x:c r="V675" s="84"/>
      <x:c r="W675" s="84"/>
      <x:c r="X675" s="84"/>
      <x:c r="Y675" s="84"/>
      <x:c r="Z675" s="84"/>
    </x:row>
    <x:row r="676">
      <x:c r="A676" s="84"/>
      <x:c r="B676" s="84"/>
      <x:c r="C676" s="84"/>
      <x:c r="D676" s="84"/>
      <x:c r="E676" s="84"/>
      <x:c r="F676" s="84"/>
      <x:c r="G676" s="84"/>
      <x:c r="H676" s="84"/>
      <x:c r="I676" s="84"/>
      <x:c r="J676" s="84"/>
      <x:c r="K676" s="84"/>
      <x:c r="L676" s="84"/>
      <x:c r="M676" s="84"/>
      <x:c r="N676" s="84"/>
      <x:c r="O676" s="84"/>
      <x:c r="P676" s="84"/>
      <x:c r="Q676" s="84"/>
      <x:c r="R676" s="84"/>
      <x:c r="S676" s="84"/>
      <x:c r="T676" s="84"/>
      <x:c r="U676" s="84"/>
      <x:c r="V676" s="84"/>
      <x:c r="W676" s="84"/>
      <x:c r="X676" s="84"/>
      <x:c r="Y676" s="84"/>
      <x:c r="Z676" s="84"/>
    </x:row>
    <x:row r="677">
      <x:c r="A677" s="84"/>
      <x:c r="B677" s="84"/>
      <x:c r="C677" s="84"/>
      <x:c r="D677" s="84"/>
      <x:c r="E677" s="84"/>
      <x:c r="F677" s="84"/>
      <x:c r="G677" s="84"/>
      <x:c r="H677" s="84"/>
      <x:c r="I677" s="84"/>
      <x:c r="J677" s="84"/>
      <x:c r="K677" s="84"/>
      <x:c r="L677" s="84"/>
      <x:c r="M677" s="84"/>
      <x:c r="N677" s="84"/>
      <x:c r="O677" s="84"/>
      <x:c r="P677" s="84"/>
      <x:c r="Q677" s="84"/>
      <x:c r="R677" s="84"/>
      <x:c r="S677" s="84"/>
      <x:c r="T677" s="84"/>
      <x:c r="U677" s="84"/>
      <x:c r="V677" s="84"/>
      <x:c r="W677" s="84"/>
      <x:c r="X677" s="84"/>
      <x:c r="Y677" s="84"/>
      <x:c r="Z677" s="84"/>
    </x:row>
    <x:row r="678">
      <x:c r="A678" s="84"/>
      <x:c r="B678" s="84"/>
      <x:c r="C678" s="84"/>
      <x:c r="D678" s="84"/>
      <x:c r="E678" s="84"/>
      <x:c r="F678" s="84"/>
      <x:c r="G678" s="84"/>
      <x:c r="H678" s="84"/>
      <x:c r="I678" s="84"/>
      <x:c r="J678" s="84"/>
      <x:c r="K678" s="84"/>
      <x:c r="L678" s="84"/>
      <x:c r="M678" s="84"/>
      <x:c r="N678" s="84"/>
      <x:c r="O678" s="84"/>
      <x:c r="P678" s="84"/>
      <x:c r="Q678" s="84"/>
      <x:c r="R678" s="84"/>
      <x:c r="S678" s="84"/>
      <x:c r="T678" s="84"/>
      <x:c r="U678" s="84"/>
      <x:c r="V678" s="84"/>
      <x:c r="W678" s="84"/>
      <x:c r="X678" s="84"/>
      <x:c r="Y678" s="84"/>
      <x:c r="Z678" s="84"/>
    </x:row>
    <x:row r="679">
      <x:c r="A679" s="84"/>
      <x:c r="B679" s="84"/>
      <x:c r="C679" s="84"/>
      <x:c r="D679" s="84"/>
      <x:c r="E679" s="84"/>
      <x:c r="F679" s="84"/>
      <x:c r="G679" s="84"/>
      <x:c r="H679" s="84"/>
      <x:c r="I679" s="84"/>
      <x:c r="J679" s="84"/>
      <x:c r="K679" s="84"/>
      <x:c r="L679" s="84"/>
      <x:c r="M679" s="84"/>
      <x:c r="N679" s="84"/>
      <x:c r="O679" s="84"/>
      <x:c r="P679" s="84"/>
      <x:c r="Q679" s="84"/>
      <x:c r="R679" s="84"/>
      <x:c r="S679" s="84"/>
      <x:c r="T679" s="84"/>
      <x:c r="U679" s="84"/>
      <x:c r="V679" s="84"/>
      <x:c r="W679" s="84"/>
      <x:c r="X679" s="84"/>
      <x:c r="Y679" s="84"/>
      <x:c r="Z679" s="84"/>
    </x:row>
    <x:row r="680">
      <x:c r="A680" s="84"/>
      <x:c r="B680" s="84"/>
      <x:c r="C680" s="84"/>
      <x:c r="D680" s="84"/>
      <x:c r="E680" s="84"/>
      <x:c r="F680" s="84"/>
      <x:c r="G680" s="84"/>
      <x:c r="H680" s="84"/>
      <x:c r="I680" s="84"/>
      <x:c r="J680" s="84"/>
      <x:c r="K680" s="84"/>
      <x:c r="L680" s="84"/>
      <x:c r="M680" s="84"/>
      <x:c r="N680" s="84"/>
      <x:c r="O680" s="84"/>
      <x:c r="P680" s="84"/>
      <x:c r="Q680" s="84"/>
      <x:c r="R680" s="84"/>
      <x:c r="S680" s="84"/>
      <x:c r="T680" s="84"/>
      <x:c r="U680" s="84"/>
      <x:c r="V680" s="84"/>
      <x:c r="W680" s="84"/>
      <x:c r="X680" s="84"/>
      <x:c r="Y680" s="84"/>
      <x:c r="Z680" s="84"/>
    </x:row>
    <x:row r="681">
      <x:c r="A681" s="84"/>
      <x:c r="B681" s="84"/>
      <x:c r="C681" s="84"/>
      <x:c r="D681" s="84"/>
      <x:c r="E681" s="84"/>
      <x:c r="F681" s="84"/>
      <x:c r="G681" s="84"/>
      <x:c r="H681" s="84"/>
      <x:c r="I681" s="84"/>
      <x:c r="J681" s="84"/>
      <x:c r="K681" s="84"/>
      <x:c r="L681" s="84"/>
      <x:c r="M681" s="84"/>
      <x:c r="N681" s="84"/>
      <x:c r="O681" s="84"/>
      <x:c r="P681" s="84"/>
      <x:c r="Q681" s="84"/>
      <x:c r="R681" s="84"/>
      <x:c r="S681" s="84"/>
      <x:c r="T681" s="84"/>
      <x:c r="U681" s="84"/>
      <x:c r="V681" s="84"/>
      <x:c r="W681" s="84"/>
      <x:c r="X681" s="84"/>
      <x:c r="Y681" s="84"/>
      <x:c r="Z681" s="84"/>
    </x:row>
    <x:row r="682">
      <x:c r="A682" s="84"/>
      <x:c r="B682" s="84"/>
      <x:c r="C682" s="84"/>
      <x:c r="D682" s="84"/>
      <x:c r="E682" s="84"/>
      <x:c r="F682" s="84"/>
      <x:c r="G682" s="84"/>
      <x:c r="H682" s="84"/>
      <x:c r="I682" s="84"/>
      <x:c r="J682" s="84"/>
      <x:c r="K682" s="84"/>
      <x:c r="L682" s="84"/>
      <x:c r="M682" s="84"/>
      <x:c r="N682" s="84"/>
      <x:c r="O682" s="84"/>
      <x:c r="P682" s="84"/>
      <x:c r="Q682" s="84"/>
      <x:c r="R682" s="84"/>
      <x:c r="S682" s="84"/>
      <x:c r="T682" s="84"/>
      <x:c r="U682" s="84"/>
      <x:c r="V682" s="84"/>
      <x:c r="W682" s="84"/>
      <x:c r="X682" s="84"/>
      <x:c r="Y682" s="84"/>
      <x:c r="Z682" s="84"/>
    </x:row>
    <x:row r="683">
      <x:c r="A683" s="84"/>
      <x:c r="B683" s="84"/>
      <x:c r="C683" s="84"/>
      <x:c r="D683" s="84"/>
      <x:c r="E683" s="84"/>
      <x:c r="F683" s="84"/>
      <x:c r="G683" s="84"/>
      <x:c r="H683" s="84"/>
      <x:c r="I683" s="84"/>
      <x:c r="J683" s="84"/>
      <x:c r="K683" s="84"/>
      <x:c r="L683" s="84"/>
      <x:c r="M683" s="84"/>
      <x:c r="N683" s="84"/>
      <x:c r="O683" s="84"/>
      <x:c r="P683" s="84"/>
      <x:c r="Q683" s="84"/>
      <x:c r="R683" s="84"/>
      <x:c r="S683" s="84"/>
      <x:c r="T683" s="84"/>
      <x:c r="U683" s="84"/>
      <x:c r="V683" s="84"/>
      <x:c r="W683" s="84"/>
      <x:c r="X683" s="84"/>
      <x:c r="Y683" s="84"/>
      <x:c r="Z683" s="84"/>
    </x:row>
    <x:row r="684">
      <x:c r="A684" s="84"/>
      <x:c r="B684" s="84"/>
      <x:c r="C684" s="84"/>
      <x:c r="D684" s="84"/>
      <x:c r="E684" s="84"/>
      <x:c r="F684" s="84"/>
      <x:c r="G684" s="84"/>
      <x:c r="H684" s="84"/>
      <x:c r="I684" s="84"/>
      <x:c r="J684" s="84"/>
      <x:c r="K684" s="84"/>
      <x:c r="L684" s="84"/>
      <x:c r="M684" s="84"/>
      <x:c r="N684" s="84"/>
      <x:c r="O684" s="84"/>
      <x:c r="P684" s="84"/>
      <x:c r="Q684" s="84"/>
      <x:c r="R684" s="84"/>
      <x:c r="S684" s="84"/>
      <x:c r="T684" s="84"/>
      <x:c r="U684" s="84"/>
      <x:c r="V684" s="84"/>
      <x:c r="W684" s="84"/>
      <x:c r="X684" s="84"/>
      <x:c r="Y684" s="84"/>
      <x:c r="Z684" s="84"/>
    </x:row>
    <x:row r="685">
      <x:c r="A685" s="84"/>
      <x:c r="B685" s="84"/>
      <x:c r="C685" s="84"/>
      <x:c r="D685" s="84"/>
      <x:c r="E685" s="84"/>
      <x:c r="F685" s="84"/>
      <x:c r="G685" s="84"/>
      <x:c r="H685" s="84"/>
      <x:c r="I685" s="84"/>
      <x:c r="J685" s="84"/>
      <x:c r="K685" s="84"/>
      <x:c r="L685" s="84"/>
      <x:c r="M685" s="84"/>
      <x:c r="N685" s="84"/>
      <x:c r="O685" s="84"/>
      <x:c r="P685" s="84"/>
      <x:c r="Q685" s="84"/>
      <x:c r="R685" s="84"/>
      <x:c r="S685" s="84"/>
      <x:c r="T685" s="84"/>
      <x:c r="U685" s="84"/>
      <x:c r="V685" s="84"/>
      <x:c r="W685" s="84"/>
      <x:c r="X685" s="84"/>
      <x:c r="Y685" s="84"/>
      <x:c r="Z685" s="84"/>
    </x:row>
    <x:row r="686">
      <x:c r="A686" s="84"/>
      <x:c r="B686" s="84"/>
      <x:c r="C686" s="84"/>
      <x:c r="D686" s="84"/>
      <x:c r="E686" s="84"/>
      <x:c r="F686" s="84"/>
      <x:c r="G686" s="84"/>
      <x:c r="H686" s="84"/>
      <x:c r="I686" s="84"/>
      <x:c r="J686" s="84"/>
      <x:c r="K686" s="84"/>
      <x:c r="L686" s="84"/>
      <x:c r="M686" s="84"/>
      <x:c r="N686" s="84"/>
      <x:c r="O686" s="84"/>
      <x:c r="P686" s="84"/>
      <x:c r="Q686" s="84"/>
      <x:c r="R686" s="84"/>
      <x:c r="S686" s="84"/>
      <x:c r="T686" s="84"/>
      <x:c r="U686" s="84"/>
      <x:c r="V686" s="84"/>
      <x:c r="W686" s="84"/>
      <x:c r="X686" s="84"/>
      <x:c r="Y686" s="84"/>
      <x:c r="Z686" s="84"/>
    </x:row>
    <x:row r="687">
      <x:c r="A687" s="84"/>
      <x:c r="B687" s="84"/>
      <x:c r="C687" s="84"/>
      <x:c r="D687" s="84"/>
      <x:c r="E687" s="84"/>
      <x:c r="F687" s="84"/>
      <x:c r="G687" s="84"/>
      <x:c r="H687" s="84"/>
      <x:c r="I687" s="84"/>
      <x:c r="J687" s="84"/>
      <x:c r="K687" s="84"/>
      <x:c r="L687" s="84"/>
      <x:c r="M687" s="84"/>
      <x:c r="N687" s="84"/>
      <x:c r="O687" s="84"/>
      <x:c r="P687" s="84"/>
      <x:c r="Q687" s="84"/>
      <x:c r="R687" s="84"/>
      <x:c r="S687" s="84"/>
      <x:c r="T687" s="84"/>
      <x:c r="U687" s="84"/>
      <x:c r="V687" s="84"/>
      <x:c r="W687" s="84"/>
      <x:c r="X687" s="84"/>
      <x:c r="Y687" s="84"/>
      <x:c r="Z687" s="84"/>
    </x:row>
    <x:row r="688">
      <x:c r="A688" s="84"/>
      <x:c r="B688" s="84"/>
      <x:c r="C688" s="84"/>
      <x:c r="D688" s="84"/>
      <x:c r="E688" s="84"/>
      <x:c r="F688" s="84"/>
      <x:c r="G688" s="84"/>
      <x:c r="H688" s="84"/>
      <x:c r="I688" s="84"/>
      <x:c r="J688" s="84"/>
      <x:c r="K688" s="84"/>
      <x:c r="L688" s="84"/>
      <x:c r="M688" s="84"/>
      <x:c r="N688" s="84"/>
      <x:c r="O688" s="84"/>
      <x:c r="P688" s="84"/>
      <x:c r="Q688" s="84"/>
      <x:c r="R688" s="84"/>
      <x:c r="S688" s="84"/>
      <x:c r="T688" s="84"/>
      <x:c r="U688" s="84"/>
      <x:c r="V688" s="84"/>
      <x:c r="W688" s="84"/>
      <x:c r="X688" s="84"/>
      <x:c r="Y688" s="84"/>
      <x:c r="Z688" s="84"/>
    </x:row>
    <x:row r="689">
      <x:c r="A689" s="84"/>
      <x:c r="B689" s="84"/>
      <x:c r="C689" s="84"/>
      <x:c r="D689" s="84"/>
      <x:c r="E689" s="84"/>
      <x:c r="F689" s="84"/>
      <x:c r="G689" s="84"/>
      <x:c r="H689" s="84"/>
      <x:c r="I689" s="84"/>
      <x:c r="J689" s="84"/>
      <x:c r="K689" s="84"/>
      <x:c r="L689" s="84"/>
      <x:c r="M689" s="84"/>
      <x:c r="N689" s="84"/>
      <x:c r="O689" s="84"/>
      <x:c r="P689" s="84"/>
      <x:c r="Q689" s="84"/>
      <x:c r="R689" s="84"/>
      <x:c r="S689" s="84"/>
      <x:c r="T689" s="84"/>
      <x:c r="U689" s="84"/>
      <x:c r="V689" s="84"/>
      <x:c r="W689" s="84"/>
      <x:c r="X689" s="84"/>
      <x:c r="Y689" s="84"/>
      <x:c r="Z689" s="84"/>
    </x:row>
    <x:row r="690">
      <x:c r="A690" s="84"/>
      <x:c r="B690" s="84"/>
      <x:c r="C690" s="84"/>
      <x:c r="D690" s="84"/>
      <x:c r="E690" s="84"/>
      <x:c r="F690" s="84"/>
      <x:c r="G690" s="84"/>
      <x:c r="H690" s="84"/>
      <x:c r="I690" s="84"/>
      <x:c r="J690" s="84"/>
      <x:c r="K690" s="84"/>
      <x:c r="L690" s="84"/>
      <x:c r="M690" s="84"/>
      <x:c r="N690" s="84"/>
      <x:c r="O690" s="84"/>
      <x:c r="P690" s="84"/>
      <x:c r="Q690" s="84"/>
      <x:c r="R690" s="84"/>
      <x:c r="S690" s="84"/>
      <x:c r="T690" s="84"/>
      <x:c r="U690" s="84"/>
      <x:c r="V690" s="84"/>
      <x:c r="W690" s="84"/>
      <x:c r="X690" s="84"/>
      <x:c r="Y690" s="84"/>
      <x:c r="Z690" s="84"/>
    </x:row>
    <x:row r="691">
      <x:c r="A691" s="84"/>
      <x:c r="B691" s="84"/>
      <x:c r="C691" s="84"/>
      <x:c r="D691" s="84"/>
      <x:c r="E691" s="84"/>
      <x:c r="F691" s="84"/>
      <x:c r="G691" s="84"/>
      <x:c r="H691" s="84"/>
      <x:c r="I691" s="84"/>
      <x:c r="J691" s="84"/>
      <x:c r="K691" s="84"/>
      <x:c r="L691" s="84"/>
      <x:c r="M691" s="84"/>
      <x:c r="N691" s="84"/>
      <x:c r="O691" s="84"/>
      <x:c r="P691" s="84"/>
      <x:c r="Q691" s="84"/>
      <x:c r="R691" s="84"/>
      <x:c r="S691" s="84"/>
      <x:c r="T691" s="84"/>
      <x:c r="U691" s="84"/>
      <x:c r="V691" s="84"/>
      <x:c r="W691" s="84"/>
      <x:c r="X691" s="84"/>
      <x:c r="Y691" s="84"/>
      <x:c r="Z691" s="84"/>
    </x:row>
    <x:row r="692">
      <x:c r="A692" s="84"/>
      <x:c r="B692" s="84"/>
      <x:c r="C692" s="84"/>
      <x:c r="D692" s="84"/>
      <x:c r="E692" s="84"/>
      <x:c r="F692" s="84"/>
      <x:c r="G692" s="84"/>
      <x:c r="H692" s="84"/>
      <x:c r="I692" s="84"/>
      <x:c r="J692" s="84"/>
      <x:c r="K692" s="84"/>
      <x:c r="L692" s="84"/>
      <x:c r="M692" s="84"/>
      <x:c r="N692" s="84"/>
      <x:c r="O692" s="84"/>
      <x:c r="P692" s="84"/>
      <x:c r="Q692" s="84"/>
      <x:c r="R692" s="84"/>
      <x:c r="S692" s="84"/>
      <x:c r="T692" s="84"/>
      <x:c r="U692" s="84"/>
      <x:c r="V692" s="84"/>
      <x:c r="W692" s="84"/>
      <x:c r="X692" s="84"/>
      <x:c r="Y692" s="84"/>
      <x:c r="Z692" s="84"/>
    </x:row>
    <x:row r="693">
      <x:c r="A693" s="84"/>
      <x:c r="B693" s="84"/>
      <x:c r="C693" s="84"/>
      <x:c r="D693" s="84"/>
      <x:c r="E693" s="84"/>
      <x:c r="F693" s="84"/>
      <x:c r="G693" s="84"/>
      <x:c r="H693" s="84"/>
      <x:c r="I693" s="84"/>
      <x:c r="J693" s="84"/>
      <x:c r="K693" s="84"/>
      <x:c r="L693" s="84"/>
      <x:c r="M693" s="84"/>
      <x:c r="N693" s="84"/>
      <x:c r="O693" s="84"/>
      <x:c r="P693" s="84"/>
      <x:c r="Q693" s="84"/>
      <x:c r="R693" s="84"/>
      <x:c r="S693" s="84"/>
      <x:c r="T693" s="84"/>
      <x:c r="U693" s="84"/>
      <x:c r="V693" s="84"/>
      <x:c r="W693" s="84"/>
      <x:c r="X693" s="84"/>
      <x:c r="Y693" s="84"/>
      <x:c r="Z693" s="84"/>
    </x:row>
    <x:row r="694">
      <x:c r="A694" s="84"/>
      <x:c r="B694" s="84"/>
      <x:c r="C694" s="84"/>
      <x:c r="D694" s="84"/>
      <x:c r="E694" s="84"/>
      <x:c r="F694" s="84"/>
      <x:c r="G694" s="84"/>
      <x:c r="H694" s="84"/>
      <x:c r="I694" s="84"/>
      <x:c r="J694" s="84"/>
      <x:c r="K694" s="84"/>
      <x:c r="L694" s="84"/>
      <x:c r="M694" s="84"/>
      <x:c r="N694" s="84"/>
      <x:c r="O694" s="84"/>
      <x:c r="P694" s="84"/>
      <x:c r="Q694" s="84"/>
      <x:c r="R694" s="84"/>
      <x:c r="S694" s="84"/>
      <x:c r="T694" s="84"/>
      <x:c r="U694" s="84"/>
      <x:c r="V694" s="84"/>
      <x:c r="W694" s="84"/>
      <x:c r="X694" s="84"/>
      <x:c r="Y694" s="84"/>
      <x:c r="Z694" s="84"/>
    </x:row>
    <x:row r="695">
      <x:c r="A695" s="84"/>
      <x:c r="B695" s="84"/>
      <x:c r="C695" s="84"/>
      <x:c r="D695" s="84"/>
      <x:c r="E695" s="84"/>
      <x:c r="F695" s="84"/>
      <x:c r="G695" s="84"/>
      <x:c r="H695" s="84"/>
      <x:c r="I695" s="84"/>
      <x:c r="J695" s="84"/>
      <x:c r="K695" s="84"/>
      <x:c r="L695" s="84"/>
      <x:c r="M695" s="84"/>
      <x:c r="N695" s="84"/>
      <x:c r="O695" s="84"/>
      <x:c r="P695" s="84"/>
      <x:c r="Q695" s="84"/>
      <x:c r="R695" s="84"/>
      <x:c r="S695" s="84"/>
      <x:c r="T695" s="84"/>
      <x:c r="U695" s="84"/>
      <x:c r="V695" s="84"/>
      <x:c r="W695" s="84"/>
      <x:c r="X695" s="84"/>
      <x:c r="Y695" s="84"/>
      <x:c r="Z695" s="84"/>
    </x:row>
    <x:row r="696">
      <x:c r="A696" s="84"/>
      <x:c r="B696" s="84"/>
      <x:c r="C696" s="84"/>
      <x:c r="D696" s="84"/>
      <x:c r="E696" s="84"/>
      <x:c r="F696" s="84"/>
      <x:c r="G696" s="84"/>
      <x:c r="H696" s="84"/>
      <x:c r="I696" s="84"/>
      <x:c r="J696" s="84"/>
      <x:c r="K696" s="84"/>
      <x:c r="L696" s="84"/>
      <x:c r="M696" s="84"/>
      <x:c r="N696" s="84"/>
      <x:c r="O696" s="84"/>
      <x:c r="P696" s="84"/>
      <x:c r="Q696" s="84"/>
      <x:c r="R696" s="84"/>
      <x:c r="S696" s="84"/>
      <x:c r="T696" s="84"/>
      <x:c r="U696" s="84"/>
      <x:c r="V696" s="84"/>
      <x:c r="W696" s="84"/>
      <x:c r="X696" s="84"/>
      <x:c r="Y696" s="84"/>
      <x:c r="Z696" s="84"/>
    </x:row>
    <x:row r="697">
      <x:c r="A697" s="84"/>
      <x:c r="B697" s="84"/>
      <x:c r="C697" s="84"/>
      <x:c r="D697" s="84"/>
      <x:c r="E697" s="84"/>
      <x:c r="F697" s="84"/>
      <x:c r="G697" s="84"/>
      <x:c r="H697" s="84"/>
      <x:c r="I697" s="84"/>
      <x:c r="J697" s="84"/>
      <x:c r="K697" s="84"/>
      <x:c r="L697" s="84"/>
      <x:c r="M697" s="84"/>
      <x:c r="N697" s="84"/>
      <x:c r="O697" s="84"/>
      <x:c r="P697" s="84"/>
      <x:c r="Q697" s="84"/>
      <x:c r="R697" s="84"/>
      <x:c r="S697" s="84"/>
      <x:c r="T697" s="84"/>
      <x:c r="U697" s="84"/>
      <x:c r="V697" s="84"/>
      <x:c r="W697" s="84"/>
      <x:c r="X697" s="84"/>
      <x:c r="Y697" s="84"/>
      <x:c r="Z697" s="84"/>
    </x:row>
    <x:row r="698">
      <x:c r="A698" s="84"/>
      <x:c r="B698" s="84"/>
      <x:c r="C698" s="84"/>
      <x:c r="D698" s="84"/>
      <x:c r="E698" s="84"/>
      <x:c r="F698" s="84"/>
      <x:c r="G698" s="84"/>
      <x:c r="H698" s="84"/>
      <x:c r="I698" s="84"/>
      <x:c r="J698" s="84"/>
      <x:c r="K698" s="84"/>
      <x:c r="L698" s="84"/>
      <x:c r="M698" s="84"/>
      <x:c r="N698" s="84"/>
      <x:c r="O698" s="84"/>
      <x:c r="P698" s="84"/>
      <x:c r="Q698" s="84"/>
      <x:c r="R698" s="84"/>
      <x:c r="S698" s="84"/>
      <x:c r="T698" s="84"/>
      <x:c r="U698" s="84"/>
      <x:c r="V698" s="84"/>
      <x:c r="W698" s="84"/>
      <x:c r="X698" s="84"/>
      <x:c r="Y698" s="84"/>
      <x:c r="Z698" s="84"/>
    </x:row>
    <x:row r="699">
      <x:c r="A699" s="84"/>
      <x:c r="B699" s="84"/>
      <x:c r="C699" s="84"/>
      <x:c r="D699" s="84"/>
      <x:c r="E699" s="84"/>
      <x:c r="F699" s="84"/>
      <x:c r="G699" s="84"/>
      <x:c r="H699" s="84"/>
      <x:c r="I699" s="84"/>
      <x:c r="J699" s="84"/>
      <x:c r="K699" s="84"/>
      <x:c r="L699" s="84"/>
      <x:c r="M699" s="84"/>
      <x:c r="N699" s="84"/>
      <x:c r="O699" s="84"/>
      <x:c r="P699" s="84"/>
      <x:c r="Q699" s="84"/>
      <x:c r="R699" s="84"/>
      <x:c r="S699" s="84"/>
      <x:c r="T699" s="84"/>
      <x:c r="U699" s="84"/>
      <x:c r="V699" s="84"/>
      <x:c r="W699" s="84"/>
      <x:c r="X699" s="84"/>
      <x:c r="Y699" s="84"/>
      <x:c r="Z699" s="84"/>
    </x:row>
    <x:row r="700">
      <x:c r="A700" s="84"/>
      <x:c r="B700" s="84"/>
      <x:c r="C700" s="84"/>
      <x:c r="D700" s="84"/>
      <x:c r="E700" s="84"/>
      <x:c r="F700" s="84"/>
      <x:c r="G700" s="84"/>
      <x:c r="H700" s="84"/>
      <x:c r="I700" s="84"/>
      <x:c r="J700" s="84"/>
      <x:c r="K700" s="84"/>
      <x:c r="L700" s="84"/>
      <x:c r="M700" s="84"/>
      <x:c r="N700" s="84"/>
      <x:c r="O700" s="84"/>
      <x:c r="P700" s="84"/>
      <x:c r="Q700" s="84"/>
      <x:c r="R700" s="84"/>
      <x:c r="S700" s="84"/>
      <x:c r="T700" s="84"/>
      <x:c r="U700" s="84"/>
      <x:c r="V700" s="84"/>
      <x:c r="W700" s="84"/>
      <x:c r="X700" s="84"/>
      <x:c r="Y700" s="84"/>
      <x:c r="Z700" s="84"/>
    </x:row>
    <x:row r="701">
      <x:c r="A701" s="84"/>
      <x:c r="B701" s="84"/>
      <x:c r="C701" s="84"/>
      <x:c r="D701" s="84"/>
      <x:c r="E701" s="84"/>
      <x:c r="F701" s="84"/>
      <x:c r="G701" s="84"/>
      <x:c r="H701" s="84"/>
      <x:c r="I701" s="84"/>
      <x:c r="J701" s="84"/>
      <x:c r="K701" s="84"/>
      <x:c r="L701" s="84"/>
      <x:c r="M701" s="84"/>
      <x:c r="N701" s="84"/>
      <x:c r="O701" s="84"/>
      <x:c r="P701" s="84"/>
      <x:c r="Q701" s="84"/>
      <x:c r="R701" s="84"/>
      <x:c r="S701" s="84"/>
      <x:c r="T701" s="84"/>
      <x:c r="U701" s="84"/>
      <x:c r="V701" s="84"/>
      <x:c r="W701" s="84"/>
      <x:c r="X701" s="84"/>
      <x:c r="Y701" s="84"/>
      <x:c r="Z701" s="84"/>
    </x:row>
    <x:row r="702">
      <x:c r="A702" s="84"/>
      <x:c r="B702" s="84"/>
      <x:c r="C702" s="84"/>
      <x:c r="D702" s="84"/>
      <x:c r="E702" s="84"/>
      <x:c r="F702" s="84"/>
      <x:c r="G702" s="84"/>
      <x:c r="H702" s="84"/>
      <x:c r="I702" s="84"/>
      <x:c r="J702" s="84"/>
      <x:c r="K702" s="84"/>
      <x:c r="L702" s="84"/>
      <x:c r="M702" s="84"/>
      <x:c r="N702" s="84"/>
      <x:c r="O702" s="84"/>
      <x:c r="P702" s="84"/>
      <x:c r="Q702" s="84"/>
      <x:c r="R702" s="84"/>
      <x:c r="S702" s="84"/>
      <x:c r="T702" s="84"/>
      <x:c r="U702" s="84"/>
      <x:c r="V702" s="84"/>
      <x:c r="W702" s="84"/>
      <x:c r="X702" s="84"/>
      <x:c r="Y702" s="84"/>
      <x:c r="Z702" s="84"/>
    </x:row>
    <x:row r="703">
      <x:c r="A703" s="84"/>
      <x:c r="B703" s="84"/>
      <x:c r="C703" s="84"/>
      <x:c r="D703" s="84"/>
      <x:c r="E703" s="84"/>
      <x:c r="F703" s="84"/>
      <x:c r="G703" s="84"/>
      <x:c r="H703" s="84"/>
      <x:c r="I703" s="84"/>
      <x:c r="J703" s="84"/>
      <x:c r="K703" s="84"/>
      <x:c r="L703" s="84"/>
      <x:c r="M703" s="84"/>
      <x:c r="N703" s="84"/>
      <x:c r="O703" s="84"/>
      <x:c r="P703" s="84"/>
      <x:c r="Q703" s="84"/>
      <x:c r="R703" s="84"/>
      <x:c r="S703" s="84"/>
      <x:c r="T703" s="84"/>
      <x:c r="U703" s="84"/>
      <x:c r="V703" s="84"/>
      <x:c r="W703" s="84"/>
      <x:c r="X703" s="84"/>
      <x:c r="Y703" s="84"/>
      <x:c r="Z703" s="84"/>
    </x:row>
    <x:row r="704">
      <x:c r="A704" s="84"/>
      <x:c r="B704" s="84"/>
      <x:c r="C704" s="84"/>
      <x:c r="D704" s="84"/>
      <x:c r="E704" s="84"/>
      <x:c r="F704" s="84"/>
      <x:c r="G704" s="84"/>
      <x:c r="H704" s="84"/>
      <x:c r="I704" s="84"/>
      <x:c r="J704" s="84"/>
      <x:c r="K704" s="84"/>
      <x:c r="L704" s="84"/>
      <x:c r="M704" s="84"/>
      <x:c r="N704" s="84"/>
      <x:c r="O704" s="84"/>
      <x:c r="P704" s="84"/>
      <x:c r="Q704" s="84"/>
      <x:c r="R704" s="84"/>
      <x:c r="S704" s="84"/>
      <x:c r="T704" s="84"/>
      <x:c r="U704" s="84"/>
      <x:c r="V704" s="84"/>
      <x:c r="W704" s="84"/>
      <x:c r="X704" s="84"/>
      <x:c r="Y704" s="84"/>
      <x:c r="Z704" s="84"/>
    </x:row>
    <x:row r="705">
      <x:c r="A705" s="84"/>
      <x:c r="B705" s="84"/>
      <x:c r="C705" s="84"/>
      <x:c r="D705" s="84"/>
      <x:c r="E705" s="84"/>
      <x:c r="F705" s="84"/>
      <x:c r="G705" s="84"/>
      <x:c r="H705" s="84"/>
      <x:c r="I705" s="84"/>
      <x:c r="J705" s="84"/>
      <x:c r="K705" s="84"/>
      <x:c r="L705" s="84"/>
      <x:c r="M705" s="84"/>
      <x:c r="N705" s="84"/>
      <x:c r="O705" s="84"/>
      <x:c r="P705" s="84"/>
      <x:c r="Q705" s="84"/>
      <x:c r="R705" s="84"/>
      <x:c r="S705" s="84"/>
      <x:c r="T705" s="84"/>
      <x:c r="U705" s="84"/>
      <x:c r="V705" s="84"/>
      <x:c r="W705" s="84"/>
      <x:c r="X705" s="84"/>
      <x:c r="Y705" s="84"/>
      <x:c r="Z705" s="84"/>
    </x:row>
    <x:row r="706">
      <x:c r="A706" s="84"/>
      <x:c r="B706" s="84"/>
      <x:c r="C706" s="84"/>
      <x:c r="D706" s="84"/>
      <x:c r="E706" s="84"/>
      <x:c r="F706" s="84"/>
      <x:c r="G706" s="84"/>
      <x:c r="H706" s="84"/>
      <x:c r="I706" s="84"/>
      <x:c r="J706" s="84"/>
      <x:c r="K706" s="84"/>
      <x:c r="L706" s="84"/>
      <x:c r="M706" s="84"/>
      <x:c r="N706" s="84"/>
      <x:c r="O706" s="84"/>
      <x:c r="P706" s="84"/>
      <x:c r="Q706" s="84"/>
      <x:c r="R706" s="84"/>
      <x:c r="S706" s="84"/>
      <x:c r="T706" s="84"/>
      <x:c r="U706" s="84"/>
      <x:c r="V706" s="84"/>
      <x:c r="W706" s="84"/>
      <x:c r="X706" s="84"/>
      <x:c r="Y706" s="84"/>
      <x:c r="Z706" s="84"/>
    </x:row>
    <x:row r="707">
      <x:c r="A707" s="84"/>
      <x:c r="B707" s="84"/>
      <x:c r="C707" s="84"/>
      <x:c r="D707" s="84"/>
      <x:c r="E707" s="84"/>
      <x:c r="F707" s="84"/>
      <x:c r="G707" s="84"/>
      <x:c r="H707" s="84"/>
      <x:c r="I707" s="84"/>
      <x:c r="J707" s="84"/>
      <x:c r="K707" s="84"/>
      <x:c r="L707" s="84"/>
      <x:c r="M707" s="84"/>
      <x:c r="N707" s="84"/>
      <x:c r="O707" s="84"/>
      <x:c r="P707" s="84"/>
      <x:c r="Q707" s="84"/>
      <x:c r="R707" s="84"/>
      <x:c r="S707" s="84"/>
      <x:c r="T707" s="84"/>
      <x:c r="U707" s="84"/>
      <x:c r="V707" s="84"/>
      <x:c r="W707" s="84"/>
      <x:c r="X707" s="84"/>
      <x:c r="Y707" s="84"/>
      <x:c r="Z707" s="84"/>
    </x:row>
    <x:row r="708">
      <x:c r="A708" s="84"/>
      <x:c r="B708" s="84"/>
      <x:c r="C708" s="84"/>
      <x:c r="D708" s="84"/>
      <x:c r="E708" s="84"/>
      <x:c r="F708" s="84"/>
      <x:c r="G708" s="84"/>
      <x:c r="H708" s="84"/>
      <x:c r="I708" s="84"/>
      <x:c r="J708" s="84"/>
      <x:c r="K708" s="84"/>
      <x:c r="L708" s="84"/>
      <x:c r="M708" s="84"/>
      <x:c r="N708" s="84"/>
      <x:c r="O708" s="84"/>
      <x:c r="P708" s="84"/>
      <x:c r="Q708" s="84"/>
      <x:c r="R708" s="84"/>
      <x:c r="S708" s="84"/>
      <x:c r="T708" s="84"/>
      <x:c r="U708" s="84"/>
      <x:c r="V708" s="84"/>
      <x:c r="W708" s="84"/>
      <x:c r="X708" s="84"/>
      <x:c r="Y708" s="84"/>
      <x:c r="Z708" s="84"/>
    </x:row>
    <x:row r="709">
      <x:c r="A709" s="84"/>
      <x:c r="B709" s="84"/>
      <x:c r="C709" s="84"/>
      <x:c r="D709" s="84"/>
      <x:c r="E709" s="84"/>
      <x:c r="F709" s="84"/>
      <x:c r="G709" s="84"/>
      <x:c r="H709" s="84"/>
      <x:c r="I709" s="84"/>
      <x:c r="J709" s="84"/>
      <x:c r="K709" s="84"/>
      <x:c r="L709" s="84"/>
      <x:c r="M709" s="84"/>
      <x:c r="N709" s="84"/>
      <x:c r="O709" s="84"/>
      <x:c r="P709" s="84"/>
      <x:c r="Q709" s="84"/>
      <x:c r="R709" s="84"/>
      <x:c r="S709" s="84"/>
      <x:c r="T709" s="84"/>
      <x:c r="U709" s="84"/>
      <x:c r="V709" s="84"/>
      <x:c r="W709" s="84"/>
      <x:c r="X709" s="84"/>
      <x:c r="Y709" s="84"/>
      <x:c r="Z709" s="84"/>
    </x:row>
    <x:row r="710">
      <x:c r="A710" s="84"/>
      <x:c r="B710" s="84"/>
      <x:c r="C710" s="84"/>
      <x:c r="D710" s="84"/>
      <x:c r="E710" s="84"/>
      <x:c r="F710" s="84"/>
      <x:c r="G710" s="84"/>
      <x:c r="H710" s="84"/>
      <x:c r="I710" s="84"/>
      <x:c r="J710" s="84"/>
      <x:c r="K710" s="84"/>
      <x:c r="L710" s="84"/>
      <x:c r="M710" s="84"/>
      <x:c r="N710" s="84"/>
      <x:c r="O710" s="84"/>
      <x:c r="P710" s="84"/>
      <x:c r="Q710" s="84"/>
      <x:c r="R710" s="84"/>
      <x:c r="S710" s="84"/>
      <x:c r="T710" s="84"/>
      <x:c r="U710" s="84"/>
      <x:c r="V710" s="84"/>
      <x:c r="W710" s="84"/>
      <x:c r="X710" s="84"/>
      <x:c r="Y710" s="84"/>
      <x:c r="Z710" s="84"/>
    </x:row>
    <x:row r="711">
      <x:c r="A711" s="84"/>
      <x:c r="B711" s="84"/>
      <x:c r="C711" s="84"/>
      <x:c r="D711" s="84"/>
      <x:c r="E711" s="84"/>
      <x:c r="F711" s="84"/>
      <x:c r="G711" s="84"/>
      <x:c r="H711" s="84"/>
      <x:c r="I711" s="84"/>
      <x:c r="J711" s="84"/>
      <x:c r="K711" s="84"/>
      <x:c r="L711" s="84"/>
      <x:c r="M711" s="84"/>
      <x:c r="N711" s="84"/>
      <x:c r="O711" s="84"/>
      <x:c r="P711" s="84"/>
      <x:c r="Q711" s="84"/>
      <x:c r="R711" s="84"/>
      <x:c r="S711" s="84"/>
      <x:c r="T711" s="84"/>
      <x:c r="U711" s="84"/>
      <x:c r="V711" s="84"/>
      <x:c r="W711" s="84"/>
      <x:c r="X711" s="84"/>
      <x:c r="Y711" s="84"/>
      <x:c r="Z711" s="84"/>
    </x:row>
    <x:row r="712">
      <x:c r="A712" s="84"/>
      <x:c r="B712" s="84"/>
      <x:c r="C712" s="84"/>
      <x:c r="D712" s="84"/>
      <x:c r="E712" s="84"/>
      <x:c r="F712" s="84"/>
      <x:c r="G712" s="84"/>
      <x:c r="H712" s="84"/>
      <x:c r="I712" s="84"/>
      <x:c r="J712" s="84"/>
      <x:c r="K712" s="84"/>
      <x:c r="L712" s="84"/>
      <x:c r="M712" s="84"/>
      <x:c r="N712" s="84"/>
      <x:c r="O712" s="84"/>
      <x:c r="P712" s="84"/>
      <x:c r="Q712" s="84"/>
      <x:c r="R712" s="84"/>
      <x:c r="S712" s="84"/>
      <x:c r="T712" s="84"/>
      <x:c r="U712" s="84"/>
      <x:c r="V712" s="84"/>
      <x:c r="W712" s="84"/>
      <x:c r="X712" s="84"/>
      <x:c r="Y712" s="84"/>
      <x:c r="Z712" s="84"/>
    </x:row>
    <x:row r="713">
      <x:c r="A713" s="84"/>
      <x:c r="B713" s="84"/>
      <x:c r="C713" s="84"/>
      <x:c r="D713" s="84"/>
      <x:c r="E713" s="84"/>
      <x:c r="F713" s="84"/>
      <x:c r="G713" s="84"/>
      <x:c r="H713" s="84"/>
      <x:c r="I713" s="84"/>
      <x:c r="J713" s="84"/>
      <x:c r="K713" s="84"/>
      <x:c r="L713" s="84"/>
      <x:c r="M713" s="84"/>
      <x:c r="N713" s="84"/>
      <x:c r="O713" s="84"/>
      <x:c r="P713" s="84"/>
      <x:c r="Q713" s="84"/>
      <x:c r="R713" s="84"/>
      <x:c r="S713" s="84"/>
      <x:c r="T713" s="84"/>
      <x:c r="U713" s="84"/>
      <x:c r="V713" s="84"/>
      <x:c r="W713" s="84"/>
      <x:c r="X713" s="84"/>
      <x:c r="Y713" s="84"/>
      <x:c r="Z713" s="84"/>
    </x:row>
    <x:row r="714">
      <x:c r="A714" s="84"/>
      <x:c r="B714" s="84"/>
      <x:c r="C714" s="84"/>
      <x:c r="D714" s="84"/>
      <x:c r="E714" s="84"/>
      <x:c r="F714" s="84"/>
      <x:c r="G714" s="84"/>
      <x:c r="H714" s="84"/>
      <x:c r="I714" s="84"/>
      <x:c r="J714" s="84"/>
      <x:c r="K714" s="84"/>
      <x:c r="L714" s="84"/>
      <x:c r="M714" s="84"/>
      <x:c r="N714" s="84"/>
      <x:c r="O714" s="84"/>
      <x:c r="P714" s="84"/>
      <x:c r="Q714" s="84"/>
      <x:c r="R714" s="84"/>
      <x:c r="S714" s="84"/>
      <x:c r="T714" s="84"/>
      <x:c r="U714" s="84"/>
      <x:c r="V714" s="84"/>
      <x:c r="W714" s="84"/>
      <x:c r="X714" s="84"/>
      <x:c r="Y714" s="84"/>
      <x:c r="Z714" s="84"/>
    </x:row>
    <x:row r="715">
      <x:c r="A715" s="84"/>
      <x:c r="B715" s="84"/>
      <x:c r="C715" s="84"/>
      <x:c r="D715" s="84"/>
      <x:c r="E715" s="84"/>
      <x:c r="F715" s="84"/>
      <x:c r="G715" s="84"/>
      <x:c r="H715" s="84"/>
      <x:c r="I715" s="84"/>
      <x:c r="J715" s="84"/>
      <x:c r="K715" s="84"/>
      <x:c r="L715" s="84"/>
      <x:c r="M715" s="84"/>
      <x:c r="N715" s="84"/>
      <x:c r="O715" s="84"/>
      <x:c r="P715" s="84"/>
      <x:c r="Q715" s="84"/>
      <x:c r="R715" s="84"/>
      <x:c r="S715" s="84"/>
      <x:c r="T715" s="84"/>
      <x:c r="U715" s="84"/>
      <x:c r="V715" s="84"/>
      <x:c r="W715" s="84"/>
      <x:c r="X715" s="84"/>
      <x:c r="Y715" s="84"/>
      <x:c r="Z715" s="84"/>
    </x:row>
    <x:row r="716">
      <x:c r="A716" s="84"/>
      <x:c r="B716" s="84"/>
      <x:c r="C716" s="84"/>
      <x:c r="D716" s="84"/>
      <x:c r="E716" s="84"/>
      <x:c r="F716" s="84"/>
      <x:c r="G716" s="84"/>
      <x:c r="H716" s="84"/>
      <x:c r="I716" s="84"/>
      <x:c r="J716" s="84"/>
      <x:c r="K716" s="84"/>
      <x:c r="L716" s="84"/>
      <x:c r="M716" s="84"/>
      <x:c r="N716" s="84"/>
      <x:c r="O716" s="84"/>
      <x:c r="P716" s="84"/>
      <x:c r="Q716" s="84"/>
      <x:c r="R716" s="84"/>
      <x:c r="S716" s="84"/>
      <x:c r="T716" s="84"/>
      <x:c r="U716" s="84"/>
      <x:c r="V716" s="84"/>
      <x:c r="W716" s="84"/>
      <x:c r="X716" s="84"/>
      <x:c r="Y716" s="84"/>
      <x:c r="Z716" s="84"/>
    </x:row>
    <x:row r="717">
      <x:c r="A717" s="84"/>
      <x:c r="B717" s="84"/>
      <x:c r="C717" s="84"/>
      <x:c r="D717" s="84"/>
      <x:c r="E717" s="84"/>
      <x:c r="F717" s="84"/>
      <x:c r="G717" s="84"/>
      <x:c r="H717" s="84"/>
      <x:c r="I717" s="84"/>
      <x:c r="J717" s="84"/>
      <x:c r="K717" s="84"/>
      <x:c r="L717" s="84"/>
      <x:c r="M717" s="84"/>
      <x:c r="N717" s="84"/>
      <x:c r="O717" s="84"/>
      <x:c r="P717" s="84"/>
      <x:c r="Q717" s="84"/>
      <x:c r="R717" s="84"/>
      <x:c r="S717" s="84"/>
      <x:c r="T717" s="84"/>
      <x:c r="U717" s="84"/>
      <x:c r="V717" s="84"/>
      <x:c r="W717" s="84"/>
      <x:c r="X717" s="84"/>
      <x:c r="Y717" s="84"/>
      <x:c r="Z717" s="84"/>
    </x:row>
    <x:row r="718">
      <x:c r="A718" s="84"/>
      <x:c r="B718" s="84"/>
      <x:c r="C718" s="84"/>
      <x:c r="D718" s="84"/>
      <x:c r="E718" s="84"/>
      <x:c r="F718" s="84"/>
      <x:c r="G718" s="84"/>
      <x:c r="H718" s="84"/>
      <x:c r="I718" s="84"/>
      <x:c r="J718" s="84"/>
      <x:c r="K718" s="84"/>
      <x:c r="L718" s="84"/>
      <x:c r="M718" s="84"/>
      <x:c r="N718" s="84"/>
      <x:c r="O718" s="84"/>
      <x:c r="P718" s="84"/>
      <x:c r="Q718" s="84"/>
      <x:c r="R718" s="84"/>
      <x:c r="S718" s="84"/>
      <x:c r="T718" s="84"/>
      <x:c r="U718" s="84"/>
      <x:c r="V718" s="84"/>
      <x:c r="W718" s="84"/>
      <x:c r="X718" s="84"/>
      <x:c r="Y718" s="84"/>
      <x:c r="Z718" s="84"/>
    </x:row>
    <x:row r="719">
      <x:c r="A719" s="84"/>
      <x:c r="B719" s="84"/>
      <x:c r="C719" s="84"/>
      <x:c r="D719" s="84"/>
      <x:c r="E719" s="84"/>
      <x:c r="F719" s="84"/>
      <x:c r="G719" s="84"/>
      <x:c r="H719" s="84"/>
      <x:c r="I719" s="84"/>
      <x:c r="J719" s="84"/>
      <x:c r="K719" s="84"/>
      <x:c r="L719" s="84"/>
      <x:c r="M719" s="84"/>
      <x:c r="N719" s="84"/>
      <x:c r="O719" s="84"/>
      <x:c r="P719" s="84"/>
      <x:c r="Q719" s="84"/>
      <x:c r="R719" s="84"/>
      <x:c r="S719" s="84"/>
      <x:c r="T719" s="84"/>
      <x:c r="U719" s="84"/>
      <x:c r="V719" s="84"/>
      <x:c r="W719" s="84"/>
      <x:c r="X719" s="84"/>
      <x:c r="Y719" s="84"/>
      <x:c r="Z719" s="84"/>
    </x:row>
    <x:row r="720">
      <x:c r="A720" s="84"/>
      <x:c r="B720" s="84"/>
      <x:c r="C720" s="84"/>
      <x:c r="D720" s="84"/>
      <x:c r="E720" s="84"/>
      <x:c r="F720" s="84"/>
      <x:c r="G720" s="84"/>
      <x:c r="H720" s="84"/>
      <x:c r="I720" s="84"/>
      <x:c r="J720" s="84"/>
      <x:c r="K720" s="84"/>
      <x:c r="L720" s="84"/>
      <x:c r="M720" s="84"/>
      <x:c r="N720" s="84"/>
      <x:c r="O720" s="84"/>
      <x:c r="P720" s="84"/>
      <x:c r="Q720" s="84"/>
      <x:c r="R720" s="84"/>
      <x:c r="S720" s="84"/>
      <x:c r="T720" s="84"/>
      <x:c r="U720" s="84"/>
      <x:c r="V720" s="84"/>
      <x:c r="W720" s="84"/>
      <x:c r="X720" s="84"/>
      <x:c r="Y720" s="84"/>
      <x:c r="Z720" s="84"/>
    </x:row>
    <x:row r="721">
      <x:c r="A721" s="84"/>
      <x:c r="B721" s="84"/>
      <x:c r="C721" s="84"/>
      <x:c r="D721" s="84"/>
      <x:c r="E721" s="84"/>
      <x:c r="F721" s="84"/>
      <x:c r="G721" s="84"/>
      <x:c r="H721" s="84"/>
      <x:c r="I721" s="84"/>
      <x:c r="J721" s="84"/>
      <x:c r="K721" s="84"/>
      <x:c r="L721" s="84"/>
      <x:c r="M721" s="84"/>
      <x:c r="N721" s="84"/>
      <x:c r="O721" s="84"/>
      <x:c r="P721" s="84"/>
      <x:c r="Q721" s="84"/>
      <x:c r="R721" s="84"/>
      <x:c r="S721" s="84"/>
      <x:c r="T721" s="84"/>
      <x:c r="U721" s="84"/>
      <x:c r="V721" s="84"/>
      <x:c r="W721" s="84"/>
      <x:c r="X721" s="84"/>
      <x:c r="Y721" s="84"/>
      <x:c r="Z721" s="84"/>
    </x:row>
    <x:row r="722">
      <x:c r="A722" s="84"/>
      <x:c r="B722" s="84"/>
      <x:c r="C722" s="84"/>
      <x:c r="D722" s="84"/>
      <x:c r="E722" s="84"/>
      <x:c r="F722" s="84"/>
      <x:c r="G722" s="84"/>
      <x:c r="H722" s="84"/>
      <x:c r="I722" s="84"/>
      <x:c r="J722" s="84"/>
      <x:c r="K722" s="84"/>
      <x:c r="L722" s="84"/>
      <x:c r="M722" s="84"/>
      <x:c r="N722" s="84"/>
      <x:c r="O722" s="84"/>
      <x:c r="P722" s="84"/>
      <x:c r="Q722" s="84"/>
      <x:c r="R722" s="84"/>
      <x:c r="S722" s="84"/>
      <x:c r="T722" s="84"/>
      <x:c r="U722" s="84"/>
      <x:c r="V722" s="84"/>
      <x:c r="W722" s="84"/>
      <x:c r="X722" s="84"/>
      <x:c r="Y722" s="84"/>
      <x:c r="Z722" s="84"/>
    </x:row>
    <x:row r="723">
      <x:c r="A723" s="84"/>
      <x:c r="B723" s="84"/>
      <x:c r="C723" s="84"/>
      <x:c r="D723" s="84"/>
      <x:c r="E723" s="84"/>
      <x:c r="F723" s="84"/>
      <x:c r="G723" s="84"/>
      <x:c r="H723" s="84"/>
      <x:c r="I723" s="84"/>
      <x:c r="J723" s="84"/>
      <x:c r="K723" s="84"/>
      <x:c r="L723" s="84"/>
      <x:c r="M723" s="84"/>
      <x:c r="N723" s="84"/>
      <x:c r="O723" s="84"/>
      <x:c r="P723" s="84"/>
      <x:c r="Q723" s="84"/>
      <x:c r="R723" s="84"/>
      <x:c r="S723" s="84"/>
      <x:c r="T723" s="84"/>
      <x:c r="U723" s="84"/>
      <x:c r="V723" s="84"/>
      <x:c r="W723" s="84"/>
      <x:c r="X723" s="84"/>
      <x:c r="Y723" s="84"/>
      <x:c r="Z723" s="84"/>
    </x:row>
    <x:row r="724">
      <x:c r="A724" s="84"/>
      <x:c r="B724" s="84"/>
      <x:c r="C724" s="84"/>
      <x:c r="D724" s="84"/>
      <x:c r="E724" s="84"/>
      <x:c r="F724" s="84"/>
      <x:c r="G724" s="84"/>
      <x:c r="H724" s="84"/>
      <x:c r="I724" s="84"/>
      <x:c r="J724" s="84"/>
      <x:c r="K724" s="84"/>
      <x:c r="L724" s="84"/>
      <x:c r="M724" s="84"/>
      <x:c r="N724" s="84"/>
      <x:c r="O724" s="84"/>
      <x:c r="P724" s="84"/>
      <x:c r="Q724" s="84"/>
      <x:c r="R724" s="84"/>
      <x:c r="S724" s="84"/>
      <x:c r="T724" s="84"/>
      <x:c r="U724" s="84"/>
      <x:c r="V724" s="84"/>
      <x:c r="W724" s="84"/>
      <x:c r="X724" s="84"/>
      <x:c r="Y724" s="84"/>
      <x:c r="Z724" s="84"/>
    </x:row>
    <x:row r="725">
      <x:c r="A725" s="84"/>
      <x:c r="B725" s="84"/>
      <x:c r="C725" s="84"/>
      <x:c r="D725" s="84"/>
      <x:c r="E725" s="84"/>
      <x:c r="F725" s="84"/>
      <x:c r="G725" s="84"/>
      <x:c r="H725" s="84"/>
      <x:c r="I725" s="84"/>
      <x:c r="J725" s="84"/>
      <x:c r="K725" s="84"/>
      <x:c r="L725" s="84"/>
      <x:c r="M725" s="84"/>
      <x:c r="N725" s="84"/>
      <x:c r="O725" s="84"/>
      <x:c r="P725" s="84"/>
      <x:c r="Q725" s="84"/>
      <x:c r="R725" s="84"/>
      <x:c r="S725" s="84"/>
      <x:c r="T725" s="84"/>
      <x:c r="U725" s="84"/>
      <x:c r="V725" s="84"/>
      <x:c r="W725" s="84"/>
      <x:c r="X725" s="84"/>
      <x:c r="Y725" s="84"/>
      <x:c r="Z725" s="84"/>
    </x:row>
    <x:row r="726">
      <x:c r="A726" s="84"/>
      <x:c r="B726" s="84"/>
      <x:c r="C726" s="84"/>
      <x:c r="D726" s="84"/>
      <x:c r="E726" s="84"/>
      <x:c r="F726" s="84"/>
      <x:c r="G726" s="84"/>
      <x:c r="H726" s="84"/>
      <x:c r="I726" s="84"/>
      <x:c r="J726" s="84"/>
      <x:c r="K726" s="84"/>
      <x:c r="L726" s="84"/>
      <x:c r="M726" s="84"/>
      <x:c r="N726" s="84"/>
      <x:c r="O726" s="84"/>
      <x:c r="P726" s="84"/>
      <x:c r="Q726" s="84"/>
      <x:c r="R726" s="84"/>
      <x:c r="S726" s="84"/>
      <x:c r="T726" s="84"/>
      <x:c r="U726" s="84"/>
      <x:c r="V726" s="84"/>
      <x:c r="W726" s="84"/>
      <x:c r="X726" s="84"/>
      <x:c r="Y726" s="84"/>
      <x:c r="Z726" s="84"/>
    </x:row>
    <x:row r="727">
      <x:c r="A727" s="84"/>
      <x:c r="B727" s="84"/>
      <x:c r="C727" s="84"/>
      <x:c r="D727" s="84"/>
      <x:c r="E727" s="84"/>
      <x:c r="F727" s="84"/>
      <x:c r="G727" s="84"/>
      <x:c r="H727" s="84"/>
      <x:c r="I727" s="84"/>
      <x:c r="J727" s="84"/>
      <x:c r="K727" s="84"/>
      <x:c r="L727" s="84"/>
      <x:c r="M727" s="84"/>
      <x:c r="N727" s="84"/>
      <x:c r="O727" s="84"/>
      <x:c r="P727" s="84"/>
      <x:c r="Q727" s="84"/>
      <x:c r="R727" s="84"/>
      <x:c r="S727" s="84"/>
      <x:c r="T727" s="84"/>
      <x:c r="U727" s="84"/>
      <x:c r="V727" s="84"/>
      <x:c r="W727" s="84"/>
      <x:c r="X727" s="84"/>
      <x:c r="Y727" s="84"/>
      <x:c r="Z727" s="84"/>
    </x:row>
    <x:row r="728">
      <x:c r="A728" s="84"/>
      <x:c r="B728" s="84"/>
      <x:c r="C728" s="84"/>
      <x:c r="D728" s="84"/>
      <x:c r="E728" s="84"/>
      <x:c r="F728" s="84"/>
      <x:c r="G728" s="84"/>
      <x:c r="H728" s="84"/>
      <x:c r="I728" s="84"/>
      <x:c r="J728" s="84"/>
      <x:c r="K728" s="84"/>
      <x:c r="L728" s="84"/>
      <x:c r="M728" s="84"/>
      <x:c r="N728" s="84"/>
      <x:c r="O728" s="84"/>
      <x:c r="P728" s="84"/>
      <x:c r="Q728" s="84"/>
      <x:c r="R728" s="84"/>
      <x:c r="S728" s="84"/>
      <x:c r="T728" s="84"/>
      <x:c r="U728" s="84"/>
      <x:c r="V728" s="84"/>
      <x:c r="W728" s="84"/>
      <x:c r="X728" s="84"/>
      <x:c r="Y728" s="84"/>
      <x:c r="Z728" s="84"/>
    </x:row>
    <x:row r="729">
      <x:c r="A729" s="84"/>
      <x:c r="B729" s="84"/>
      <x:c r="C729" s="84"/>
      <x:c r="D729" s="84"/>
      <x:c r="E729" s="84"/>
      <x:c r="F729" s="84"/>
      <x:c r="G729" s="84"/>
      <x:c r="H729" s="84"/>
      <x:c r="I729" s="84"/>
      <x:c r="J729" s="84"/>
      <x:c r="K729" s="84"/>
      <x:c r="L729" s="84"/>
      <x:c r="M729" s="84"/>
      <x:c r="N729" s="84"/>
      <x:c r="O729" s="84"/>
      <x:c r="P729" s="84"/>
      <x:c r="Q729" s="84"/>
      <x:c r="R729" s="84"/>
      <x:c r="S729" s="84"/>
      <x:c r="T729" s="84"/>
      <x:c r="U729" s="84"/>
      <x:c r="V729" s="84"/>
      <x:c r="W729" s="84"/>
      <x:c r="X729" s="84"/>
      <x:c r="Y729" s="84"/>
      <x:c r="Z729" s="84"/>
    </x:row>
    <x:row r="730">
      <x:c r="A730" s="84"/>
      <x:c r="B730" s="84"/>
      <x:c r="C730" s="84"/>
      <x:c r="D730" s="84"/>
      <x:c r="E730" s="84"/>
      <x:c r="F730" s="84"/>
      <x:c r="G730" s="84"/>
      <x:c r="H730" s="84"/>
      <x:c r="I730" s="84"/>
      <x:c r="J730" s="84"/>
      <x:c r="K730" s="84"/>
      <x:c r="L730" s="84"/>
      <x:c r="M730" s="84"/>
      <x:c r="N730" s="84"/>
      <x:c r="O730" s="84"/>
      <x:c r="P730" s="84"/>
      <x:c r="Q730" s="84"/>
      <x:c r="R730" s="84"/>
      <x:c r="S730" s="84"/>
      <x:c r="T730" s="84"/>
      <x:c r="U730" s="84"/>
      <x:c r="V730" s="84"/>
      <x:c r="W730" s="84"/>
      <x:c r="X730" s="84"/>
      <x:c r="Y730" s="84"/>
      <x:c r="Z730" s="84"/>
    </x:row>
    <x:row r="731">
      <x:c r="A731" s="84"/>
      <x:c r="B731" s="84"/>
      <x:c r="C731" s="84"/>
      <x:c r="D731" s="84"/>
      <x:c r="E731" s="84"/>
      <x:c r="F731" s="84"/>
      <x:c r="G731" s="84"/>
      <x:c r="H731" s="84"/>
      <x:c r="I731" s="84"/>
      <x:c r="J731" s="84"/>
      <x:c r="K731" s="84"/>
      <x:c r="L731" s="84"/>
      <x:c r="M731" s="84"/>
      <x:c r="N731" s="84"/>
      <x:c r="O731" s="84"/>
      <x:c r="P731" s="84"/>
      <x:c r="Q731" s="84"/>
      <x:c r="R731" s="84"/>
      <x:c r="S731" s="84"/>
      <x:c r="T731" s="84"/>
      <x:c r="U731" s="84"/>
      <x:c r="V731" s="84"/>
      <x:c r="W731" s="84"/>
      <x:c r="X731" s="84"/>
      <x:c r="Y731" s="84"/>
      <x:c r="Z731" s="84"/>
    </x:row>
    <x:row r="732">
      <x:c r="A732" s="84"/>
      <x:c r="B732" s="84"/>
      <x:c r="C732" s="84"/>
      <x:c r="D732" s="84"/>
      <x:c r="E732" s="84"/>
      <x:c r="F732" s="84"/>
      <x:c r="G732" s="84"/>
      <x:c r="H732" s="84"/>
      <x:c r="I732" s="84"/>
      <x:c r="J732" s="84"/>
      <x:c r="K732" s="84"/>
      <x:c r="L732" s="84"/>
      <x:c r="M732" s="84"/>
      <x:c r="N732" s="84"/>
      <x:c r="O732" s="84"/>
      <x:c r="P732" s="84"/>
      <x:c r="Q732" s="84"/>
      <x:c r="R732" s="84"/>
      <x:c r="S732" s="84"/>
      <x:c r="T732" s="84"/>
      <x:c r="U732" s="84"/>
      <x:c r="V732" s="84"/>
      <x:c r="W732" s="84"/>
      <x:c r="X732" s="84"/>
      <x:c r="Y732" s="84"/>
      <x:c r="Z732" s="84"/>
    </x:row>
    <x:row r="733">
      <x:c r="A733" s="84"/>
      <x:c r="B733" s="84"/>
      <x:c r="C733" s="84"/>
      <x:c r="D733" s="84"/>
      <x:c r="E733" s="84"/>
      <x:c r="F733" s="84"/>
      <x:c r="G733" s="84"/>
      <x:c r="H733" s="84"/>
      <x:c r="I733" s="84"/>
      <x:c r="J733" s="84"/>
      <x:c r="K733" s="84"/>
      <x:c r="L733" s="84"/>
      <x:c r="M733" s="84"/>
      <x:c r="N733" s="84"/>
      <x:c r="O733" s="84"/>
      <x:c r="P733" s="84"/>
      <x:c r="Q733" s="84"/>
      <x:c r="R733" s="84"/>
      <x:c r="S733" s="84"/>
      <x:c r="T733" s="84"/>
      <x:c r="U733" s="84"/>
      <x:c r="V733" s="84"/>
      <x:c r="W733" s="84"/>
      <x:c r="X733" s="84"/>
      <x:c r="Y733" s="84"/>
      <x:c r="Z733" s="84"/>
    </x:row>
    <x:row r="734">
      <x:c r="A734" s="84"/>
      <x:c r="B734" s="84"/>
      <x:c r="C734" s="84"/>
      <x:c r="D734" s="84"/>
      <x:c r="E734" s="84"/>
      <x:c r="F734" s="84"/>
      <x:c r="G734" s="84"/>
      <x:c r="H734" s="84"/>
      <x:c r="I734" s="84"/>
      <x:c r="J734" s="84"/>
      <x:c r="K734" s="84"/>
      <x:c r="L734" s="84"/>
      <x:c r="M734" s="84"/>
      <x:c r="N734" s="84"/>
      <x:c r="O734" s="84"/>
      <x:c r="P734" s="84"/>
      <x:c r="Q734" s="84"/>
      <x:c r="R734" s="84"/>
      <x:c r="S734" s="84"/>
      <x:c r="T734" s="84"/>
      <x:c r="U734" s="84"/>
      <x:c r="V734" s="84"/>
      <x:c r="W734" s="84"/>
      <x:c r="X734" s="84"/>
      <x:c r="Y734" s="84"/>
      <x:c r="Z734" s="84"/>
    </x:row>
    <x:row r="735">
      <x:c r="A735" s="84"/>
      <x:c r="B735" s="84"/>
      <x:c r="C735" s="84"/>
      <x:c r="D735" s="84"/>
      <x:c r="E735" s="84"/>
      <x:c r="F735" s="84"/>
      <x:c r="G735" s="84"/>
      <x:c r="H735" s="84"/>
      <x:c r="I735" s="84"/>
      <x:c r="J735" s="84"/>
      <x:c r="K735" s="84"/>
      <x:c r="L735" s="84"/>
      <x:c r="M735" s="84"/>
      <x:c r="N735" s="84"/>
      <x:c r="O735" s="84"/>
      <x:c r="P735" s="84"/>
      <x:c r="Q735" s="84"/>
      <x:c r="R735" s="84"/>
      <x:c r="S735" s="84"/>
      <x:c r="T735" s="84"/>
      <x:c r="U735" s="84"/>
      <x:c r="V735" s="84"/>
      <x:c r="W735" s="84"/>
      <x:c r="X735" s="84"/>
      <x:c r="Y735" s="84"/>
      <x:c r="Z735" s="84"/>
    </x:row>
    <x:row r="736">
      <x:c r="A736" s="84"/>
      <x:c r="B736" s="84"/>
      <x:c r="C736" s="84"/>
      <x:c r="D736" s="84"/>
      <x:c r="E736" s="84"/>
      <x:c r="F736" s="84"/>
      <x:c r="G736" s="84"/>
      <x:c r="H736" s="84"/>
      <x:c r="I736" s="84"/>
      <x:c r="J736" s="84"/>
      <x:c r="K736" s="84"/>
      <x:c r="L736" s="84"/>
      <x:c r="M736" s="84"/>
      <x:c r="N736" s="84"/>
      <x:c r="O736" s="84"/>
      <x:c r="P736" s="84"/>
      <x:c r="Q736" s="84"/>
      <x:c r="R736" s="84"/>
      <x:c r="S736" s="84"/>
      <x:c r="T736" s="84"/>
      <x:c r="U736" s="84"/>
      <x:c r="V736" s="84"/>
      <x:c r="W736" s="84"/>
      <x:c r="X736" s="84"/>
      <x:c r="Y736" s="84"/>
      <x:c r="Z736" s="84"/>
    </x:row>
    <x:row r="737">
      <x:c r="A737" s="84"/>
      <x:c r="B737" s="84"/>
      <x:c r="C737" s="84"/>
      <x:c r="D737" s="84"/>
      <x:c r="E737" s="84"/>
      <x:c r="F737" s="84"/>
      <x:c r="G737" s="84"/>
      <x:c r="H737" s="84"/>
      <x:c r="I737" s="84"/>
      <x:c r="J737" s="84"/>
      <x:c r="K737" s="84"/>
      <x:c r="L737" s="84"/>
      <x:c r="M737" s="84"/>
      <x:c r="N737" s="84"/>
      <x:c r="O737" s="84"/>
      <x:c r="P737" s="84"/>
      <x:c r="Q737" s="84"/>
      <x:c r="R737" s="84"/>
      <x:c r="S737" s="84"/>
      <x:c r="T737" s="84"/>
      <x:c r="U737" s="84"/>
      <x:c r="V737" s="84"/>
      <x:c r="W737" s="84"/>
      <x:c r="X737" s="84"/>
      <x:c r="Y737" s="84"/>
      <x:c r="Z737" s="84"/>
    </x:row>
    <x:row r="738">
      <x:c r="A738" s="84"/>
      <x:c r="B738" s="84"/>
      <x:c r="C738" s="84"/>
      <x:c r="D738" s="84"/>
      <x:c r="E738" s="84"/>
      <x:c r="F738" s="84"/>
      <x:c r="G738" s="84"/>
      <x:c r="H738" s="84"/>
      <x:c r="I738" s="84"/>
      <x:c r="J738" s="84"/>
      <x:c r="K738" s="84"/>
      <x:c r="L738" s="84"/>
      <x:c r="M738" s="84"/>
      <x:c r="N738" s="84"/>
      <x:c r="O738" s="84"/>
      <x:c r="P738" s="84"/>
      <x:c r="Q738" s="84"/>
      <x:c r="R738" s="84"/>
      <x:c r="S738" s="84"/>
      <x:c r="T738" s="84"/>
      <x:c r="U738" s="84"/>
      <x:c r="V738" s="84"/>
      <x:c r="W738" s="84"/>
      <x:c r="X738" s="84"/>
      <x:c r="Y738" s="84"/>
      <x:c r="Z738" s="84"/>
    </x:row>
    <x:row r="739">
      <x:c r="A739" s="84"/>
      <x:c r="B739" s="84"/>
      <x:c r="C739" s="84"/>
      <x:c r="D739" s="84"/>
      <x:c r="E739" s="84"/>
      <x:c r="F739" s="84"/>
      <x:c r="G739" s="84"/>
      <x:c r="H739" s="84"/>
      <x:c r="I739" s="84"/>
      <x:c r="J739" s="84"/>
      <x:c r="K739" s="84"/>
      <x:c r="L739" s="84"/>
      <x:c r="M739" s="84"/>
      <x:c r="N739" s="84"/>
      <x:c r="O739" s="84"/>
      <x:c r="P739" s="84"/>
      <x:c r="Q739" s="84"/>
      <x:c r="R739" s="84"/>
      <x:c r="S739" s="84"/>
      <x:c r="T739" s="84"/>
      <x:c r="U739" s="84"/>
      <x:c r="V739" s="84"/>
      <x:c r="W739" s="84"/>
      <x:c r="X739" s="84"/>
      <x:c r="Y739" s="84"/>
      <x:c r="Z739" s="84"/>
    </x:row>
    <x:row r="740">
      <x:c r="A740" s="84"/>
      <x:c r="B740" s="84"/>
      <x:c r="C740" s="84"/>
      <x:c r="D740" s="84"/>
      <x:c r="E740" s="84"/>
      <x:c r="F740" s="84"/>
      <x:c r="G740" s="84"/>
      <x:c r="H740" s="84"/>
      <x:c r="I740" s="84"/>
      <x:c r="J740" s="84"/>
      <x:c r="K740" s="84"/>
      <x:c r="L740" s="84"/>
      <x:c r="M740" s="84"/>
      <x:c r="N740" s="84"/>
      <x:c r="O740" s="84"/>
      <x:c r="P740" s="84"/>
      <x:c r="Q740" s="84"/>
      <x:c r="R740" s="84"/>
      <x:c r="S740" s="84"/>
      <x:c r="T740" s="84"/>
      <x:c r="U740" s="84"/>
      <x:c r="V740" s="84"/>
      <x:c r="W740" s="84"/>
      <x:c r="X740" s="84"/>
      <x:c r="Y740" s="84"/>
      <x:c r="Z740" s="84"/>
    </x:row>
    <x:row r="741">
      <x:c r="A741" s="84"/>
      <x:c r="B741" s="84"/>
      <x:c r="C741" s="84"/>
      <x:c r="D741" s="84"/>
      <x:c r="E741" s="84"/>
      <x:c r="F741" s="84"/>
      <x:c r="G741" s="84"/>
      <x:c r="H741" s="84"/>
      <x:c r="I741" s="84"/>
      <x:c r="J741" s="84"/>
      <x:c r="K741" s="84"/>
      <x:c r="L741" s="84"/>
      <x:c r="M741" s="84"/>
      <x:c r="N741" s="84"/>
      <x:c r="O741" s="84"/>
      <x:c r="P741" s="84"/>
      <x:c r="Q741" s="84"/>
      <x:c r="R741" s="84"/>
      <x:c r="S741" s="84"/>
      <x:c r="T741" s="84"/>
      <x:c r="U741" s="84"/>
      <x:c r="V741" s="84"/>
      <x:c r="W741" s="84"/>
      <x:c r="X741" s="84"/>
      <x:c r="Y741" s="84"/>
      <x:c r="Z741" s="84"/>
    </x:row>
    <x:row r="742">
      <x:c r="A742" s="84"/>
      <x:c r="B742" s="84"/>
      <x:c r="C742" s="84"/>
      <x:c r="D742" s="84"/>
      <x:c r="E742" s="84"/>
      <x:c r="F742" s="84"/>
      <x:c r="G742" s="84"/>
      <x:c r="H742" s="84"/>
      <x:c r="I742" s="84"/>
      <x:c r="J742" s="84"/>
      <x:c r="K742" s="84"/>
      <x:c r="L742" s="84"/>
      <x:c r="M742" s="84"/>
      <x:c r="N742" s="84"/>
      <x:c r="O742" s="84"/>
      <x:c r="P742" s="84"/>
      <x:c r="Q742" s="84"/>
      <x:c r="R742" s="84"/>
      <x:c r="S742" s="84"/>
      <x:c r="T742" s="84"/>
      <x:c r="U742" s="84"/>
      <x:c r="V742" s="84"/>
      <x:c r="W742" s="84"/>
      <x:c r="X742" s="84"/>
      <x:c r="Y742" s="84"/>
      <x:c r="Z742" s="84"/>
    </x:row>
    <x:row r="743">
      <x:c r="A743" s="84"/>
      <x:c r="B743" s="84"/>
      <x:c r="C743" s="84"/>
      <x:c r="D743" s="84"/>
      <x:c r="E743" s="84"/>
      <x:c r="F743" s="84"/>
      <x:c r="G743" s="84"/>
      <x:c r="H743" s="84"/>
      <x:c r="I743" s="84"/>
      <x:c r="J743" s="84"/>
      <x:c r="K743" s="84"/>
      <x:c r="L743" s="84"/>
      <x:c r="M743" s="84"/>
      <x:c r="N743" s="84"/>
      <x:c r="O743" s="84"/>
      <x:c r="P743" s="84"/>
      <x:c r="Q743" s="84"/>
      <x:c r="R743" s="84"/>
      <x:c r="S743" s="84"/>
      <x:c r="T743" s="84"/>
      <x:c r="U743" s="84"/>
      <x:c r="V743" s="84"/>
      <x:c r="W743" s="84"/>
      <x:c r="X743" s="84"/>
      <x:c r="Y743" s="84"/>
      <x:c r="Z743" s="84"/>
    </x:row>
    <x:row r="744">
      <x:c r="A744" s="84"/>
      <x:c r="B744" s="84"/>
      <x:c r="C744" s="84"/>
      <x:c r="D744" s="84"/>
      <x:c r="E744" s="84"/>
      <x:c r="F744" s="84"/>
      <x:c r="G744" s="84"/>
      <x:c r="H744" s="84"/>
      <x:c r="I744" s="84"/>
      <x:c r="J744" s="84"/>
      <x:c r="K744" s="84"/>
      <x:c r="L744" s="84"/>
      <x:c r="M744" s="84"/>
      <x:c r="N744" s="84"/>
      <x:c r="O744" s="84"/>
      <x:c r="P744" s="84"/>
      <x:c r="Q744" s="84"/>
      <x:c r="R744" s="84"/>
      <x:c r="S744" s="84"/>
      <x:c r="T744" s="84"/>
      <x:c r="U744" s="84"/>
      <x:c r="V744" s="84"/>
      <x:c r="W744" s="84"/>
      <x:c r="X744" s="84"/>
      <x:c r="Y744" s="84"/>
      <x:c r="Z744" s="84"/>
    </x:row>
    <x:row r="745">
      <x:c r="A745" s="84"/>
      <x:c r="B745" s="84"/>
      <x:c r="C745" s="84"/>
      <x:c r="D745" s="84"/>
      <x:c r="E745" s="84"/>
      <x:c r="F745" s="84"/>
      <x:c r="G745" s="84"/>
      <x:c r="H745" s="84"/>
      <x:c r="I745" s="84"/>
      <x:c r="J745" s="84"/>
      <x:c r="K745" s="84"/>
      <x:c r="L745" s="84"/>
      <x:c r="M745" s="84"/>
      <x:c r="N745" s="84"/>
      <x:c r="O745" s="84"/>
      <x:c r="P745" s="84"/>
      <x:c r="Q745" s="84"/>
      <x:c r="R745" s="84"/>
      <x:c r="S745" s="84"/>
      <x:c r="T745" s="84"/>
      <x:c r="U745" s="84"/>
      <x:c r="V745" s="84"/>
      <x:c r="W745" s="84"/>
      <x:c r="X745" s="84"/>
      <x:c r="Y745" s="84"/>
      <x:c r="Z745" s="84"/>
    </x:row>
    <x:row r="746">
      <x:c r="A746" s="84"/>
      <x:c r="B746" s="84"/>
      <x:c r="C746" s="84"/>
      <x:c r="D746" s="84"/>
      <x:c r="E746" s="84"/>
      <x:c r="F746" s="84"/>
      <x:c r="G746" s="84"/>
      <x:c r="H746" s="84"/>
      <x:c r="I746" s="84"/>
      <x:c r="J746" s="84"/>
      <x:c r="K746" s="84"/>
      <x:c r="L746" s="84"/>
      <x:c r="M746" s="84"/>
      <x:c r="N746" s="84"/>
      <x:c r="O746" s="84"/>
      <x:c r="P746" s="84"/>
      <x:c r="Q746" s="84"/>
      <x:c r="R746" s="84"/>
      <x:c r="S746" s="84"/>
      <x:c r="T746" s="84"/>
      <x:c r="U746" s="84"/>
      <x:c r="V746" s="84"/>
      <x:c r="W746" s="84"/>
      <x:c r="X746" s="84"/>
      <x:c r="Y746" s="84"/>
      <x:c r="Z746" s="84"/>
    </x:row>
    <x:row r="747">
      <x:c r="A747" s="84"/>
      <x:c r="B747" s="84"/>
      <x:c r="C747" s="84"/>
      <x:c r="D747" s="84"/>
      <x:c r="E747" s="84"/>
      <x:c r="F747" s="84"/>
      <x:c r="G747" s="84"/>
      <x:c r="H747" s="84"/>
      <x:c r="I747" s="84"/>
      <x:c r="J747" s="84"/>
      <x:c r="K747" s="84"/>
      <x:c r="L747" s="84"/>
      <x:c r="M747" s="84"/>
      <x:c r="N747" s="84"/>
      <x:c r="O747" s="84"/>
      <x:c r="P747" s="84"/>
      <x:c r="Q747" s="84"/>
      <x:c r="R747" s="84"/>
      <x:c r="S747" s="84"/>
      <x:c r="T747" s="84"/>
      <x:c r="U747" s="84"/>
      <x:c r="V747" s="84"/>
      <x:c r="W747" s="84"/>
      <x:c r="X747" s="84"/>
      <x:c r="Y747" s="84"/>
      <x:c r="Z747" s="84"/>
    </x:row>
    <x:row r="748">
      <x:c r="A748" s="84"/>
      <x:c r="B748" s="84"/>
      <x:c r="C748" s="84"/>
      <x:c r="D748" s="84"/>
      <x:c r="E748" s="84"/>
      <x:c r="F748" s="84"/>
      <x:c r="G748" s="84"/>
      <x:c r="H748" s="84"/>
      <x:c r="I748" s="84"/>
      <x:c r="J748" s="84"/>
      <x:c r="K748" s="84"/>
      <x:c r="L748" s="84"/>
      <x:c r="M748" s="84"/>
      <x:c r="N748" s="84"/>
      <x:c r="O748" s="84"/>
      <x:c r="P748" s="84"/>
      <x:c r="Q748" s="84"/>
      <x:c r="R748" s="84"/>
      <x:c r="S748" s="84"/>
      <x:c r="T748" s="84"/>
      <x:c r="U748" s="84"/>
      <x:c r="V748" s="84"/>
      <x:c r="W748" s="84"/>
      <x:c r="X748" s="84"/>
      <x:c r="Y748" s="84"/>
      <x:c r="Z748" s="84"/>
    </x:row>
    <x:row r="749">
      <x:c r="A749" s="84"/>
      <x:c r="B749" s="84"/>
      <x:c r="C749" s="84"/>
      <x:c r="D749" s="84"/>
      <x:c r="E749" s="84"/>
      <x:c r="F749" s="84"/>
      <x:c r="G749" s="84"/>
      <x:c r="H749" s="84"/>
      <x:c r="I749" s="84"/>
      <x:c r="J749" s="84"/>
      <x:c r="K749" s="84"/>
      <x:c r="L749" s="84"/>
      <x:c r="M749" s="84"/>
      <x:c r="N749" s="84"/>
      <x:c r="O749" s="84"/>
      <x:c r="P749" s="84"/>
      <x:c r="Q749" s="84"/>
      <x:c r="R749" s="84"/>
      <x:c r="S749" s="84"/>
      <x:c r="T749" s="84"/>
      <x:c r="U749" s="84"/>
      <x:c r="V749" s="84"/>
      <x:c r="W749" s="84"/>
      <x:c r="X749" s="84"/>
      <x:c r="Y749" s="84"/>
      <x:c r="Z749" s="84"/>
    </x:row>
    <x:row r="750">
      <x:c r="A750" s="84"/>
      <x:c r="B750" s="84"/>
      <x:c r="C750" s="84"/>
      <x:c r="D750" s="84"/>
      <x:c r="E750" s="84"/>
      <x:c r="F750" s="84"/>
      <x:c r="G750" s="84"/>
      <x:c r="H750" s="84"/>
      <x:c r="I750" s="84"/>
      <x:c r="J750" s="84"/>
      <x:c r="K750" s="84"/>
      <x:c r="L750" s="84"/>
      <x:c r="M750" s="84"/>
      <x:c r="N750" s="84"/>
      <x:c r="O750" s="84"/>
      <x:c r="P750" s="84"/>
      <x:c r="Q750" s="84"/>
      <x:c r="R750" s="84"/>
      <x:c r="S750" s="84"/>
      <x:c r="T750" s="84"/>
      <x:c r="U750" s="84"/>
      <x:c r="V750" s="84"/>
      <x:c r="W750" s="84"/>
      <x:c r="X750" s="84"/>
      <x:c r="Y750" s="84"/>
      <x:c r="Z750" s="84"/>
    </x:row>
    <x:row r="751">
      <x:c r="A751" s="84"/>
      <x:c r="B751" s="84"/>
      <x:c r="C751" s="84"/>
      <x:c r="D751" s="84"/>
      <x:c r="E751" s="84"/>
      <x:c r="F751" s="84"/>
      <x:c r="G751" s="84"/>
      <x:c r="H751" s="84"/>
      <x:c r="I751" s="84"/>
      <x:c r="J751" s="84"/>
      <x:c r="K751" s="84"/>
      <x:c r="L751" s="84"/>
      <x:c r="M751" s="84"/>
      <x:c r="N751" s="84"/>
      <x:c r="O751" s="84"/>
      <x:c r="P751" s="84"/>
      <x:c r="Q751" s="84"/>
      <x:c r="R751" s="84"/>
      <x:c r="S751" s="84"/>
      <x:c r="T751" s="84"/>
      <x:c r="U751" s="84"/>
      <x:c r="V751" s="84"/>
      <x:c r="W751" s="84"/>
      <x:c r="X751" s="84"/>
      <x:c r="Y751" s="84"/>
      <x:c r="Z751" s="84"/>
    </x:row>
    <x:row r="752">
      <x:c r="A752" s="84"/>
      <x:c r="B752" s="84"/>
      <x:c r="C752" s="84"/>
      <x:c r="D752" s="84"/>
      <x:c r="E752" s="84"/>
      <x:c r="F752" s="84"/>
      <x:c r="G752" s="84"/>
      <x:c r="H752" s="84"/>
      <x:c r="I752" s="84"/>
      <x:c r="J752" s="84"/>
      <x:c r="K752" s="84"/>
      <x:c r="L752" s="84"/>
      <x:c r="M752" s="84"/>
      <x:c r="N752" s="84"/>
      <x:c r="O752" s="84"/>
      <x:c r="P752" s="84"/>
      <x:c r="Q752" s="84"/>
      <x:c r="R752" s="84"/>
      <x:c r="S752" s="84"/>
      <x:c r="T752" s="84"/>
      <x:c r="U752" s="84"/>
      <x:c r="V752" s="84"/>
      <x:c r="W752" s="84"/>
      <x:c r="X752" s="84"/>
      <x:c r="Y752" s="84"/>
      <x:c r="Z752" s="84"/>
    </x:row>
    <x:row r="753">
      <x:c r="A753" s="84"/>
      <x:c r="B753" s="84"/>
      <x:c r="C753" s="84"/>
      <x:c r="D753" s="84"/>
      <x:c r="E753" s="84"/>
      <x:c r="F753" s="84"/>
      <x:c r="G753" s="84"/>
      <x:c r="H753" s="84"/>
      <x:c r="I753" s="84"/>
      <x:c r="J753" s="84"/>
      <x:c r="K753" s="84"/>
      <x:c r="L753" s="84"/>
      <x:c r="M753" s="84"/>
      <x:c r="N753" s="84"/>
      <x:c r="O753" s="84"/>
      <x:c r="P753" s="84"/>
      <x:c r="Q753" s="84"/>
      <x:c r="R753" s="84"/>
      <x:c r="S753" s="84"/>
      <x:c r="T753" s="84"/>
      <x:c r="U753" s="84"/>
      <x:c r="V753" s="84"/>
      <x:c r="W753" s="84"/>
      <x:c r="X753" s="84"/>
      <x:c r="Y753" s="84"/>
      <x:c r="Z753" s="84"/>
    </x:row>
    <x:row r="754">
      <x:c r="A754" s="84"/>
      <x:c r="B754" s="84"/>
      <x:c r="C754" s="84"/>
      <x:c r="D754" s="84"/>
      <x:c r="E754" s="84"/>
      <x:c r="F754" s="84"/>
      <x:c r="G754" s="84"/>
      <x:c r="H754" s="84"/>
      <x:c r="I754" s="84"/>
      <x:c r="J754" s="84"/>
      <x:c r="K754" s="84"/>
      <x:c r="L754" s="84"/>
      <x:c r="M754" s="84"/>
      <x:c r="N754" s="84"/>
      <x:c r="O754" s="84"/>
      <x:c r="P754" s="84"/>
      <x:c r="Q754" s="84"/>
      <x:c r="R754" s="84"/>
      <x:c r="S754" s="84"/>
      <x:c r="T754" s="84"/>
      <x:c r="U754" s="84"/>
      <x:c r="V754" s="84"/>
      <x:c r="W754" s="84"/>
      <x:c r="X754" s="84"/>
      <x:c r="Y754" s="84"/>
      <x:c r="Z754" s="84"/>
    </x:row>
    <x:row r="755">
      <x:c r="A755" s="84"/>
      <x:c r="B755" s="84"/>
      <x:c r="C755" s="84"/>
      <x:c r="D755" s="84"/>
      <x:c r="E755" s="84"/>
      <x:c r="F755" s="84"/>
      <x:c r="G755" s="84"/>
      <x:c r="H755" s="84"/>
      <x:c r="I755" s="84"/>
      <x:c r="J755" s="84"/>
      <x:c r="K755" s="84"/>
      <x:c r="L755" s="84"/>
      <x:c r="M755" s="84"/>
      <x:c r="N755" s="84"/>
      <x:c r="O755" s="84"/>
      <x:c r="P755" s="84"/>
      <x:c r="Q755" s="84"/>
      <x:c r="R755" s="84"/>
      <x:c r="S755" s="84"/>
      <x:c r="T755" s="84"/>
      <x:c r="U755" s="84"/>
      <x:c r="V755" s="84"/>
      <x:c r="W755" s="84"/>
      <x:c r="X755" s="84"/>
      <x:c r="Y755" s="84"/>
      <x:c r="Z755" s="84"/>
    </x:row>
    <x:row r="756">
      <x:c r="A756" s="84"/>
      <x:c r="B756" s="84"/>
      <x:c r="C756" s="84"/>
      <x:c r="D756" s="84"/>
      <x:c r="E756" s="84"/>
      <x:c r="F756" s="84"/>
      <x:c r="G756" s="84"/>
      <x:c r="H756" s="84"/>
      <x:c r="I756" s="84"/>
      <x:c r="J756" s="84"/>
      <x:c r="K756" s="84"/>
      <x:c r="L756" s="84"/>
      <x:c r="M756" s="84"/>
      <x:c r="N756" s="84"/>
      <x:c r="O756" s="84"/>
      <x:c r="P756" s="84"/>
      <x:c r="Q756" s="84"/>
      <x:c r="R756" s="84"/>
      <x:c r="S756" s="84"/>
      <x:c r="T756" s="84"/>
      <x:c r="U756" s="84"/>
      <x:c r="V756" s="84"/>
      <x:c r="W756" s="84"/>
      <x:c r="X756" s="84"/>
      <x:c r="Y756" s="84"/>
      <x:c r="Z756" s="84"/>
    </x:row>
    <x:row r="757">
      <x:c r="A757" s="84"/>
      <x:c r="B757" s="84"/>
      <x:c r="C757" s="84"/>
      <x:c r="D757" s="84"/>
      <x:c r="E757" s="84"/>
      <x:c r="F757" s="84"/>
      <x:c r="G757" s="84"/>
      <x:c r="H757" s="84"/>
      <x:c r="I757" s="84"/>
      <x:c r="J757" s="84"/>
      <x:c r="K757" s="84"/>
      <x:c r="L757" s="84"/>
      <x:c r="M757" s="84"/>
      <x:c r="N757" s="84"/>
      <x:c r="O757" s="84"/>
      <x:c r="P757" s="84"/>
      <x:c r="Q757" s="84"/>
      <x:c r="R757" s="84"/>
      <x:c r="S757" s="84"/>
      <x:c r="T757" s="84"/>
      <x:c r="U757" s="84"/>
      <x:c r="V757" s="84"/>
      <x:c r="W757" s="84"/>
      <x:c r="X757" s="84"/>
      <x:c r="Y757" s="84"/>
      <x:c r="Z757" s="84"/>
    </x:row>
    <x:row r="758">
      <x:c r="A758" s="84"/>
      <x:c r="B758" s="84"/>
      <x:c r="C758" s="84"/>
      <x:c r="D758" s="84"/>
      <x:c r="E758" s="84"/>
      <x:c r="F758" s="84"/>
      <x:c r="G758" s="84"/>
      <x:c r="H758" s="84"/>
      <x:c r="I758" s="84"/>
      <x:c r="J758" s="84"/>
      <x:c r="K758" s="84"/>
      <x:c r="L758" s="84"/>
      <x:c r="M758" s="84"/>
      <x:c r="N758" s="84"/>
      <x:c r="O758" s="84"/>
      <x:c r="P758" s="84"/>
      <x:c r="Q758" s="84"/>
      <x:c r="R758" s="84"/>
      <x:c r="S758" s="84"/>
      <x:c r="T758" s="84"/>
      <x:c r="U758" s="84"/>
      <x:c r="V758" s="84"/>
      <x:c r="W758" s="84"/>
      <x:c r="X758" s="84"/>
      <x:c r="Y758" s="84"/>
      <x:c r="Z758" s="84"/>
    </x:row>
    <x:row r="759">
      <x:c r="A759" s="84"/>
      <x:c r="B759" s="84"/>
      <x:c r="C759" s="84"/>
      <x:c r="D759" s="84"/>
      <x:c r="E759" s="84"/>
      <x:c r="F759" s="84"/>
      <x:c r="G759" s="84"/>
      <x:c r="H759" s="84"/>
      <x:c r="I759" s="84"/>
      <x:c r="J759" s="84"/>
      <x:c r="K759" s="84"/>
      <x:c r="L759" s="84"/>
      <x:c r="M759" s="84"/>
      <x:c r="N759" s="84"/>
      <x:c r="O759" s="84"/>
      <x:c r="P759" s="84"/>
      <x:c r="Q759" s="84"/>
      <x:c r="R759" s="84"/>
      <x:c r="S759" s="84"/>
      <x:c r="T759" s="84"/>
      <x:c r="U759" s="84"/>
      <x:c r="V759" s="84"/>
      <x:c r="W759" s="84"/>
      <x:c r="X759" s="84"/>
      <x:c r="Y759" s="84"/>
      <x:c r="Z759" s="84"/>
    </x:row>
    <x:row r="760">
      <x:c r="A760" s="84"/>
      <x:c r="B760" s="84"/>
      <x:c r="C760" s="84"/>
      <x:c r="D760" s="84"/>
      <x:c r="E760" s="84"/>
      <x:c r="F760" s="84"/>
      <x:c r="G760" s="84"/>
      <x:c r="H760" s="84"/>
      <x:c r="I760" s="84"/>
      <x:c r="J760" s="84"/>
      <x:c r="K760" s="84"/>
      <x:c r="L760" s="84"/>
      <x:c r="M760" s="84"/>
      <x:c r="N760" s="84"/>
      <x:c r="O760" s="84"/>
      <x:c r="P760" s="84"/>
      <x:c r="Q760" s="84"/>
      <x:c r="R760" s="84"/>
      <x:c r="S760" s="84"/>
      <x:c r="T760" s="84"/>
      <x:c r="U760" s="84"/>
      <x:c r="V760" s="84"/>
      <x:c r="W760" s="84"/>
      <x:c r="X760" s="84"/>
      <x:c r="Y760" s="84"/>
      <x:c r="Z760" s="84"/>
    </x:row>
    <x:row r="761">
      <x:c r="A761" s="84"/>
      <x:c r="B761" s="84"/>
      <x:c r="C761" s="84"/>
      <x:c r="D761" s="84"/>
      <x:c r="E761" s="84"/>
      <x:c r="F761" s="84"/>
      <x:c r="G761" s="84"/>
      <x:c r="H761" s="84"/>
      <x:c r="I761" s="84"/>
      <x:c r="J761" s="84"/>
      <x:c r="K761" s="84"/>
      <x:c r="L761" s="84"/>
      <x:c r="M761" s="84"/>
      <x:c r="N761" s="84"/>
      <x:c r="O761" s="84"/>
      <x:c r="P761" s="84"/>
      <x:c r="Q761" s="84"/>
      <x:c r="R761" s="84"/>
      <x:c r="S761" s="84"/>
      <x:c r="T761" s="84"/>
      <x:c r="U761" s="84"/>
      <x:c r="V761" s="84"/>
      <x:c r="W761" s="84"/>
      <x:c r="X761" s="84"/>
      <x:c r="Y761" s="84"/>
      <x:c r="Z761" s="84"/>
    </x:row>
    <x:row r="762">
      <x:c r="A762" s="84"/>
      <x:c r="B762" s="84"/>
      <x:c r="C762" s="84"/>
      <x:c r="D762" s="84"/>
      <x:c r="E762" s="84"/>
      <x:c r="F762" s="84"/>
      <x:c r="G762" s="84"/>
      <x:c r="H762" s="84"/>
      <x:c r="I762" s="84"/>
      <x:c r="J762" s="84"/>
      <x:c r="K762" s="84"/>
      <x:c r="L762" s="84"/>
      <x:c r="M762" s="84"/>
      <x:c r="N762" s="84"/>
      <x:c r="O762" s="84"/>
      <x:c r="P762" s="84"/>
      <x:c r="Q762" s="84"/>
      <x:c r="R762" s="84"/>
      <x:c r="S762" s="84"/>
      <x:c r="T762" s="84"/>
      <x:c r="U762" s="84"/>
      <x:c r="V762" s="84"/>
      <x:c r="W762" s="84"/>
      <x:c r="X762" s="84"/>
      <x:c r="Y762" s="84"/>
      <x:c r="Z762" s="84"/>
    </x:row>
    <x:row r="763">
      <x:c r="A763" s="84"/>
      <x:c r="B763" s="84"/>
      <x:c r="C763" s="84"/>
      <x:c r="D763" s="84"/>
      <x:c r="E763" s="84"/>
      <x:c r="F763" s="84"/>
      <x:c r="G763" s="84"/>
      <x:c r="H763" s="84"/>
      <x:c r="I763" s="84"/>
      <x:c r="J763" s="84"/>
      <x:c r="K763" s="84"/>
      <x:c r="L763" s="84"/>
      <x:c r="M763" s="84"/>
      <x:c r="N763" s="84"/>
      <x:c r="O763" s="84"/>
      <x:c r="P763" s="84"/>
      <x:c r="Q763" s="84"/>
      <x:c r="R763" s="84"/>
      <x:c r="S763" s="84"/>
      <x:c r="T763" s="84"/>
      <x:c r="U763" s="84"/>
      <x:c r="V763" s="84"/>
      <x:c r="W763" s="84"/>
      <x:c r="X763" s="84"/>
      <x:c r="Y763" s="84"/>
      <x:c r="Z763" s="84"/>
    </x:row>
    <x:row r="764">
      <x:c r="A764" s="84"/>
      <x:c r="B764" s="84"/>
      <x:c r="C764" s="84"/>
      <x:c r="D764" s="84"/>
      <x:c r="E764" s="84"/>
      <x:c r="F764" s="84"/>
      <x:c r="G764" s="84"/>
      <x:c r="H764" s="84"/>
      <x:c r="I764" s="84"/>
      <x:c r="J764" s="84"/>
      <x:c r="K764" s="84"/>
      <x:c r="L764" s="84"/>
      <x:c r="M764" s="84"/>
      <x:c r="N764" s="84"/>
      <x:c r="O764" s="84"/>
      <x:c r="P764" s="84"/>
      <x:c r="Q764" s="84"/>
      <x:c r="R764" s="84"/>
      <x:c r="S764" s="84"/>
      <x:c r="T764" s="84"/>
      <x:c r="U764" s="84"/>
      <x:c r="V764" s="84"/>
      <x:c r="W764" s="84"/>
      <x:c r="X764" s="84"/>
      <x:c r="Y764" s="84"/>
      <x:c r="Z764" s="84"/>
    </x:row>
    <x:row r="765">
      <x:c r="A765" s="84"/>
      <x:c r="B765" s="84"/>
      <x:c r="C765" s="84"/>
      <x:c r="D765" s="84"/>
      <x:c r="E765" s="84"/>
      <x:c r="F765" s="84"/>
      <x:c r="G765" s="84"/>
      <x:c r="H765" s="84"/>
      <x:c r="I765" s="84"/>
      <x:c r="J765" s="84"/>
      <x:c r="K765" s="84"/>
      <x:c r="L765" s="84"/>
      <x:c r="M765" s="84"/>
      <x:c r="N765" s="84"/>
      <x:c r="O765" s="84"/>
      <x:c r="P765" s="84"/>
      <x:c r="Q765" s="84"/>
      <x:c r="R765" s="84"/>
      <x:c r="S765" s="84"/>
      <x:c r="T765" s="84"/>
      <x:c r="U765" s="84"/>
      <x:c r="V765" s="84"/>
      <x:c r="W765" s="84"/>
      <x:c r="X765" s="84"/>
      <x:c r="Y765" s="84"/>
      <x:c r="Z765" s="84"/>
    </x:row>
    <x:row r="766">
      <x:c r="A766" s="84"/>
      <x:c r="B766" s="84"/>
      <x:c r="C766" s="84"/>
      <x:c r="D766" s="84"/>
      <x:c r="E766" s="84"/>
      <x:c r="F766" s="84"/>
      <x:c r="G766" s="84"/>
      <x:c r="H766" s="84"/>
      <x:c r="I766" s="84"/>
      <x:c r="J766" s="84"/>
      <x:c r="K766" s="84"/>
      <x:c r="L766" s="84"/>
      <x:c r="M766" s="84"/>
      <x:c r="N766" s="84"/>
      <x:c r="O766" s="84"/>
      <x:c r="P766" s="84"/>
      <x:c r="Q766" s="84"/>
      <x:c r="R766" s="84"/>
      <x:c r="S766" s="84"/>
      <x:c r="T766" s="84"/>
      <x:c r="U766" s="84"/>
      <x:c r="V766" s="84"/>
      <x:c r="W766" s="84"/>
      <x:c r="X766" s="84"/>
      <x:c r="Y766" s="84"/>
      <x:c r="Z766" s="84"/>
    </x:row>
    <x:row r="767">
      <x:c r="A767" s="84"/>
      <x:c r="B767" s="84"/>
      <x:c r="C767" s="84"/>
      <x:c r="D767" s="84"/>
      <x:c r="E767" s="84"/>
      <x:c r="F767" s="84"/>
      <x:c r="G767" s="84"/>
      <x:c r="H767" s="84"/>
      <x:c r="I767" s="84"/>
      <x:c r="J767" s="84"/>
      <x:c r="K767" s="84"/>
      <x:c r="L767" s="84"/>
      <x:c r="M767" s="84"/>
      <x:c r="N767" s="84"/>
      <x:c r="O767" s="84"/>
      <x:c r="P767" s="84"/>
      <x:c r="Q767" s="84"/>
      <x:c r="R767" s="84"/>
      <x:c r="S767" s="84"/>
      <x:c r="T767" s="84"/>
      <x:c r="U767" s="84"/>
      <x:c r="V767" s="84"/>
      <x:c r="W767" s="84"/>
      <x:c r="X767" s="84"/>
      <x:c r="Y767" s="84"/>
      <x:c r="Z767" s="84"/>
    </x:row>
    <x:row r="768">
      <x:c r="A768" s="84"/>
      <x:c r="B768" s="84"/>
      <x:c r="C768" s="84"/>
      <x:c r="D768" s="84"/>
      <x:c r="E768" s="84"/>
      <x:c r="F768" s="84"/>
      <x:c r="G768" s="84"/>
      <x:c r="H768" s="84"/>
      <x:c r="I768" s="84"/>
      <x:c r="J768" s="84"/>
      <x:c r="K768" s="84"/>
      <x:c r="L768" s="84"/>
      <x:c r="M768" s="84"/>
      <x:c r="N768" s="84"/>
      <x:c r="O768" s="84"/>
      <x:c r="P768" s="84"/>
      <x:c r="Q768" s="84"/>
      <x:c r="R768" s="84"/>
      <x:c r="S768" s="84"/>
      <x:c r="T768" s="84"/>
      <x:c r="U768" s="84"/>
      <x:c r="V768" s="84"/>
      <x:c r="W768" s="84"/>
      <x:c r="X768" s="84"/>
      <x:c r="Y768" s="84"/>
      <x:c r="Z768" s="84"/>
    </x:row>
    <x:row r="769">
      <x:c r="A769" s="84"/>
      <x:c r="B769" s="84"/>
      <x:c r="C769" s="84"/>
      <x:c r="D769" s="84"/>
      <x:c r="E769" s="84"/>
      <x:c r="F769" s="84"/>
      <x:c r="G769" s="84"/>
      <x:c r="H769" s="84"/>
      <x:c r="I769" s="84"/>
      <x:c r="J769" s="84"/>
      <x:c r="K769" s="84"/>
      <x:c r="L769" s="84"/>
      <x:c r="M769" s="84"/>
      <x:c r="N769" s="84"/>
      <x:c r="O769" s="84"/>
      <x:c r="P769" s="84"/>
      <x:c r="Q769" s="84"/>
      <x:c r="R769" s="84"/>
      <x:c r="S769" s="84"/>
      <x:c r="T769" s="84"/>
      <x:c r="U769" s="84"/>
      <x:c r="V769" s="84"/>
      <x:c r="W769" s="84"/>
      <x:c r="X769" s="84"/>
      <x:c r="Y769" s="84"/>
      <x:c r="Z769" s="84"/>
    </x:row>
    <x:row r="770">
      <x:c r="A770" s="84"/>
      <x:c r="B770" s="84"/>
      <x:c r="C770" s="84"/>
      <x:c r="D770" s="84"/>
      <x:c r="E770" s="84"/>
      <x:c r="F770" s="84"/>
      <x:c r="G770" s="84"/>
      <x:c r="H770" s="84"/>
      <x:c r="I770" s="84"/>
      <x:c r="J770" s="84"/>
      <x:c r="K770" s="84"/>
      <x:c r="L770" s="84"/>
      <x:c r="M770" s="84"/>
      <x:c r="N770" s="84"/>
      <x:c r="O770" s="84"/>
      <x:c r="P770" s="84"/>
      <x:c r="Q770" s="84"/>
      <x:c r="R770" s="84"/>
      <x:c r="S770" s="84"/>
      <x:c r="T770" s="84"/>
      <x:c r="U770" s="84"/>
      <x:c r="V770" s="84"/>
      <x:c r="W770" s="84"/>
      <x:c r="X770" s="84"/>
      <x:c r="Y770" s="84"/>
      <x:c r="Z770" s="84"/>
    </x:row>
    <x:row r="771">
      <x:c r="A771" s="84"/>
      <x:c r="B771" s="84"/>
      <x:c r="C771" s="84"/>
      <x:c r="D771" s="84"/>
      <x:c r="E771" s="84"/>
      <x:c r="F771" s="84"/>
      <x:c r="G771" s="84"/>
      <x:c r="H771" s="84"/>
      <x:c r="I771" s="84"/>
      <x:c r="J771" s="84"/>
      <x:c r="K771" s="84"/>
      <x:c r="L771" s="84"/>
      <x:c r="M771" s="84"/>
      <x:c r="N771" s="84"/>
      <x:c r="O771" s="84"/>
      <x:c r="P771" s="84"/>
      <x:c r="Q771" s="84"/>
      <x:c r="R771" s="84"/>
      <x:c r="S771" s="84"/>
      <x:c r="T771" s="84"/>
      <x:c r="U771" s="84"/>
      <x:c r="V771" s="84"/>
      <x:c r="W771" s="84"/>
      <x:c r="X771" s="84"/>
      <x:c r="Y771" s="84"/>
      <x:c r="Z771" s="84"/>
    </x:row>
    <x:row r="772">
      <x:c r="A772" s="84"/>
      <x:c r="B772" s="84"/>
      <x:c r="C772" s="84"/>
      <x:c r="D772" s="84"/>
      <x:c r="E772" s="84"/>
      <x:c r="F772" s="84"/>
      <x:c r="G772" s="84"/>
      <x:c r="H772" s="84"/>
      <x:c r="I772" s="84"/>
      <x:c r="J772" s="84"/>
      <x:c r="K772" s="84"/>
      <x:c r="L772" s="84"/>
      <x:c r="M772" s="84"/>
      <x:c r="N772" s="84"/>
      <x:c r="O772" s="84"/>
      <x:c r="P772" s="84"/>
      <x:c r="Q772" s="84"/>
      <x:c r="R772" s="84"/>
      <x:c r="S772" s="84"/>
      <x:c r="T772" s="84"/>
      <x:c r="U772" s="84"/>
      <x:c r="V772" s="84"/>
      <x:c r="W772" s="84"/>
      <x:c r="X772" s="84"/>
      <x:c r="Y772" s="84"/>
      <x:c r="Z772" s="84"/>
    </x:row>
    <x:row r="773">
      <x:c r="A773" s="84"/>
      <x:c r="B773" s="84"/>
      <x:c r="C773" s="84"/>
      <x:c r="D773" s="84"/>
      <x:c r="E773" s="84"/>
      <x:c r="F773" s="84"/>
      <x:c r="G773" s="84"/>
      <x:c r="H773" s="84"/>
      <x:c r="I773" s="84"/>
      <x:c r="J773" s="84"/>
      <x:c r="K773" s="84"/>
      <x:c r="L773" s="84"/>
      <x:c r="M773" s="84"/>
      <x:c r="N773" s="84"/>
      <x:c r="O773" s="84"/>
      <x:c r="P773" s="84"/>
      <x:c r="Q773" s="84"/>
      <x:c r="R773" s="84"/>
      <x:c r="S773" s="84"/>
      <x:c r="T773" s="84"/>
      <x:c r="U773" s="84"/>
      <x:c r="V773" s="84"/>
      <x:c r="W773" s="84"/>
      <x:c r="X773" s="84"/>
      <x:c r="Y773" s="84"/>
      <x:c r="Z773" s="84"/>
    </x:row>
    <x:row r="774">
      <x:c r="A774" s="84"/>
      <x:c r="B774" s="84"/>
      <x:c r="C774" s="84"/>
      <x:c r="D774" s="84"/>
      <x:c r="E774" s="84"/>
      <x:c r="F774" s="84"/>
      <x:c r="G774" s="84"/>
      <x:c r="H774" s="84"/>
      <x:c r="I774" s="84"/>
      <x:c r="J774" s="84"/>
      <x:c r="K774" s="84"/>
      <x:c r="L774" s="84"/>
      <x:c r="M774" s="84"/>
      <x:c r="N774" s="84"/>
      <x:c r="O774" s="84"/>
      <x:c r="P774" s="84"/>
      <x:c r="Q774" s="84"/>
      <x:c r="R774" s="84"/>
      <x:c r="S774" s="84"/>
      <x:c r="T774" s="84"/>
      <x:c r="U774" s="84"/>
      <x:c r="V774" s="84"/>
      <x:c r="W774" s="84"/>
      <x:c r="X774" s="84"/>
      <x:c r="Y774" s="84"/>
      <x:c r="Z774" s="84"/>
    </x:row>
    <x:row r="775">
      <x:c r="A775" s="84"/>
      <x:c r="B775" s="84"/>
      <x:c r="C775" s="84"/>
      <x:c r="D775" s="84"/>
      <x:c r="E775" s="84"/>
      <x:c r="F775" s="84"/>
      <x:c r="G775" s="84"/>
      <x:c r="H775" s="84"/>
      <x:c r="I775" s="84"/>
      <x:c r="J775" s="84"/>
      <x:c r="K775" s="84"/>
      <x:c r="L775" s="84"/>
      <x:c r="M775" s="84"/>
      <x:c r="N775" s="84"/>
      <x:c r="O775" s="84"/>
      <x:c r="P775" s="84"/>
      <x:c r="Q775" s="84"/>
      <x:c r="R775" s="84"/>
      <x:c r="S775" s="84"/>
      <x:c r="T775" s="84"/>
      <x:c r="U775" s="84"/>
      <x:c r="V775" s="84"/>
      <x:c r="W775" s="84"/>
      <x:c r="X775" s="84"/>
      <x:c r="Y775" s="84"/>
      <x:c r="Z775" s="84"/>
    </x:row>
    <x:row r="776">
      <x:c r="A776" s="84"/>
      <x:c r="B776" s="84"/>
      <x:c r="C776" s="84"/>
      <x:c r="D776" s="84"/>
      <x:c r="E776" s="84"/>
      <x:c r="F776" s="84"/>
      <x:c r="G776" s="84"/>
      <x:c r="H776" s="84"/>
      <x:c r="I776" s="84"/>
      <x:c r="J776" s="84"/>
      <x:c r="K776" s="84"/>
      <x:c r="L776" s="84"/>
      <x:c r="M776" s="84"/>
      <x:c r="N776" s="84"/>
      <x:c r="O776" s="84"/>
      <x:c r="P776" s="84"/>
      <x:c r="Q776" s="84"/>
      <x:c r="R776" s="84"/>
      <x:c r="S776" s="84"/>
      <x:c r="T776" s="84"/>
      <x:c r="U776" s="84"/>
      <x:c r="V776" s="84"/>
      <x:c r="W776" s="84"/>
      <x:c r="X776" s="84"/>
      <x:c r="Y776" s="84"/>
      <x:c r="Z776" s="84"/>
    </x:row>
    <x:row r="777">
      <x:c r="A777" s="84"/>
      <x:c r="B777" s="84"/>
      <x:c r="C777" s="84"/>
      <x:c r="D777" s="84"/>
      <x:c r="E777" s="84"/>
      <x:c r="F777" s="84"/>
      <x:c r="G777" s="84"/>
      <x:c r="H777" s="84"/>
      <x:c r="I777" s="84"/>
      <x:c r="J777" s="84"/>
      <x:c r="K777" s="84"/>
      <x:c r="L777" s="84"/>
      <x:c r="M777" s="84"/>
      <x:c r="N777" s="84"/>
      <x:c r="O777" s="84"/>
      <x:c r="P777" s="84"/>
      <x:c r="Q777" s="84"/>
      <x:c r="R777" s="84"/>
      <x:c r="S777" s="84"/>
      <x:c r="T777" s="84"/>
      <x:c r="U777" s="84"/>
      <x:c r="V777" s="84"/>
      <x:c r="W777" s="84"/>
      <x:c r="X777" s="84"/>
      <x:c r="Y777" s="84"/>
      <x:c r="Z777" s="84"/>
    </x:row>
    <x:row r="778">
      <x:c r="A778" s="84"/>
      <x:c r="B778" s="84"/>
      <x:c r="C778" s="84"/>
      <x:c r="D778" s="84"/>
      <x:c r="E778" s="84"/>
      <x:c r="F778" s="84"/>
      <x:c r="G778" s="84"/>
      <x:c r="H778" s="84"/>
      <x:c r="I778" s="84"/>
      <x:c r="J778" s="84"/>
      <x:c r="K778" s="84"/>
      <x:c r="L778" s="84"/>
      <x:c r="M778" s="84"/>
      <x:c r="N778" s="84"/>
      <x:c r="O778" s="84"/>
      <x:c r="P778" s="84"/>
      <x:c r="Q778" s="84"/>
      <x:c r="R778" s="84"/>
      <x:c r="S778" s="84"/>
      <x:c r="T778" s="84"/>
      <x:c r="U778" s="84"/>
      <x:c r="V778" s="84"/>
      <x:c r="W778" s="84"/>
      <x:c r="X778" s="84"/>
      <x:c r="Y778" s="84"/>
      <x:c r="Z778" s="84"/>
    </x:row>
    <x:row r="779">
      <x:c r="A779" s="84"/>
      <x:c r="B779" s="84"/>
      <x:c r="C779" s="84"/>
      <x:c r="D779" s="84"/>
      <x:c r="E779" s="84"/>
      <x:c r="F779" s="84"/>
      <x:c r="G779" s="84"/>
      <x:c r="H779" s="84"/>
      <x:c r="I779" s="84"/>
      <x:c r="J779" s="84"/>
      <x:c r="K779" s="84"/>
      <x:c r="L779" s="84"/>
      <x:c r="M779" s="84"/>
      <x:c r="N779" s="84"/>
      <x:c r="O779" s="84"/>
      <x:c r="P779" s="84"/>
      <x:c r="Q779" s="84"/>
      <x:c r="R779" s="84"/>
      <x:c r="S779" s="84"/>
      <x:c r="T779" s="84"/>
      <x:c r="U779" s="84"/>
      <x:c r="V779" s="84"/>
      <x:c r="W779" s="84"/>
      <x:c r="X779" s="84"/>
      <x:c r="Y779" s="84"/>
      <x:c r="Z779" s="84"/>
    </x:row>
    <x:row r="780">
      <x:c r="A780" s="84"/>
      <x:c r="B780" s="84"/>
      <x:c r="C780" s="84"/>
      <x:c r="D780" s="84"/>
      <x:c r="E780" s="84"/>
      <x:c r="F780" s="84"/>
      <x:c r="G780" s="84"/>
      <x:c r="H780" s="84"/>
      <x:c r="I780" s="84"/>
      <x:c r="J780" s="84"/>
      <x:c r="K780" s="84"/>
      <x:c r="L780" s="84"/>
      <x:c r="M780" s="84"/>
      <x:c r="N780" s="84"/>
      <x:c r="O780" s="84"/>
      <x:c r="P780" s="84"/>
      <x:c r="Q780" s="84"/>
      <x:c r="R780" s="84"/>
      <x:c r="S780" s="84"/>
      <x:c r="T780" s="84"/>
      <x:c r="U780" s="84"/>
      <x:c r="V780" s="84"/>
      <x:c r="W780" s="84"/>
      <x:c r="X780" s="84"/>
      <x:c r="Y780" s="84"/>
      <x:c r="Z780" s="84"/>
    </x:row>
    <x:row r="781">
      <x:c r="A781" s="84"/>
      <x:c r="B781" s="84"/>
      <x:c r="C781" s="84"/>
      <x:c r="D781" s="84"/>
      <x:c r="E781" s="84"/>
      <x:c r="F781" s="84"/>
      <x:c r="G781" s="84"/>
      <x:c r="H781" s="84"/>
      <x:c r="I781" s="84"/>
      <x:c r="J781" s="84"/>
      <x:c r="K781" s="84"/>
      <x:c r="L781" s="84"/>
      <x:c r="M781" s="84"/>
      <x:c r="N781" s="84"/>
      <x:c r="O781" s="84"/>
      <x:c r="P781" s="84"/>
      <x:c r="Q781" s="84"/>
      <x:c r="R781" s="84"/>
      <x:c r="S781" s="84"/>
      <x:c r="T781" s="84"/>
      <x:c r="U781" s="84"/>
      <x:c r="V781" s="84"/>
      <x:c r="W781" s="84"/>
      <x:c r="X781" s="84"/>
      <x:c r="Y781" s="84"/>
      <x:c r="Z781" s="84"/>
    </x:row>
    <x:row r="782">
      <x:c r="A782" s="84"/>
      <x:c r="B782" s="84"/>
      <x:c r="C782" s="84"/>
      <x:c r="D782" s="84"/>
      <x:c r="E782" s="84"/>
      <x:c r="F782" s="84"/>
      <x:c r="G782" s="84"/>
      <x:c r="H782" s="84"/>
      <x:c r="I782" s="84"/>
      <x:c r="J782" s="84"/>
      <x:c r="K782" s="84"/>
      <x:c r="L782" s="84"/>
      <x:c r="M782" s="84"/>
      <x:c r="N782" s="84"/>
      <x:c r="O782" s="84"/>
      <x:c r="P782" s="84"/>
      <x:c r="Q782" s="84"/>
      <x:c r="R782" s="84"/>
      <x:c r="S782" s="84"/>
      <x:c r="T782" s="84"/>
      <x:c r="U782" s="84"/>
      <x:c r="V782" s="84"/>
      <x:c r="W782" s="84"/>
      <x:c r="X782" s="84"/>
      <x:c r="Y782" s="84"/>
      <x:c r="Z782" s="84"/>
    </x:row>
    <x:row r="783">
      <x:c r="A783" s="84"/>
      <x:c r="B783" s="84"/>
      <x:c r="C783" s="84"/>
      <x:c r="D783" s="84"/>
      <x:c r="E783" s="84"/>
      <x:c r="F783" s="84"/>
      <x:c r="G783" s="84"/>
      <x:c r="H783" s="84"/>
      <x:c r="I783" s="84"/>
      <x:c r="J783" s="84"/>
      <x:c r="K783" s="84"/>
      <x:c r="L783" s="84"/>
      <x:c r="M783" s="84"/>
      <x:c r="N783" s="84"/>
      <x:c r="O783" s="84"/>
      <x:c r="P783" s="84"/>
      <x:c r="Q783" s="84"/>
      <x:c r="R783" s="84"/>
      <x:c r="S783" s="84"/>
      <x:c r="T783" s="84"/>
      <x:c r="U783" s="84"/>
      <x:c r="V783" s="84"/>
      <x:c r="W783" s="84"/>
      <x:c r="X783" s="84"/>
      <x:c r="Y783" s="84"/>
      <x:c r="Z783" s="84"/>
    </x:row>
    <x:row r="784">
      <x:c r="A784" s="84"/>
      <x:c r="B784" s="84"/>
      <x:c r="C784" s="84"/>
      <x:c r="D784" s="84"/>
      <x:c r="E784" s="84"/>
      <x:c r="F784" s="84"/>
      <x:c r="G784" s="84"/>
      <x:c r="H784" s="84"/>
      <x:c r="I784" s="84"/>
      <x:c r="J784" s="84"/>
      <x:c r="K784" s="84"/>
      <x:c r="L784" s="84"/>
      <x:c r="M784" s="84"/>
      <x:c r="N784" s="84"/>
      <x:c r="O784" s="84"/>
      <x:c r="P784" s="84"/>
      <x:c r="Q784" s="84"/>
      <x:c r="R784" s="84"/>
      <x:c r="S784" s="84"/>
      <x:c r="T784" s="84"/>
      <x:c r="U784" s="84"/>
      <x:c r="V784" s="84"/>
      <x:c r="W784" s="84"/>
      <x:c r="X784" s="84"/>
      <x:c r="Y784" s="84"/>
      <x:c r="Z784" s="84"/>
    </x:row>
    <x:row r="785">
      <x:c r="A785" s="84"/>
      <x:c r="B785" s="84"/>
      <x:c r="C785" s="84"/>
      <x:c r="D785" s="84"/>
      <x:c r="E785" s="84"/>
      <x:c r="F785" s="84"/>
      <x:c r="G785" s="84"/>
      <x:c r="H785" s="84"/>
      <x:c r="I785" s="84"/>
      <x:c r="J785" s="84"/>
      <x:c r="K785" s="84"/>
      <x:c r="L785" s="84"/>
      <x:c r="M785" s="84"/>
      <x:c r="N785" s="84"/>
      <x:c r="O785" s="84"/>
      <x:c r="P785" s="84"/>
      <x:c r="Q785" s="84"/>
      <x:c r="R785" s="84"/>
      <x:c r="S785" s="84"/>
      <x:c r="T785" s="84"/>
      <x:c r="U785" s="84"/>
      <x:c r="V785" s="84"/>
      <x:c r="W785" s="84"/>
      <x:c r="X785" s="84"/>
      <x:c r="Y785" s="84"/>
      <x:c r="Z785" s="84"/>
    </x:row>
    <x:row r="786">
      <x:c r="A786" s="84"/>
      <x:c r="B786" s="84"/>
      <x:c r="C786" s="84"/>
      <x:c r="D786" s="84"/>
      <x:c r="E786" s="84"/>
      <x:c r="F786" s="84"/>
      <x:c r="G786" s="84"/>
      <x:c r="H786" s="84"/>
      <x:c r="I786" s="84"/>
      <x:c r="J786" s="84"/>
      <x:c r="K786" s="84"/>
      <x:c r="L786" s="84"/>
      <x:c r="M786" s="84"/>
      <x:c r="N786" s="84"/>
      <x:c r="O786" s="84"/>
      <x:c r="P786" s="84"/>
      <x:c r="Q786" s="84"/>
      <x:c r="R786" s="84"/>
      <x:c r="S786" s="84"/>
      <x:c r="T786" s="84"/>
      <x:c r="U786" s="84"/>
      <x:c r="V786" s="84"/>
      <x:c r="W786" s="84"/>
      <x:c r="X786" s="84"/>
      <x:c r="Y786" s="84"/>
      <x:c r="Z786" s="84"/>
    </x:row>
    <x:row r="787">
      <x:c r="A787" s="84"/>
      <x:c r="B787" s="84"/>
      <x:c r="C787" s="84"/>
      <x:c r="D787" s="84"/>
      <x:c r="E787" s="84"/>
      <x:c r="F787" s="84"/>
      <x:c r="G787" s="84"/>
      <x:c r="H787" s="84"/>
      <x:c r="I787" s="84"/>
      <x:c r="J787" s="84"/>
      <x:c r="K787" s="84"/>
      <x:c r="L787" s="84"/>
      <x:c r="M787" s="84"/>
      <x:c r="N787" s="84"/>
      <x:c r="O787" s="84"/>
      <x:c r="P787" s="84"/>
      <x:c r="Q787" s="84"/>
      <x:c r="R787" s="84"/>
      <x:c r="S787" s="84"/>
      <x:c r="T787" s="84"/>
      <x:c r="U787" s="84"/>
      <x:c r="V787" s="84"/>
      <x:c r="W787" s="84"/>
      <x:c r="X787" s="84"/>
      <x:c r="Y787" s="84"/>
      <x:c r="Z787" s="84"/>
    </x:row>
    <x:row r="788">
      <x:c r="A788" s="84"/>
      <x:c r="B788" s="84"/>
      <x:c r="C788" s="84"/>
      <x:c r="D788" s="84"/>
      <x:c r="E788" s="84"/>
      <x:c r="F788" s="84"/>
      <x:c r="G788" s="84"/>
      <x:c r="H788" s="84"/>
      <x:c r="I788" s="84"/>
      <x:c r="J788" s="84"/>
      <x:c r="K788" s="84"/>
      <x:c r="L788" s="84"/>
      <x:c r="M788" s="84"/>
      <x:c r="N788" s="84"/>
      <x:c r="O788" s="84"/>
      <x:c r="P788" s="84"/>
      <x:c r="Q788" s="84"/>
      <x:c r="R788" s="84"/>
      <x:c r="S788" s="84"/>
      <x:c r="T788" s="84"/>
      <x:c r="U788" s="84"/>
      <x:c r="V788" s="84"/>
      <x:c r="W788" s="84"/>
      <x:c r="X788" s="84"/>
      <x:c r="Y788" s="84"/>
      <x:c r="Z788" s="84"/>
    </x:row>
    <x:row r="789">
      <x:c r="A789" s="84"/>
      <x:c r="B789" s="84"/>
      <x:c r="C789" s="84"/>
      <x:c r="D789" s="84"/>
      <x:c r="E789" s="84"/>
      <x:c r="F789" s="84"/>
      <x:c r="G789" s="84"/>
      <x:c r="H789" s="84"/>
      <x:c r="I789" s="84"/>
      <x:c r="J789" s="84"/>
      <x:c r="K789" s="84"/>
      <x:c r="L789" s="84"/>
      <x:c r="M789" s="84"/>
      <x:c r="N789" s="84"/>
      <x:c r="O789" s="84"/>
      <x:c r="P789" s="84"/>
      <x:c r="Q789" s="84"/>
      <x:c r="R789" s="84"/>
      <x:c r="S789" s="84"/>
      <x:c r="T789" s="84"/>
      <x:c r="U789" s="84"/>
      <x:c r="V789" s="84"/>
      <x:c r="W789" s="84"/>
      <x:c r="X789" s="84"/>
      <x:c r="Y789" s="84"/>
      <x:c r="Z789" s="84"/>
    </x:row>
    <x:row r="790">
      <x:c r="A790" s="84"/>
      <x:c r="B790" s="84"/>
      <x:c r="C790" s="84"/>
      <x:c r="D790" s="84"/>
      <x:c r="E790" s="84"/>
      <x:c r="F790" s="84"/>
      <x:c r="G790" s="84"/>
      <x:c r="H790" s="84"/>
      <x:c r="I790" s="84"/>
      <x:c r="J790" s="84"/>
      <x:c r="K790" s="84"/>
      <x:c r="L790" s="84"/>
      <x:c r="M790" s="84"/>
      <x:c r="N790" s="84"/>
      <x:c r="O790" s="84"/>
      <x:c r="P790" s="84"/>
      <x:c r="Q790" s="84"/>
      <x:c r="R790" s="84"/>
      <x:c r="S790" s="84"/>
      <x:c r="T790" s="84"/>
      <x:c r="U790" s="84"/>
      <x:c r="V790" s="84"/>
      <x:c r="W790" s="84"/>
      <x:c r="X790" s="84"/>
      <x:c r="Y790" s="84"/>
      <x:c r="Z790" s="84"/>
    </x:row>
    <x:row r="791">
      <x:c r="A791" s="84"/>
      <x:c r="B791" s="84"/>
      <x:c r="C791" s="84"/>
      <x:c r="D791" s="84"/>
      <x:c r="E791" s="84"/>
      <x:c r="F791" s="84"/>
      <x:c r="G791" s="84"/>
      <x:c r="H791" s="84"/>
      <x:c r="I791" s="84"/>
      <x:c r="J791" s="84"/>
      <x:c r="K791" s="84"/>
      <x:c r="L791" s="84"/>
      <x:c r="M791" s="84"/>
      <x:c r="N791" s="84"/>
      <x:c r="O791" s="84"/>
      <x:c r="P791" s="84"/>
      <x:c r="Q791" s="84"/>
      <x:c r="R791" s="84"/>
      <x:c r="S791" s="84"/>
      <x:c r="T791" s="84"/>
      <x:c r="U791" s="84"/>
      <x:c r="V791" s="84"/>
      <x:c r="W791" s="84"/>
      <x:c r="X791" s="84"/>
      <x:c r="Y791" s="84"/>
      <x:c r="Z791" s="84"/>
    </x:row>
    <x:row r="792">
      <x:c r="A792" s="84"/>
      <x:c r="B792" s="84"/>
      <x:c r="C792" s="84"/>
      <x:c r="D792" s="84"/>
      <x:c r="E792" s="84"/>
      <x:c r="F792" s="84"/>
      <x:c r="G792" s="84"/>
      <x:c r="H792" s="84"/>
      <x:c r="I792" s="84"/>
      <x:c r="J792" s="84"/>
      <x:c r="K792" s="84"/>
      <x:c r="L792" s="84"/>
      <x:c r="M792" s="84"/>
      <x:c r="N792" s="84"/>
      <x:c r="O792" s="84"/>
      <x:c r="P792" s="84"/>
      <x:c r="Q792" s="84"/>
      <x:c r="R792" s="84"/>
      <x:c r="S792" s="84"/>
      <x:c r="T792" s="84"/>
      <x:c r="U792" s="84"/>
      <x:c r="V792" s="84"/>
      <x:c r="W792" s="84"/>
      <x:c r="X792" s="84"/>
      <x:c r="Y792" s="84"/>
      <x:c r="Z792" s="84"/>
    </x:row>
    <x:row r="793">
      <x:c r="A793" s="84"/>
      <x:c r="B793" s="84"/>
      <x:c r="C793" s="84"/>
      <x:c r="D793" s="84"/>
      <x:c r="E793" s="84"/>
      <x:c r="F793" s="84"/>
      <x:c r="G793" s="84"/>
      <x:c r="H793" s="84"/>
      <x:c r="I793" s="84"/>
      <x:c r="J793" s="84"/>
      <x:c r="K793" s="84"/>
      <x:c r="L793" s="84"/>
      <x:c r="M793" s="84"/>
      <x:c r="N793" s="84"/>
      <x:c r="O793" s="84"/>
      <x:c r="P793" s="84"/>
      <x:c r="Q793" s="84"/>
      <x:c r="R793" s="84"/>
      <x:c r="S793" s="84"/>
      <x:c r="T793" s="84"/>
      <x:c r="U793" s="84"/>
      <x:c r="V793" s="84"/>
      <x:c r="W793" s="84"/>
      <x:c r="X793" s="84"/>
      <x:c r="Y793" s="84"/>
      <x:c r="Z793" s="84"/>
    </x:row>
    <x:row r="794">
      <x:c r="A794" s="84"/>
      <x:c r="B794" s="84"/>
      <x:c r="C794" s="84"/>
      <x:c r="D794" s="84"/>
      <x:c r="E794" s="84"/>
      <x:c r="F794" s="84"/>
      <x:c r="G794" s="84"/>
      <x:c r="H794" s="84"/>
      <x:c r="I794" s="84"/>
      <x:c r="J794" s="84"/>
      <x:c r="K794" s="84"/>
      <x:c r="L794" s="84"/>
      <x:c r="M794" s="84"/>
      <x:c r="N794" s="84"/>
      <x:c r="O794" s="84"/>
      <x:c r="P794" s="84"/>
      <x:c r="Q794" s="84"/>
      <x:c r="R794" s="84"/>
      <x:c r="S794" s="84"/>
      <x:c r="T794" s="84"/>
      <x:c r="U794" s="84"/>
      <x:c r="V794" s="84"/>
      <x:c r="W794" s="84"/>
      <x:c r="X794" s="84"/>
      <x:c r="Y794" s="84"/>
      <x:c r="Z794" s="84"/>
    </x:row>
    <x:row r="795">
      <x:c r="A795" s="84"/>
      <x:c r="B795" s="84"/>
      <x:c r="C795" s="84"/>
      <x:c r="D795" s="84"/>
      <x:c r="E795" s="84"/>
      <x:c r="F795" s="84"/>
      <x:c r="G795" s="84"/>
      <x:c r="H795" s="84"/>
      <x:c r="I795" s="84"/>
      <x:c r="J795" s="84"/>
      <x:c r="K795" s="84"/>
      <x:c r="L795" s="84"/>
      <x:c r="M795" s="84"/>
      <x:c r="N795" s="84"/>
      <x:c r="O795" s="84"/>
      <x:c r="P795" s="84"/>
      <x:c r="Q795" s="84"/>
      <x:c r="R795" s="84"/>
      <x:c r="S795" s="84"/>
      <x:c r="T795" s="84"/>
      <x:c r="U795" s="84"/>
      <x:c r="V795" s="84"/>
      <x:c r="W795" s="84"/>
      <x:c r="X795" s="84"/>
      <x:c r="Y795" s="84"/>
      <x:c r="Z795" s="84"/>
    </x:row>
    <x:row r="796">
      <x:c r="A796" s="84"/>
      <x:c r="B796" s="84"/>
      <x:c r="C796" s="84"/>
      <x:c r="D796" s="84"/>
      <x:c r="E796" s="84"/>
      <x:c r="F796" s="84"/>
      <x:c r="G796" s="84"/>
      <x:c r="H796" s="84"/>
      <x:c r="I796" s="84"/>
      <x:c r="J796" s="84"/>
      <x:c r="K796" s="84"/>
      <x:c r="L796" s="84"/>
      <x:c r="M796" s="84"/>
      <x:c r="N796" s="84"/>
      <x:c r="O796" s="84"/>
      <x:c r="P796" s="84"/>
      <x:c r="Q796" s="84"/>
      <x:c r="R796" s="84"/>
      <x:c r="S796" s="84"/>
      <x:c r="T796" s="84"/>
      <x:c r="U796" s="84"/>
      <x:c r="V796" s="84"/>
      <x:c r="W796" s="84"/>
      <x:c r="X796" s="84"/>
      <x:c r="Y796" s="84"/>
      <x:c r="Z796" s="84"/>
    </x:row>
    <x:row r="797">
      <x:c r="A797" s="84"/>
      <x:c r="B797" s="84"/>
      <x:c r="C797" s="84"/>
      <x:c r="D797" s="84"/>
      <x:c r="E797" s="84"/>
      <x:c r="F797" s="84"/>
      <x:c r="G797" s="84"/>
      <x:c r="H797" s="84"/>
      <x:c r="I797" s="84"/>
      <x:c r="J797" s="84"/>
      <x:c r="K797" s="84"/>
      <x:c r="L797" s="84"/>
      <x:c r="M797" s="84"/>
      <x:c r="N797" s="84"/>
      <x:c r="O797" s="84"/>
      <x:c r="P797" s="84"/>
      <x:c r="Q797" s="84"/>
      <x:c r="R797" s="84"/>
      <x:c r="S797" s="84"/>
      <x:c r="T797" s="84"/>
      <x:c r="U797" s="84"/>
      <x:c r="V797" s="84"/>
      <x:c r="W797" s="84"/>
      <x:c r="X797" s="84"/>
      <x:c r="Y797" s="84"/>
      <x:c r="Z797" s="84"/>
    </x:row>
    <x:row r="798">
      <x:c r="A798" s="84"/>
      <x:c r="B798" s="84"/>
      <x:c r="C798" s="84"/>
      <x:c r="D798" s="84"/>
      <x:c r="E798" s="84"/>
      <x:c r="F798" s="84"/>
      <x:c r="G798" s="84"/>
      <x:c r="H798" s="84"/>
      <x:c r="I798" s="84"/>
      <x:c r="J798" s="84"/>
      <x:c r="K798" s="84"/>
      <x:c r="L798" s="84"/>
      <x:c r="M798" s="84"/>
      <x:c r="N798" s="84"/>
      <x:c r="O798" s="84"/>
      <x:c r="P798" s="84"/>
      <x:c r="Q798" s="84"/>
      <x:c r="R798" s="84"/>
      <x:c r="S798" s="84"/>
      <x:c r="T798" s="84"/>
      <x:c r="U798" s="84"/>
      <x:c r="V798" s="84"/>
      <x:c r="W798" s="84"/>
      <x:c r="X798" s="84"/>
      <x:c r="Y798" s="84"/>
      <x:c r="Z798" s="84"/>
    </x:row>
    <x:row r="799">
      <x:c r="A799" s="84"/>
      <x:c r="B799" s="84"/>
      <x:c r="C799" s="84"/>
      <x:c r="D799" s="84"/>
      <x:c r="E799" s="84"/>
      <x:c r="F799" s="84"/>
      <x:c r="G799" s="84"/>
      <x:c r="H799" s="84"/>
      <x:c r="I799" s="84"/>
      <x:c r="J799" s="84"/>
      <x:c r="K799" s="84"/>
      <x:c r="L799" s="84"/>
      <x:c r="M799" s="84"/>
      <x:c r="N799" s="84"/>
      <x:c r="O799" s="84"/>
      <x:c r="P799" s="84"/>
      <x:c r="Q799" s="84"/>
      <x:c r="R799" s="84"/>
      <x:c r="S799" s="84"/>
      <x:c r="T799" s="84"/>
      <x:c r="U799" s="84"/>
      <x:c r="V799" s="84"/>
      <x:c r="W799" s="84"/>
      <x:c r="X799" s="84"/>
      <x:c r="Y799" s="84"/>
      <x:c r="Z799" s="84"/>
    </x:row>
    <x:row r="800">
      <x:c r="A800" s="84"/>
      <x:c r="B800" s="84"/>
      <x:c r="C800" s="84"/>
      <x:c r="D800" s="84"/>
      <x:c r="E800" s="84"/>
      <x:c r="F800" s="84"/>
      <x:c r="G800" s="84"/>
      <x:c r="H800" s="84"/>
      <x:c r="I800" s="84"/>
      <x:c r="J800" s="84"/>
      <x:c r="K800" s="84"/>
      <x:c r="L800" s="84"/>
      <x:c r="M800" s="84"/>
      <x:c r="N800" s="84"/>
      <x:c r="O800" s="84"/>
      <x:c r="P800" s="84"/>
      <x:c r="Q800" s="84"/>
      <x:c r="R800" s="84"/>
      <x:c r="S800" s="84"/>
      <x:c r="T800" s="84"/>
      <x:c r="U800" s="84"/>
      <x:c r="V800" s="84"/>
      <x:c r="W800" s="84"/>
      <x:c r="X800" s="84"/>
      <x:c r="Y800" s="84"/>
      <x:c r="Z800" s="84"/>
    </x:row>
    <x:row r="801">
      <x:c r="A801" s="84"/>
      <x:c r="B801" s="84"/>
      <x:c r="C801" s="84"/>
      <x:c r="D801" s="84"/>
      <x:c r="E801" s="84"/>
      <x:c r="F801" s="84"/>
      <x:c r="G801" s="84"/>
      <x:c r="H801" s="84"/>
      <x:c r="I801" s="84"/>
      <x:c r="J801" s="84"/>
      <x:c r="K801" s="84"/>
      <x:c r="L801" s="84"/>
      <x:c r="M801" s="84"/>
      <x:c r="N801" s="84"/>
      <x:c r="O801" s="84"/>
      <x:c r="P801" s="84"/>
      <x:c r="Q801" s="84"/>
      <x:c r="R801" s="84"/>
      <x:c r="S801" s="84"/>
      <x:c r="T801" s="84"/>
      <x:c r="U801" s="84"/>
      <x:c r="V801" s="84"/>
      <x:c r="W801" s="84"/>
      <x:c r="X801" s="84"/>
      <x:c r="Y801" s="84"/>
      <x:c r="Z801" s="84"/>
    </x:row>
    <x:row r="802">
      <x:c r="A802" s="84"/>
      <x:c r="B802" s="84"/>
      <x:c r="C802" s="84"/>
      <x:c r="D802" s="84"/>
      <x:c r="E802" s="84"/>
      <x:c r="F802" s="84"/>
      <x:c r="G802" s="84"/>
      <x:c r="H802" s="84"/>
      <x:c r="I802" s="84"/>
      <x:c r="J802" s="84"/>
      <x:c r="K802" s="84"/>
      <x:c r="L802" s="84"/>
      <x:c r="M802" s="84"/>
      <x:c r="N802" s="84"/>
      <x:c r="O802" s="84"/>
      <x:c r="P802" s="84"/>
      <x:c r="Q802" s="84"/>
      <x:c r="R802" s="84"/>
      <x:c r="S802" s="84"/>
      <x:c r="T802" s="84"/>
      <x:c r="U802" s="84"/>
      <x:c r="V802" s="84"/>
      <x:c r="W802" s="84"/>
      <x:c r="X802" s="84"/>
      <x:c r="Y802" s="84"/>
      <x:c r="Z802" s="84"/>
    </x:row>
    <x:row r="803">
      <x:c r="A803" s="84"/>
      <x:c r="B803" s="84"/>
      <x:c r="C803" s="84"/>
      <x:c r="D803" s="84"/>
      <x:c r="E803" s="84"/>
      <x:c r="F803" s="84"/>
      <x:c r="G803" s="84"/>
      <x:c r="H803" s="84"/>
      <x:c r="I803" s="84"/>
      <x:c r="J803" s="84"/>
      <x:c r="K803" s="84"/>
      <x:c r="L803" s="84"/>
      <x:c r="M803" s="84"/>
      <x:c r="N803" s="84"/>
      <x:c r="O803" s="84"/>
      <x:c r="P803" s="84"/>
      <x:c r="Q803" s="84"/>
      <x:c r="R803" s="84"/>
      <x:c r="S803" s="84"/>
      <x:c r="T803" s="84"/>
      <x:c r="U803" s="84"/>
      <x:c r="V803" s="84"/>
      <x:c r="W803" s="84"/>
      <x:c r="X803" s="84"/>
      <x:c r="Y803" s="84"/>
      <x:c r="Z803" s="84"/>
    </x:row>
    <x:row r="804">
      <x:c r="A804" s="84"/>
      <x:c r="B804" s="84"/>
      <x:c r="C804" s="84"/>
      <x:c r="D804" s="84"/>
      <x:c r="E804" s="84"/>
      <x:c r="F804" s="84"/>
      <x:c r="G804" s="84"/>
      <x:c r="H804" s="84"/>
      <x:c r="I804" s="84"/>
      <x:c r="J804" s="84"/>
      <x:c r="K804" s="84"/>
      <x:c r="L804" s="84"/>
      <x:c r="M804" s="84"/>
      <x:c r="N804" s="84"/>
      <x:c r="O804" s="84"/>
      <x:c r="P804" s="84"/>
      <x:c r="Q804" s="84"/>
      <x:c r="R804" s="84"/>
      <x:c r="S804" s="84"/>
      <x:c r="T804" s="84"/>
      <x:c r="U804" s="84"/>
      <x:c r="V804" s="84"/>
      <x:c r="W804" s="84"/>
      <x:c r="X804" s="84"/>
      <x:c r="Y804" s="84"/>
      <x:c r="Z804" s="84"/>
    </x:row>
    <x:row r="805">
      <x:c r="A805" s="84"/>
      <x:c r="B805" s="84"/>
      <x:c r="C805" s="84"/>
      <x:c r="D805" s="84"/>
      <x:c r="E805" s="84"/>
      <x:c r="F805" s="84"/>
      <x:c r="G805" s="84"/>
      <x:c r="H805" s="84"/>
      <x:c r="I805" s="84"/>
      <x:c r="J805" s="84"/>
      <x:c r="K805" s="84"/>
      <x:c r="L805" s="84"/>
      <x:c r="M805" s="84"/>
      <x:c r="N805" s="84"/>
      <x:c r="O805" s="84"/>
      <x:c r="P805" s="84"/>
      <x:c r="Q805" s="84"/>
      <x:c r="R805" s="84"/>
      <x:c r="S805" s="84"/>
      <x:c r="T805" s="84"/>
      <x:c r="U805" s="84"/>
      <x:c r="V805" s="84"/>
      <x:c r="W805" s="84"/>
      <x:c r="X805" s="84"/>
      <x:c r="Y805" s="84"/>
      <x:c r="Z805" s="84"/>
    </x:row>
    <x:row r="806">
      <x:c r="A806" s="84"/>
      <x:c r="B806" s="84"/>
      <x:c r="C806" s="84"/>
      <x:c r="D806" s="84"/>
      <x:c r="E806" s="84"/>
      <x:c r="F806" s="84"/>
      <x:c r="G806" s="84"/>
      <x:c r="H806" s="84"/>
      <x:c r="I806" s="84"/>
      <x:c r="J806" s="84"/>
      <x:c r="K806" s="84"/>
      <x:c r="L806" s="84"/>
      <x:c r="M806" s="84"/>
      <x:c r="N806" s="84"/>
      <x:c r="O806" s="84"/>
      <x:c r="P806" s="84"/>
      <x:c r="Q806" s="84"/>
      <x:c r="R806" s="84"/>
      <x:c r="S806" s="84"/>
      <x:c r="T806" s="84"/>
      <x:c r="U806" s="84"/>
      <x:c r="V806" s="84"/>
      <x:c r="W806" s="84"/>
      <x:c r="X806" s="84"/>
      <x:c r="Y806" s="84"/>
      <x:c r="Z806" s="84"/>
    </x:row>
    <x:row r="807">
      <x:c r="A807" s="84"/>
      <x:c r="B807" s="84"/>
      <x:c r="C807" s="84"/>
      <x:c r="D807" s="84"/>
      <x:c r="E807" s="84"/>
      <x:c r="F807" s="84"/>
      <x:c r="G807" s="84"/>
      <x:c r="H807" s="84"/>
      <x:c r="I807" s="84"/>
      <x:c r="J807" s="84"/>
      <x:c r="K807" s="84"/>
      <x:c r="L807" s="84"/>
      <x:c r="M807" s="84"/>
      <x:c r="N807" s="84"/>
      <x:c r="O807" s="84"/>
      <x:c r="P807" s="84"/>
      <x:c r="Q807" s="84"/>
      <x:c r="R807" s="84"/>
      <x:c r="S807" s="84"/>
      <x:c r="T807" s="84"/>
      <x:c r="U807" s="84"/>
      <x:c r="V807" s="84"/>
      <x:c r="W807" s="84"/>
      <x:c r="X807" s="84"/>
      <x:c r="Y807" s="84"/>
      <x:c r="Z807" s="84"/>
    </x:row>
    <x:row r="808">
      <x:c r="A808" s="84"/>
      <x:c r="B808" s="84"/>
      <x:c r="C808" s="84"/>
      <x:c r="D808" s="84"/>
      <x:c r="E808" s="84"/>
      <x:c r="F808" s="84"/>
      <x:c r="G808" s="84"/>
      <x:c r="H808" s="84"/>
      <x:c r="I808" s="84"/>
      <x:c r="J808" s="84"/>
      <x:c r="K808" s="84"/>
      <x:c r="L808" s="84"/>
      <x:c r="M808" s="84"/>
      <x:c r="N808" s="84"/>
      <x:c r="O808" s="84"/>
      <x:c r="P808" s="84"/>
      <x:c r="Q808" s="84"/>
      <x:c r="R808" s="84"/>
      <x:c r="S808" s="84"/>
      <x:c r="T808" s="84"/>
      <x:c r="U808" s="84"/>
      <x:c r="V808" s="84"/>
      <x:c r="W808" s="84"/>
      <x:c r="X808" s="84"/>
      <x:c r="Y808" s="84"/>
      <x:c r="Z808" s="84"/>
    </x:row>
    <x:row r="809">
      <x:c r="A809" s="84"/>
      <x:c r="B809" s="84"/>
      <x:c r="C809" s="84"/>
      <x:c r="D809" s="84"/>
      <x:c r="E809" s="84"/>
      <x:c r="F809" s="84"/>
      <x:c r="G809" s="84"/>
      <x:c r="H809" s="84"/>
      <x:c r="I809" s="84"/>
      <x:c r="J809" s="84"/>
      <x:c r="K809" s="84"/>
      <x:c r="L809" s="84"/>
      <x:c r="M809" s="84"/>
      <x:c r="N809" s="84"/>
      <x:c r="O809" s="84"/>
      <x:c r="P809" s="84"/>
      <x:c r="Q809" s="84"/>
      <x:c r="R809" s="84"/>
      <x:c r="S809" s="84"/>
      <x:c r="T809" s="84"/>
      <x:c r="U809" s="84"/>
      <x:c r="V809" s="84"/>
      <x:c r="W809" s="84"/>
      <x:c r="X809" s="84"/>
      <x:c r="Y809" s="84"/>
      <x:c r="Z809" s="84"/>
    </x:row>
    <x:row r="810">
      <x:c r="A810" s="84"/>
      <x:c r="B810" s="84"/>
      <x:c r="C810" s="84"/>
      <x:c r="D810" s="84"/>
      <x:c r="E810" s="84"/>
      <x:c r="F810" s="84"/>
      <x:c r="G810" s="84"/>
      <x:c r="H810" s="84"/>
      <x:c r="I810" s="84"/>
      <x:c r="J810" s="84"/>
      <x:c r="K810" s="84"/>
      <x:c r="L810" s="84"/>
      <x:c r="M810" s="84"/>
      <x:c r="N810" s="84"/>
      <x:c r="O810" s="84"/>
      <x:c r="P810" s="84"/>
      <x:c r="Q810" s="84"/>
      <x:c r="R810" s="84"/>
      <x:c r="S810" s="84"/>
      <x:c r="T810" s="84"/>
      <x:c r="U810" s="84"/>
      <x:c r="V810" s="84"/>
      <x:c r="W810" s="84"/>
      <x:c r="X810" s="84"/>
      <x:c r="Y810" s="84"/>
      <x:c r="Z810" s="84"/>
    </x:row>
    <x:row r="811">
      <x:c r="A811" s="84"/>
      <x:c r="B811" s="84"/>
      <x:c r="C811" s="84"/>
      <x:c r="D811" s="84"/>
      <x:c r="E811" s="84"/>
      <x:c r="F811" s="84"/>
      <x:c r="G811" s="84"/>
      <x:c r="H811" s="84"/>
      <x:c r="I811" s="84"/>
      <x:c r="J811" s="84"/>
      <x:c r="K811" s="84"/>
      <x:c r="L811" s="84"/>
      <x:c r="M811" s="84"/>
      <x:c r="N811" s="84"/>
      <x:c r="O811" s="84"/>
      <x:c r="P811" s="84"/>
      <x:c r="Q811" s="84"/>
      <x:c r="R811" s="84"/>
      <x:c r="S811" s="84"/>
      <x:c r="T811" s="84"/>
      <x:c r="U811" s="84"/>
      <x:c r="V811" s="84"/>
      <x:c r="W811" s="84"/>
      <x:c r="X811" s="84"/>
      <x:c r="Y811" s="84"/>
      <x:c r="Z811" s="84"/>
    </x:row>
    <x:row r="812">
      <x:c r="A812" s="84"/>
      <x:c r="B812" s="84"/>
      <x:c r="C812" s="84"/>
      <x:c r="D812" s="84"/>
      <x:c r="E812" s="84"/>
      <x:c r="F812" s="84"/>
      <x:c r="G812" s="84"/>
      <x:c r="H812" s="84"/>
      <x:c r="I812" s="84"/>
      <x:c r="J812" s="84"/>
      <x:c r="K812" s="84"/>
      <x:c r="L812" s="84"/>
      <x:c r="M812" s="84"/>
      <x:c r="N812" s="84"/>
      <x:c r="O812" s="84"/>
      <x:c r="P812" s="84"/>
      <x:c r="Q812" s="84"/>
      <x:c r="R812" s="84"/>
      <x:c r="S812" s="84"/>
      <x:c r="T812" s="84"/>
      <x:c r="U812" s="84"/>
      <x:c r="V812" s="84"/>
      <x:c r="W812" s="84"/>
      <x:c r="X812" s="84"/>
      <x:c r="Y812" s="84"/>
      <x:c r="Z812" s="84"/>
    </x:row>
    <x:row r="813">
      <x:c r="A813" s="84"/>
      <x:c r="B813" s="84"/>
      <x:c r="C813" s="84"/>
      <x:c r="D813" s="84"/>
      <x:c r="E813" s="84"/>
      <x:c r="F813" s="84"/>
      <x:c r="G813" s="84"/>
      <x:c r="H813" s="84"/>
      <x:c r="I813" s="84"/>
      <x:c r="J813" s="84"/>
      <x:c r="K813" s="84"/>
      <x:c r="L813" s="84"/>
      <x:c r="M813" s="84"/>
      <x:c r="N813" s="84"/>
      <x:c r="O813" s="84"/>
      <x:c r="P813" s="84"/>
      <x:c r="Q813" s="84"/>
      <x:c r="R813" s="84"/>
      <x:c r="S813" s="84"/>
      <x:c r="T813" s="84"/>
      <x:c r="U813" s="84"/>
      <x:c r="V813" s="84"/>
      <x:c r="W813" s="84"/>
      <x:c r="X813" s="84"/>
      <x:c r="Y813" s="84"/>
      <x:c r="Z813" s="84"/>
    </x:row>
    <x:row r="814">
      <x:c r="A814" s="84"/>
      <x:c r="B814" s="84"/>
      <x:c r="C814" s="84"/>
      <x:c r="D814" s="84"/>
      <x:c r="E814" s="84"/>
      <x:c r="F814" s="84"/>
      <x:c r="G814" s="84"/>
      <x:c r="H814" s="84"/>
      <x:c r="I814" s="84"/>
      <x:c r="J814" s="84"/>
      <x:c r="K814" s="84"/>
      <x:c r="L814" s="84"/>
      <x:c r="M814" s="84"/>
      <x:c r="N814" s="84"/>
      <x:c r="O814" s="84"/>
      <x:c r="P814" s="84"/>
      <x:c r="Q814" s="84"/>
      <x:c r="R814" s="84"/>
      <x:c r="S814" s="84"/>
      <x:c r="T814" s="84"/>
      <x:c r="U814" s="84"/>
      <x:c r="V814" s="84"/>
      <x:c r="W814" s="84"/>
      <x:c r="X814" s="84"/>
      <x:c r="Y814" s="84"/>
      <x:c r="Z814" s="84"/>
    </x:row>
    <x:row r="815">
      <x:c r="A815" s="84"/>
      <x:c r="B815" s="84"/>
      <x:c r="C815" s="84"/>
      <x:c r="D815" s="84"/>
      <x:c r="E815" s="84"/>
      <x:c r="F815" s="84"/>
      <x:c r="G815" s="84"/>
      <x:c r="H815" s="84"/>
      <x:c r="I815" s="84"/>
      <x:c r="J815" s="84"/>
      <x:c r="K815" s="84"/>
      <x:c r="L815" s="84"/>
      <x:c r="M815" s="84"/>
      <x:c r="N815" s="84"/>
      <x:c r="O815" s="84"/>
      <x:c r="P815" s="84"/>
      <x:c r="Q815" s="84"/>
      <x:c r="R815" s="84"/>
      <x:c r="S815" s="84"/>
      <x:c r="T815" s="84"/>
      <x:c r="U815" s="84"/>
      <x:c r="V815" s="84"/>
      <x:c r="W815" s="84"/>
      <x:c r="X815" s="84"/>
      <x:c r="Y815" s="84"/>
      <x:c r="Z815" s="84"/>
    </x:row>
    <x:row r="816">
      <x:c r="A816" s="84"/>
      <x:c r="B816" s="84"/>
      <x:c r="C816" s="84"/>
      <x:c r="D816" s="84"/>
      <x:c r="E816" s="84"/>
      <x:c r="F816" s="84"/>
      <x:c r="G816" s="84"/>
      <x:c r="H816" s="84"/>
      <x:c r="I816" s="84"/>
      <x:c r="J816" s="84"/>
      <x:c r="K816" s="84"/>
      <x:c r="L816" s="84"/>
      <x:c r="M816" s="84"/>
      <x:c r="N816" s="84"/>
      <x:c r="O816" s="84"/>
      <x:c r="P816" s="84"/>
      <x:c r="Q816" s="84"/>
      <x:c r="R816" s="84"/>
      <x:c r="S816" s="84"/>
      <x:c r="T816" s="84"/>
      <x:c r="U816" s="84"/>
      <x:c r="V816" s="84"/>
      <x:c r="W816" s="84"/>
      <x:c r="X816" s="84"/>
      <x:c r="Y816" s="84"/>
      <x:c r="Z816" s="84"/>
    </x:row>
    <x:row r="817">
      <x:c r="A817" s="84"/>
      <x:c r="B817" s="84"/>
      <x:c r="C817" s="84"/>
      <x:c r="D817" s="84"/>
      <x:c r="E817" s="84"/>
      <x:c r="F817" s="84"/>
      <x:c r="G817" s="84"/>
      <x:c r="H817" s="84"/>
      <x:c r="I817" s="84"/>
      <x:c r="J817" s="84"/>
      <x:c r="K817" s="84"/>
      <x:c r="L817" s="84"/>
      <x:c r="M817" s="84"/>
      <x:c r="N817" s="84"/>
      <x:c r="O817" s="84"/>
      <x:c r="P817" s="84"/>
      <x:c r="Q817" s="84"/>
      <x:c r="R817" s="84"/>
      <x:c r="S817" s="84"/>
      <x:c r="T817" s="84"/>
      <x:c r="U817" s="84"/>
      <x:c r="V817" s="84"/>
      <x:c r="W817" s="84"/>
      <x:c r="X817" s="84"/>
      <x:c r="Y817" s="84"/>
      <x:c r="Z817" s="84"/>
    </x:row>
    <x:row r="818">
      <x:c r="A818" s="84"/>
      <x:c r="B818" s="84"/>
      <x:c r="C818" s="84"/>
      <x:c r="D818" s="84"/>
      <x:c r="E818" s="84"/>
      <x:c r="F818" s="84"/>
      <x:c r="G818" s="84"/>
      <x:c r="H818" s="84"/>
      <x:c r="I818" s="84"/>
      <x:c r="J818" s="84"/>
      <x:c r="K818" s="84"/>
      <x:c r="L818" s="84"/>
      <x:c r="M818" s="84"/>
      <x:c r="N818" s="84"/>
      <x:c r="O818" s="84"/>
      <x:c r="P818" s="84"/>
      <x:c r="Q818" s="84"/>
      <x:c r="R818" s="84"/>
      <x:c r="S818" s="84"/>
      <x:c r="T818" s="84"/>
      <x:c r="U818" s="84"/>
      <x:c r="V818" s="84"/>
      <x:c r="W818" s="84"/>
      <x:c r="X818" s="84"/>
      <x:c r="Y818" s="84"/>
      <x:c r="Z818" s="84"/>
    </x:row>
    <x:row r="819">
      <x:c r="A819" s="84"/>
      <x:c r="B819" s="84"/>
      <x:c r="C819" s="84"/>
      <x:c r="D819" s="84"/>
      <x:c r="E819" s="84"/>
      <x:c r="F819" s="84"/>
      <x:c r="G819" s="84"/>
      <x:c r="H819" s="84"/>
      <x:c r="I819" s="84"/>
      <x:c r="J819" s="84"/>
      <x:c r="K819" s="84"/>
      <x:c r="L819" s="84"/>
      <x:c r="M819" s="84"/>
      <x:c r="N819" s="84"/>
      <x:c r="O819" s="84"/>
      <x:c r="P819" s="84"/>
      <x:c r="Q819" s="84"/>
      <x:c r="R819" s="84"/>
      <x:c r="S819" s="84"/>
      <x:c r="T819" s="84"/>
      <x:c r="U819" s="84"/>
      <x:c r="V819" s="84"/>
      <x:c r="W819" s="84"/>
      <x:c r="X819" s="84"/>
      <x:c r="Y819" s="84"/>
      <x:c r="Z819" s="84"/>
    </x:row>
    <x:row r="820">
      <x:c r="A820" s="84"/>
      <x:c r="B820" s="84"/>
      <x:c r="C820" s="84"/>
      <x:c r="D820" s="84"/>
      <x:c r="E820" s="84"/>
      <x:c r="F820" s="84"/>
      <x:c r="G820" s="84"/>
      <x:c r="H820" s="84"/>
      <x:c r="I820" s="84"/>
      <x:c r="J820" s="84"/>
      <x:c r="K820" s="84"/>
      <x:c r="L820" s="84"/>
      <x:c r="M820" s="84"/>
      <x:c r="N820" s="84"/>
      <x:c r="O820" s="84"/>
      <x:c r="P820" s="84"/>
      <x:c r="Q820" s="84"/>
      <x:c r="R820" s="84"/>
      <x:c r="S820" s="84"/>
      <x:c r="T820" s="84"/>
      <x:c r="U820" s="84"/>
      <x:c r="V820" s="84"/>
      <x:c r="W820" s="84"/>
      <x:c r="X820" s="84"/>
      <x:c r="Y820" s="84"/>
      <x:c r="Z820" s="84"/>
    </x:row>
    <x:row r="821">
      <x:c r="A821" s="84"/>
      <x:c r="B821" s="84"/>
      <x:c r="C821" s="84"/>
      <x:c r="D821" s="84"/>
      <x:c r="E821" s="84"/>
      <x:c r="F821" s="84"/>
      <x:c r="G821" s="84"/>
      <x:c r="H821" s="84"/>
      <x:c r="I821" s="84"/>
      <x:c r="J821" s="84"/>
      <x:c r="K821" s="84"/>
      <x:c r="L821" s="84"/>
      <x:c r="M821" s="84"/>
      <x:c r="N821" s="84"/>
      <x:c r="O821" s="84"/>
      <x:c r="P821" s="84"/>
      <x:c r="Q821" s="84"/>
      <x:c r="R821" s="84"/>
      <x:c r="S821" s="84"/>
      <x:c r="T821" s="84"/>
      <x:c r="U821" s="84"/>
      <x:c r="V821" s="84"/>
      <x:c r="W821" s="84"/>
      <x:c r="X821" s="84"/>
      <x:c r="Y821" s="84"/>
      <x:c r="Z821" s="84"/>
    </x:row>
    <x:row r="822">
      <x:c r="A822" s="84"/>
      <x:c r="B822" s="84"/>
      <x:c r="C822" s="84"/>
      <x:c r="D822" s="84"/>
      <x:c r="E822" s="84"/>
      <x:c r="F822" s="84"/>
      <x:c r="G822" s="84"/>
      <x:c r="H822" s="84"/>
      <x:c r="I822" s="84"/>
      <x:c r="J822" s="84"/>
      <x:c r="K822" s="84"/>
      <x:c r="L822" s="84"/>
      <x:c r="M822" s="84"/>
      <x:c r="N822" s="84"/>
      <x:c r="O822" s="84"/>
      <x:c r="P822" s="84"/>
      <x:c r="Q822" s="84"/>
      <x:c r="R822" s="84"/>
      <x:c r="S822" s="84"/>
      <x:c r="T822" s="84"/>
      <x:c r="U822" s="84"/>
      <x:c r="V822" s="84"/>
      <x:c r="W822" s="84"/>
      <x:c r="X822" s="84"/>
      <x:c r="Y822" s="84"/>
      <x:c r="Z822" s="84"/>
    </x:row>
    <x:row r="823">
      <x:c r="A823" s="84"/>
      <x:c r="B823" s="84"/>
      <x:c r="C823" s="84"/>
      <x:c r="D823" s="84"/>
      <x:c r="E823" s="84"/>
      <x:c r="F823" s="84"/>
      <x:c r="G823" s="84"/>
      <x:c r="H823" s="84"/>
      <x:c r="I823" s="84"/>
      <x:c r="J823" s="84"/>
      <x:c r="K823" s="84"/>
      <x:c r="L823" s="84"/>
      <x:c r="M823" s="84"/>
      <x:c r="N823" s="84"/>
      <x:c r="O823" s="84"/>
      <x:c r="P823" s="84"/>
      <x:c r="Q823" s="84"/>
      <x:c r="R823" s="84"/>
      <x:c r="S823" s="84"/>
      <x:c r="T823" s="84"/>
      <x:c r="U823" s="84"/>
      <x:c r="V823" s="84"/>
      <x:c r="W823" s="84"/>
      <x:c r="X823" s="84"/>
      <x:c r="Y823" s="84"/>
      <x:c r="Z823" s="84"/>
    </x:row>
    <x:row r="824">
      <x:c r="A824" s="84"/>
      <x:c r="B824" s="84"/>
      <x:c r="C824" s="84"/>
      <x:c r="D824" s="84"/>
      <x:c r="E824" s="84"/>
      <x:c r="F824" s="84"/>
      <x:c r="G824" s="84"/>
      <x:c r="H824" s="84"/>
      <x:c r="I824" s="84"/>
      <x:c r="J824" s="84"/>
      <x:c r="K824" s="84"/>
      <x:c r="L824" s="84"/>
      <x:c r="M824" s="84"/>
      <x:c r="N824" s="84"/>
      <x:c r="O824" s="84"/>
      <x:c r="P824" s="84"/>
      <x:c r="Q824" s="84"/>
      <x:c r="R824" s="84"/>
      <x:c r="S824" s="84"/>
      <x:c r="T824" s="84"/>
      <x:c r="U824" s="84"/>
      <x:c r="V824" s="84"/>
      <x:c r="W824" s="84"/>
      <x:c r="X824" s="84"/>
      <x:c r="Y824" s="84"/>
      <x:c r="Z824" s="84"/>
    </x:row>
    <x:row r="825">
      <x:c r="A825" s="84"/>
      <x:c r="B825" s="84"/>
      <x:c r="C825" s="84"/>
      <x:c r="D825" s="84"/>
      <x:c r="E825" s="84"/>
      <x:c r="F825" s="84"/>
      <x:c r="G825" s="84"/>
      <x:c r="H825" s="84"/>
      <x:c r="I825" s="84"/>
      <x:c r="J825" s="84"/>
      <x:c r="K825" s="84"/>
      <x:c r="L825" s="84"/>
      <x:c r="M825" s="84"/>
      <x:c r="N825" s="84"/>
      <x:c r="O825" s="84"/>
      <x:c r="P825" s="84"/>
      <x:c r="Q825" s="84"/>
      <x:c r="R825" s="84"/>
      <x:c r="S825" s="84"/>
      <x:c r="T825" s="84"/>
      <x:c r="U825" s="84"/>
      <x:c r="V825" s="84"/>
      <x:c r="W825" s="84"/>
      <x:c r="X825" s="84"/>
      <x:c r="Y825" s="84"/>
      <x:c r="Z825" s="84"/>
    </x:row>
    <x:row r="826">
      <x:c r="A826" s="84"/>
      <x:c r="B826" s="84"/>
      <x:c r="C826" s="84"/>
      <x:c r="D826" s="84"/>
      <x:c r="E826" s="84"/>
      <x:c r="F826" s="84"/>
      <x:c r="G826" s="84"/>
      <x:c r="H826" s="84"/>
      <x:c r="I826" s="84"/>
      <x:c r="J826" s="84"/>
      <x:c r="K826" s="84"/>
      <x:c r="L826" s="84"/>
      <x:c r="M826" s="84"/>
      <x:c r="N826" s="84"/>
      <x:c r="O826" s="84"/>
      <x:c r="P826" s="84"/>
      <x:c r="Q826" s="84"/>
      <x:c r="R826" s="84"/>
      <x:c r="S826" s="84"/>
      <x:c r="T826" s="84"/>
      <x:c r="U826" s="84"/>
      <x:c r="V826" s="84"/>
      <x:c r="W826" s="84"/>
      <x:c r="X826" s="84"/>
      <x:c r="Y826" s="84"/>
      <x:c r="Z826" s="84"/>
    </x:row>
    <x:row r="827">
      <x:c r="A827" s="84"/>
      <x:c r="B827" s="84"/>
      <x:c r="C827" s="84"/>
      <x:c r="D827" s="84"/>
      <x:c r="E827" s="84"/>
      <x:c r="F827" s="84"/>
      <x:c r="G827" s="84"/>
      <x:c r="H827" s="84"/>
      <x:c r="I827" s="84"/>
      <x:c r="J827" s="84"/>
      <x:c r="K827" s="84"/>
      <x:c r="L827" s="84"/>
      <x:c r="M827" s="84"/>
      <x:c r="N827" s="84"/>
      <x:c r="O827" s="84"/>
      <x:c r="P827" s="84"/>
      <x:c r="Q827" s="84"/>
      <x:c r="R827" s="84"/>
      <x:c r="S827" s="84"/>
      <x:c r="T827" s="84"/>
      <x:c r="U827" s="84"/>
      <x:c r="V827" s="84"/>
      <x:c r="W827" s="84"/>
      <x:c r="X827" s="84"/>
      <x:c r="Y827" s="84"/>
      <x:c r="Z827" s="84"/>
    </x:row>
    <x:row r="828">
      <x:c r="A828" s="84"/>
      <x:c r="B828" s="84"/>
      <x:c r="C828" s="84"/>
      <x:c r="D828" s="84"/>
      <x:c r="E828" s="84"/>
      <x:c r="F828" s="84"/>
      <x:c r="G828" s="84"/>
      <x:c r="H828" s="84"/>
      <x:c r="I828" s="84"/>
      <x:c r="J828" s="84"/>
      <x:c r="K828" s="84"/>
      <x:c r="L828" s="84"/>
      <x:c r="M828" s="84"/>
      <x:c r="N828" s="84"/>
      <x:c r="O828" s="84"/>
      <x:c r="P828" s="84"/>
      <x:c r="Q828" s="84"/>
      <x:c r="R828" s="84"/>
      <x:c r="S828" s="84"/>
      <x:c r="T828" s="84"/>
      <x:c r="U828" s="84"/>
      <x:c r="V828" s="84"/>
      <x:c r="W828" s="84"/>
      <x:c r="X828" s="84"/>
      <x:c r="Y828" s="84"/>
      <x:c r="Z828" s="84"/>
    </x:row>
    <x:row r="829">
      <x:c r="A829" s="84"/>
      <x:c r="B829" s="84"/>
      <x:c r="C829" s="84"/>
      <x:c r="D829" s="84"/>
      <x:c r="E829" s="84"/>
      <x:c r="F829" s="84"/>
      <x:c r="G829" s="84"/>
      <x:c r="H829" s="84"/>
      <x:c r="I829" s="84"/>
      <x:c r="J829" s="84"/>
      <x:c r="K829" s="84"/>
      <x:c r="L829" s="84"/>
      <x:c r="M829" s="84"/>
      <x:c r="N829" s="84"/>
      <x:c r="O829" s="84"/>
      <x:c r="P829" s="84"/>
      <x:c r="Q829" s="84"/>
      <x:c r="R829" s="84"/>
      <x:c r="S829" s="84"/>
      <x:c r="T829" s="84"/>
      <x:c r="U829" s="84"/>
      <x:c r="V829" s="84"/>
      <x:c r="W829" s="84"/>
      <x:c r="X829" s="84"/>
      <x:c r="Y829" s="84"/>
      <x:c r="Z829" s="84"/>
    </x:row>
    <x:row r="830">
      <x:c r="A830" s="84"/>
      <x:c r="B830" s="84"/>
      <x:c r="C830" s="84"/>
      <x:c r="D830" s="84"/>
      <x:c r="E830" s="84"/>
      <x:c r="F830" s="84"/>
      <x:c r="G830" s="84"/>
      <x:c r="H830" s="84"/>
      <x:c r="I830" s="84"/>
      <x:c r="J830" s="84"/>
      <x:c r="K830" s="84"/>
      <x:c r="L830" s="84"/>
      <x:c r="M830" s="84"/>
      <x:c r="N830" s="84"/>
      <x:c r="O830" s="84"/>
      <x:c r="P830" s="84"/>
      <x:c r="Q830" s="84"/>
      <x:c r="R830" s="84"/>
      <x:c r="S830" s="84"/>
      <x:c r="T830" s="84"/>
      <x:c r="U830" s="84"/>
      <x:c r="V830" s="84"/>
      <x:c r="W830" s="84"/>
      <x:c r="X830" s="84"/>
      <x:c r="Y830" s="84"/>
      <x:c r="Z830" s="84"/>
    </x:row>
    <x:row r="831">
      <x:c r="A831" s="84"/>
      <x:c r="B831" s="84"/>
      <x:c r="C831" s="84"/>
      <x:c r="D831" s="84"/>
      <x:c r="E831" s="84"/>
      <x:c r="F831" s="84"/>
      <x:c r="G831" s="84"/>
      <x:c r="H831" s="84"/>
      <x:c r="I831" s="84"/>
      <x:c r="J831" s="84"/>
      <x:c r="K831" s="84"/>
      <x:c r="L831" s="84"/>
      <x:c r="M831" s="84"/>
      <x:c r="N831" s="84"/>
      <x:c r="O831" s="84"/>
      <x:c r="P831" s="84"/>
      <x:c r="Q831" s="84"/>
      <x:c r="R831" s="84"/>
      <x:c r="S831" s="84"/>
      <x:c r="T831" s="84"/>
      <x:c r="U831" s="84"/>
      <x:c r="V831" s="84"/>
      <x:c r="W831" s="84"/>
      <x:c r="X831" s="84"/>
      <x:c r="Y831" s="84"/>
      <x:c r="Z831" s="84"/>
    </x:row>
    <x:row r="832">
      <x:c r="A832" s="84"/>
      <x:c r="B832" s="84"/>
      <x:c r="C832" s="84"/>
      <x:c r="D832" s="84"/>
      <x:c r="E832" s="84"/>
      <x:c r="F832" s="84"/>
      <x:c r="G832" s="84"/>
      <x:c r="H832" s="84"/>
      <x:c r="I832" s="84"/>
      <x:c r="J832" s="84"/>
      <x:c r="K832" s="84"/>
      <x:c r="L832" s="84"/>
      <x:c r="M832" s="84"/>
      <x:c r="N832" s="84"/>
      <x:c r="O832" s="84"/>
      <x:c r="P832" s="84"/>
      <x:c r="Q832" s="84"/>
      <x:c r="R832" s="84"/>
      <x:c r="S832" s="84"/>
      <x:c r="T832" s="84"/>
      <x:c r="U832" s="84"/>
      <x:c r="V832" s="84"/>
      <x:c r="W832" s="84"/>
      <x:c r="X832" s="84"/>
      <x:c r="Y832" s="84"/>
      <x:c r="Z832" s="84"/>
    </x:row>
    <x:row r="833">
      <x:c r="A833" s="84"/>
      <x:c r="B833" s="84"/>
      <x:c r="C833" s="84"/>
      <x:c r="D833" s="84"/>
      <x:c r="E833" s="84"/>
      <x:c r="F833" s="84"/>
      <x:c r="G833" s="84"/>
      <x:c r="H833" s="84"/>
      <x:c r="I833" s="84"/>
      <x:c r="J833" s="84"/>
      <x:c r="K833" s="84"/>
      <x:c r="L833" s="84"/>
      <x:c r="M833" s="84"/>
      <x:c r="N833" s="84"/>
      <x:c r="O833" s="84"/>
      <x:c r="P833" s="84"/>
      <x:c r="Q833" s="84"/>
      <x:c r="R833" s="84"/>
      <x:c r="S833" s="84"/>
      <x:c r="T833" s="84"/>
      <x:c r="U833" s="84"/>
      <x:c r="V833" s="84"/>
      <x:c r="W833" s="84"/>
      <x:c r="X833" s="84"/>
      <x:c r="Y833" s="84"/>
      <x:c r="Z833" s="84"/>
    </x:row>
    <x:row r="834">
      <x:c r="A834" s="84"/>
      <x:c r="B834" s="84"/>
      <x:c r="C834" s="84"/>
      <x:c r="D834" s="84"/>
      <x:c r="E834" s="84"/>
      <x:c r="F834" s="84"/>
      <x:c r="G834" s="84"/>
      <x:c r="H834" s="84"/>
      <x:c r="I834" s="84"/>
      <x:c r="J834" s="84"/>
      <x:c r="K834" s="84"/>
      <x:c r="L834" s="84"/>
      <x:c r="M834" s="84"/>
      <x:c r="N834" s="84"/>
      <x:c r="O834" s="84"/>
      <x:c r="P834" s="84"/>
      <x:c r="Q834" s="84"/>
      <x:c r="R834" s="84"/>
      <x:c r="S834" s="84"/>
      <x:c r="T834" s="84"/>
      <x:c r="U834" s="84"/>
      <x:c r="V834" s="84"/>
      <x:c r="W834" s="84"/>
      <x:c r="X834" s="84"/>
      <x:c r="Y834" s="84"/>
      <x:c r="Z834" s="84"/>
    </x:row>
    <x:row r="835">
      <x:c r="A835" s="84"/>
      <x:c r="B835" s="84"/>
      <x:c r="C835" s="84"/>
      <x:c r="D835" s="84"/>
      <x:c r="E835" s="84"/>
      <x:c r="F835" s="84"/>
      <x:c r="G835" s="84"/>
      <x:c r="H835" s="84"/>
      <x:c r="I835" s="84"/>
      <x:c r="J835" s="84"/>
      <x:c r="K835" s="84"/>
      <x:c r="L835" s="84"/>
      <x:c r="M835" s="84"/>
      <x:c r="N835" s="84"/>
      <x:c r="O835" s="84"/>
      <x:c r="P835" s="84"/>
      <x:c r="Q835" s="84"/>
      <x:c r="R835" s="84"/>
      <x:c r="S835" s="84"/>
      <x:c r="T835" s="84"/>
      <x:c r="U835" s="84"/>
      <x:c r="V835" s="84"/>
      <x:c r="W835" s="84"/>
      <x:c r="X835" s="84"/>
      <x:c r="Y835" s="84"/>
      <x:c r="Z835" s="84"/>
    </x:row>
    <x:row r="836">
      <x:c r="A836" s="84"/>
      <x:c r="B836" s="84"/>
      <x:c r="C836" s="84"/>
      <x:c r="D836" s="84"/>
      <x:c r="E836" s="84"/>
      <x:c r="F836" s="84"/>
      <x:c r="G836" s="84"/>
      <x:c r="H836" s="84"/>
      <x:c r="I836" s="84"/>
      <x:c r="J836" s="84"/>
      <x:c r="K836" s="84"/>
      <x:c r="L836" s="84"/>
      <x:c r="M836" s="84"/>
      <x:c r="N836" s="84"/>
      <x:c r="O836" s="84"/>
      <x:c r="P836" s="84"/>
      <x:c r="Q836" s="84"/>
      <x:c r="R836" s="84"/>
      <x:c r="S836" s="84"/>
      <x:c r="T836" s="84"/>
      <x:c r="U836" s="84"/>
      <x:c r="V836" s="84"/>
      <x:c r="W836" s="84"/>
      <x:c r="X836" s="84"/>
      <x:c r="Y836" s="84"/>
      <x:c r="Z836" s="84"/>
    </x:row>
    <x:row r="837">
      <x:c r="A837" s="84"/>
      <x:c r="B837" s="84"/>
      <x:c r="C837" s="84"/>
      <x:c r="D837" s="84"/>
      <x:c r="E837" s="84"/>
      <x:c r="F837" s="84"/>
      <x:c r="G837" s="84"/>
      <x:c r="H837" s="84"/>
      <x:c r="I837" s="84"/>
      <x:c r="J837" s="84"/>
      <x:c r="K837" s="84"/>
      <x:c r="L837" s="84"/>
      <x:c r="M837" s="84"/>
      <x:c r="N837" s="84"/>
      <x:c r="O837" s="84"/>
      <x:c r="P837" s="84"/>
      <x:c r="Q837" s="84"/>
      <x:c r="R837" s="84"/>
      <x:c r="S837" s="84"/>
      <x:c r="T837" s="84"/>
      <x:c r="U837" s="84"/>
      <x:c r="V837" s="84"/>
      <x:c r="W837" s="84"/>
      <x:c r="X837" s="84"/>
      <x:c r="Y837" s="84"/>
      <x:c r="Z837" s="84"/>
    </x:row>
    <x:row r="838">
      <x:c r="A838" s="84"/>
      <x:c r="B838" s="84"/>
      <x:c r="C838" s="84"/>
      <x:c r="D838" s="84"/>
      <x:c r="E838" s="84"/>
      <x:c r="F838" s="84"/>
      <x:c r="G838" s="84"/>
      <x:c r="H838" s="84"/>
      <x:c r="I838" s="84"/>
      <x:c r="J838" s="84"/>
      <x:c r="K838" s="84"/>
      <x:c r="L838" s="84"/>
      <x:c r="M838" s="84"/>
      <x:c r="N838" s="84"/>
      <x:c r="O838" s="84"/>
      <x:c r="P838" s="84"/>
      <x:c r="Q838" s="84"/>
      <x:c r="R838" s="84"/>
      <x:c r="S838" s="84"/>
      <x:c r="T838" s="84"/>
      <x:c r="U838" s="84"/>
      <x:c r="V838" s="84"/>
      <x:c r="W838" s="84"/>
      <x:c r="X838" s="84"/>
      <x:c r="Y838" s="84"/>
      <x:c r="Z838" s="84"/>
    </x:row>
    <x:row r="839">
      <x:c r="A839" s="84"/>
      <x:c r="B839" s="84"/>
      <x:c r="C839" s="84"/>
      <x:c r="D839" s="84"/>
      <x:c r="E839" s="84"/>
      <x:c r="F839" s="84"/>
      <x:c r="G839" s="84"/>
      <x:c r="H839" s="84"/>
      <x:c r="I839" s="84"/>
      <x:c r="J839" s="84"/>
      <x:c r="K839" s="84"/>
      <x:c r="L839" s="84"/>
      <x:c r="M839" s="84"/>
      <x:c r="N839" s="84"/>
      <x:c r="O839" s="84"/>
      <x:c r="P839" s="84"/>
      <x:c r="Q839" s="84"/>
      <x:c r="R839" s="84"/>
      <x:c r="S839" s="84"/>
      <x:c r="T839" s="84"/>
      <x:c r="U839" s="84"/>
      <x:c r="V839" s="84"/>
      <x:c r="W839" s="84"/>
      <x:c r="X839" s="84"/>
      <x:c r="Y839" s="84"/>
      <x:c r="Z839" s="84"/>
    </x:row>
    <x:row r="840">
      <x:c r="A840" s="84"/>
      <x:c r="B840" s="84"/>
      <x:c r="C840" s="84"/>
      <x:c r="D840" s="84"/>
      <x:c r="E840" s="84"/>
      <x:c r="F840" s="84"/>
      <x:c r="G840" s="84"/>
      <x:c r="H840" s="84"/>
      <x:c r="I840" s="84"/>
      <x:c r="J840" s="84"/>
      <x:c r="K840" s="84"/>
      <x:c r="L840" s="84"/>
      <x:c r="M840" s="84"/>
      <x:c r="N840" s="84"/>
      <x:c r="O840" s="84"/>
      <x:c r="P840" s="84"/>
      <x:c r="Q840" s="84"/>
      <x:c r="R840" s="84"/>
      <x:c r="S840" s="84"/>
      <x:c r="T840" s="84"/>
      <x:c r="U840" s="84"/>
      <x:c r="V840" s="84"/>
      <x:c r="W840" s="84"/>
      <x:c r="X840" s="84"/>
      <x:c r="Y840" s="84"/>
      <x:c r="Z840" s="84"/>
    </x:row>
    <x:row r="841">
      <x:c r="A841" s="84"/>
      <x:c r="B841" s="84"/>
      <x:c r="C841" s="84"/>
      <x:c r="D841" s="84"/>
      <x:c r="E841" s="84"/>
      <x:c r="F841" s="84"/>
      <x:c r="G841" s="84"/>
      <x:c r="H841" s="84"/>
      <x:c r="I841" s="84"/>
      <x:c r="J841" s="84"/>
      <x:c r="K841" s="84"/>
      <x:c r="L841" s="84"/>
      <x:c r="M841" s="84"/>
      <x:c r="N841" s="84"/>
      <x:c r="O841" s="84"/>
      <x:c r="P841" s="84"/>
      <x:c r="Q841" s="84"/>
      <x:c r="R841" s="84"/>
      <x:c r="S841" s="84"/>
      <x:c r="T841" s="84"/>
      <x:c r="U841" s="84"/>
      <x:c r="V841" s="84"/>
      <x:c r="W841" s="84"/>
      <x:c r="X841" s="84"/>
      <x:c r="Y841" s="84"/>
      <x:c r="Z841" s="84"/>
    </x:row>
    <x:row r="842">
      <x:c r="A842" s="84"/>
      <x:c r="B842" s="84"/>
      <x:c r="C842" s="84"/>
      <x:c r="D842" s="84"/>
      <x:c r="E842" s="84"/>
      <x:c r="F842" s="84"/>
      <x:c r="G842" s="84"/>
      <x:c r="H842" s="84"/>
      <x:c r="I842" s="84"/>
      <x:c r="J842" s="84"/>
      <x:c r="K842" s="84"/>
      <x:c r="L842" s="84"/>
      <x:c r="M842" s="84"/>
      <x:c r="N842" s="84"/>
      <x:c r="O842" s="84"/>
      <x:c r="P842" s="84"/>
      <x:c r="Q842" s="84"/>
      <x:c r="R842" s="84"/>
      <x:c r="S842" s="84"/>
      <x:c r="T842" s="84"/>
      <x:c r="U842" s="84"/>
      <x:c r="V842" s="84"/>
      <x:c r="W842" s="84"/>
      <x:c r="X842" s="84"/>
      <x:c r="Y842" s="84"/>
      <x:c r="Z842" s="84"/>
    </x:row>
    <x:row r="843">
      <x:c r="A843" s="84"/>
      <x:c r="B843" s="84"/>
      <x:c r="C843" s="84"/>
      <x:c r="D843" s="84"/>
      <x:c r="E843" s="84"/>
      <x:c r="F843" s="84"/>
      <x:c r="G843" s="84"/>
      <x:c r="H843" s="84"/>
      <x:c r="I843" s="84"/>
      <x:c r="J843" s="84"/>
      <x:c r="K843" s="84"/>
      <x:c r="L843" s="84"/>
      <x:c r="M843" s="84"/>
      <x:c r="N843" s="84"/>
      <x:c r="O843" s="84"/>
      <x:c r="P843" s="84"/>
      <x:c r="Q843" s="84"/>
      <x:c r="R843" s="84"/>
      <x:c r="S843" s="84"/>
      <x:c r="T843" s="84"/>
      <x:c r="U843" s="84"/>
      <x:c r="V843" s="84"/>
      <x:c r="W843" s="84"/>
      <x:c r="X843" s="84"/>
      <x:c r="Y843" s="84"/>
      <x:c r="Z843" s="84"/>
    </x:row>
    <x:row r="844">
      <x:c r="A844" s="84"/>
      <x:c r="B844" s="84"/>
      <x:c r="C844" s="84"/>
      <x:c r="D844" s="84"/>
      <x:c r="E844" s="84"/>
      <x:c r="F844" s="84"/>
      <x:c r="G844" s="84"/>
      <x:c r="H844" s="84"/>
      <x:c r="I844" s="84"/>
      <x:c r="J844" s="84"/>
      <x:c r="K844" s="84"/>
      <x:c r="L844" s="84"/>
      <x:c r="M844" s="84"/>
      <x:c r="N844" s="84"/>
      <x:c r="O844" s="84"/>
      <x:c r="P844" s="84"/>
      <x:c r="Q844" s="84"/>
      <x:c r="R844" s="84"/>
      <x:c r="S844" s="84"/>
      <x:c r="T844" s="84"/>
      <x:c r="U844" s="84"/>
      <x:c r="V844" s="84"/>
      <x:c r="W844" s="84"/>
      <x:c r="X844" s="84"/>
      <x:c r="Y844" s="84"/>
      <x:c r="Z844" s="84"/>
    </x:row>
    <x:row r="845">
      <x:c r="A845" s="84"/>
      <x:c r="B845" s="84"/>
      <x:c r="C845" s="84"/>
      <x:c r="D845" s="84"/>
      <x:c r="E845" s="84"/>
      <x:c r="F845" s="84"/>
      <x:c r="G845" s="84"/>
      <x:c r="H845" s="84"/>
      <x:c r="I845" s="84"/>
      <x:c r="J845" s="84"/>
      <x:c r="K845" s="84"/>
      <x:c r="L845" s="84"/>
      <x:c r="M845" s="84"/>
      <x:c r="N845" s="84"/>
      <x:c r="O845" s="84"/>
      <x:c r="P845" s="84"/>
      <x:c r="Q845" s="84"/>
      <x:c r="R845" s="84"/>
      <x:c r="S845" s="84"/>
      <x:c r="T845" s="84"/>
      <x:c r="U845" s="84"/>
      <x:c r="V845" s="84"/>
      <x:c r="W845" s="84"/>
      <x:c r="X845" s="84"/>
      <x:c r="Y845" s="84"/>
      <x:c r="Z845" s="84"/>
    </x:row>
    <x:row r="846">
      <x:c r="A846" s="84"/>
      <x:c r="B846" s="84"/>
      <x:c r="C846" s="84"/>
      <x:c r="D846" s="84"/>
      <x:c r="E846" s="84"/>
      <x:c r="F846" s="84"/>
      <x:c r="G846" s="84"/>
      <x:c r="H846" s="84"/>
      <x:c r="I846" s="84"/>
      <x:c r="J846" s="84"/>
      <x:c r="K846" s="84"/>
      <x:c r="L846" s="84"/>
      <x:c r="M846" s="84"/>
      <x:c r="N846" s="84"/>
      <x:c r="O846" s="84"/>
      <x:c r="P846" s="84"/>
      <x:c r="Q846" s="84"/>
      <x:c r="R846" s="84"/>
      <x:c r="S846" s="84"/>
      <x:c r="T846" s="84"/>
      <x:c r="U846" s="84"/>
      <x:c r="V846" s="84"/>
      <x:c r="W846" s="84"/>
      <x:c r="X846" s="84"/>
      <x:c r="Y846" s="84"/>
      <x:c r="Z846" s="84"/>
    </x:row>
    <x:row r="847">
      <x:c r="A847" s="84"/>
      <x:c r="B847" s="84"/>
      <x:c r="C847" s="84"/>
      <x:c r="D847" s="84"/>
      <x:c r="E847" s="84"/>
      <x:c r="F847" s="84"/>
      <x:c r="G847" s="84"/>
      <x:c r="H847" s="84"/>
      <x:c r="I847" s="84"/>
      <x:c r="J847" s="84"/>
      <x:c r="K847" s="84"/>
      <x:c r="L847" s="84"/>
      <x:c r="M847" s="84"/>
      <x:c r="N847" s="84"/>
      <x:c r="O847" s="84"/>
      <x:c r="P847" s="84"/>
      <x:c r="Q847" s="84"/>
      <x:c r="R847" s="84"/>
      <x:c r="S847" s="84"/>
      <x:c r="T847" s="84"/>
      <x:c r="U847" s="84"/>
      <x:c r="V847" s="84"/>
      <x:c r="W847" s="84"/>
      <x:c r="X847" s="84"/>
      <x:c r="Y847" s="84"/>
      <x:c r="Z847" s="84"/>
    </x:row>
    <x:row r="848">
      <x:c r="A848" s="84"/>
      <x:c r="B848" s="84"/>
      <x:c r="C848" s="84"/>
      <x:c r="D848" s="84"/>
      <x:c r="E848" s="84"/>
      <x:c r="F848" s="84"/>
      <x:c r="G848" s="84"/>
      <x:c r="H848" s="84"/>
      <x:c r="I848" s="84"/>
      <x:c r="J848" s="84"/>
      <x:c r="K848" s="84"/>
      <x:c r="L848" s="84"/>
      <x:c r="M848" s="84"/>
      <x:c r="N848" s="84"/>
      <x:c r="O848" s="84"/>
      <x:c r="P848" s="84"/>
      <x:c r="Q848" s="84"/>
      <x:c r="R848" s="84"/>
      <x:c r="S848" s="84"/>
      <x:c r="T848" s="84"/>
      <x:c r="U848" s="84"/>
      <x:c r="V848" s="84"/>
      <x:c r="W848" s="84"/>
      <x:c r="X848" s="84"/>
      <x:c r="Y848" s="84"/>
      <x:c r="Z848" s="84"/>
    </x:row>
    <x:row r="849">
      <x:c r="A849" s="84"/>
      <x:c r="B849" s="84"/>
      <x:c r="C849" s="84"/>
      <x:c r="D849" s="84"/>
      <x:c r="E849" s="84"/>
      <x:c r="F849" s="84"/>
      <x:c r="G849" s="84"/>
      <x:c r="H849" s="84"/>
      <x:c r="I849" s="84"/>
      <x:c r="J849" s="84"/>
      <x:c r="K849" s="84"/>
      <x:c r="L849" s="84"/>
      <x:c r="M849" s="84"/>
      <x:c r="N849" s="84"/>
      <x:c r="O849" s="84"/>
      <x:c r="P849" s="84"/>
      <x:c r="Q849" s="84"/>
      <x:c r="R849" s="84"/>
      <x:c r="S849" s="84"/>
      <x:c r="T849" s="84"/>
      <x:c r="U849" s="84"/>
      <x:c r="V849" s="84"/>
      <x:c r="W849" s="84"/>
      <x:c r="X849" s="84"/>
      <x:c r="Y849" s="84"/>
      <x:c r="Z849" s="84"/>
    </x:row>
    <x:row r="850">
      <x:c r="A850" s="84"/>
      <x:c r="B850" s="84"/>
      <x:c r="C850" s="84"/>
      <x:c r="D850" s="84"/>
      <x:c r="E850" s="84"/>
      <x:c r="F850" s="84"/>
      <x:c r="G850" s="84"/>
      <x:c r="H850" s="84"/>
      <x:c r="I850" s="84"/>
      <x:c r="J850" s="84"/>
      <x:c r="K850" s="84"/>
      <x:c r="L850" s="84"/>
      <x:c r="M850" s="84"/>
      <x:c r="N850" s="84"/>
      <x:c r="O850" s="84"/>
      <x:c r="P850" s="84"/>
      <x:c r="Q850" s="84"/>
      <x:c r="R850" s="84"/>
      <x:c r="S850" s="84"/>
      <x:c r="T850" s="84"/>
      <x:c r="U850" s="84"/>
      <x:c r="V850" s="84"/>
      <x:c r="W850" s="84"/>
      <x:c r="X850" s="84"/>
      <x:c r="Y850" s="84"/>
      <x:c r="Z850" s="84"/>
    </x:row>
    <x:row r="851">
      <x:c r="A851" s="84"/>
      <x:c r="B851" s="84"/>
      <x:c r="C851" s="84"/>
      <x:c r="D851" s="84"/>
      <x:c r="E851" s="84"/>
      <x:c r="F851" s="84"/>
      <x:c r="G851" s="84"/>
      <x:c r="H851" s="84"/>
      <x:c r="I851" s="84"/>
      <x:c r="J851" s="84"/>
      <x:c r="K851" s="84"/>
      <x:c r="L851" s="84"/>
      <x:c r="M851" s="84"/>
      <x:c r="N851" s="84"/>
      <x:c r="O851" s="84"/>
      <x:c r="P851" s="84"/>
      <x:c r="Q851" s="84"/>
      <x:c r="R851" s="84"/>
      <x:c r="S851" s="84"/>
      <x:c r="T851" s="84"/>
      <x:c r="U851" s="84"/>
      <x:c r="V851" s="84"/>
      <x:c r="W851" s="84"/>
      <x:c r="X851" s="84"/>
      <x:c r="Y851" s="84"/>
      <x:c r="Z851" s="84"/>
    </x:row>
    <x:row r="852">
      <x:c r="A852" s="84"/>
      <x:c r="B852" s="84"/>
      <x:c r="C852" s="84"/>
      <x:c r="D852" s="84"/>
      <x:c r="E852" s="84"/>
      <x:c r="F852" s="84"/>
      <x:c r="G852" s="84"/>
      <x:c r="H852" s="84"/>
      <x:c r="I852" s="84"/>
      <x:c r="J852" s="84"/>
      <x:c r="K852" s="84"/>
      <x:c r="L852" s="84"/>
      <x:c r="M852" s="84"/>
      <x:c r="N852" s="84"/>
      <x:c r="O852" s="84"/>
      <x:c r="P852" s="84"/>
      <x:c r="Q852" s="84"/>
      <x:c r="R852" s="84"/>
      <x:c r="S852" s="84"/>
      <x:c r="T852" s="84"/>
      <x:c r="U852" s="84"/>
      <x:c r="V852" s="84"/>
      <x:c r="W852" s="84"/>
      <x:c r="X852" s="84"/>
      <x:c r="Y852" s="84"/>
      <x:c r="Z852" s="84"/>
    </x:row>
    <x:row r="853">
      <x:c r="A853" s="84"/>
      <x:c r="B853" s="84"/>
      <x:c r="C853" s="84"/>
      <x:c r="D853" s="84"/>
      <x:c r="E853" s="84"/>
      <x:c r="F853" s="84"/>
      <x:c r="G853" s="84"/>
      <x:c r="H853" s="84"/>
      <x:c r="I853" s="84"/>
      <x:c r="J853" s="84"/>
      <x:c r="K853" s="84"/>
      <x:c r="L853" s="84"/>
      <x:c r="M853" s="84"/>
      <x:c r="N853" s="84"/>
      <x:c r="O853" s="84"/>
      <x:c r="P853" s="84"/>
      <x:c r="Q853" s="84"/>
      <x:c r="R853" s="84"/>
      <x:c r="S853" s="84"/>
      <x:c r="T853" s="84"/>
      <x:c r="U853" s="84"/>
      <x:c r="V853" s="84"/>
      <x:c r="W853" s="84"/>
      <x:c r="X853" s="84"/>
      <x:c r="Y853" s="84"/>
      <x:c r="Z853" s="84"/>
    </x:row>
    <x:row r="854">
      <x:c r="A854" s="84"/>
      <x:c r="B854" s="84"/>
      <x:c r="C854" s="84"/>
      <x:c r="D854" s="84"/>
      <x:c r="E854" s="84"/>
      <x:c r="F854" s="84"/>
      <x:c r="G854" s="84"/>
      <x:c r="H854" s="84"/>
      <x:c r="I854" s="84"/>
      <x:c r="J854" s="84"/>
      <x:c r="K854" s="84"/>
      <x:c r="L854" s="84"/>
      <x:c r="M854" s="84"/>
      <x:c r="N854" s="84"/>
      <x:c r="O854" s="84"/>
      <x:c r="P854" s="84"/>
      <x:c r="Q854" s="84"/>
      <x:c r="R854" s="84"/>
      <x:c r="S854" s="84"/>
      <x:c r="T854" s="84"/>
      <x:c r="U854" s="84"/>
      <x:c r="V854" s="84"/>
      <x:c r="W854" s="84"/>
      <x:c r="X854" s="84"/>
      <x:c r="Y854" s="84"/>
      <x:c r="Z854" s="84"/>
    </x:row>
    <x:row r="855">
      <x:c r="A855" s="84"/>
      <x:c r="B855" s="84"/>
      <x:c r="C855" s="84"/>
      <x:c r="D855" s="84"/>
      <x:c r="E855" s="84"/>
      <x:c r="F855" s="84"/>
      <x:c r="G855" s="84"/>
      <x:c r="H855" s="84"/>
      <x:c r="I855" s="84"/>
      <x:c r="J855" s="84"/>
      <x:c r="K855" s="84"/>
      <x:c r="L855" s="84"/>
      <x:c r="M855" s="84"/>
      <x:c r="N855" s="84"/>
      <x:c r="O855" s="84"/>
      <x:c r="P855" s="84"/>
      <x:c r="Q855" s="84"/>
      <x:c r="R855" s="84"/>
      <x:c r="S855" s="84"/>
      <x:c r="T855" s="84"/>
      <x:c r="U855" s="84"/>
      <x:c r="V855" s="84"/>
      <x:c r="W855" s="84"/>
      <x:c r="X855" s="84"/>
      <x:c r="Y855" s="84"/>
      <x:c r="Z855" s="84"/>
    </x:row>
    <x:row r="856">
      <x:c r="A856" s="84"/>
      <x:c r="B856" s="84"/>
      <x:c r="C856" s="84"/>
      <x:c r="D856" s="84"/>
      <x:c r="E856" s="84"/>
      <x:c r="F856" s="84"/>
      <x:c r="G856" s="84"/>
      <x:c r="H856" s="84"/>
      <x:c r="I856" s="84"/>
      <x:c r="J856" s="84"/>
      <x:c r="K856" s="84"/>
      <x:c r="L856" s="84"/>
      <x:c r="M856" s="84"/>
      <x:c r="N856" s="84"/>
      <x:c r="O856" s="84"/>
      <x:c r="P856" s="84"/>
      <x:c r="Q856" s="84"/>
      <x:c r="R856" s="84"/>
      <x:c r="S856" s="84"/>
      <x:c r="T856" s="84"/>
      <x:c r="U856" s="84"/>
      <x:c r="V856" s="84"/>
      <x:c r="W856" s="84"/>
      <x:c r="X856" s="84"/>
      <x:c r="Y856" s="84"/>
      <x:c r="Z856" s="84"/>
    </x:row>
    <x:row r="857">
      <x:c r="A857" s="84"/>
      <x:c r="B857" s="84"/>
      <x:c r="C857" s="84"/>
      <x:c r="D857" s="84"/>
      <x:c r="E857" s="84"/>
      <x:c r="F857" s="84"/>
      <x:c r="G857" s="84"/>
      <x:c r="H857" s="84"/>
      <x:c r="I857" s="84"/>
      <x:c r="J857" s="84"/>
      <x:c r="K857" s="84"/>
      <x:c r="L857" s="84"/>
      <x:c r="M857" s="84"/>
      <x:c r="N857" s="84"/>
      <x:c r="O857" s="84"/>
      <x:c r="P857" s="84"/>
      <x:c r="Q857" s="84"/>
      <x:c r="R857" s="84"/>
      <x:c r="S857" s="84"/>
      <x:c r="T857" s="84"/>
      <x:c r="U857" s="84"/>
      <x:c r="V857" s="84"/>
      <x:c r="W857" s="84"/>
      <x:c r="X857" s="84"/>
      <x:c r="Y857" s="84"/>
      <x:c r="Z857" s="84"/>
    </x:row>
    <x:row r="858">
      <x:c r="A858" s="84"/>
      <x:c r="B858" s="84"/>
      <x:c r="C858" s="84"/>
      <x:c r="D858" s="84"/>
      <x:c r="E858" s="84"/>
      <x:c r="F858" s="84"/>
      <x:c r="G858" s="84"/>
      <x:c r="H858" s="84"/>
      <x:c r="I858" s="84"/>
      <x:c r="J858" s="84"/>
      <x:c r="K858" s="84"/>
      <x:c r="L858" s="84"/>
      <x:c r="M858" s="84"/>
      <x:c r="N858" s="84"/>
      <x:c r="O858" s="84"/>
      <x:c r="P858" s="84"/>
      <x:c r="Q858" s="84"/>
      <x:c r="R858" s="84"/>
      <x:c r="S858" s="84"/>
      <x:c r="T858" s="84"/>
      <x:c r="U858" s="84"/>
      <x:c r="V858" s="84"/>
      <x:c r="W858" s="84"/>
      <x:c r="X858" s="84"/>
      <x:c r="Y858" s="84"/>
      <x:c r="Z858" s="84"/>
    </x:row>
    <x:row r="859">
      <x:c r="A859" s="84"/>
      <x:c r="B859" s="84"/>
      <x:c r="C859" s="84"/>
      <x:c r="D859" s="84"/>
      <x:c r="E859" s="84"/>
      <x:c r="F859" s="84"/>
      <x:c r="G859" s="84"/>
      <x:c r="H859" s="84"/>
      <x:c r="I859" s="84"/>
      <x:c r="J859" s="84"/>
      <x:c r="K859" s="84"/>
      <x:c r="L859" s="84"/>
      <x:c r="M859" s="84"/>
      <x:c r="N859" s="84"/>
      <x:c r="O859" s="84"/>
      <x:c r="P859" s="84"/>
      <x:c r="Q859" s="84"/>
      <x:c r="R859" s="84"/>
      <x:c r="S859" s="84"/>
      <x:c r="T859" s="84"/>
      <x:c r="U859" s="84"/>
      <x:c r="V859" s="84"/>
      <x:c r="W859" s="84"/>
      <x:c r="X859" s="84"/>
      <x:c r="Y859" s="84"/>
      <x:c r="Z859" s="84"/>
    </x:row>
    <x:row r="860">
      <x:c r="A860" s="84"/>
      <x:c r="B860" s="84"/>
      <x:c r="C860" s="84"/>
      <x:c r="D860" s="84"/>
      <x:c r="E860" s="84"/>
      <x:c r="F860" s="84"/>
      <x:c r="G860" s="84"/>
      <x:c r="H860" s="84"/>
      <x:c r="I860" s="84"/>
      <x:c r="J860" s="84"/>
      <x:c r="K860" s="84"/>
      <x:c r="L860" s="84"/>
      <x:c r="M860" s="84"/>
      <x:c r="N860" s="84"/>
      <x:c r="O860" s="84"/>
      <x:c r="P860" s="84"/>
      <x:c r="Q860" s="84"/>
      <x:c r="R860" s="84"/>
      <x:c r="S860" s="84"/>
      <x:c r="T860" s="84"/>
      <x:c r="U860" s="84"/>
      <x:c r="V860" s="84"/>
      <x:c r="W860" s="84"/>
      <x:c r="X860" s="84"/>
      <x:c r="Y860" s="84"/>
      <x:c r="Z860" s="84"/>
    </x:row>
    <x:row r="861">
      <x:c r="A861" s="84"/>
      <x:c r="B861" s="84"/>
      <x:c r="C861" s="84"/>
      <x:c r="D861" s="84"/>
      <x:c r="E861" s="84"/>
      <x:c r="F861" s="84"/>
      <x:c r="G861" s="84"/>
      <x:c r="H861" s="84"/>
      <x:c r="I861" s="84"/>
      <x:c r="J861" s="84"/>
      <x:c r="K861" s="84"/>
      <x:c r="L861" s="84"/>
      <x:c r="M861" s="84"/>
      <x:c r="N861" s="84"/>
      <x:c r="O861" s="84"/>
      <x:c r="P861" s="84"/>
      <x:c r="Q861" s="84"/>
      <x:c r="R861" s="84"/>
      <x:c r="S861" s="84"/>
      <x:c r="T861" s="84"/>
      <x:c r="U861" s="84"/>
      <x:c r="V861" s="84"/>
      <x:c r="W861" s="84"/>
      <x:c r="X861" s="84"/>
      <x:c r="Y861" s="84"/>
      <x:c r="Z861" s="84"/>
    </x:row>
    <x:row r="862">
      <x:c r="A862" s="84"/>
      <x:c r="B862" s="84"/>
      <x:c r="C862" s="84"/>
      <x:c r="D862" s="84"/>
      <x:c r="E862" s="84"/>
      <x:c r="F862" s="84"/>
      <x:c r="G862" s="84"/>
      <x:c r="H862" s="84"/>
      <x:c r="I862" s="84"/>
      <x:c r="J862" s="84"/>
      <x:c r="K862" s="84"/>
      <x:c r="L862" s="84"/>
      <x:c r="M862" s="84"/>
      <x:c r="N862" s="84"/>
      <x:c r="O862" s="84"/>
      <x:c r="P862" s="84"/>
      <x:c r="Q862" s="84"/>
      <x:c r="R862" s="84"/>
      <x:c r="S862" s="84"/>
      <x:c r="T862" s="84"/>
      <x:c r="U862" s="84"/>
      <x:c r="V862" s="84"/>
      <x:c r="W862" s="84"/>
      <x:c r="X862" s="84"/>
      <x:c r="Y862" s="84"/>
      <x:c r="Z862" s="84"/>
    </x:row>
    <x:row r="863">
      <x:c r="A863" s="84"/>
      <x:c r="B863" s="84"/>
      <x:c r="C863" s="84"/>
      <x:c r="D863" s="84"/>
      <x:c r="E863" s="84"/>
      <x:c r="F863" s="84"/>
      <x:c r="G863" s="84"/>
      <x:c r="H863" s="84"/>
      <x:c r="I863" s="84"/>
      <x:c r="J863" s="84"/>
      <x:c r="K863" s="84"/>
      <x:c r="L863" s="84"/>
      <x:c r="M863" s="84"/>
      <x:c r="N863" s="84"/>
      <x:c r="O863" s="84"/>
      <x:c r="P863" s="84"/>
      <x:c r="Q863" s="84"/>
      <x:c r="R863" s="84"/>
      <x:c r="S863" s="84"/>
      <x:c r="T863" s="84"/>
      <x:c r="U863" s="84"/>
      <x:c r="V863" s="84"/>
      <x:c r="W863" s="84"/>
      <x:c r="X863" s="84"/>
      <x:c r="Y863" s="84"/>
      <x:c r="Z863" s="84"/>
    </x:row>
    <x:row r="864">
      <x:c r="A864" s="84"/>
      <x:c r="B864" s="84"/>
      <x:c r="C864" s="84"/>
      <x:c r="D864" s="84"/>
      <x:c r="E864" s="84"/>
      <x:c r="F864" s="84"/>
      <x:c r="G864" s="84"/>
      <x:c r="H864" s="84"/>
      <x:c r="I864" s="84"/>
      <x:c r="J864" s="84"/>
      <x:c r="K864" s="84"/>
      <x:c r="L864" s="84"/>
      <x:c r="M864" s="84"/>
      <x:c r="N864" s="84"/>
      <x:c r="O864" s="84"/>
      <x:c r="P864" s="84"/>
      <x:c r="Q864" s="84"/>
      <x:c r="R864" s="84"/>
      <x:c r="S864" s="84"/>
      <x:c r="T864" s="84"/>
      <x:c r="U864" s="84"/>
      <x:c r="V864" s="84"/>
      <x:c r="W864" s="84"/>
      <x:c r="X864" s="84"/>
      <x:c r="Y864" s="84"/>
      <x:c r="Z864" s="84"/>
    </x:row>
    <x:row r="865">
      <x:c r="A865" s="84"/>
      <x:c r="B865" s="84"/>
      <x:c r="C865" s="84"/>
      <x:c r="D865" s="84"/>
      <x:c r="E865" s="84"/>
      <x:c r="F865" s="84"/>
      <x:c r="G865" s="84"/>
      <x:c r="H865" s="84"/>
      <x:c r="I865" s="84"/>
      <x:c r="J865" s="84"/>
      <x:c r="K865" s="84"/>
      <x:c r="L865" s="84"/>
      <x:c r="M865" s="84"/>
      <x:c r="N865" s="84"/>
      <x:c r="O865" s="84"/>
      <x:c r="P865" s="84"/>
      <x:c r="Q865" s="84"/>
      <x:c r="R865" s="84"/>
      <x:c r="S865" s="84"/>
      <x:c r="T865" s="84"/>
      <x:c r="U865" s="84"/>
      <x:c r="V865" s="84"/>
      <x:c r="W865" s="84"/>
      <x:c r="X865" s="84"/>
      <x:c r="Y865" s="84"/>
      <x:c r="Z865" s="84"/>
    </x:row>
    <x:row r="866">
      <x:c r="A866" s="84"/>
      <x:c r="B866" s="84"/>
      <x:c r="C866" s="84"/>
      <x:c r="D866" s="84"/>
      <x:c r="E866" s="84"/>
      <x:c r="F866" s="84"/>
      <x:c r="G866" s="84"/>
      <x:c r="H866" s="84"/>
      <x:c r="I866" s="84"/>
      <x:c r="J866" s="84"/>
      <x:c r="K866" s="84"/>
      <x:c r="L866" s="84"/>
      <x:c r="M866" s="84"/>
      <x:c r="N866" s="84"/>
      <x:c r="O866" s="84"/>
      <x:c r="P866" s="84"/>
      <x:c r="Q866" s="84"/>
      <x:c r="R866" s="84"/>
      <x:c r="S866" s="84"/>
      <x:c r="T866" s="84"/>
      <x:c r="U866" s="84"/>
      <x:c r="V866" s="84"/>
      <x:c r="W866" s="84"/>
      <x:c r="X866" s="84"/>
      <x:c r="Y866" s="84"/>
      <x:c r="Z866" s="84"/>
    </x:row>
    <x:row r="867">
      <x:c r="A867" s="84"/>
      <x:c r="B867" s="84"/>
      <x:c r="C867" s="84"/>
      <x:c r="D867" s="84"/>
      <x:c r="E867" s="84"/>
      <x:c r="F867" s="84"/>
      <x:c r="G867" s="84"/>
      <x:c r="H867" s="84"/>
      <x:c r="I867" s="84"/>
      <x:c r="J867" s="84"/>
      <x:c r="K867" s="84"/>
      <x:c r="L867" s="84"/>
      <x:c r="M867" s="84"/>
      <x:c r="N867" s="84"/>
      <x:c r="O867" s="84"/>
      <x:c r="P867" s="84"/>
      <x:c r="Q867" s="84"/>
      <x:c r="R867" s="84"/>
      <x:c r="S867" s="84"/>
      <x:c r="T867" s="84"/>
      <x:c r="U867" s="84"/>
      <x:c r="V867" s="84"/>
      <x:c r="W867" s="84"/>
      <x:c r="X867" s="84"/>
      <x:c r="Y867" s="84"/>
      <x:c r="Z867" s="84"/>
    </x:row>
    <x:row r="868">
      <x:c r="A868" s="84"/>
      <x:c r="B868" s="84"/>
      <x:c r="C868" s="84"/>
      <x:c r="D868" s="84"/>
      <x:c r="E868" s="84"/>
      <x:c r="F868" s="84"/>
      <x:c r="G868" s="84"/>
      <x:c r="H868" s="84"/>
      <x:c r="I868" s="84"/>
      <x:c r="J868" s="84"/>
      <x:c r="K868" s="84"/>
      <x:c r="L868" s="84"/>
      <x:c r="M868" s="84"/>
      <x:c r="N868" s="84"/>
      <x:c r="O868" s="84"/>
      <x:c r="P868" s="84"/>
      <x:c r="Q868" s="84"/>
      <x:c r="R868" s="84"/>
      <x:c r="S868" s="84"/>
      <x:c r="T868" s="84"/>
      <x:c r="U868" s="84"/>
      <x:c r="V868" s="84"/>
      <x:c r="W868" s="84"/>
      <x:c r="X868" s="84"/>
      <x:c r="Y868" s="84"/>
      <x:c r="Z868" s="84"/>
    </x:row>
    <x:row r="869">
      <x:c r="A869" s="84"/>
      <x:c r="B869" s="84"/>
      <x:c r="C869" s="84"/>
      <x:c r="D869" s="84"/>
      <x:c r="E869" s="84"/>
      <x:c r="F869" s="84"/>
      <x:c r="G869" s="84"/>
      <x:c r="H869" s="84"/>
      <x:c r="I869" s="84"/>
      <x:c r="J869" s="84"/>
      <x:c r="K869" s="84"/>
      <x:c r="L869" s="84"/>
      <x:c r="M869" s="84"/>
      <x:c r="N869" s="84"/>
      <x:c r="O869" s="84"/>
      <x:c r="P869" s="84"/>
      <x:c r="Q869" s="84"/>
      <x:c r="R869" s="84"/>
      <x:c r="S869" s="84"/>
      <x:c r="T869" s="84"/>
      <x:c r="U869" s="84"/>
      <x:c r="V869" s="84"/>
      <x:c r="W869" s="84"/>
      <x:c r="X869" s="84"/>
      <x:c r="Y869" s="84"/>
      <x:c r="Z869" s="84"/>
    </x:row>
    <x:row r="870">
      <x:c r="A870" s="84"/>
      <x:c r="B870" s="84"/>
      <x:c r="C870" s="84"/>
      <x:c r="D870" s="84"/>
      <x:c r="E870" s="84"/>
      <x:c r="F870" s="84"/>
      <x:c r="G870" s="84"/>
      <x:c r="H870" s="84"/>
      <x:c r="I870" s="84"/>
      <x:c r="J870" s="84"/>
      <x:c r="K870" s="84"/>
      <x:c r="L870" s="84"/>
      <x:c r="M870" s="84"/>
      <x:c r="N870" s="84"/>
      <x:c r="O870" s="84"/>
      <x:c r="P870" s="84"/>
      <x:c r="Q870" s="84"/>
      <x:c r="R870" s="84"/>
      <x:c r="S870" s="84"/>
      <x:c r="T870" s="84"/>
      <x:c r="U870" s="84"/>
      <x:c r="V870" s="84"/>
      <x:c r="W870" s="84"/>
      <x:c r="X870" s="84"/>
      <x:c r="Y870" s="84"/>
      <x:c r="Z870" s="84"/>
    </x:row>
    <x:row r="871">
      <x:c r="A871" s="84"/>
      <x:c r="B871" s="84"/>
      <x:c r="C871" s="84"/>
      <x:c r="D871" s="84"/>
      <x:c r="E871" s="84"/>
      <x:c r="F871" s="84"/>
      <x:c r="G871" s="84"/>
      <x:c r="H871" s="84"/>
      <x:c r="I871" s="84"/>
      <x:c r="J871" s="84"/>
      <x:c r="K871" s="84"/>
      <x:c r="L871" s="84"/>
      <x:c r="M871" s="84"/>
      <x:c r="N871" s="84"/>
      <x:c r="O871" s="84"/>
      <x:c r="P871" s="84"/>
      <x:c r="Q871" s="84"/>
      <x:c r="R871" s="84"/>
      <x:c r="S871" s="84"/>
      <x:c r="T871" s="84"/>
      <x:c r="U871" s="84"/>
      <x:c r="V871" s="84"/>
      <x:c r="W871" s="84"/>
      <x:c r="X871" s="84"/>
      <x:c r="Y871" s="84"/>
      <x:c r="Z871" s="84"/>
    </x:row>
    <x:row r="872">
      <x:c r="A872" s="84"/>
      <x:c r="B872" s="84"/>
      <x:c r="C872" s="84"/>
      <x:c r="D872" s="84"/>
      <x:c r="E872" s="84"/>
      <x:c r="F872" s="84"/>
      <x:c r="G872" s="84"/>
      <x:c r="H872" s="84"/>
      <x:c r="I872" s="84"/>
      <x:c r="J872" s="84"/>
      <x:c r="K872" s="84"/>
      <x:c r="L872" s="84"/>
      <x:c r="M872" s="84"/>
      <x:c r="N872" s="84"/>
      <x:c r="O872" s="84"/>
      <x:c r="P872" s="84"/>
      <x:c r="Q872" s="84"/>
      <x:c r="R872" s="84"/>
      <x:c r="S872" s="84"/>
      <x:c r="T872" s="84"/>
      <x:c r="U872" s="84"/>
      <x:c r="V872" s="84"/>
      <x:c r="W872" s="84"/>
      <x:c r="X872" s="84"/>
      <x:c r="Y872" s="84"/>
      <x:c r="Z872" s="84"/>
    </x:row>
    <x:row r="873">
      <x:c r="A873" s="84"/>
      <x:c r="B873" s="84"/>
      <x:c r="C873" s="84"/>
      <x:c r="D873" s="84"/>
      <x:c r="E873" s="84"/>
      <x:c r="F873" s="84"/>
      <x:c r="G873" s="84"/>
      <x:c r="H873" s="84"/>
      <x:c r="I873" s="84"/>
      <x:c r="J873" s="84"/>
      <x:c r="K873" s="84"/>
      <x:c r="L873" s="84"/>
      <x:c r="M873" s="84"/>
      <x:c r="N873" s="84"/>
      <x:c r="O873" s="84"/>
      <x:c r="P873" s="84"/>
      <x:c r="Q873" s="84"/>
      <x:c r="R873" s="84"/>
      <x:c r="S873" s="84"/>
      <x:c r="T873" s="84"/>
      <x:c r="U873" s="84"/>
      <x:c r="V873" s="84"/>
      <x:c r="W873" s="84"/>
      <x:c r="X873" s="84"/>
      <x:c r="Y873" s="84"/>
      <x:c r="Z873" s="84"/>
    </x:row>
    <x:row r="874">
      <x:c r="A874" s="84"/>
      <x:c r="B874" s="84"/>
      <x:c r="C874" s="84"/>
      <x:c r="D874" s="84"/>
      <x:c r="E874" s="84"/>
      <x:c r="F874" s="84"/>
      <x:c r="G874" s="84"/>
      <x:c r="H874" s="84"/>
      <x:c r="I874" s="84"/>
      <x:c r="J874" s="84"/>
      <x:c r="K874" s="84"/>
      <x:c r="L874" s="84"/>
      <x:c r="M874" s="84"/>
      <x:c r="N874" s="84"/>
      <x:c r="O874" s="84"/>
      <x:c r="P874" s="84"/>
      <x:c r="Q874" s="84"/>
      <x:c r="R874" s="84"/>
      <x:c r="S874" s="84"/>
      <x:c r="T874" s="84"/>
      <x:c r="U874" s="84"/>
      <x:c r="V874" s="84"/>
      <x:c r="W874" s="84"/>
      <x:c r="X874" s="84"/>
      <x:c r="Y874" s="84"/>
      <x:c r="Z874" s="84"/>
    </x:row>
    <x:row r="875">
      <x:c r="A875" s="84"/>
      <x:c r="B875" s="84"/>
      <x:c r="C875" s="84"/>
      <x:c r="D875" s="84"/>
      <x:c r="E875" s="84"/>
      <x:c r="F875" s="84"/>
      <x:c r="G875" s="84"/>
      <x:c r="H875" s="84"/>
      <x:c r="I875" s="84"/>
      <x:c r="J875" s="84"/>
      <x:c r="K875" s="84"/>
      <x:c r="L875" s="84"/>
      <x:c r="M875" s="84"/>
      <x:c r="N875" s="84"/>
      <x:c r="O875" s="84"/>
      <x:c r="P875" s="84"/>
      <x:c r="Q875" s="84"/>
      <x:c r="R875" s="84"/>
      <x:c r="S875" s="84"/>
      <x:c r="T875" s="84"/>
      <x:c r="U875" s="84"/>
      <x:c r="V875" s="84"/>
      <x:c r="W875" s="84"/>
      <x:c r="X875" s="84"/>
      <x:c r="Y875" s="84"/>
      <x:c r="Z875" s="84"/>
    </x:row>
    <x:row r="876">
      <x:c r="A876" s="84"/>
      <x:c r="B876" s="84"/>
      <x:c r="C876" s="84"/>
      <x:c r="D876" s="84"/>
      <x:c r="E876" s="84"/>
      <x:c r="F876" s="84"/>
      <x:c r="G876" s="84"/>
      <x:c r="H876" s="84"/>
      <x:c r="I876" s="84"/>
      <x:c r="J876" s="84"/>
      <x:c r="K876" s="84"/>
      <x:c r="L876" s="84"/>
      <x:c r="M876" s="84"/>
      <x:c r="N876" s="84"/>
      <x:c r="O876" s="84"/>
      <x:c r="P876" s="84"/>
      <x:c r="Q876" s="84"/>
      <x:c r="R876" s="84"/>
      <x:c r="S876" s="84"/>
      <x:c r="T876" s="84"/>
      <x:c r="U876" s="84"/>
      <x:c r="V876" s="84"/>
      <x:c r="W876" s="84"/>
      <x:c r="X876" s="84"/>
      <x:c r="Y876" s="84"/>
      <x:c r="Z876" s="84"/>
    </x:row>
    <x:row r="877">
      <x:c r="A877" s="84"/>
      <x:c r="B877" s="84"/>
      <x:c r="C877" s="84"/>
      <x:c r="D877" s="84"/>
      <x:c r="E877" s="84"/>
      <x:c r="F877" s="84"/>
      <x:c r="G877" s="84"/>
      <x:c r="H877" s="84"/>
      <x:c r="I877" s="84"/>
      <x:c r="J877" s="84"/>
      <x:c r="K877" s="84"/>
      <x:c r="L877" s="84"/>
      <x:c r="M877" s="84"/>
      <x:c r="N877" s="84"/>
      <x:c r="O877" s="84"/>
      <x:c r="P877" s="84"/>
      <x:c r="Q877" s="84"/>
      <x:c r="R877" s="84"/>
      <x:c r="S877" s="84"/>
      <x:c r="T877" s="84"/>
      <x:c r="U877" s="84"/>
      <x:c r="V877" s="84"/>
      <x:c r="W877" s="84"/>
      <x:c r="X877" s="84"/>
      <x:c r="Y877" s="84"/>
      <x:c r="Z877" s="84"/>
    </x:row>
    <x:row r="878">
      <x:c r="A878" s="84"/>
      <x:c r="B878" s="84"/>
      <x:c r="C878" s="84"/>
      <x:c r="D878" s="84"/>
      <x:c r="E878" s="84"/>
      <x:c r="F878" s="84"/>
      <x:c r="G878" s="84"/>
      <x:c r="H878" s="84"/>
      <x:c r="I878" s="84"/>
      <x:c r="J878" s="84"/>
      <x:c r="K878" s="84"/>
      <x:c r="L878" s="84"/>
      <x:c r="M878" s="84"/>
      <x:c r="N878" s="84"/>
      <x:c r="O878" s="84"/>
      <x:c r="P878" s="84"/>
      <x:c r="Q878" s="84"/>
      <x:c r="R878" s="84"/>
      <x:c r="S878" s="84"/>
      <x:c r="T878" s="84"/>
      <x:c r="U878" s="84"/>
      <x:c r="V878" s="84"/>
      <x:c r="W878" s="84"/>
      <x:c r="X878" s="84"/>
      <x:c r="Y878" s="84"/>
      <x:c r="Z878" s="84"/>
    </x:row>
    <x:row r="879">
      <x:c r="A879" s="84"/>
      <x:c r="B879" s="84"/>
      <x:c r="C879" s="84"/>
      <x:c r="D879" s="84"/>
      <x:c r="E879" s="84"/>
      <x:c r="F879" s="84"/>
      <x:c r="G879" s="84"/>
      <x:c r="H879" s="84"/>
      <x:c r="I879" s="84"/>
      <x:c r="J879" s="84"/>
      <x:c r="K879" s="84"/>
      <x:c r="L879" s="84"/>
      <x:c r="M879" s="84"/>
      <x:c r="N879" s="84"/>
      <x:c r="O879" s="84"/>
      <x:c r="P879" s="84"/>
      <x:c r="Q879" s="84"/>
      <x:c r="R879" s="84"/>
      <x:c r="S879" s="84"/>
      <x:c r="T879" s="84"/>
      <x:c r="U879" s="84"/>
      <x:c r="V879" s="84"/>
      <x:c r="W879" s="84"/>
      <x:c r="X879" s="84"/>
      <x:c r="Y879" s="84"/>
      <x:c r="Z879" s="84"/>
    </x:row>
    <x:row r="880">
      <x:c r="A880" s="84"/>
      <x:c r="B880" s="84"/>
      <x:c r="C880" s="84"/>
      <x:c r="D880" s="84"/>
      <x:c r="E880" s="84"/>
      <x:c r="F880" s="84"/>
      <x:c r="G880" s="84"/>
      <x:c r="H880" s="84"/>
      <x:c r="I880" s="84"/>
      <x:c r="J880" s="84"/>
      <x:c r="K880" s="84"/>
      <x:c r="L880" s="84"/>
      <x:c r="M880" s="84"/>
      <x:c r="N880" s="84"/>
      <x:c r="O880" s="84"/>
      <x:c r="P880" s="84"/>
      <x:c r="Q880" s="84"/>
      <x:c r="R880" s="84"/>
      <x:c r="S880" s="84"/>
      <x:c r="T880" s="84"/>
      <x:c r="U880" s="84"/>
      <x:c r="V880" s="84"/>
      <x:c r="W880" s="84"/>
      <x:c r="X880" s="84"/>
      <x:c r="Y880" s="84"/>
      <x:c r="Z880" s="84"/>
    </x:row>
    <x:row r="881">
      <x:c r="A881" s="84"/>
      <x:c r="B881" s="84"/>
      <x:c r="C881" s="84"/>
      <x:c r="D881" s="84"/>
      <x:c r="E881" s="84"/>
      <x:c r="F881" s="84"/>
      <x:c r="G881" s="84"/>
      <x:c r="H881" s="84"/>
      <x:c r="I881" s="84"/>
      <x:c r="J881" s="84"/>
      <x:c r="K881" s="84"/>
      <x:c r="L881" s="84"/>
      <x:c r="M881" s="84"/>
      <x:c r="N881" s="84"/>
      <x:c r="O881" s="84"/>
      <x:c r="P881" s="84"/>
      <x:c r="Q881" s="84"/>
      <x:c r="R881" s="84"/>
      <x:c r="S881" s="84"/>
      <x:c r="T881" s="84"/>
      <x:c r="U881" s="84"/>
      <x:c r="V881" s="84"/>
      <x:c r="W881" s="84"/>
      <x:c r="X881" s="84"/>
      <x:c r="Y881" s="84"/>
      <x:c r="Z881" s="84"/>
    </x:row>
    <x:row r="882">
      <x:c r="A882" s="84"/>
      <x:c r="B882" s="84"/>
      <x:c r="C882" s="84"/>
      <x:c r="D882" s="84"/>
      <x:c r="E882" s="84"/>
      <x:c r="F882" s="84"/>
      <x:c r="G882" s="84"/>
      <x:c r="H882" s="84"/>
      <x:c r="I882" s="84"/>
      <x:c r="J882" s="84"/>
      <x:c r="K882" s="84"/>
      <x:c r="L882" s="84"/>
      <x:c r="M882" s="84"/>
      <x:c r="N882" s="84"/>
      <x:c r="O882" s="84"/>
      <x:c r="P882" s="84"/>
      <x:c r="Q882" s="84"/>
      <x:c r="R882" s="84"/>
      <x:c r="S882" s="84"/>
      <x:c r="T882" s="84"/>
      <x:c r="U882" s="84"/>
      <x:c r="V882" s="84"/>
      <x:c r="W882" s="84"/>
      <x:c r="X882" s="84"/>
      <x:c r="Y882" s="84"/>
      <x:c r="Z882" s="84"/>
    </x:row>
    <x:row r="883">
      <x:c r="A883" s="84"/>
      <x:c r="B883" s="84"/>
      <x:c r="C883" s="84"/>
      <x:c r="D883" s="84"/>
      <x:c r="E883" s="84"/>
      <x:c r="F883" s="84"/>
      <x:c r="G883" s="84"/>
      <x:c r="H883" s="84"/>
      <x:c r="I883" s="84"/>
      <x:c r="J883" s="84"/>
      <x:c r="K883" s="84"/>
      <x:c r="L883" s="84"/>
      <x:c r="M883" s="84"/>
      <x:c r="N883" s="84"/>
      <x:c r="O883" s="84"/>
      <x:c r="P883" s="84"/>
      <x:c r="Q883" s="84"/>
      <x:c r="R883" s="84"/>
      <x:c r="S883" s="84"/>
      <x:c r="T883" s="84"/>
      <x:c r="U883" s="84"/>
      <x:c r="V883" s="84"/>
      <x:c r="W883" s="84"/>
      <x:c r="X883" s="84"/>
      <x:c r="Y883" s="84"/>
      <x:c r="Z883" s="84"/>
    </x:row>
    <x:row r="884">
      <x:c r="A884" s="84"/>
      <x:c r="B884" s="84"/>
      <x:c r="C884" s="84"/>
      <x:c r="D884" s="84"/>
      <x:c r="E884" s="84"/>
      <x:c r="F884" s="84"/>
      <x:c r="G884" s="84"/>
      <x:c r="H884" s="84"/>
      <x:c r="I884" s="84"/>
      <x:c r="J884" s="84"/>
      <x:c r="K884" s="84"/>
      <x:c r="L884" s="84"/>
      <x:c r="M884" s="84"/>
      <x:c r="N884" s="84"/>
      <x:c r="O884" s="84"/>
      <x:c r="P884" s="84"/>
      <x:c r="Q884" s="84"/>
      <x:c r="R884" s="84"/>
      <x:c r="S884" s="84"/>
      <x:c r="T884" s="84"/>
      <x:c r="U884" s="84"/>
      <x:c r="V884" s="84"/>
      <x:c r="W884" s="84"/>
      <x:c r="X884" s="84"/>
      <x:c r="Y884" s="84"/>
      <x:c r="Z884" s="84"/>
    </x:row>
    <x:row r="885">
      <x:c r="A885" s="84"/>
      <x:c r="B885" s="84"/>
      <x:c r="C885" s="84"/>
      <x:c r="D885" s="84"/>
      <x:c r="E885" s="84"/>
      <x:c r="F885" s="84"/>
      <x:c r="G885" s="84"/>
      <x:c r="H885" s="84"/>
      <x:c r="I885" s="84"/>
      <x:c r="J885" s="84"/>
      <x:c r="K885" s="84"/>
      <x:c r="L885" s="84"/>
      <x:c r="M885" s="84"/>
      <x:c r="N885" s="84"/>
      <x:c r="O885" s="84"/>
      <x:c r="P885" s="84"/>
      <x:c r="Q885" s="84"/>
      <x:c r="R885" s="84"/>
      <x:c r="S885" s="84"/>
      <x:c r="T885" s="84"/>
      <x:c r="U885" s="84"/>
      <x:c r="V885" s="84"/>
      <x:c r="W885" s="84"/>
      <x:c r="X885" s="84"/>
      <x:c r="Y885" s="84"/>
      <x:c r="Z885" s="84"/>
    </x:row>
    <x:row r="886">
      <x:c r="A886" s="84"/>
      <x:c r="B886" s="84"/>
      <x:c r="C886" s="84"/>
      <x:c r="D886" s="84"/>
      <x:c r="E886" s="84"/>
      <x:c r="F886" s="84"/>
      <x:c r="G886" s="84"/>
      <x:c r="H886" s="84"/>
      <x:c r="I886" s="84"/>
      <x:c r="J886" s="84"/>
      <x:c r="K886" s="84"/>
      <x:c r="L886" s="84"/>
      <x:c r="M886" s="84"/>
      <x:c r="N886" s="84"/>
      <x:c r="O886" s="84"/>
      <x:c r="P886" s="84"/>
      <x:c r="Q886" s="84"/>
      <x:c r="R886" s="84"/>
      <x:c r="S886" s="84"/>
      <x:c r="T886" s="84"/>
      <x:c r="U886" s="84"/>
      <x:c r="V886" s="84"/>
      <x:c r="W886" s="84"/>
      <x:c r="X886" s="84"/>
      <x:c r="Y886" s="84"/>
      <x:c r="Z886" s="84"/>
    </x:row>
    <x:row r="887">
      <x:c r="A887" s="84"/>
      <x:c r="B887" s="84"/>
      <x:c r="C887" s="84"/>
      <x:c r="D887" s="84"/>
      <x:c r="E887" s="84"/>
      <x:c r="F887" s="84"/>
      <x:c r="G887" s="84"/>
      <x:c r="H887" s="84"/>
      <x:c r="I887" s="84"/>
      <x:c r="J887" s="84"/>
      <x:c r="K887" s="84"/>
      <x:c r="L887" s="84"/>
      <x:c r="M887" s="84"/>
      <x:c r="N887" s="84"/>
      <x:c r="O887" s="84"/>
      <x:c r="P887" s="84"/>
      <x:c r="Q887" s="84"/>
      <x:c r="R887" s="84"/>
      <x:c r="S887" s="84"/>
      <x:c r="T887" s="84"/>
      <x:c r="U887" s="84"/>
      <x:c r="V887" s="84"/>
      <x:c r="W887" s="84"/>
      <x:c r="X887" s="84"/>
      <x:c r="Y887" s="84"/>
      <x:c r="Z887" s="84"/>
    </x:row>
    <x:row r="888">
      <x:c r="A888" s="84"/>
      <x:c r="B888" s="84"/>
      <x:c r="C888" s="84"/>
      <x:c r="D888" s="84"/>
      <x:c r="E888" s="84"/>
      <x:c r="F888" s="84"/>
      <x:c r="G888" s="84"/>
      <x:c r="H888" s="84"/>
      <x:c r="I888" s="84"/>
      <x:c r="J888" s="84"/>
      <x:c r="K888" s="84"/>
      <x:c r="L888" s="84"/>
      <x:c r="M888" s="84"/>
      <x:c r="N888" s="84"/>
      <x:c r="O888" s="84"/>
      <x:c r="P888" s="84"/>
      <x:c r="Q888" s="84"/>
      <x:c r="R888" s="84"/>
      <x:c r="S888" s="84"/>
      <x:c r="T888" s="84"/>
      <x:c r="U888" s="84"/>
      <x:c r="V888" s="84"/>
      <x:c r="W888" s="84"/>
      <x:c r="X888" s="84"/>
      <x:c r="Y888" s="84"/>
      <x:c r="Z888" s="84"/>
    </x:row>
    <x:row r="889">
      <x:c r="A889" s="84"/>
      <x:c r="B889" s="84"/>
      <x:c r="C889" s="84"/>
      <x:c r="D889" s="84"/>
      <x:c r="E889" s="84"/>
      <x:c r="F889" s="84"/>
      <x:c r="G889" s="84"/>
      <x:c r="H889" s="84"/>
      <x:c r="I889" s="84"/>
      <x:c r="J889" s="84"/>
      <x:c r="K889" s="84"/>
      <x:c r="L889" s="84"/>
      <x:c r="M889" s="84"/>
      <x:c r="N889" s="84"/>
      <x:c r="O889" s="84"/>
      <x:c r="P889" s="84"/>
      <x:c r="Q889" s="84"/>
      <x:c r="R889" s="84"/>
      <x:c r="S889" s="84"/>
      <x:c r="T889" s="84"/>
      <x:c r="U889" s="84"/>
      <x:c r="V889" s="84"/>
      <x:c r="W889" s="84"/>
      <x:c r="X889" s="84"/>
      <x:c r="Y889" s="84"/>
      <x:c r="Z889" s="84"/>
    </x:row>
    <x:row r="890">
      <x:c r="A890" s="84"/>
      <x:c r="B890" s="84"/>
      <x:c r="C890" s="84"/>
      <x:c r="D890" s="84"/>
      <x:c r="E890" s="84"/>
      <x:c r="F890" s="84"/>
      <x:c r="G890" s="84"/>
      <x:c r="H890" s="84"/>
      <x:c r="I890" s="84"/>
      <x:c r="J890" s="84"/>
      <x:c r="K890" s="84"/>
      <x:c r="L890" s="84"/>
      <x:c r="M890" s="84"/>
      <x:c r="N890" s="84"/>
      <x:c r="O890" s="84"/>
      <x:c r="P890" s="84"/>
      <x:c r="Q890" s="84"/>
      <x:c r="R890" s="84"/>
      <x:c r="S890" s="84"/>
      <x:c r="T890" s="84"/>
      <x:c r="U890" s="84"/>
      <x:c r="V890" s="84"/>
      <x:c r="W890" s="84"/>
      <x:c r="X890" s="84"/>
      <x:c r="Y890" s="84"/>
      <x:c r="Z890" s="84"/>
    </x:row>
    <x:row r="891">
      <x:c r="A891" s="84"/>
      <x:c r="B891" s="84"/>
      <x:c r="C891" s="84"/>
      <x:c r="D891" s="84"/>
      <x:c r="E891" s="84"/>
      <x:c r="F891" s="84"/>
      <x:c r="G891" s="84"/>
      <x:c r="H891" s="84"/>
      <x:c r="I891" s="84"/>
      <x:c r="J891" s="84"/>
      <x:c r="K891" s="84"/>
      <x:c r="L891" s="84"/>
      <x:c r="M891" s="84"/>
      <x:c r="N891" s="84"/>
      <x:c r="O891" s="84"/>
      <x:c r="P891" s="84"/>
      <x:c r="Q891" s="84"/>
      <x:c r="R891" s="84"/>
      <x:c r="S891" s="84"/>
      <x:c r="T891" s="84"/>
      <x:c r="U891" s="84"/>
      <x:c r="V891" s="84"/>
      <x:c r="W891" s="84"/>
      <x:c r="X891" s="84"/>
      <x:c r="Y891" s="84"/>
      <x:c r="Z891" s="84"/>
    </x:row>
    <x:row r="892">
      <x:c r="A892" s="84"/>
      <x:c r="B892" s="84"/>
      <x:c r="C892" s="84"/>
      <x:c r="D892" s="84"/>
      <x:c r="E892" s="84"/>
      <x:c r="F892" s="84"/>
      <x:c r="G892" s="84"/>
      <x:c r="H892" s="84"/>
      <x:c r="I892" s="84"/>
      <x:c r="J892" s="84"/>
      <x:c r="K892" s="84"/>
      <x:c r="L892" s="84"/>
      <x:c r="M892" s="84"/>
      <x:c r="N892" s="84"/>
      <x:c r="O892" s="84"/>
      <x:c r="P892" s="84"/>
      <x:c r="Q892" s="84"/>
      <x:c r="R892" s="84"/>
      <x:c r="S892" s="84"/>
      <x:c r="T892" s="84"/>
      <x:c r="U892" s="84"/>
      <x:c r="V892" s="84"/>
      <x:c r="W892" s="84"/>
      <x:c r="X892" s="84"/>
      <x:c r="Y892" s="84"/>
      <x:c r="Z892" s="84"/>
    </x:row>
    <x:row r="893">
      <x:c r="A893" s="84"/>
      <x:c r="B893" s="84"/>
      <x:c r="C893" s="84"/>
      <x:c r="D893" s="84"/>
      <x:c r="E893" s="84"/>
      <x:c r="F893" s="84"/>
      <x:c r="G893" s="84"/>
      <x:c r="H893" s="84"/>
      <x:c r="I893" s="84"/>
      <x:c r="J893" s="84"/>
      <x:c r="K893" s="84"/>
      <x:c r="L893" s="84"/>
      <x:c r="M893" s="84"/>
      <x:c r="N893" s="84"/>
      <x:c r="O893" s="84"/>
      <x:c r="P893" s="84"/>
      <x:c r="Q893" s="84"/>
      <x:c r="R893" s="84"/>
      <x:c r="S893" s="84"/>
      <x:c r="T893" s="84"/>
      <x:c r="U893" s="84"/>
      <x:c r="V893" s="84"/>
      <x:c r="W893" s="84"/>
      <x:c r="X893" s="84"/>
      <x:c r="Y893" s="84"/>
      <x:c r="Z893" s="84"/>
    </x:row>
    <x:row r="894">
      <x:c r="A894" s="84"/>
      <x:c r="B894" s="84"/>
      <x:c r="C894" s="84"/>
      <x:c r="D894" s="84"/>
      <x:c r="E894" s="84"/>
      <x:c r="F894" s="84"/>
      <x:c r="G894" s="84"/>
      <x:c r="H894" s="84"/>
      <x:c r="I894" s="84"/>
      <x:c r="J894" s="84"/>
      <x:c r="K894" s="84"/>
      <x:c r="L894" s="84"/>
      <x:c r="M894" s="84"/>
      <x:c r="N894" s="84"/>
      <x:c r="O894" s="84"/>
      <x:c r="P894" s="84"/>
      <x:c r="Q894" s="84"/>
      <x:c r="R894" s="84"/>
      <x:c r="S894" s="84"/>
      <x:c r="T894" s="84"/>
      <x:c r="U894" s="84"/>
      <x:c r="V894" s="84"/>
      <x:c r="W894" s="84"/>
      <x:c r="X894" s="84"/>
      <x:c r="Y894" s="84"/>
      <x:c r="Z894" s="84"/>
    </x:row>
    <x:row r="895">
      <x:c r="A895" s="84"/>
      <x:c r="B895" s="84"/>
      <x:c r="C895" s="84"/>
      <x:c r="D895" s="84"/>
      <x:c r="E895" s="84"/>
      <x:c r="F895" s="84"/>
      <x:c r="G895" s="84"/>
      <x:c r="H895" s="84"/>
      <x:c r="I895" s="84"/>
      <x:c r="J895" s="84"/>
      <x:c r="K895" s="84"/>
      <x:c r="L895" s="84"/>
      <x:c r="M895" s="84"/>
      <x:c r="N895" s="84"/>
      <x:c r="O895" s="84"/>
      <x:c r="P895" s="84"/>
      <x:c r="Q895" s="84"/>
      <x:c r="R895" s="84"/>
      <x:c r="S895" s="84"/>
      <x:c r="T895" s="84"/>
      <x:c r="U895" s="84"/>
      <x:c r="V895" s="84"/>
      <x:c r="W895" s="84"/>
      <x:c r="X895" s="84"/>
      <x:c r="Y895" s="84"/>
      <x:c r="Z895" s="84"/>
    </x:row>
    <x:row r="896">
      <x:c r="A896" s="84"/>
      <x:c r="B896" s="84"/>
      <x:c r="C896" s="84"/>
      <x:c r="D896" s="84"/>
      <x:c r="E896" s="84"/>
      <x:c r="F896" s="84"/>
      <x:c r="G896" s="84"/>
      <x:c r="H896" s="84"/>
      <x:c r="I896" s="84"/>
      <x:c r="J896" s="84"/>
      <x:c r="K896" s="84"/>
      <x:c r="L896" s="84"/>
      <x:c r="M896" s="84"/>
      <x:c r="N896" s="84"/>
      <x:c r="O896" s="84"/>
      <x:c r="P896" s="84"/>
      <x:c r="Q896" s="84"/>
      <x:c r="R896" s="84"/>
      <x:c r="S896" s="84"/>
      <x:c r="T896" s="84"/>
      <x:c r="U896" s="84"/>
      <x:c r="V896" s="84"/>
      <x:c r="W896" s="84"/>
      <x:c r="X896" s="84"/>
      <x:c r="Y896" s="84"/>
      <x:c r="Z896" s="84"/>
    </x:row>
    <x:row r="897">
      <x:c r="A897" s="84"/>
      <x:c r="B897" s="84"/>
      <x:c r="C897" s="84"/>
      <x:c r="D897" s="84"/>
      <x:c r="E897" s="84"/>
      <x:c r="F897" s="84"/>
      <x:c r="G897" s="84"/>
      <x:c r="H897" s="84"/>
      <x:c r="I897" s="84"/>
      <x:c r="J897" s="84"/>
      <x:c r="K897" s="84"/>
      <x:c r="L897" s="84"/>
      <x:c r="M897" s="84"/>
      <x:c r="N897" s="84"/>
      <x:c r="O897" s="84"/>
      <x:c r="P897" s="84"/>
      <x:c r="Q897" s="84"/>
      <x:c r="R897" s="84"/>
      <x:c r="S897" s="84"/>
      <x:c r="T897" s="84"/>
      <x:c r="U897" s="84"/>
      <x:c r="V897" s="84"/>
      <x:c r="W897" s="84"/>
      <x:c r="X897" s="84"/>
      <x:c r="Y897" s="84"/>
      <x:c r="Z897" s="84"/>
    </x:row>
    <x:row r="898">
      <x:c r="A898" s="84"/>
      <x:c r="B898" s="84"/>
      <x:c r="C898" s="84"/>
      <x:c r="D898" s="84"/>
      <x:c r="E898" s="84"/>
      <x:c r="F898" s="84"/>
      <x:c r="G898" s="84"/>
      <x:c r="H898" s="84"/>
      <x:c r="I898" s="84"/>
      <x:c r="J898" s="84"/>
      <x:c r="K898" s="84"/>
      <x:c r="L898" s="84"/>
      <x:c r="M898" s="84"/>
      <x:c r="N898" s="84"/>
      <x:c r="O898" s="84"/>
      <x:c r="P898" s="84"/>
      <x:c r="Q898" s="84"/>
      <x:c r="R898" s="84"/>
      <x:c r="S898" s="84"/>
      <x:c r="T898" s="84"/>
      <x:c r="U898" s="84"/>
      <x:c r="V898" s="84"/>
      <x:c r="W898" s="84"/>
      <x:c r="X898" s="84"/>
      <x:c r="Y898" s="84"/>
      <x:c r="Z898" s="84"/>
    </x:row>
    <x:row r="899">
      <x:c r="A899" s="84"/>
      <x:c r="B899" s="84"/>
      <x:c r="C899" s="84"/>
      <x:c r="D899" s="84"/>
      <x:c r="E899" s="84"/>
      <x:c r="F899" s="84"/>
      <x:c r="G899" s="84"/>
      <x:c r="H899" s="84"/>
      <x:c r="I899" s="84"/>
      <x:c r="J899" s="84"/>
      <x:c r="K899" s="84"/>
      <x:c r="L899" s="84"/>
      <x:c r="M899" s="84"/>
      <x:c r="N899" s="84"/>
      <x:c r="O899" s="84"/>
      <x:c r="P899" s="84"/>
      <x:c r="Q899" s="84"/>
      <x:c r="R899" s="84"/>
      <x:c r="S899" s="84"/>
      <x:c r="T899" s="84"/>
      <x:c r="U899" s="84"/>
      <x:c r="V899" s="84"/>
      <x:c r="W899" s="84"/>
      <x:c r="X899" s="84"/>
      <x:c r="Y899" s="84"/>
      <x:c r="Z899" s="84"/>
    </x:row>
    <x:row r="900">
      <x:c r="A900" s="84"/>
      <x:c r="B900" s="84"/>
      <x:c r="C900" s="84"/>
      <x:c r="D900" s="84"/>
      <x:c r="E900" s="84"/>
      <x:c r="F900" s="84"/>
      <x:c r="G900" s="84"/>
      <x:c r="H900" s="84"/>
      <x:c r="I900" s="84"/>
      <x:c r="J900" s="84"/>
      <x:c r="K900" s="84"/>
      <x:c r="L900" s="84"/>
      <x:c r="M900" s="84"/>
      <x:c r="N900" s="84"/>
      <x:c r="O900" s="84"/>
      <x:c r="P900" s="84"/>
      <x:c r="Q900" s="84"/>
      <x:c r="R900" s="84"/>
      <x:c r="S900" s="84"/>
      <x:c r="T900" s="84"/>
      <x:c r="U900" s="84"/>
      <x:c r="V900" s="84"/>
      <x:c r="W900" s="84"/>
      <x:c r="X900" s="84"/>
      <x:c r="Y900" s="84"/>
      <x:c r="Z900" s="84"/>
    </x:row>
    <x:row r="901">
      <x:c r="A901" s="84"/>
      <x:c r="B901" s="84"/>
      <x:c r="C901" s="84"/>
      <x:c r="D901" s="84"/>
      <x:c r="E901" s="84"/>
      <x:c r="F901" s="84"/>
      <x:c r="G901" s="84"/>
      <x:c r="H901" s="84"/>
      <x:c r="I901" s="84"/>
      <x:c r="J901" s="84"/>
      <x:c r="K901" s="84"/>
      <x:c r="L901" s="84"/>
      <x:c r="M901" s="84"/>
      <x:c r="N901" s="84"/>
      <x:c r="O901" s="84"/>
      <x:c r="P901" s="84"/>
      <x:c r="Q901" s="84"/>
      <x:c r="R901" s="84"/>
      <x:c r="S901" s="84"/>
      <x:c r="T901" s="84"/>
      <x:c r="U901" s="84"/>
      <x:c r="V901" s="84"/>
      <x:c r="W901" s="84"/>
      <x:c r="X901" s="84"/>
      <x:c r="Y901" s="84"/>
      <x:c r="Z901" s="84"/>
    </x:row>
    <x:row r="902">
      <x:c r="A902" s="84"/>
      <x:c r="B902" s="84"/>
      <x:c r="C902" s="84"/>
      <x:c r="D902" s="84"/>
      <x:c r="E902" s="84"/>
      <x:c r="F902" s="84"/>
      <x:c r="G902" s="84"/>
      <x:c r="H902" s="84"/>
      <x:c r="I902" s="84"/>
      <x:c r="J902" s="84"/>
      <x:c r="K902" s="84"/>
      <x:c r="L902" s="84"/>
      <x:c r="M902" s="84"/>
      <x:c r="N902" s="84"/>
      <x:c r="O902" s="84"/>
      <x:c r="P902" s="84"/>
      <x:c r="Q902" s="84"/>
      <x:c r="R902" s="84"/>
      <x:c r="S902" s="84"/>
      <x:c r="T902" s="84"/>
      <x:c r="U902" s="84"/>
      <x:c r="V902" s="84"/>
      <x:c r="W902" s="84"/>
      <x:c r="X902" s="84"/>
      <x:c r="Y902" s="84"/>
      <x:c r="Z902" s="84"/>
    </x:row>
    <x:row r="903">
      <x:c r="A903" s="84"/>
      <x:c r="B903" s="84"/>
      <x:c r="C903" s="84"/>
      <x:c r="D903" s="84"/>
      <x:c r="E903" s="84"/>
      <x:c r="F903" s="84"/>
      <x:c r="G903" s="84"/>
      <x:c r="H903" s="84"/>
      <x:c r="I903" s="84"/>
      <x:c r="J903" s="84"/>
      <x:c r="K903" s="84"/>
      <x:c r="L903" s="84"/>
      <x:c r="M903" s="84"/>
      <x:c r="N903" s="84"/>
      <x:c r="O903" s="84"/>
      <x:c r="P903" s="84"/>
      <x:c r="Q903" s="84"/>
      <x:c r="R903" s="84"/>
      <x:c r="S903" s="84"/>
      <x:c r="T903" s="84"/>
      <x:c r="U903" s="84"/>
      <x:c r="V903" s="84"/>
      <x:c r="W903" s="84"/>
      <x:c r="X903" s="84"/>
      <x:c r="Y903" s="84"/>
      <x:c r="Z903" s="84"/>
    </x:row>
    <x:row r="904">
      <x:c r="A904" s="84"/>
      <x:c r="B904" s="84"/>
      <x:c r="C904" s="84"/>
      <x:c r="D904" s="84"/>
      <x:c r="E904" s="84"/>
      <x:c r="F904" s="84"/>
      <x:c r="G904" s="84"/>
      <x:c r="H904" s="84"/>
      <x:c r="I904" s="84"/>
      <x:c r="J904" s="84"/>
      <x:c r="K904" s="84"/>
      <x:c r="L904" s="84"/>
      <x:c r="M904" s="84"/>
      <x:c r="N904" s="84"/>
      <x:c r="O904" s="84"/>
      <x:c r="P904" s="84"/>
      <x:c r="Q904" s="84"/>
      <x:c r="R904" s="84"/>
      <x:c r="S904" s="84"/>
      <x:c r="T904" s="84"/>
      <x:c r="U904" s="84"/>
      <x:c r="V904" s="84"/>
      <x:c r="W904" s="84"/>
      <x:c r="X904" s="84"/>
      <x:c r="Y904" s="84"/>
      <x:c r="Z904" s="84"/>
    </x:row>
    <x:row r="905">
      <x:c r="A905" s="84"/>
      <x:c r="B905" s="84"/>
      <x:c r="C905" s="84"/>
      <x:c r="D905" s="84"/>
      <x:c r="E905" s="84"/>
      <x:c r="F905" s="84"/>
      <x:c r="G905" s="84"/>
      <x:c r="H905" s="84"/>
      <x:c r="I905" s="84"/>
      <x:c r="J905" s="84"/>
      <x:c r="K905" s="84"/>
      <x:c r="L905" s="84"/>
      <x:c r="M905" s="84"/>
      <x:c r="N905" s="84"/>
      <x:c r="O905" s="84"/>
      <x:c r="P905" s="84"/>
      <x:c r="Q905" s="84"/>
      <x:c r="R905" s="84"/>
      <x:c r="S905" s="84"/>
      <x:c r="T905" s="84"/>
      <x:c r="U905" s="84"/>
      <x:c r="V905" s="84"/>
      <x:c r="W905" s="84"/>
      <x:c r="X905" s="84"/>
      <x:c r="Y905" s="84"/>
      <x:c r="Z905" s="84"/>
    </x:row>
    <x:row r="906">
      <x:c r="A906" s="84"/>
      <x:c r="B906" s="84"/>
      <x:c r="C906" s="84"/>
      <x:c r="D906" s="84"/>
      <x:c r="E906" s="84"/>
      <x:c r="F906" s="84"/>
      <x:c r="G906" s="84"/>
      <x:c r="H906" s="84"/>
      <x:c r="I906" s="84"/>
      <x:c r="J906" s="84"/>
      <x:c r="K906" s="84"/>
      <x:c r="L906" s="84"/>
      <x:c r="M906" s="84"/>
      <x:c r="N906" s="84"/>
      <x:c r="O906" s="84"/>
      <x:c r="P906" s="84"/>
      <x:c r="Q906" s="84"/>
      <x:c r="R906" s="84"/>
      <x:c r="S906" s="84"/>
      <x:c r="T906" s="84"/>
      <x:c r="U906" s="84"/>
      <x:c r="V906" s="84"/>
      <x:c r="W906" s="84"/>
      <x:c r="X906" s="84"/>
      <x:c r="Y906" s="84"/>
      <x:c r="Z906" s="84"/>
    </x:row>
    <x:row r="907">
      <x:c r="A907" s="84"/>
      <x:c r="B907" s="84"/>
      <x:c r="C907" s="84"/>
      <x:c r="D907" s="84"/>
      <x:c r="E907" s="84"/>
      <x:c r="F907" s="84"/>
      <x:c r="G907" s="84"/>
      <x:c r="H907" s="84"/>
      <x:c r="I907" s="84"/>
      <x:c r="J907" s="84"/>
      <x:c r="K907" s="84"/>
      <x:c r="L907" s="84"/>
      <x:c r="M907" s="84"/>
      <x:c r="N907" s="84"/>
      <x:c r="O907" s="84"/>
      <x:c r="P907" s="84"/>
      <x:c r="Q907" s="84"/>
      <x:c r="R907" s="84"/>
      <x:c r="S907" s="84"/>
      <x:c r="T907" s="84"/>
      <x:c r="U907" s="84"/>
      <x:c r="V907" s="84"/>
      <x:c r="W907" s="84"/>
      <x:c r="X907" s="84"/>
      <x:c r="Y907" s="84"/>
      <x:c r="Z907" s="84"/>
    </x:row>
    <x:row r="908">
      <x:c r="A908" s="84"/>
      <x:c r="B908" s="84"/>
      <x:c r="C908" s="84"/>
      <x:c r="D908" s="84"/>
      <x:c r="E908" s="84"/>
      <x:c r="F908" s="84"/>
      <x:c r="G908" s="84"/>
      <x:c r="H908" s="84"/>
      <x:c r="I908" s="84"/>
      <x:c r="J908" s="84"/>
      <x:c r="K908" s="84"/>
      <x:c r="L908" s="84"/>
      <x:c r="M908" s="84"/>
      <x:c r="N908" s="84"/>
      <x:c r="O908" s="84"/>
      <x:c r="P908" s="84"/>
      <x:c r="Q908" s="84"/>
      <x:c r="R908" s="84"/>
      <x:c r="S908" s="84"/>
      <x:c r="T908" s="84"/>
      <x:c r="U908" s="84"/>
      <x:c r="V908" s="84"/>
      <x:c r="W908" s="84"/>
      <x:c r="X908" s="84"/>
      <x:c r="Y908" s="84"/>
      <x:c r="Z908" s="84"/>
    </x:row>
    <x:row r="909">
      <x:c r="A909" s="84"/>
      <x:c r="B909" s="84"/>
      <x:c r="C909" s="84"/>
      <x:c r="D909" s="84"/>
      <x:c r="E909" s="84"/>
      <x:c r="F909" s="84"/>
      <x:c r="G909" s="84"/>
      <x:c r="H909" s="84"/>
      <x:c r="I909" s="84"/>
      <x:c r="J909" s="84"/>
      <x:c r="K909" s="84"/>
      <x:c r="L909" s="84"/>
      <x:c r="M909" s="84"/>
      <x:c r="N909" s="84"/>
      <x:c r="O909" s="84"/>
      <x:c r="P909" s="84"/>
      <x:c r="Q909" s="84"/>
      <x:c r="R909" s="84"/>
      <x:c r="S909" s="84"/>
      <x:c r="T909" s="84"/>
      <x:c r="U909" s="84"/>
      <x:c r="V909" s="84"/>
      <x:c r="W909" s="84"/>
      <x:c r="X909" s="84"/>
      <x:c r="Y909" s="84"/>
      <x:c r="Z909" s="84"/>
    </x:row>
    <x:row r="910">
      <x:c r="A910" s="84"/>
      <x:c r="B910" s="84"/>
      <x:c r="C910" s="84"/>
      <x:c r="D910" s="84"/>
      <x:c r="E910" s="84"/>
      <x:c r="F910" s="84"/>
      <x:c r="G910" s="84"/>
      <x:c r="H910" s="84"/>
      <x:c r="I910" s="84"/>
      <x:c r="J910" s="84"/>
      <x:c r="K910" s="84"/>
      <x:c r="L910" s="84"/>
      <x:c r="M910" s="84"/>
      <x:c r="N910" s="84"/>
      <x:c r="O910" s="84"/>
      <x:c r="P910" s="84"/>
      <x:c r="Q910" s="84"/>
      <x:c r="R910" s="84"/>
      <x:c r="S910" s="84"/>
      <x:c r="T910" s="84"/>
      <x:c r="U910" s="84"/>
      <x:c r="V910" s="84"/>
      <x:c r="W910" s="84"/>
      <x:c r="X910" s="84"/>
      <x:c r="Y910" s="84"/>
      <x:c r="Z910" s="84"/>
    </x:row>
    <x:row r="911">
      <x:c r="A911" s="84"/>
      <x:c r="B911" s="84"/>
      <x:c r="C911" s="84"/>
      <x:c r="D911" s="84"/>
      <x:c r="E911" s="84"/>
      <x:c r="F911" s="84"/>
      <x:c r="G911" s="84"/>
      <x:c r="H911" s="84"/>
      <x:c r="I911" s="84"/>
      <x:c r="J911" s="84"/>
      <x:c r="K911" s="84"/>
      <x:c r="L911" s="84"/>
      <x:c r="M911" s="84"/>
      <x:c r="N911" s="84"/>
      <x:c r="O911" s="84"/>
      <x:c r="P911" s="84"/>
      <x:c r="Q911" s="84"/>
      <x:c r="R911" s="84"/>
      <x:c r="S911" s="84"/>
      <x:c r="T911" s="84"/>
      <x:c r="U911" s="84"/>
      <x:c r="V911" s="84"/>
      <x:c r="W911" s="84"/>
      <x:c r="X911" s="84"/>
      <x:c r="Y911" s="84"/>
      <x:c r="Z911" s="84"/>
    </x:row>
    <x:row r="912">
      <x:c r="A912" s="84"/>
      <x:c r="B912" s="84"/>
      <x:c r="C912" s="84"/>
      <x:c r="D912" s="84"/>
      <x:c r="E912" s="84"/>
      <x:c r="F912" s="84"/>
      <x:c r="G912" s="84"/>
      <x:c r="H912" s="84"/>
      <x:c r="I912" s="84"/>
      <x:c r="J912" s="84"/>
      <x:c r="K912" s="84"/>
      <x:c r="L912" s="84"/>
      <x:c r="M912" s="84"/>
      <x:c r="N912" s="84"/>
      <x:c r="O912" s="84"/>
      <x:c r="P912" s="84"/>
      <x:c r="Q912" s="84"/>
      <x:c r="R912" s="84"/>
      <x:c r="S912" s="84"/>
      <x:c r="T912" s="84"/>
      <x:c r="U912" s="84"/>
      <x:c r="V912" s="84"/>
      <x:c r="W912" s="84"/>
      <x:c r="X912" s="84"/>
      <x:c r="Y912" s="84"/>
      <x:c r="Z912" s="84"/>
    </x:row>
    <x:row r="913">
      <x:c r="A913" s="84"/>
      <x:c r="B913" s="84"/>
      <x:c r="C913" s="84"/>
      <x:c r="D913" s="84"/>
      <x:c r="E913" s="84"/>
      <x:c r="F913" s="84"/>
      <x:c r="G913" s="84"/>
      <x:c r="H913" s="84"/>
      <x:c r="I913" s="84"/>
      <x:c r="J913" s="84"/>
      <x:c r="K913" s="84"/>
      <x:c r="L913" s="84"/>
      <x:c r="M913" s="84"/>
      <x:c r="N913" s="84"/>
      <x:c r="O913" s="84"/>
      <x:c r="P913" s="84"/>
      <x:c r="Q913" s="84"/>
      <x:c r="R913" s="84"/>
      <x:c r="S913" s="84"/>
      <x:c r="T913" s="84"/>
      <x:c r="U913" s="84"/>
      <x:c r="V913" s="84"/>
      <x:c r="W913" s="84"/>
      <x:c r="X913" s="84"/>
      <x:c r="Y913" s="84"/>
      <x:c r="Z913" s="84"/>
    </x:row>
    <x:row r="914">
      <x:c r="A914" s="84"/>
      <x:c r="B914" s="84"/>
      <x:c r="C914" s="84"/>
      <x:c r="D914" s="84"/>
      <x:c r="E914" s="84"/>
      <x:c r="F914" s="84"/>
      <x:c r="G914" s="84"/>
      <x:c r="H914" s="84"/>
      <x:c r="I914" s="84"/>
      <x:c r="J914" s="84"/>
      <x:c r="K914" s="84"/>
      <x:c r="L914" s="84"/>
      <x:c r="M914" s="84"/>
      <x:c r="N914" s="84"/>
      <x:c r="O914" s="84"/>
      <x:c r="P914" s="84"/>
      <x:c r="Q914" s="84"/>
      <x:c r="R914" s="84"/>
      <x:c r="S914" s="84"/>
      <x:c r="T914" s="84"/>
      <x:c r="U914" s="84"/>
      <x:c r="V914" s="84"/>
      <x:c r="W914" s="84"/>
      <x:c r="X914" s="84"/>
      <x:c r="Y914" s="84"/>
      <x:c r="Z914" s="84"/>
    </x:row>
    <x:row r="915">
      <x:c r="A915" s="84"/>
      <x:c r="B915" s="84"/>
      <x:c r="C915" s="84"/>
      <x:c r="D915" s="84"/>
      <x:c r="E915" s="84"/>
      <x:c r="F915" s="84"/>
      <x:c r="G915" s="84"/>
      <x:c r="H915" s="84"/>
      <x:c r="I915" s="84"/>
      <x:c r="J915" s="84"/>
      <x:c r="K915" s="84"/>
      <x:c r="L915" s="84"/>
      <x:c r="M915" s="84"/>
      <x:c r="N915" s="84"/>
      <x:c r="O915" s="84"/>
      <x:c r="P915" s="84"/>
      <x:c r="Q915" s="84"/>
      <x:c r="R915" s="84"/>
      <x:c r="S915" s="84"/>
      <x:c r="T915" s="84"/>
      <x:c r="U915" s="84"/>
      <x:c r="V915" s="84"/>
      <x:c r="W915" s="84"/>
      <x:c r="X915" s="84"/>
      <x:c r="Y915" s="84"/>
      <x:c r="Z915" s="84"/>
    </x:row>
    <x:row r="916">
      <x:c r="A916" s="84"/>
      <x:c r="B916" s="84"/>
      <x:c r="C916" s="84"/>
      <x:c r="D916" s="84"/>
      <x:c r="E916" s="84"/>
      <x:c r="F916" s="84"/>
      <x:c r="G916" s="84"/>
      <x:c r="H916" s="84"/>
      <x:c r="I916" s="84"/>
      <x:c r="J916" s="84"/>
      <x:c r="K916" s="84"/>
      <x:c r="L916" s="84"/>
      <x:c r="M916" s="84"/>
      <x:c r="N916" s="84"/>
      <x:c r="O916" s="84"/>
      <x:c r="P916" s="84"/>
      <x:c r="Q916" s="84"/>
      <x:c r="R916" s="84"/>
      <x:c r="S916" s="84"/>
      <x:c r="T916" s="84"/>
      <x:c r="U916" s="84"/>
      <x:c r="V916" s="84"/>
      <x:c r="W916" s="84"/>
      <x:c r="X916" s="84"/>
      <x:c r="Y916" s="84"/>
      <x:c r="Z916" s="84"/>
    </x:row>
    <x:row r="917">
      <x:c r="A917" s="84"/>
      <x:c r="B917" s="84"/>
      <x:c r="C917" s="84"/>
      <x:c r="D917" s="84"/>
      <x:c r="E917" s="84"/>
      <x:c r="F917" s="84"/>
      <x:c r="G917" s="84"/>
      <x:c r="H917" s="84"/>
      <x:c r="I917" s="84"/>
      <x:c r="J917" s="84"/>
      <x:c r="K917" s="84"/>
      <x:c r="L917" s="84"/>
      <x:c r="M917" s="84"/>
      <x:c r="N917" s="84"/>
      <x:c r="O917" s="84"/>
      <x:c r="P917" s="84"/>
      <x:c r="Q917" s="84"/>
      <x:c r="R917" s="84"/>
      <x:c r="S917" s="84"/>
      <x:c r="T917" s="84"/>
      <x:c r="U917" s="84"/>
      <x:c r="V917" s="84"/>
      <x:c r="W917" s="84"/>
      <x:c r="X917" s="84"/>
      <x:c r="Y917" s="84"/>
      <x:c r="Z917" s="84"/>
    </x:row>
    <x:row r="918">
      <x:c r="A918" s="84"/>
      <x:c r="B918" s="84"/>
      <x:c r="C918" s="84"/>
      <x:c r="D918" s="84"/>
      <x:c r="E918" s="84"/>
      <x:c r="F918" s="84"/>
      <x:c r="G918" s="84"/>
      <x:c r="H918" s="84"/>
      <x:c r="I918" s="84"/>
      <x:c r="J918" s="84"/>
      <x:c r="K918" s="84"/>
      <x:c r="L918" s="84"/>
      <x:c r="M918" s="84"/>
      <x:c r="N918" s="84"/>
      <x:c r="O918" s="84"/>
      <x:c r="P918" s="84"/>
      <x:c r="Q918" s="84"/>
      <x:c r="R918" s="84"/>
      <x:c r="S918" s="84"/>
      <x:c r="T918" s="84"/>
      <x:c r="U918" s="84"/>
      <x:c r="V918" s="84"/>
      <x:c r="W918" s="84"/>
      <x:c r="X918" s="84"/>
      <x:c r="Y918" s="84"/>
      <x:c r="Z918" s="84"/>
    </x:row>
    <x:row r="919">
      <x:c r="A919" s="84"/>
      <x:c r="B919" s="84"/>
      <x:c r="C919" s="84"/>
      <x:c r="D919" s="84"/>
      <x:c r="E919" s="84"/>
      <x:c r="F919" s="84"/>
      <x:c r="G919" s="84"/>
      <x:c r="H919" s="84"/>
      <x:c r="I919" s="84"/>
      <x:c r="J919" s="84"/>
      <x:c r="K919" s="84"/>
      <x:c r="L919" s="84"/>
      <x:c r="M919" s="84"/>
      <x:c r="N919" s="84"/>
      <x:c r="O919" s="84"/>
      <x:c r="P919" s="84"/>
      <x:c r="Q919" s="84"/>
      <x:c r="R919" s="84"/>
      <x:c r="S919" s="84"/>
      <x:c r="T919" s="84"/>
      <x:c r="U919" s="84"/>
      <x:c r="V919" s="84"/>
      <x:c r="W919" s="84"/>
      <x:c r="X919" s="84"/>
      <x:c r="Y919" s="84"/>
      <x:c r="Z919" s="84"/>
    </x:row>
    <x:row r="920">
      <x:c r="A920" s="84"/>
      <x:c r="B920" s="84"/>
      <x:c r="C920" s="84"/>
      <x:c r="D920" s="84"/>
      <x:c r="E920" s="84"/>
      <x:c r="F920" s="84"/>
      <x:c r="G920" s="84"/>
      <x:c r="H920" s="84"/>
      <x:c r="I920" s="84"/>
      <x:c r="J920" s="84"/>
      <x:c r="K920" s="84"/>
      <x:c r="L920" s="84"/>
      <x:c r="M920" s="84"/>
      <x:c r="N920" s="84"/>
      <x:c r="O920" s="84"/>
      <x:c r="P920" s="84"/>
      <x:c r="Q920" s="84"/>
      <x:c r="R920" s="84"/>
      <x:c r="S920" s="84"/>
      <x:c r="T920" s="84"/>
      <x:c r="U920" s="84"/>
      <x:c r="V920" s="84"/>
      <x:c r="W920" s="84"/>
      <x:c r="X920" s="84"/>
      <x:c r="Y920" s="84"/>
      <x:c r="Z920" s="84"/>
    </x:row>
    <x:row r="921">
      <x:c r="A921" s="84"/>
      <x:c r="B921" s="84"/>
      <x:c r="C921" s="84"/>
      <x:c r="D921" s="84"/>
      <x:c r="E921" s="84"/>
      <x:c r="F921" s="84"/>
      <x:c r="G921" s="84"/>
      <x:c r="H921" s="84"/>
      <x:c r="I921" s="84"/>
      <x:c r="J921" s="84"/>
      <x:c r="K921" s="84"/>
      <x:c r="L921" s="84"/>
      <x:c r="M921" s="84"/>
      <x:c r="N921" s="84"/>
      <x:c r="O921" s="84"/>
      <x:c r="P921" s="84"/>
      <x:c r="Q921" s="84"/>
      <x:c r="R921" s="84"/>
      <x:c r="S921" s="84"/>
      <x:c r="T921" s="84"/>
      <x:c r="U921" s="84"/>
      <x:c r="V921" s="84"/>
      <x:c r="W921" s="84"/>
      <x:c r="X921" s="84"/>
      <x:c r="Y921" s="84"/>
      <x:c r="Z921" s="84"/>
    </x:row>
    <x:row r="922">
      <x:c r="A922" s="84"/>
      <x:c r="B922" s="84"/>
      <x:c r="C922" s="84"/>
      <x:c r="D922" s="84"/>
      <x:c r="E922" s="84"/>
      <x:c r="F922" s="84"/>
      <x:c r="G922" s="84"/>
      <x:c r="H922" s="84"/>
      <x:c r="I922" s="84"/>
      <x:c r="J922" s="84"/>
      <x:c r="K922" s="84"/>
      <x:c r="L922" s="84"/>
      <x:c r="M922" s="84"/>
      <x:c r="N922" s="84"/>
      <x:c r="O922" s="84"/>
      <x:c r="P922" s="84"/>
      <x:c r="Q922" s="84"/>
      <x:c r="R922" s="84"/>
      <x:c r="S922" s="84"/>
      <x:c r="T922" s="84"/>
      <x:c r="U922" s="84"/>
      <x:c r="V922" s="84"/>
      <x:c r="W922" s="84"/>
      <x:c r="X922" s="84"/>
      <x:c r="Y922" s="84"/>
      <x:c r="Z922" s="84"/>
    </x:row>
    <x:row r="923">
      <x:c r="A923" s="84"/>
      <x:c r="B923" s="84"/>
      <x:c r="C923" s="84"/>
      <x:c r="D923" s="84"/>
      <x:c r="E923" s="84"/>
      <x:c r="F923" s="84"/>
      <x:c r="G923" s="84"/>
      <x:c r="H923" s="84"/>
      <x:c r="I923" s="84"/>
      <x:c r="J923" s="84"/>
      <x:c r="K923" s="84"/>
      <x:c r="L923" s="84"/>
      <x:c r="M923" s="84"/>
      <x:c r="N923" s="84"/>
      <x:c r="O923" s="84"/>
      <x:c r="P923" s="84"/>
      <x:c r="Q923" s="84"/>
      <x:c r="R923" s="84"/>
      <x:c r="S923" s="84"/>
      <x:c r="T923" s="84"/>
      <x:c r="U923" s="84"/>
      <x:c r="V923" s="84"/>
      <x:c r="W923" s="84"/>
      <x:c r="X923" s="84"/>
      <x:c r="Y923" s="84"/>
      <x:c r="Z923" s="84"/>
    </x:row>
    <x:row r="924">
      <x:c r="A924" s="84"/>
      <x:c r="B924" s="84"/>
      <x:c r="C924" s="84"/>
      <x:c r="D924" s="84"/>
      <x:c r="E924" s="84"/>
      <x:c r="F924" s="84"/>
      <x:c r="G924" s="84"/>
      <x:c r="H924" s="84"/>
      <x:c r="I924" s="84"/>
      <x:c r="J924" s="84"/>
      <x:c r="K924" s="84"/>
      <x:c r="L924" s="84"/>
      <x:c r="M924" s="84"/>
      <x:c r="N924" s="84"/>
      <x:c r="O924" s="84"/>
      <x:c r="P924" s="84"/>
      <x:c r="Q924" s="84"/>
      <x:c r="R924" s="84"/>
      <x:c r="S924" s="84"/>
      <x:c r="T924" s="84"/>
      <x:c r="U924" s="84"/>
      <x:c r="V924" s="84"/>
      <x:c r="W924" s="84"/>
      <x:c r="X924" s="84"/>
      <x:c r="Y924" s="84"/>
      <x:c r="Z924" s="84"/>
    </x:row>
    <x:row r="925">
      <x:c r="A925" s="84"/>
      <x:c r="B925" s="84"/>
      <x:c r="C925" s="84"/>
      <x:c r="D925" s="84"/>
      <x:c r="E925" s="84"/>
      <x:c r="F925" s="84"/>
      <x:c r="G925" s="84"/>
      <x:c r="H925" s="84"/>
      <x:c r="I925" s="84"/>
      <x:c r="J925" s="84"/>
      <x:c r="K925" s="84"/>
      <x:c r="L925" s="84"/>
      <x:c r="M925" s="84"/>
      <x:c r="N925" s="84"/>
      <x:c r="O925" s="84"/>
      <x:c r="P925" s="84"/>
      <x:c r="Q925" s="84"/>
      <x:c r="R925" s="84"/>
      <x:c r="S925" s="84"/>
      <x:c r="T925" s="84"/>
      <x:c r="U925" s="84"/>
      <x:c r="V925" s="84"/>
      <x:c r="W925" s="84"/>
      <x:c r="X925" s="84"/>
      <x:c r="Y925" s="84"/>
      <x:c r="Z925" s="84"/>
    </x:row>
    <x:row r="926">
      <x:c r="A926" s="84"/>
      <x:c r="B926" s="84"/>
      <x:c r="C926" s="84"/>
      <x:c r="D926" s="84"/>
      <x:c r="E926" s="84"/>
      <x:c r="F926" s="84"/>
      <x:c r="G926" s="84"/>
      <x:c r="H926" s="84"/>
      <x:c r="I926" s="84"/>
      <x:c r="J926" s="84"/>
      <x:c r="K926" s="84"/>
      <x:c r="L926" s="84"/>
      <x:c r="M926" s="84"/>
      <x:c r="N926" s="84"/>
      <x:c r="O926" s="84"/>
      <x:c r="P926" s="84"/>
      <x:c r="Q926" s="84"/>
      <x:c r="R926" s="84"/>
      <x:c r="S926" s="84"/>
      <x:c r="T926" s="84"/>
      <x:c r="U926" s="84"/>
      <x:c r="V926" s="84"/>
      <x:c r="W926" s="84"/>
      <x:c r="X926" s="84"/>
      <x:c r="Y926" s="84"/>
      <x:c r="Z926" s="84"/>
    </x:row>
    <x:row r="927">
      <x:c r="A927" s="84"/>
      <x:c r="B927" s="84"/>
      <x:c r="C927" s="84"/>
      <x:c r="D927" s="84"/>
      <x:c r="E927" s="84"/>
      <x:c r="F927" s="84"/>
      <x:c r="G927" s="84"/>
      <x:c r="H927" s="84"/>
      <x:c r="I927" s="84"/>
      <x:c r="J927" s="84"/>
      <x:c r="K927" s="84"/>
      <x:c r="L927" s="84"/>
      <x:c r="M927" s="84"/>
      <x:c r="N927" s="84"/>
      <x:c r="O927" s="84"/>
      <x:c r="P927" s="84"/>
      <x:c r="Q927" s="84"/>
      <x:c r="R927" s="84"/>
      <x:c r="S927" s="84"/>
      <x:c r="T927" s="84"/>
      <x:c r="U927" s="84"/>
      <x:c r="V927" s="84"/>
      <x:c r="W927" s="84"/>
      <x:c r="X927" s="84"/>
      <x:c r="Y927" s="84"/>
      <x:c r="Z927" s="84"/>
    </x:row>
    <x:row r="928">
      <x:c r="A928" s="84"/>
      <x:c r="B928" s="84"/>
      <x:c r="C928" s="84"/>
      <x:c r="D928" s="84"/>
      <x:c r="E928" s="84"/>
      <x:c r="F928" s="84"/>
      <x:c r="G928" s="84"/>
      <x:c r="H928" s="84"/>
      <x:c r="I928" s="84"/>
      <x:c r="J928" s="84"/>
      <x:c r="K928" s="84"/>
      <x:c r="L928" s="84"/>
      <x:c r="M928" s="84"/>
      <x:c r="N928" s="84"/>
      <x:c r="O928" s="84"/>
      <x:c r="P928" s="84"/>
      <x:c r="Q928" s="84"/>
      <x:c r="R928" s="84"/>
      <x:c r="S928" s="84"/>
      <x:c r="T928" s="84"/>
      <x:c r="U928" s="84"/>
      <x:c r="V928" s="84"/>
      <x:c r="W928" s="84"/>
      <x:c r="X928" s="84"/>
      <x:c r="Y928" s="84"/>
      <x:c r="Z928" s="84"/>
    </x:row>
    <x:row r="929">
      <x:c r="A929" s="84"/>
      <x:c r="B929" s="84"/>
      <x:c r="C929" s="84"/>
      <x:c r="D929" s="84"/>
      <x:c r="E929" s="84"/>
      <x:c r="F929" s="84"/>
      <x:c r="G929" s="84"/>
      <x:c r="H929" s="84"/>
      <x:c r="I929" s="84"/>
      <x:c r="J929" s="84"/>
      <x:c r="K929" s="84"/>
      <x:c r="L929" s="84"/>
      <x:c r="M929" s="84"/>
      <x:c r="N929" s="84"/>
      <x:c r="O929" s="84"/>
      <x:c r="P929" s="84"/>
      <x:c r="Q929" s="84"/>
      <x:c r="R929" s="84"/>
      <x:c r="S929" s="84"/>
      <x:c r="T929" s="84"/>
      <x:c r="U929" s="84"/>
      <x:c r="V929" s="84"/>
      <x:c r="W929" s="84"/>
      <x:c r="X929" s="84"/>
      <x:c r="Y929" s="84"/>
      <x:c r="Z929" s="84"/>
    </x:row>
    <x:row r="930">
      <x:c r="A930" s="84"/>
      <x:c r="B930" s="84"/>
      <x:c r="C930" s="84"/>
      <x:c r="D930" s="84"/>
      <x:c r="E930" s="84"/>
      <x:c r="F930" s="84"/>
      <x:c r="G930" s="84"/>
      <x:c r="H930" s="84"/>
      <x:c r="I930" s="84"/>
      <x:c r="J930" s="84"/>
      <x:c r="K930" s="84"/>
      <x:c r="L930" s="84"/>
      <x:c r="M930" s="84"/>
      <x:c r="N930" s="84"/>
      <x:c r="O930" s="84"/>
      <x:c r="P930" s="84"/>
      <x:c r="Q930" s="84"/>
      <x:c r="R930" s="84"/>
      <x:c r="S930" s="84"/>
      <x:c r="T930" s="84"/>
      <x:c r="U930" s="84"/>
      <x:c r="V930" s="84"/>
      <x:c r="W930" s="84"/>
      <x:c r="X930" s="84"/>
      <x:c r="Y930" s="84"/>
      <x:c r="Z930" s="84"/>
    </x:row>
    <x:row r="931">
      <x:c r="A931" s="84"/>
      <x:c r="B931" s="84"/>
      <x:c r="C931" s="84"/>
      <x:c r="D931" s="84"/>
      <x:c r="E931" s="84"/>
      <x:c r="F931" s="84"/>
      <x:c r="G931" s="84"/>
      <x:c r="H931" s="84"/>
      <x:c r="I931" s="84"/>
      <x:c r="J931" s="84"/>
      <x:c r="K931" s="84"/>
      <x:c r="L931" s="84"/>
      <x:c r="M931" s="84"/>
      <x:c r="N931" s="84"/>
      <x:c r="O931" s="84"/>
      <x:c r="P931" s="84"/>
      <x:c r="Q931" s="84"/>
      <x:c r="R931" s="84"/>
      <x:c r="S931" s="84"/>
      <x:c r="T931" s="84"/>
      <x:c r="U931" s="84"/>
      <x:c r="V931" s="84"/>
      <x:c r="W931" s="84"/>
      <x:c r="X931" s="84"/>
      <x:c r="Y931" s="84"/>
      <x:c r="Z931" s="84"/>
    </x:row>
    <x:row r="932">
      <x:c r="A932" s="84"/>
      <x:c r="B932" s="84"/>
      <x:c r="C932" s="84"/>
      <x:c r="D932" s="84"/>
      <x:c r="E932" s="84"/>
      <x:c r="F932" s="84"/>
      <x:c r="G932" s="84"/>
      <x:c r="H932" s="84"/>
      <x:c r="I932" s="84"/>
      <x:c r="J932" s="84"/>
      <x:c r="K932" s="84"/>
      <x:c r="L932" s="84"/>
      <x:c r="M932" s="84"/>
      <x:c r="N932" s="84"/>
      <x:c r="O932" s="84"/>
      <x:c r="P932" s="84"/>
      <x:c r="Q932" s="84"/>
      <x:c r="R932" s="84"/>
      <x:c r="S932" s="84"/>
      <x:c r="T932" s="84"/>
      <x:c r="U932" s="84"/>
      <x:c r="V932" s="84"/>
      <x:c r="W932" s="84"/>
      <x:c r="X932" s="84"/>
      <x:c r="Y932" s="84"/>
      <x:c r="Z932" s="84"/>
    </x:row>
    <x:row r="933">
      <x:c r="A933" s="84"/>
      <x:c r="B933" s="84"/>
      <x:c r="C933" s="84"/>
      <x:c r="D933" s="84"/>
      <x:c r="E933" s="84"/>
      <x:c r="F933" s="84"/>
      <x:c r="G933" s="84"/>
      <x:c r="H933" s="84"/>
      <x:c r="I933" s="84"/>
      <x:c r="J933" s="84"/>
      <x:c r="K933" s="84"/>
      <x:c r="L933" s="84"/>
      <x:c r="M933" s="84"/>
      <x:c r="N933" s="84"/>
      <x:c r="O933" s="84"/>
      <x:c r="P933" s="84"/>
      <x:c r="Q933" s="84"/>
      <x:c r="R933" s="84"/>
      <x:c r="S933" s="84"/>
      <x:c r="T933" s="84"/>
      <x:c r="U933" s="84"/>
      <x:c r="V933" s="84"/>
      <x:c r="W933" s="84"/>
      <x:c r="X933" s="84"/>
      <x:c r="Y933" s="84"/>
      <x:c r="Z933" s="84"/>
    </x:row>
    <x:row r="934">
      <x:c r="A934" s="84"/>
      <x:c r="B934" s="84"/>
      <x:c r="C934" s="84"/>
      <x:c r="D934" s="84"/>
      <x:c r="E934" s="84"/>
      <x:c r="F934" s="84"/>
      <x:c r="G934" s="84"/>
      <x:c r="H934" s="84"/>
      <x:c r="I934" s="84"/>
      <x:c r="J934" s="84"/>
      <x:c r="K934" s="84"/>
      <x:c r="L934" s="84"/>
      <x:c r="M934" s="84"/>
      <x:c r="N934" s="84"/>
      <x:c r="O934" s="84"/>
      <x:c r="P934" s="84"/>
      <x:c r="Q934" s="84"/>
      <x:c r="R934" s="84"/>
      <x:c r="S934" s="84"/>
      <x:c r="T934" s="84"/>
      <x:c r="U934" s="84"/>
      <x:c r="V934" s="84"/>
      <x:c r="W934" s="84"/>
      <x:c r="X934" s="84"/>
      <x:c r="Y934" s="84"/>
      <x:c r="Z934" s="84"/>
    </x:row>
    <x:row r="935">
      <x:c r="A935" s="84"/>
      <x:c r="B935" s="84"/>
      <x:c r="C935" s="84"/>
      <x:c r="D935" s="84"/>
      <x:c r="E935" s="84"/>
      <x:c r="F935" s="84"/>
      <x:c r="G935" s="84"/>
      <x:c r="H935" s="84"/>
      <x:c r="I935" s="84"/>
      <x:c r="J935" s="84"/>
      <x:c r="K935" s="84"/>
      <x:c r="L935" s="84"/>
      <x:c r="M935" s="84"/>
      <x:c r="N935" s="84"/>
      <x:c r="O935" s="84"/>
      <x:c r="P935" s="84"/>
      <x:c r="Q935" s="84"/>
      <x:c r="R935" s="84"/>
      <x:c r="S935" s="84"/>
      <x:c r="T935" s="84"/>
      <x:c r="U935" s="84"/>
      <x:c r="V935" s="84"/>
      <x:c r="W935" s="84"/>
      <x:c r="X935" s="84"/>
      <x:c r="Y935" s="84"/>
      <x:c r="Z935" s="84"/>
    </x:row>
    <x:row r="936">
      <x:c r="A936" s="84"/>
      <x:c r="B936" s="84"/>
      <x:c r="C936" s="84"/>
      <x:c r="D936" s="84"/>
      <x:c r="E936" s="84"/>
      <x:c r="F936" s="84"/>
      <x:c r="G936" s="84"/>
      <x:c r="H936" s="84"/>
      <x:c r="I936" s="84"/>
      <x:c r="J936" s="84"/>
      <x:c r="K936" s="84"/>
      <x:c r="L936" s="84"/>
      <x:c r="M936" s="84"/>
      <x:c r="N936" s="84"/>
      <x:c r="O936" s="84"/>
      <x:c r="P936" s="84"/>
      <x:c r="Q936" s="84"/>
      <x:c r="R936" s="84"/>
      <x:c r="S936" s="84"/>
      <x:c r="T936" s="84"/>
      <x:c r="U936" s="84"/>
      <x:c r="V936" s="84"/>
      <x:c r="W936" s="84"/>
      <x:c r="X936" s="84"/>
      <x:c r="Y936" s="84"/>
      <x:c r="Z936" s="84"/>
    </x:row>
    <x:row r="937">
      <x:c r="A937" s="84"/>
      <x:c r="B937" s="84"/>
      <x:c r="C937" s="84"/>
      <x:c r="D937" s="84"/>
      <x:c r="E937" s="84"/>
      <x:c r="F937" s="84"/>
      <x:c r="G937" s="84"/>
      <x:c r="H937" s="84"/>
      <x:c r="I937" s="84"/>
      <x:c r="J937" s="84"/>
      <x:c r="K937" s="84"/>
      <x:c r="L937" s="84"/>
      <x:c r="M937" s="84"/>
      <x:c r="N937" s="84"/>
      <x:c r="O937" s="84"/>
      <x:c r="P937" s="84"/>
      <x:c r="Q937" s="84"/>
      <x:c r="R937" s="84"/>
      <x:c r="S937" s="84"/>
      <x:c r="T937" s="84"/>
      <x:c r="U937" s="84"/>
      <x:c r="V937" s="84"/>
      <x:c r="W937" s="84"/>
      <x:c r="X937" s="84"/>
      <x:c r="Y937" s="84"/>
      <x:c r="Z937" s="84"/>
    </x:row>
    <x:row r="938">
      <x:c r="A938" s="84"/>
      <x:c r="B938" s="84"/>
      <x:c r="C938" s="84"/>
      <x:c r="D938" s="84"/>
      <x:c r="E938" s="84"/>
      <x:c r="F938" s="84"/>
      <x:c r="G938" s="84"/>
      <x:c r="H938" s="84"/>
      <x:c r="I938" s="84"/>
      <x:c r="J938" s="84"/>
      <x:c r="K938" s="84"/>
      <x:c r="L938" s="84"/>
      <x:c r="M938" s="84"/>
      <x:c r="N938" s="84"/>
      <x:c r="O938" s="84"/>
      <x:c r="P938" s="84"/>
      <x:c r="Q938" s="84"/>
      <x:c r="R938" s="84"/>
      <x:c r="S938" s="84"/>
      <x:c r="T938" s="84"/>
      <x:c r="U938" s="84"/>
      <x:c r="V938" s="84"/>
      <x:c r="W938" s="84"/>
      <x:c r="X938" s="84"/>
      <x:c r="Y938" s="84"/>
      <x:c r="Z938" s="84"/>
    </x:row>
    <x:row r="939">
      <x:c r="A939" s="84"/>
      <x:c r="B939" s="84"/>
      <x:c r="C939" s="84"/>
      <x:c r="D939" s="84"/>
      <x:c r="E939" s="84"/>
      <x:c r="F939" s="84"/>
      <x:c r="G939" s="84"/>
      <x:c r="H939" s="84"/>
      <x:c r="I939" s="84"/>
      <x:c r="J939" s="84"/>
      <x:c r="K939" s="84"/>
      <x:c r="L939" s="84"/>
      <x:c r="M939" s="84"/>
      <x:c r="N939" s="84"/>
      <x:c r="O939" s="84"/>
      <x:c r="P939" s="84"/>
      <x:c r="Q939" s="84"/>
      <x:c r="R939" s="84"/>
      <x:c r="S939" s="84"/>
      <x:c r="T939" s="84"/>
      <x:c r="U939" s="84"/>
      <x:c r="V939" s="84"/>
      <x:c r="W939" s="84"/>
      <x:c r="X939" s="84"/>
      <x:c r="Y939" s="84"/>
      <x:c r="Z939" s="84"/>
    </x:row>
    <x:row r="940">
      <x:c r="A940" s="84"/>
      <x:c r="B940" s="84"/>
      <x:c r="C940" s="84"/>
      <x:c r="D940" s="84"/>
      <x:c r="E940" s="84"/>
      <x:c r="F940" s="84"/>
      <x:c r="G940" s="84"/>
      <x:c r="H940" s="84"/>
      <x:c r="I940" s="84"/>
      <x:c r="J940" s="84"/>
      <x:c r="K940" s="84"/>
      <x:c r="L940" s="84"/>
      <x:c r="M940" s="84"/>
      <x:c r="N940" s="84"/>
      <x:c r="O940" s="84"/>
      <x:c r="P940" s="84"/>
      <x:c r="Q940" s="84"/>
      <x:c r="R940" s="84"/>
      <x:c r="S940" s="84"/>
      <x:c r="T940" s="84"/>
      <x:c r="U940" s="84"/>
      <x:c r="V940" s="84"/>
      <x:c r="W940" s="84"/>
      <x:c r="X940" s="84"/>
      <x:c r="Y940" s="84"/>
      <x:c r="Z940" s="84"/>
    </x:row>
    <x:row r="941">
      <x:c r="A941" s="84"/>
      <x:c r="B941" s="84"/>
      <x:c r="C941" s="84"/>
      <x:c r="D941" s="84"/>
      <x:c r="E941" s="84"/>
      <x:c r="F941" s="84"/>
      <x:c r="G941" s="84"/>
      <x:c r="H941" s="84"/>
      <x:c r="I941" s="84"/>
      <x:c r="J941" s="84"/>
      <x:c r="K941" s="84"/>
      <x:c r="L941" s="84"/>
      <x:c r="M941" s="84"/>
      <x:c r="N941" s="84"/>
      <x:c r="O941" s="84"/>
      <x:c r="P941" s="84"/>
      <x:c r="Q941" s="84"/>
      <x:c r="R941" s="84"/>
      <x:c r="S941" s="84"/>
      <x:c r="T941" s="84"/>
      <x:c r="U941" s="84"/>
      <x:c r="V941" s="84"/>
      <x:c r="W941" s="84"/>
      <x:c r="X941" s="84"/>
      <x:c r="Y941" s="84"/>
      <x:c r="Z941" s="84"/>
    </x:row>
    <x:row r="942">
      <x:c r="A942" s="84"/>
      <x:c r="B942" s="84"/>
      <x:c r="C942" s="84"/>
      <x:c r="D942" s="84"/>
      <x:c r="E942" s="84"/>
      <x:c r="F942" s="84"/>
      <x:c r="G942" s="84"/>
      <x:c r="H942" s="84"/>
      <x:c r="I942" s="84"/>
      <x:c r="J942" s="84"/>
      <x:c r="K942" s="84"/>
      <x:c r="L942" s="84"/>
      <x:c r="M942" s="84"/>
      <x:c r="N942" s="84"/>
      <x:c r="O942" s="84"/>
      <x:c r="P942" s="84"/>
      <x:c r="Q942" s="84"/>
      <x:c r="R942" s="84"/>
      <x:c r="S942" s="84"/>
      <x:c r="T942" s="84"/>
      <x:c r="U942" s="84"/>
      <x:c r="V942" s="84"/>
      <x:c r="W942" s="84"/>
      <x:c r="X942" s="84"/>
      <x:c r="Y942" s="84"/>
      <x:c r="Z942" s="84"/>
    </x:row>
    <x:row r="943">
      <x:c r="A943" s="84"/>
      <x:c r="B943" s="84"/>
      <x:c r="C943" s="84"/>
      <x:c r="D943" s="84"/>
      <x:c r="E943" s="84"/>
      <x:c r="F943" s="84"/>
      <x:c r="G943" s="84"/>
      <x:c r="H943" s="84"/>
      <x:c r="I943" s="84"/>
      <x:c r="J943" s="84"/>
      <x:c r="K943" s="84"/>
      <x:c r="L943" s="84"/>
      <x:c r="M943" s="84"/>
      <x:c r="N943" s="84"/>
      <x:c r="O943" s="84"/>
      <x:c r="P943" s="84"/>
      <x:c r="Q943" s="84"/>
      <x:c r="R943" s="84"/>
      <x:c r="S943" s="84"/>
      <x:c r="T943" s="84"/>
      <x:c r="U943" s="84"/>
      <x:c r="V943" s="84"/>
      <x:c r="W943" s="84"/>
      <x:c r="X943" s="84"/>
      <x:c r="Y943" s="84"/>
      <x:c r="Z943" s="84"/>
    </x:row>
    <x:row r="944">
      <x:c r="A944" s="84"/>
      <x:c r="B944" s="84"/>
      <x:c r="C944" s="84"/>
      <x:c r="D944" s="84"/>
      <x:c r="E944" s="84"/>
      <x:c r="F944" s="84"/>
      <x:c r="G944" s="84"/>
      <x:c r="H944" s="84"/>
      <x:c r="I944" s="84"/>
      <x:c r="J944" s="84"/>
      <x:c r="K944" s="84"/>
      <x:c r="L944" s="84"/>
      <x:c r="M944" s="84"/>
      <x:c r="N944" s="84"/>
      <x:c r="O944" s="84"/>
      <x:c r="P944" s="84"/>
      <x:c r="Q944" s="84"/>
      <x:c r="R944" s="84"/>
      <x:c r="S944" s="84"/>
      <x:c r="T944" s="84"/>
      <x:c r="U944" s="84"/>
      <x:c r="V944" s="84"/>
      <x:c r="W944" s="84"/>
      <x:c r="X944" s="84"/>
      <x:c r="Y944" s="84"/>
      <x:c r="Z944" s="84"/>
    </x:row>
    <x:row r="945">
      <x:c r="A945" s="84"/>
      <x:c r="B945" s="84"/>
      <x:c r="C945" s="84"/>
      <x:c r="D945" s="84"/>
      <x:c r="E945" s="84"/>
      <x:c r="F945" s="84"/>
      <x:c r="G945" s="84"/>
      <x:c r="H945" s="84"/>
      <x:c r="I945" s="84"/>
      <x:c r="J945" s="84"/>
      <x:c r="K945" s="84"/>
      <x:c r="L945" s="84"/>
      <x:c r="M945" s="84"/>
      <x:c r="N945" s="84"/>
      <x:c r="O945" s="84"/>
      <x:c r="P945" s="84"/>
      <x:c r="Q945" s="84"/>
      <x:c r="R945" s="84"/>
      <x:c r="S945" s="84"/>
      <x:c r="T945" s="84"/>
      <x:c r="U945" s="84"/>
      <x:c r="V945" s="84"/>
      <x:c r="W945" s="84"/>
      <x:c r="X945" s="84"/>
      <x:c r="Y945" s="84"/>
      <x:c r="Z945" s="84"/>
    </x:row>
    <x:row r="946">
      <x:c r="A946" s="84"/>
      <x:c r="B946" s="84"/>
      <x:c r="C946" s="84"/>
      <x:c r="D946" s="84"/>
      <x:c r="E946" s="84"/>
      <x:c r="F946" s="84"/>
      <x:c r="G946" s="84"/>
      <x:c r="H946" s="84"/>
      <x:c r="I946" s="84"/>
      <x:c r="J946" s="84"/>
      <x:c r="K946" s="84"/>
      <x:c r="L946" s="84"/>
      <x:c r="M946" s="84"/>
      <x:c r="N946" s="84"/>
      <x:c r="O946" s="84"/>
      <x:c r="P946" s="84"/>
      <x:c r="Q946" s="84"/>
      <x:c r="R946" s="84"/>
      <x:c r="S946" s="84"/>
      <x:c r="T946" s="84"/>
      <x:c r="U946" s="84"/>
      <x:c r="V946" s="84"/>
      <x:c r="W946" s="84"/>
      <x:c r="X946" s="84"/>
      <x:c r="Y946" s="84"/>
      <x:c r="Z946" s="84"/>
    </x:row>
    <x:row r="947">
      <x:c r="A947" s="84"/>
      <x:c r="B947" s="84"/>
      <x:c r="C947" s="84"/>
      <x:c r="D947" s="84"/>
      <x:c r="E947" s="84"/>
      <x:c r="F947" s="84"/>
      <x:c r="G947" s="84"/>
      <x:c r="H947" s="84"/>
      <x:c r="I947" s="84"/>
      <x:c r="J947" s="84"/>
      <x:c r="K947" s="84"/>
      <x:c r="L947" s="84"/>
      <x:c r="M947" s="84"/>
      <x:c r="N947" s="84"/>
      <x:c r="O947" s="84"/>
      <x:c r="P947" s="84"/>
      <x:c r="Q947" s="84"/>
      <x:c r="R947" s="84"/>
      <x:c r="S947" s="84"/>
      <x:c r="T947" s="84"/>
      <x:c r="U947" s="84"/>
      <x:c r="V947" s="84"/>
      <x:c r="W947" s="84"/>
      <x:c r="X947" s="84"/>
      <x:c r="Y947" s="84"/>
      <x:c r="Z947" s="84"/>
    </x:row>
    <x:row r="948">
      <x:c r="A948" s="84"/>
      <x:c r="B948" s="84"/>
      <x:c r="C948" s="84"/>
      <x:c r="D948" s="84"/>
      <x:c r="E948" s="84"/>
      <x:c r="F948" s="84"/>
      <x:c r="G948" s="84"/>
      <x:c r="H948" s="84"/>
      <x:c r="I948" s="84"/>
      <x:c r="J948" s="84"/>
      <x:c r="K948" s="84"/>
      <x:c r="L948" s="84"/>
      <x:c r="M948" s="84"/>
      <x:c r="N948" s="84"/>
      <x:c r="O948" s="84"/>
      <x:c r="P948" s="84"/>
      <x:c r="Q948" s="84"/>
      <x:c r="R948" s="84"/>
      <x:c r="S948" s="84"/>
      <x:c r="T948" s="84"/>
      <x:c r="U948" s="84"/>
      <x:c r="V948" s="84"/>
      <x:c r="W948" s="84"/>
      <x:c r="X948" s="84"/>
      <x:c r="Y948" s="84"/>
      <x:c r="Z948" s="84"/>
    </x:row>
    <x:row r="949">
      <x:c r="A949" s="84"/>
      <x:c r="B949" s="84"/>
      <x:c r="C949" s="84"/>
      <x:c r="D949" s="84"/>
      <x:c r="E949" s="84"/>
      <x:c r="F949" s="84"/>
      <x:c r="G949" s="84"/>
      <x:c r="H949" s="84"/>
      <x:c r="I949" s="84"/>
      <x:c r="J949" s="84"/>
      <x:c r="K949" s="84"/>
      <x:c r="L949" s="84"/>
      <x:c r="M949" s="84"/>
      <x:c r="N949" s="84"/>
      <x:c r="O949" s="84"/>
      <x:c r="P949" s="84"/>
      <x:c r="Q949" s="84"/>
      <x:c r="R949" s="84"/>
      <x:c r="S949" s="84"/>
      <x:c r="T949" s="84"/>
      <x:c r="U949" s="84"/>
      <x:c r="V949" s="84"/>
      <x:c r="W949" s="84"/>
      <x:c r="X949" s="84"/>
      <x:c r="Y949" s="84"/>
      <x:c r="Z949" s="84"/>
    </x:row>
    <x:row r="950">
      <x:c r="A950" s="84"/>
      <x:c r="B950" s="84"/>
      <x:c r="C950" s="84"/>
      <x:c r="D950" s="84"/>
      <x:c r="E950" s="84"/>
      <x:c r="F950" s="84"/>
      <x:c r="G950" s="84"/>
      <x:c r="H950" s="84"/>
      <x:c r="I950" s="84"/>
      <x:c r="J950" s="84"/>
      <x:c r="K950" s="84"/>
      <x:c r="L950" s="84"/>
      <x:c r="M950" s="84"/>
      <x:c r="N950" s="84"/>
      <x:c r="O950" s="84"/>
      <x:c r="P950" s="84"/>
      <x:c r="Q950" s="84"/>
      <x:c r="R950" s="84"/>
      <x:c r="S950" s="84"/>
      <x:c r="T950" s="84"/>
      <x:c r="U950" s="84"/>
      <x:c r="V950" s="84"/>
      <x:c r="W950" s="84"/>
      <x:c r="X950" s="84"/>
      <x:c r="Y950" s="84"/>
      <x:c r="Z950" s="84"/>
    </x:row>
    <x:row r="951">
      <x:c r="A951" s="84"/>
      <x:c r="B951" s="84"/>
      <x:c r="C951" s="84"/>
      <x:c r="D951" s="84"/>
      <x:c r="E951" s="84"/>
      <x:c r="F951" s="84"/>
      <x:c r="G951" s="84"/>
      <x:c r="H951" s="84"/>
      <x:c r="I951" s="84"/>
      <x:c r="J951" s="84"/>
      <x:c r="K951" s="84"/>
      <x:c r="L951" s="84"/>
      <x:c r="M951" s="84"/>
      <x:c r="N951" s="84"/>
      <x:c r="O951" s="84"/>
      <x:c r="P951" s="84"/>
      <x:c r="Q951" s="84"/>
      <x:c r="R951" s="84"/>
      <x:c r="S951" s="84"/>
      <x:c r="T951" s="84"/>
      <x:c r="U951" s="84"/>
      <x:c r="V951" s="84"/>
      <x:c r="W951" s="84"/>
      <x:c r="X951" s="84"/>
      <x:c r="Y951" s="84"/>
      <x:c r="Z951" s="84"/>
    </x:row>
    <x:row r="952">
      <x:c r="A952" s="84"/>
      <x:c r="B952" s="84"/>
      <x:c r="C952" s="84"/>
      <x:c r="D952" s="84"/>
      <x:c r="E952" s="84"/>
      <x:c r="F952" s="84"/>
      <x:c r="G952" s="84"/>
      <x:c r="H952" s="84"/>
      <x:c r="I952" s="84"/>
      <x:c r="J952" s="84"/>
      <x:c r="K952" s="84"/>
      <x:c r="L952" s="84"/>
      <x:c r="M952" s="84"/>
      <x:c r="N952" s="84"/>
      <x:c r="O952" s="84"/>
      <x:c r="P952" s="84"/>
      <x:c r="Q952" s="84"/>
      <x:c r="R952" s="84"/>
      <x:c r="S952" s="84"/>
      <x:c r="T952" s="84"/>
      <x:c r="U952" s="84"/>
      <x:c r="V952" s="84"/>
      <x:c r="W952" s="84"/>
      <x:c r="X952" s="84"/>
      <x:c r="Y952" s="84"/>
      <x:c r="Z952" s="84"/>
    </x:row>
    <x:row r="953">
      <x:c r="A953" s="84"/>
      <x:c r="B953" s="84"/>
      <x:c r="C953" s="84"/>
      <x:c r="D953" s="84"/>
      <x:c r="E953" s="84"/>
      <x:c r="F953" s="84"/>
      <x:c r="G953" s="84"/>
      <x:c r="H953" s="84"/>
      <x:c r="I953" s="84"/>
      <x:c r="J953" s="84"/>
      <x:c r="K953" s="84"/>
      <x:c r="L953" s="84"/>
      <x:c r="M953" s="84"/>
      <x:c r="N953" s="84"/>
      <x:c r="O953" s="84"/>
      <x:c r="P953" s="84"/>
      <x:c r="Q953" s="84"/>
      <x:c r="R953" s="84"/>
      <x:c r="S953" s="84"/>
      <x:c r="T953" s="84"/>
      <x:c r="U953" s="84"/>
      <x:c r="V953" s="84"/>
      <x:c r="W953" s="84"/>
      <x:c r="X953" s="84"/>
      <x:c r="Y953" s="84"/>
      <x:c r="Z953" s="84"/>
    </x:row>
    <x:row r="954">
      <x:c r="A954" s="84"/>
      <x:c r="B954" s="84"/>
      <x:c r="C954" s="84"/>
      <x:c r="D954" s="84"/>
      <x:c r="E954" s="84"/>
      <x:c r="F954" s="84"/>
      <x:c r="G954" s="84"/>
      <x:c r="H954" s="84"/>
      <x:c r="I954" s="84"/>
      <x:c r="J954" s="84"/>
      <x:c r="K954" s="84"/>
      <x:c r="L954" s="84"/>
      <x:c r="M954" s="84"/>
      <x:c r="N954" s="84"/>
      <x:c r="O954" s="84"/>
      <x:c r="P954" s="84"/>
      <x:c r="Q954" s="84"/>
      <x:c r="R954" s="84"/>
      <x:c r="S954" s="84"/>
      <x:c r="T954" s="84"/>
      <x:c r="U954" s="84"/>
      <x:c r="V954" s="84"/>
      <x:c r="W954" s="84"/>
      <x:c r="X954" s="84"/>
      <x:c r="Y954" s="84"/>
      <x:c r="Z954" s="84"/>
    </x:row>
    <x:row r="955">
      <x:c r="A955" s="84"/>
      <x:c r="B955" s="84"/>
      <x:c r="C955" s="84"/>
      <x:c r="D955" s="84"/>
      <x:c r="E955" s="84"/>
      <x:c r="F955" s="84"/>
      <x:c r="G955" s="84"/>
      <x:c r="H955" s="84"/>
      <x:c r="I955" s="84"/>
      <x:c r="J955" s="84"/>
      <x:c r="K955" s="84"/>
      <x:c r="L955" s="84"/>
      <x:c r="M955" s="84"/>
      <x:c r="N955" s="84"/>
      <x:c r="O955" s="84"/>
      <x:c r="P955" s="84"/>
      <x:c r="Q955" s="84"/>
      <x:c r="R955" s="84"/>
      <x:c r="S955" s="84"/>
      <x:c r="T955" s="84"/>
      <x:c r="U955" s="84"/>
      <x:c r="V955" s="84"/>
      <x:c r="W955" s="84"/>
      <x:c r="X955" s="84"/>
      <x:c r="Y955" s="84"/>
      <x:c r="Z955" s="84"/>
    </x:row>
    <x:row r="956">
      <x:c r="A956" s="84"/>
      <x:c r="B956" s="84"/>
      <x:c r="C956" s="84"/>
      <x:c r="D956" s="84"/>
      <x:c r="E956" s="84"/>
      <x:c r="F956" s="84"/>
      <x:c r="G956" s="84"/>
      <x:c r="H956" s="84"/>
      <x:c r="I956" s="84"/>
      <x:c r="J956" s="84"/>
      <x:c r="K956" s="84"/>
      <x:c r="L956" s="84"/>
      <x:c r="M956" s="84"/>
      <x:c r="N956" s="84"/>
      <x:c r="O956" s="84"/>
      <x:c r="P956" s="84"/>
      <x:c r="Q956" s="84"/>
      <x:c r="R956" s="84"/>
      <x:c r="S956" s="84"/>
      <x:c r="T956" s="84"/>
      <x:c r="U956" s="84"/>
      <x:c r="V956" s="84"/>
      <x:c r="W956" s="84"/>
      <x:c r="X956" s="84"/>
      <x:c r="Y956" s="84"/>
      <x:c r="Z956" s="84"/>
    </x:row>
    <x:row r="957">
      <x:c r="A957" s="84"/>
      <x:c r="B957" s="84"/>
      <x:c r="C957" s="84"/>
      <x:c r="D957" s="84"/>
      <x:c r="E957" s="84"/>
      <x:c r="F957" s="84"/>
      <x:c r="G957" s="84"/>
      <x:c r="H957" s="84"/>
      <x:c r="I957" s="84"/>
      <x:c r="J957" s="84"/>
      <x:c r="K957" s="84"/>
      <x:c r="L957" s="84"/>
      <x:c r="M957" s="84"/>
      <x:c r="N957" s="84"/>
      <x:c r="O957" s="84"/>
      <x:c r="P957" s="84"/>
      <x:c r="Q957" s="84"/>
      <x:c r="R957" s="84"/>
      <x:c r="S957" s="84"/>
      <x:c r="T957" s="84"/>
      <x:c r="U957" s="84"/>
      <x:c r="V957" s="84"/>
      <x:c r="W957" s="84"/>
      <x:c r="X957" s="84"/>
      <x:c r="Y957" s="84"/>
      <x:c r="Z957" s="84"/>
    </x:row>
    <x:row r="958">
      <x:c r="A958" s="84"/>
      <x:c r="B958" s="84"/>
      <x:c r="C958" s="84"/>
      <x:c r="D958" s="84"/>
      <x:c r="E958" s="84"/>
      <x:c r="F958" s="84"/>
      <x:c r="G958" s="84"/>
      <x:c r="H958" s="84"/>
      <x:c r="I958" s="84"/>
      <x:c r="J958" s="84"/>
      <x:c r="K958" s="84"/>
      <x:c r="L958" s="84"/>
      <x:c r="M958" s="84"/>
      <x:c r="N958" s="84"/>
      <x:c r="O958" s="84"/>
      <x:c r="P958" s="84"/>
      <x:c r="Q958" s="84"/>
      <x:c r="R958" s="84"/>
      <x:c r="S958" s="84"/>
      <x:c r="T958" s="84"/>
      <x:c r="U958" s="84"/>
      <x:c r="V958" s="84"/>
      <x:c r="W958" s="84"/>
      <x:c r="X958" s="84"/>
      <x:c r="Y958" s="84"/>
      <x:c r="Z958" s="84"/>
    </x:row>
    <x:row r="959">
      <x:c r="A959" s="84"/>
      <x:c r="B959" s="84"/>
      <x:c r="C959" s="84"/>
      <x:c r="D959" s="84"/>
      <x:c r="E959" s="84"/>
      <x:c r="F959" s="84"/>
      <x:c r="G959" s="84"/>
      <x:c r="H959" s="84"/>
      <x:c r="I959" s="84"/>
      <x:c r="J959" s="84"/>
      <x:c r="K959" s="84"/>
      <x:c r="L959" s="84"/>
      <x:c r="M959" s="84"/>
      <x:c r="N959" s="84"/>
      <x:c r="O959" s="84"/>
      <x:c r="P959" s="84"/>
      <x:c r="Q959" s="84"/>
      <x:c r="R959" s="84"/>
      <x:c r="S959" s="84"/>
      <x:c r="T959" s="84"/>
      <x:c r="U959" s="84"/>
      <x:c r="V959" s="84"/>
      <x:c r="W959" s="84"/>
      <x:c r="X959" s="84"/>
      <x:c r="Y959" s="84"/>
      <x:c r="Z959" s="84"/>
    </x:row>
    <x:row r="960">
      <x:c r="A960" s="84"/>
      <x:c r="B960" s="84"/>
      <x:c r="C960" s="84"/>
      <x:c r="D960" s="84"/>
      <x:c r="E960" s="84"/>
      <x:c r="F960" s="84"/>
      <x:c r="G960" s="84"/>
      <x:c r="H960" s="84"/>
      <x:c r="I960" s="84"/>
      <x:c r="J960" s="84"/>
      <x:c r="K960" s="84"/>
      <x:c r="L960" s="84"/>
      <x:c r="M960" s="84"/>
      <x:c r="N960" s="84"/>
      <x:c r="O960" s="84"/>
      <x:c r="P960" s="84"/>
      <x:c r="Q960" s="84"/>
      <x:c r="R960" s="84"/>
      <x:c r="S960" s="84"/>
      <x:c r="T960" s="84"/>
      <x:c r="U960" s="84"/>
      <x:c r="V960" s="84"/>
      <x:c r="W960" s="84"/>
      <x:c r="X960" s="84"/>
      <x:c r="Y960" s="84"/>
      <x:c r="Z960" s="84"/>
    </x:row>
    <x:row r="961">
      <x:c r="A961" s="84"/>
      <x:c r="B961" s="84"/>
      <x:c r="C961" s="84"/>
      <x:c r="D961" s="84"/>
      <x:c r="E961" s="84"/>
      <x:c r="F961" s="84"/>
      <x:c r="G961" s="84"/>
      <x:c r="H961" s="84"/>
      <x:c r="I961" s="84"/>
      <x:c r="J961" s="84"/>
      <x:c r="K961" s="84"/>
      <x:c r="L961" s="84"/>
      <x:c r="M961" s="84"/>
      <x:c r="N961" s="84"/>
      <x:c r="O961" s="84"/>
      <x:c r="P961" s="84"/>
      <x:c r="Q961" s="84"/>
      <x:c r="R961" s="84"/>
      <x:c r="S961" s="84"/>
      <x:c r="T961" s="84"/>
      <x:c r="U961" s="84"/>
      <x:c r="V961" s="84"/>
      <x:c r="W961" s="84"/>
      <x:c r="X961" s="84"/>
      <x:c r="Y961" s="84"/>
      <x:c r="Z961" s="84"/>
    </x:row>
    <x:row r="962">
      <x:c r="A962" s="84"/>
      <x:c r="B962" s="84"/>
      <x:c r="C962" s="84"/>
      <x:c r="D962" s="84"/>
      <x:c r="E962" s="84"/>
      <x:c r="F962" s="84"/>
      <x:c r="G962" s="84"/>
      <x:c r="H962" s="84"/>
      <x:c r="I962" s="84"/>
      <x:c r="J962" s="84"/>
      <x:c r="K962" s="84"/>
      <x:c r="L962" s="84"/>
      <x:c r="M962" s="84"/>
      <x:c r="N962" s="84"/>
      <x:c r="O962" s="84"/>
      <x:c r="P962" s="84"/>
      <x:c r="Q962" s="84"/>
      <x:c r="R962" s="84"/>
      <x:c r="S962" s="84"/>
      <x:c r="T962" s="84"/>
      <x:c r="U962" s="84"/>
      <x:c r="V962" s="84"/>
      <x:c r="W962" s="84"/>
      <x:c r="X962" s="84"/>
      <x:c r="Y962" s="84"/>
      <x:c r="Z962" s="84"/>
    </x:row>
    <x:row r="963">
      <x:c r="A963" s="84"/>
      <x:c r="B963" s="84"/>
      <x:c r="C963" s="84"/>
      <x:c r="D963" s="84"/>
      <x:c r="E963" s="84"/>
      <x:c r="F963" s="84"/>
      <x:c r="G963" s="84"/>
      <x:c r="H963" s="84"/>
      <x:c r="I963" s="84"/>
      <x:c r="J963" s="84"/>
      <x:c r="K963" s="84"/>
      <x:c r="L963" s="84"/>
      <x:c r="M963" s="84"/>
      <x:c r="N963" s="84"/>
      <x:c r="O963" s="84"/>
      <x:c r="P963" s="84"/>
      <x:c r="Q963" s="84"/>
      <x:c r="R963" s="84"/>
      <x:c r="S963" s="84"/>
      <x:c r="T963" s="84"/>
      <x:c r="U963" s="84"/>
      <x:c r="V963" s="84"/>
      <x:c r="W963" s="84"/>
      <x:c r="X963" s="84"/>
      <x:c r="Y963" s="84"/>
      <x:c r="Z963" s="84"/>
    </x:row>
    <x:row r="964">
      <x:c r="A964" s="84"/>
      <x:c r="B964" s="84"/>
      <x:c r="C964" s="84"/>
      <x:c r="D964" s="84"/>
      <x:c r="E964" s="84"/>
      <x:c r="F964" s="84"/>
      <x:c r="G964" s="84"/>
      <x:c r="H964" s="84"/>
      <x:c r="I964" s="84"/>
      <x:c r="J964" s="84"/>
      <x:c r="K964" s="84"/>
      <x:c r="L964" s="84"/>
      <x:c r="M964" s="84"/>
      <x:c r="N964" s="84"/>
      <x:c r="O964" s="84"/>
      <x:c r="P964" s="84"/>
      <x:c r="Q964" s="84"/>
      <x:c r="R964" s="84"/>
      <x:c r="S964" s="84"/>
      <x:c r="T964" s="84"/>
      <x:c r="U964" s="84"/>
      <x:c r="V964" s="84"/>
      <x:c r="W964" s="84"/>
      <x:c r="X964" s="84"/>
      <x:c r="Y964" s="84"/>
      <x:c r="Z964" s="84"/>
    </x:row>
    <x:row r="965">
      <x:c r="A965" s="84"/>
      <x:c r="B965" s="84"/>
      <x:c r="C965" s="84"/>
      <x:c r="D965" s="84"/>
      <x:c r="E965" s="84"/>
      <x:c r="F965" s="84"/>
      <x:c r="G965" s="84"/>
      <x:c r="H965" s="84"/>
      <x:c r="I965" s="84"/>
      <x:c r="J965" s="84"/>
      <x:c r="K965" s="84"/>
      <x:c r="L965" s="84"/>
      <x:c r="M965" s="84"/>
      <x:c r="N965" s="84"/>
      <x:c r="O965" s="84"/>
      <x:c r="P965" s="84"/>
      <x:c r="Q965" s="84"/>
      <x:c r="R965" s="84"/>
      <x:c r="S965" s="84"/>
      <x:c r="T965" s="84"/>
      <x:c r="U965" s="84"/>
      <x:c r="V965" s="84"/>
      <x:c r="W965" s="84"/>
      <x:c r="X965" s="84"/>
      <x:c r="Y965" s="84"/>
      <x:c r="Z965" s="84"/>
    </x:row>
    <x:row r="966">
      <x:c r="A966" s="84"/>
      <x:c r="B966" s="84"/>
      <x:c r="C966" s="84"/>
      <x:c r="D966" s="84"/>
      <x:c r="E966" s="84"/>
      <x:c r="F966" s="84"/>
      <x:c r="G966" s="84"/>
      <x:c r="H966" s="84"/>
      <x:c r="I966" s="84"/>
      <x:c r="J966" s="84"/>
      <x:c r="K966" s="84"/>
      <x:c r="L966" s="84"/>
      <x:c r="M966" s="84"/>
      <x:c r="N966" s="84"/>
      <x:c r="O966" s="84"/>
      <x:c r="P966" s="84"/>
      <x:c r="Q966" s="84"/>
      <x:c r="R966" s="84"/>
      <x:c r="S966" s="84"/>
      <x:c r="T966" s="84"/>
      <x:c r="U966" s="84"/>
      <x:c r="V966" s="84"/>
      <x:c r="W966" s="84"/>
      <x:c r="X966" s="84"/>
      <x:c r="Y966" s="84"/>
      <x:c r="Z966" s="84"/>
    </x:row>
    <x:row r="967">
      <x:c r="A967" s="84"/>
      <x:c r="B967" s="84"/>
      <x:c r="C967" s="84"/>
      <x:c r="D967" s="84"/>
      <x:c r="E967" s="84"/>
      <x:c r="F967" s="84"/>
      <x:c r="G967" s="84"/>
      <x:c r="H967" s="84"/>
      <x:c r="I967" s="84"/>
      <x:c r="J967" s="84"/>
      <x:c r="K967" s="84"/>
      <x:c r="L967" s="84"/>
      <x:c r="M967" s="84"/>
      <x:c r="N967" s="84"/>
      <x:c r="O967" s="84"/>
      <x:c r="P967" s="84"/>
      <x:c r="Q967" s="84"/>
      <x:c r="R967" s="84"/>
      <x:c r="S967" s="84"/>
      <x:c r="T967" s="84"/>
      <x:c r="U967" s="84"/>
      <x:c r="V967" s="84"/>
      <x:c r="W967" s="84"/>
      <x:c r="X967" s="84"/>
      <x:c r="Y967" s="84"/>
      <x:c r="Z967" s="84"/>
    </x:row>
    <x:row r="968">
      <x:c r="A968" s="84"/>
      <x:c r="B968" s="84"/>
      <x:c r="C968" s="84"/>
      <x:c r="D968" s="84"/>
      <x:c r="E968" s="84"/>
      <x:c r="F968" s="84"/>
      <x:c r="G968" s="84"/>
      <x:c r="H968" s="84"/>
      <x:c r="I968" s="84"/>
      <x:c r="J968" s="84"/>
      <x:c r="K968" s="84"/>
      <x:c r="L968" s="84"/>
      <x:c r="M968" s="84"/>
      <x:c r="N968" s="84"/>
      <x:c r="O968" s="84"/>
      <x:c r="P968" s="84"/>
      <x:c r="Q968" s="84"/>
      <x:c r="R968" s="84"/>
      <x:c r="S968" s="84"/>
      <x:c r="T968" s="84"/>
      <x:c r="U968" s="84"/>
      <x:c r="V968" s="84"/>
      <x:c r="W968" s="84"/>
      <x:c r="X968" s="84"/>
      <x:c r="Y968" s="84"/>
      <x:c r="Z968" s="84"/>
    </x:row>
    <x:row r="969">
      <x:c r="A969" s="84"/>
      <x:c r="B969" s="84"/>
      <x:c r="C969" s="84"/>
      <x:c r="D969" s="84"/>
      <x:c r="E969" s="84"/>
      <x:c r="F969" s="84"/>
      <x:c r="G969" s="84"/>
      <x:c r="H969" s="84"/>
      <x:c r="I969" s="84"/>
      <x:c r="J969" s="84"/>
      <x:c r="K969" s="84"/>
      <x:c r="L969" s="84"/>
      <x:c r="M969" s="84"/>
      <x:c r="N969" s="84"/>
      <x:c r="O969" s="84"/>
      <x:c r="P969" s="84"/>
      <x:c r="Q969" s="84"/>
      <x:c r="R969" s="84"/>
      <x:c r="S969" s="84"/>
      <x:c r="T969" s="84"/>
      <x:c r="U969" s="84"/>
      <x:c r="V969" s="84"/>
      <x:c r="W969" s="84"/>
      <x:c r="X969" s="84"/>
      <x:c r="Y969" s="84"/>
      <x:c r="Z969" s="84"/>
    </x:row>
    <x:row r="970">
      <x:c r="A970" s="84"/>
      <x:c r="B970" s="84"/>
      <x:c r="C970" s="84"/>
      <x:c r="D970" s="84"/>
      <x:c r="E970" s="84"/>
      <x:c r="F970" s="84"/>
      <x:c r="G970" s="84"/>
      <x:c r="H970" s="84"/>
      <x:c r="I970" s="84"/>
      <x:c r="J970" s="84"/>
      <x:c r="K970" s="84"/>
      <x:c r="L970" s="84"/>
      <x:c r="M970" s="84"/>
      <x:c r="N970" s="84"/>
      <x:c r="O970" s="84"/>
      <x:c r="P970" s="84"/>
      <x:c r="Q970" s="84"/>
      <x:c r="R970" s="84"/>
      <x:c r="S970" s="84"/>
      <x:c r="T970" s="84"/>
      <x:c r="U970" s="84"/>
      <x:c r="V970" s="84"/>
      <x:c r="W970" s="84"/>
      <x:c r="X970" s="84"/>
      <x:c r="Y970" s="84"/>
      <x:c r="Z970" s="84"/>
    </x:row>
    <x:row r="971">
      <x:c r="A971" s="84"/>
      <x:c r="B971" s="84"/>
      <x:c r="C971" s="84"/>
      <x:c r="D971" s="84"/>
      <x:c r="E971" s="84"/>
      <x:c r="F971" s="84"/>
      <x:c r="G971" s="84"/>
      <x:c r="H971" s="84"/>
      <x:c r="I971" s="84"/>
      <x:c r="J971" s="84"/>
      <x:c r="K971" s="84"/>
      <x:c r="L971" s="84"/>
      <x:c r="M971" s="84"/>
      <x:c r="N971" s="84"/>
      <x:c r="O971" s="84"/>
      <x:c r="P971" s="84"/>
      <x:c r="Q971" s="84"/>
      <x:c r="R971" s="84"/>
      <x:c r="S971" s="84"/>
      <x:c r="T971" s="84"/>
      <x:c r="U971" s="84"/>
      <x:c r="V971" s="84"/>
      <x:c r="W971" s="84"/>
      <x:c r="X971" s="84"/>
      <x:c r="Y971" s="84"/>
      <x:c r="Z971" s="84"/>
    </x:row>
    <x:row r="972">
      <x:c r="A972" s="84"/>
      <x:c r="B972" s="84"/>
      <x:c r="C972" s="84"/>
      <x:c r="D972" s="84"/>
      <x:c r="E972" s="84"/>
      <x:c r="F972" s="84"/>
      <x:c r="G972" s="84"/>
      <x:c r="H972" s="84"/>
      <x:c r="I972" s="84"/>
      <x:c r="J972" s="84"/>
      <x:c r="K972" s="84"/>
      <x:c r="L972" s="84"/>
      <x:c r="M972" s="84"/>
      <x:c r="N972" s="84"/>
      <x:c r="O972" s="84"/>
      <x:c r="P972" s="84"/>
      <x:c r="Q972" s="84"/>
      <x:c r="R972" s="84"/>
      <x:c r="S972" s="84"/>
      <x:c r="T972" s="84"/>
      <x:c r="U972" s="84"/>
      <x:c r="V972" s="84"/>
      <x:c r="W972" s="84"/>
      <x:c r="X972" s="84"/>
      <x:c r="Y972" s="84"/>
      <x:c r="Z972" s="84"/>
    </x:row>
    <x:row r="973">
      <x:c r="A973" s="84"/>
      <x:c r="B973" s="84"/>
      <x:c r="C973" s="84"/>
      <x:c r="D973" s="84"/>
      <x:c r="E973" s="84"/>
      <x:c r="F973" s="84"/>
      <x:c r="G973" s="84"/>
      <x:c r="H973" s="84"/>
      <x:c r="I973" s="84"/>
      <x:c r="J973" s="84"/>
      <x:c r="K973" s="84"/>
      <x:c r="L973" s="84"/>
      <x:c r="M973" s="84"/>
      <x:c r="N973" s="84"/>
      <x:c r="O973" s="84"/>
      <x:c r="P973" s="84"/>
      <x:c r="Q973" s="84"/>
      <x:c r="R973" s="84"/>
      <x:c r="S973" s="84"/>
      <x:c r="T973" s="84"/>
      <x:c r="U973" s="84"/>
      <x:c r="V973" s="84"/>
      <x:c r="W973" s="84"/>
      <x:c r="X973" s="84"/>
      <x:c r="Y973" s="84"/>
      <x:c r="Z973" s="84"/>
    </x:row>
    <x:row r="974">
      <x:c r="A974" s="84"/>
      <x:c r="B974" s="84"/>
      <x:c r="C974" s="84"/>
      <x:c r="D974" s="84"/>
      <x:c r="E974" s="84"/>
      <x:c r="F974" s="84"/>
      <x:c r="G974" s="84"/>
      <x:c r="H974" s="84"/>
      <x:c r="I974" s="84"/>
      <x:c r="J974" s="84"/>
      <x:c r="K974" s="84"/>
      <x:c r="L974" s="84"/>
      <x:c r="M974" s="84"/>
      <x:c r="N974" s="84"/>
      <x:c r="O974" s="84"/>
      <x:c r="P974" s="84"/>
      <x:c r="Q974" s="84"/>
      <x:c r="R974" s="84"/>
      <x:c r="S974" s="84"/>
      <x:c r="T974" s="84"/>
      <x:c r="U974" s="84"/>
      <x:c r="V974" s="84"/>
      <x:c r="W974" s="84"/>
      <x:c r="X974" s="84"/>
      <x:c r="Y974" s="84"/>
      <x:c r="Z974" s="84"/>
    </x:row>
    <x:row r="975">
      <x:c r="A975" s="84"/>
      <x:c r="B975" s="84"/>
      <x:c r="C975" s="84"/>
      <x:c r="D975" s="84"/>
      <x:c r="E975" s="84"/>
      <x:c r="F975" s="84"/>
      <x:c r="G975" s="84"/>
      <x:c r="H975" s="84"/>
      <x:c r="I975" s="84"/>
      <x:c r="J975" s="84"/>
      <x:c r="K975" s="84"/>
      <x:c r="L975" s="84"/>
      <x:c r="M975" s="84"/>
      <x:c r="N975" s="84"/>
      <x:c r="O975" s="84"/>
      <x:c r="P975" s="84"/>
      <x:c r="Q975" s="84"/>
      <x:c r="R975" s="84"/>
      <x:c r="S975" s="84"/>
      <x:c r="T975" s="84"/>
      <x:c r="U975" s="84"/>
      <x:c r="V975" s="84"/>
      <x:c r="W975" s="84"/>
      <x:c r="X975" s="84"/>
      <x:c r="Y975" s="84"/>
      <x:c r="Z975" s="84"/>
    </x:row>
    <x:row r="976">
      <x:c r="A976" s="84"/>
      <x:c r="B976" s="84"/>
      <x:c r="C976" s="84"/>
      <x:c r="D976" s="84"/>
      <x:c r="E976" s="84"/>
      <x:c r="F976" s="84"/>
      <x:c r="G976" s="84"/>
      <x:c r="H976" s="84"/>
      <x:c r="I976" s="84"/>
      <x:c r="J976" s="84"/>
      <x:c r="K976" s="84"/>
      <x:c r="L976" s="84"/>
      <x:c r="M976" s="84"/>
      <x:c r="N976" s="84"/>
      <x:c r="O976" s="84"/>
      <x:c r="P976" s="84"/>
      <x:c r="Q976" s="84"/>
      <x:c r="R976" s="84"/>
      <x:c r="S976" s="84"/>
      <x:c r="T976" s="84"/>
      <x:c r="U976" s="84"/>
      <x:c r="V976" s="84"/>
      <x:c r="W976" s="84"/>
      <x:c r="X976" s="84"/>
      <x:c r="Y976" s="84"/>
      <x:c r="Z976" s="84"/>
    </x:row>
    <x:row r="977">
      <x:c r="A977" s="84"/>
      <x:c r="B977" s="84"/>
      <x:c r="C977" s="84"/>
      <x:c r="D977" s="84"/>
      <x:c r="E977" s="84"/>
      <x:c r="F977" s="84"/>
      <x:c r="G977" s="84"/>
      <x:c r="H977" s="84"/>
      <x:c r="I977" s="84"/>
      <x:c r="J977" s="84"/>
      <x:c r="K977" s="84"/>
      <x:c r="L977" s="84"/>
      <x:c r="M977" s="84"/>
      <x:c r="N977" s="84"/>
      <x:c r="O977" s="84"/>
      <x:c r="P977" s="84"/>
      <x:c r="Q977" s="84"/>
      <x:c r="R977" s="84"/>
      <x:c r="S977" s="84"/>
      <x:c r="T977" s="84"/>
      <x:c r="U977" s="84"/>
      <x:c r="V977" s="84"/>
      <x:c r="W977" s="84"/>
      <x:c r="X977" s="84"/>
      <x:c r="Y977" s="84"/>
      <x:c r="Z977" s="84"/>
    </x:row>
    <x:row r="978">
      <x:c r="A978" s="84"/>
      <x:c r="B978" s="84"/>
      <x:c r="C978" s="84"/>
      <x:c r="D978" s="84"/>
      <x:c r="E978" s="84"/>
      <x:c r="F978" s="84"/>
      <x:c r="G978" s="84"/>
      <x:c r="H978" s="84"/>
      <x:c r="I978" s="84"/>
      <x:c r="J978" s="84"/>
      <x:c r="K978" s="84"/>
      <x:c r="L978" s="84"/>
      <x:c r="M978" s="84"/>
      <x:c r="N978" s="84"/>
      <x:c r="O978" s="84"/>
      <x:c r="P978" s="84"/>
      <x:c r="Q978" s="84"/>
      <x:c r="R978" s="84"/>
      <x:c r="S978" s="84"/>
      <x:c r="T978" s="84"/>
      <x:c r="U978" s="84"/>
      <x:c r="V978" s="84"/>
      <x:c r="W978" s="84"/>
      <x:c r="X978" s="84"/>
      <x:c r="Y978" s="84"/>
      <x:c r="Z978" s="84"/>
    </x:row>
    <x:row r="979">
      <x:c r="A979" s="84"/>
      <x:c r="B979" s="84"/>
      <x:c r="C979" s="84"/>
      <x:c r="D979" s="84"/>
      <x:c r="E979" s="84"/>
      <x:c r="F979" s="84"/>
      <x:c r="G979" s="84"/>
      <x:c r="H979" s="84"/>
      <x:c r="I979" s="84"/>
      <x:c r="J979" s="84"/>
      <x:c r="K979" s="84"/>
      <x:c r="L979" s="84"/>
      <x:c r="M979" s="84"/>
      <x:c r="N979" s="84"/>
      <x:c r="O979" s="84"/>
      <x:c r="P979" s="84"/>
      <x:c r="Q979" s="84"/>
      <x:c r="R979" s="84"/>
      <x:c r="S979" s="84"/>
      <x:c r="T979" s="84"/>
      <x:c r="U979" s="84"/>
      <x:c r="V979" s="84"/>
      <x:c r="W979" s="84"/>
      <x:c r="X979" s="84"/>
      <x:c r="Y979" s="84"/>
      <x:c r="Z979" s="84"/>
    </x:row>
    <x:row r="980">
      <x:c r="A980" s="84"/>
      <x:c r="B980" s="84"/>
      <x:c r="C980" s="84"/>
      <x:c r="D980" s="84"/>
      <x:c r="E980" s="84"/>
      <x:c r="F980" s="84"/>
      <x:c r="G980" s="84"/>
      <x:c r="H980" s="84"/>
      <x:c r="I980" s="84"/>
      <x:c r="J980" s="84"/>
      <x:c r="K980" s="84"/>
      <x:c r="L980" s="84"/>
      <x:c r="M980" s="84"/>
      <x:c r="N980" s="84"/>
      <x:c r="O980" s="84"/>
      <x:c r="P980" s="84"/>
      <x:c r="Q980" s="84"/>
      <x:c r="R980" s="84"/>
      <x:c r="S980" s="84"/>
      <x:c r="T980" s="84"/>
      <x:c r="U980" s="84"/>
      <x:c r="V980" s="84"/>
      <x:c r="W980" s="84"/>
      <x:c r="X980" s="84"/>
      <x:c r="Y980" s="84"/>
      <x:c r="Z980" s="84"/>
    </x:row>
    <x:row r="981">
      <x:c r="A981" s="84"/>
      <x:c r="B981" s="84"/>
      <x:c r="C981" s="84"/>
      <x:c r="D981" s="84"/>
      <x:c r="E981" s="84"/>
      <x:c r="F981" s="84"/>
      <x:c r="G981" s="84"/>
      <x:c r="H981" s="84"/>
      <x:c r="I981" s="84"/>
      <x:c r="J981" s="84"/>
      <x:c r="K981" s="84"/>
      <x:c r="L981" s="84"/>
      <x:c r="M981" s="84"/>
      <x:c r="N981" s="84"/>
      <x:c r="O981" s="84"/>
      <x:c r="P981" s="84"/>
      <x:c r="Q981" s="84"/>
      <x:c r="R981" s="84"/>
      <x:c r="S981" s="84"/>
      <x:c r="T981" s="84"/>
      <x:c r="U981" s="84"/>
      <x:c r="V981" s="84"/>
      <x:c r="W981" s="84"/>
      <x:c r="X981" s="84"/>
      <x:c r="Y981" s="84"/>
      <x:c r="Z981" s="84"/>
    </x:row>
    <x:row r="982">
      <x:c r="A982" s="84"/>
      <x:c r="B982" s="84"/>
      <x:c r="C982" s="84"/>
      <x:c r="D982" s="84"/>
      <x:c r="E982" s="84"/>
      <x:c r="F982" s="84"/>
      <x:c r="G982" s="84"/>
      <x:c r="H982" s="84"/>
      <x:c r="I982" s="84"/>
      <x:c r="J982" s="84"/>
      <x:c r="K982" s="84"/>
      <x:c r="L982" s="84"/>
      <x:c r="M982" s="84"/>
      <x:c r="N982" s="84"/>
      <x:c r="O982" s="84"/>
      <x:c r="P982" s="84"/>
      <x:c r="Q982" s="84"/>
      <x:c r="R982" s="84"/>
      <x:c r="S982" s="84"/>
      <x:c r="T982" s="84"/>
      <x:c r="U982" s="84"/>
      <x:c r="V982" s="84"/>
      <x:c r="W982" s="84"/>
      <x:c r="X982" s="84"/>
      <x:c r="Y982" s="84"/>
      <x:c r="Z982" s="84"/>
    </x:row>
    <x:row r="983">
      <x:c r="A983" s="84"/>
      <x:c r="B983" s="84"/>
      <x:c r="C983" s="84"/>
      <x:c r="D983" s="84"/>
      <x:c r="E983" s="84"/>
      <x:c r="F983" s="84"/>
      <x:c r="G983" s="84"/>
      <x:c r="H983" s="84"/>
      <x:c r="I983" s="84"/>
      <x:c r="J983" s="84"/>
      <x:c r="K983" s="84"/>
      <x:c r="L983" s="84"/>
      <x:c r="M983" s="84"/>
      <x:c r="N983" s="84"/>
      <x:c r="O983" s="84"/>
      <x:c r="P983" s="84"/>
      <x:c r="Q983" s="84"/>
      <x:c r="R983" s="84"/>
      <x:c r="S983" s="84"/>
      <x:c r="T983" s="84"/>
      <x:c r="U983" s="84"/>
      <x:c r="V983" s="84"/>
      <x:c r="W983" s="84"/>
      <x:c r="X983" s="84"/>
      <x:c r="Y983" s="84"/>
      <x:c r="Z983" s="84"/>
    </x:row>
    <x:row r="984">
      <x:c r="A984" s="84"/>
      <x:c r="B984" s="84"/>
      <x:c r="C984" s="84"/>
      <x:c r="D984" s="84"/>
      <x:c r="E984" s="84"/>
      <x:c r="F984" s="84"/>
      <x:c r="G984" s="84"/>
      <x:c r="H984" s="84"/>
      <x:c r="I984" s="84"/>
      <x:c r="J984" s="84"/>
      <x:c r="K984" s="84"/>
      <x:c r="L984" s="84"/>
      <x:c r="M984" s="84"/>
      <x:c r="N984" s="84"/>
      <x:c r="O984" s="84"/>
      <x:c r="P984" s="84"/>
      <x:c r="Q984" s="84"/>
      <x:c r="R984" s="84"/>
      <x:c r="S984" s="84"/>
      <x:c r="T984" s="84"/>
      <x:c r="U984" s="84"/>
      <x:c r="V984" s="84"/>
      <x:c r="W984" s="84"/>
      <x:c r="X984" s="84"/>
      <x:c r="Y984" s="84"/>
      <x:c r="Z984" s="84"/>
    </x:row>
    <x:row r="985">
      <x:c r="A985" s="84"/>
      <x:c r="B985" s="84"/>
      <x:c r="C985" s="84"/>
      <x:c r="D985" s="84"/>
      <x:c r="E985" s="84"/>
      <x:c r="F985" s="84"/>
      <x:c r="G985" s="84"/>
      <x:c r="H985" s="84"/>
      <x:c r="I985" s="84"/>
      <x:c r="J985" s="84"/>
      <x:c r="K985" s="84"/>
      <x:c r="L985" s="84"/>
      <x:c r="M985" s="84"/>
      <x:c r="N985" s="84"/>
      <x:c r="O985" s="84"/>
      <x:c r="P985" s="84"/>
      <x:c r="Q985" s="84"/>
      <x:c r="R985" s="84"/>
      <x:c r="S985" s="84"/>
      <x:c r="T985" s="84"/>
      <x:c r="U985" s="84"/>
      <x:c r="V985" s="84"/>
      <x:c r="W985" s="84"/>
      <x:c r="X985" s="84"/>
      <x:c r="Y985" s="84"/>
      <x:c r="Z985" s="84"/>
    </x:row>
    <x:row r="986">
      <x:c r="A986" s="84"/>
      <x:c r="B986" s="84"/>
      <x:c r="C986" s="84"/>
      <x:c r="D986" s="84"/>
      <x:c r="E986" s="84"/>
      <x:c r="F986" s="84"/>
      <x:c r="G986" s="84"/>
      <x:c r="H986" s="84"/>
      <x:c r="I986" s="84"/>
      <x:c r="J986" s="84"/>
      <x:c r="K986" s="84"/>
      <x:c r="L986" s="84"/>
      <x:c r="M986" s="84"/>
      <x:c r="N986" s="84"/>
      <x:c r="O986" s="84"/>
      <x:c r="P986" s="84"/>
      <x:c r="Q986" s="84"/>
      <x:c r="R986" s="84"/>
      <x:c r="S986" s="84"/>
      <x:c r="T986" s="84"/>
      <x:c r="U986" s="84"/>
      <x:c r="V986" s="84"/>
      <x:c r="W986" s="84"/>
      <x:c r="X986" s="84"/>
      <x:c r="Y986" s="84"/>
      <x:c r="Z986" s="84"/>
    </x:row>
    <x:row r="987">
      <x:c r="A987" s="84"/>
      <x:c r="B987" s="84"/>
      <x:c r="C987" s="84"/>
      <x:c r="D987" s="84"/>
      <x:c r="E987" s="84"/>
      <x:c r="F987" s="84"/>
      <x:c r="G987" s="84"/>
      <x:c r="H987" s="84"/>
      <x:c r="I987" s="84"/>
      <x:c r="J987" s="84"/>
      <x:c r="K987" s="84"/>
      <x:c r="L987" s="84"/>
      <x:c r="M987" s="84"/>
      <x:c r="N987" s="84"/>
      <x:c r="O987" s="84"/>
      <x:c r="P987" s="84"/>
      <x:c r="Q987" s="84"/>
      <x:c r="R987" s="84"/>
      <x:c r="S987" s="84"/>
      <x:c r="T987" s="84"/>
      <x:c r="U987" s="84"/>
      <x:c r="V987" s="84"/>
      <x:c r="W987" s="84"/>
      <x:c r="X987" s="84"/>
      <x:c r="Y987" s="84"/>
      <x:c r="Z987" s="84"/>
    </x:row>
    <x:row r="988">
      <x:c r="A988" s="84"/>
      <x:c r="B988" s="84"/>
      <x:c r="C988" s="84"/>
      <x:c r="D988" s="84"/>
      <x:c r="E988" s="84"/>
      <x:c r="F988" s="84"/>
      <x:c r="G988" s="84"/>
      <x:c r="H988" s="84"/>
      <x:c r="I988" s="84"/>
      <x:c r="J988" s="84"/>
      <x:c r="K988" s="84"/>
      <x:c r="L988" s="84"/>
      <x:c r="M988" s="84"/>
      <x:c r="N988" s="84"/>
      <x:c r="O988" s="84"/>
      <x:c r="P988" s="84"/>
      <x:c r="Q988" s="84"/>
      <x:c r="R988" s="84"/>
      <x:c r="S988" s="84"/>
      <x:c r="T988" s="84"/>
      <x:c r="U988" s="84"/>
      <x:c r="V988" s="84"/>
      <x:c r="W988" s="84"/>
      <x:c r="X988" s="84"/>
      <x:c r="Y988" s="84"/>
      <x:c r="Z988" s="84"/>
    </x:row>
    <x:row r="989">
      <x:c r="A989" s="84"/>
      <x:c r="B989" s="84"/>
      <x:c r="C989" s="84"/>
      <x:c r="D989" s="84"/>
      <x:c r="E989" s="84"/>
      <x:c r="F989" s="84"/>
      <x:c r="G989" s="84"/>
      <x:c r="H989" s="84"/>
      <x:c r="I989" s="84"/>
      <x:c r="J989" s="84"/>
      <x:c r="K989" s="84"/>
      <x:c r="L989" s="84"/>
      <x:c r="M989" s="84"/>
      <x:c r="N989" s="84"/>
      <x:c r="O989" s="84"/>
      <x:c r="P989" s="84"/>
      <x:c r="Q989" s="84"/>
      <x:c r="R989" s="84"/>
      <x:c r="S989" s="84"/>
      <x:c r="T989" s="84"/>
      <x:c r="U989" s="84"/>
      <x:c r="V989" s="84"/>
      <x:c r="W989" s="84"/>
      <x:c r="X989" s="84"/>
      <x:c r="Y989" s="84"/>
      <x:c r="Z989" s="84"/>
    </x:row>
    <x:row r="990">
      <x:c r="A990" s="84"/>
      <x:c r="B990" s="84"/>
      <x:c r="C990" s="84"/>
      <x:c r="D990" s="84"/>
      <x:c r="E990" s="84"/>
      <x:c r="F990" s="84"/>
      <x:c r="G990" s="84"/>
      <x:c r="H990" s="84"/>
      <x:c r="I990" s="84"/>
      <x:c r="J990" s="84"/>
      <x:c r="K990" s="84"/>
      <x:c r="L990" s="84"/>
      <x:c r="M990" s="84"/>
      <x:c r="N990" s="84"/>
      <x:c r="O990" s="84"/>
      <x:c r="P990" s="84"/>
      <x:c r="Q990" s="84"/>
      <x:c r="R990" s="84"/>
      <x:c r="S990" s="84"/>
      <x:c r="T990" s="84"/>
      <x:c r="U990" s="84"/>
      <x:c r="V990" s="84"/>
      <x:c r="W990" s="84"/>
      <x:c r="X990" s="84"/>
      <x:c r="Y990" s="84"/>
      <x:c r="Z990" s="84"/>
    </x:row>
    <x:row r="991">
      <x:c r="A991" s="84"/>
      <x:c r="B991" s="84"/>
      <x:c r="C991" s="84"/>
      <x:c r="D991" s="84"/>
      <x:c r="E991" s="84"/>
      <x:c r="F991" s="84"/>
      <x:c r="G991" s="84"/>
      <x:c r="H991" s="84"/>
      <x:c r="I991" s="84"/>
      <x:c r="J991" s="84"/>
      <x:c r="K991" s="84"/>
      <x:c r="L991" s="84"/>
      <x:c r="M991" s="84"/>
      <x:c r="N991" s="84"/>
      <x:c r="O991" s="84"/>
      <x:c r="P991" s="84"/>
      <x:c r="Q991" s="84"/>
      <x:c r="R991" s="84"/>
      <x:c r="S991" s="84"/>
      <x:c r="T991" s="84"/>
      <x:c r="U991" s="84"/>
      <x:c r="V991" s="84"/>
      <x:c r="W991" s="84"/>
      <x:c r="X991" s="84"/>
      <x:c r="Y991" s="84"/>
      <x:c r="Z991" s="84"/>
    </x:row>
    <x:row r="992">
      <x:c r="A992" s="84"/>
      <x:c r="B992" s="84"/>
      <x:c r="C992" s="84"/>
      <x:c r="D992" s="84"/>
      <x:c r="E992" s="84"/>
      <x:c r="F992" s="84"/>
      <x:c r="G992" s="84"/>
      <x:c r="H992" s="84"/>
      <x:c r="I992" s="84"/>
      <x:c r="J992" s="84"/>
      <x:c r="K992" s="84"/>
      <x:c r="L992" s="84"/>
      <x:c r="M992" s="84"/>
      <x:c r="N992" s="84"/>
      <x:c r="O992" s="84"/>
      <x:c r="P992" s="84"/>
      <x:c r="Q992" s="84"/>
      <x:c r="R992" s="84"/>
      <x:c r="S992" s="84"/>
      <x:c r="T992" s="84"/>
      <x:c r="U992" s="84"/>
      <x:c r="V992" s="84"/>
      <x:c r="W992" s="84"/>
      <x:c r="X992" s="84"/>
      <x:c r="Y992" s="84"/>
      <x:c r="Z992" s="84"/>
    </x:row>
    <x:row r="993">
      <x:c r="A993" s="84"/>
      <x:c r="B993" s="84"/>
      <x:c r="C993" s="84"/>
      <x:c r="D993" s="84"/>
      <x:c r="E993" s="84"/>
      <x:c r="F993" s="84"/>
      <x:c r="G993" s="84"/>
      <x:c r="H993" s="84"/>
      <x:c r="I993" s="84"/>
      <x:c r="J993" s="84"/>
      <x:c r="K993" s="84"/>
      <x:c r="L993" s="84"/>
      <x:c r="M993" s="84"/>
      <x:c r="N993" s="84"/>
      <x:c r="O993" s="84"/>
      <x:c r="P993" s="84"/>
      <x:c r="Q993" s="84"/>
      <x:c r="R993" s="84"/>
      <x:c r="S993" s="84"/>
      <x:c r="T993" s="84"/>
      <x:c r="U993" s="84"/>
      <x:c r="V993" s="84"/>
      <x:c r="W993" s="84"/>
      <x:c r="X993" s="84"/>
      <x:c r="Y993" s="84"/>
      <x:c r="Z993" s="84"/>
    </x:row>
    <x:row r="994">
      <x:c r="A994" s="84"/>
      <x:c r="B994" s="84"/>
      <x:c r="C994" s="84"/>
      <x:c r="D994" s="84"/>
      <x:c r="E994" s="84"/>
      <x:c r="F994" s="84"/>
      <x:c r="G994" s="84"/>
      <x:c r="H994" s="84"/>
      <x:c r="I994" s="84"/>
      <x:c r="J994" s="84"/>
      <x:c r="K994" s="84"/>
      <x:c r="L994" s="84"/>
      <x:c r="M994" s="84"/>
      <x:c r="N994" s="84"/>
      <x:c r="O994" s="84"/>
      <x:c r="P994" s="84"/>
      <x:c r="Q994" s="84"/>
      <x:c r="R994" s="84"/>
      <x:c r="S994" s="84"/>
      <x:c r="T994" s="84"/>
      <x:c r="U994" s="84"/>
      <x:c r="V994" s="84"/>
      <x:c r="W994" s="84"/>
      <x:c r="X994" s="84"/>
      <x:c r="Y994" s="84"/>
      <x:c r="Z994" s="84"/>
    </x:row>
    <x:row r="995">
      <x:c r="A995" s="84"/>
      <x:c r="B995" s="84"/>
      <x:c r="C995" s="84"/>
      <x:c r="D995" s="84"/>
      <x:c r="E995" s="84"/>
      <x:c r="F995" s="84"/>
      <x:c r="G995" s="84"/>
      <x:c r="H995" s="84"/>
      <x:c r="I995" s="84"/>
      <x:c r="J995" s="84"/>
      <x:c r="K995" s="84"/>
      <x:c r="L995" s="84"/>
      <x:c r="M995" s="84"/>
      <x:c r="N995" s="84"/>
      <x:c r="O995" s="84"/>
      <x:c r="P995" s="84"/>
      <x:c r="Q995" s="84"/>
      <x:c r="R995" s="84"/>
      <x:c r="S995" s="84"/>
      <x:c r="T995" s="84"/>
      <x:c r="U995" s="84"/>
      <x:c r="V995" s="84"/>
      <x:c r="W995" s="84"/>
      <x:c r="X995" s="84"/>
      <x:c r="Y995" s="84"/>
      <x:c r="Z995" s="84"/>
    </x:row>
    <x:row r="996">
      <x:c r="A996" s="84"/>
      <x:c r="B996" s="84"/>
      <x:c r="C996" s="84"/>
      <x:c r="D996" s="84"/>
      <x:c r="E996" s="84"/>
      <x:c r="F996" s="84"/>
      <x:c r="G996" s="84"/>
      <x:c r="H996" s="84"/>
      <x:c r="I996" s="84"/>
      <x:c r="J996" s="84"/>
      <x:c r="K996" s="84"/>
      <x:c r="L996" s="84"/>
      <x:c r="M996" s="84"/>
      <x:c r="N996" s="84"/>
      <x:c r="O996" s="84"/>
      <x:c r="P996" s="84"/>
      <x:c r="Q996" s="84"/>
      <x:c r="R996" s="84"/>
      <x:c r="S996" s="84"/>
      <x:c r="T996" s="84"/>
      <x:c r="U996" s="84"/>
      <x:c r="V996" s="84"/>
      <x:c r="W996" s="84"/>
      <x:c r="X996" s="84"/>
      <x:c r="Y996" s="84"/>
      <x:c r="Z996" s="84"/>
    </x:row>
    <x:row r="997">
      <x:c r="A997" s="84"/>
      <x:c r="B997" s="84"/>
      <x:c r="C997" s="84"/>
      <x:c r="D997" s="84"/>
      <x:c r="E997" s="84"/>
      <x:c r="F997" s="84"/>
      <x:c r="G997" s="84"/>
      <x:c r="H997" s="84"/>
      <x:c r="I997" s="84"/>
      <x:c r="J997" s="84"/>
      <x:c r="K997" s="84"/>
      <x:c r="L997" s="84"/>
      <x:c r="M997" s="84"/>
      <x:c r="N997" s="84"/>
      <x:c r="O997" s="84"/>
      <x:c r="P997" s="84"/>
      <x:c r="Q997" s="84"/>
      <x:c r="R997" s="84"/>
      <x:c r="S997" s="84"/>
      <x:c r="T997" s="84"/>
      <x:c r="U997" s="84"/>
      <x:c r="V997" s="84"/>
      <x:c r="W997" s="84"/>
      <x:c r="X997" s="84"/>
      <x:c r="Y997" s="84"/>
      <x:c r="Z997" s="84"/>
    </x:row>
    <x:row r="998">
      <x:c r="A998" s="84"/>
      <x:c r="B998" s="84"/>
      <x:c r="C998" s="84"/>
      <x:c r="D998" s="84"/>
      <x:c r="E998" s="84"/>
      <x:c r="F998" s="84"/>
      <x:c r="G998" s="84"/>
      <x:c r="H998" s="84"/>
      <x:c r="I998" s="84"/>
      <x:c r="J998" s="84"/>
      <x:c r="K998" s="84"/>
      <x:c r="L998" s="84"/>
      <x:c r="M998" s="84"/>
      <x:c r="N998" s="84"/>
      <x:c r="O998" s="84"/>
      <x:c r="P998" s="84"/>
      <x:c r="Q998" s="84"/>
      <x:c r="R998" s="84"/>
      <x:c r="S998" s="84"/>
      <x:c r="T998" s="84"/>
      <x:c r="U998" s="84"/>
      <x:c r="V998" s="84"/>
      <x:c r="W998" s="84"/>
      <x:c r="X998" s="84"/>
      <x:c r="Y998" s="84"/>
      <x:c r="Z998" s="84"/>
    </x:row>
    <x:row r="999">
      <x:c r="A999" s="84"/>
      <x:c r="B999" s="84"/>
      <x:c r="C999" s="84"/>
      <x:c r="D999" s="84"/>
      <x:c r="E999" s="84"/>
      <x:c r="F999" s="84"/>
      <x:c r="G999" s="84"/>
      <x:c r="H999" s="84"/>
      <x:c r="I999" s="84"/>
      <x:c r="J999" s="84"/>
      <x:c r="K999" s="84"/>
      <x:c r="L999" s="84"/>
      <x:c r="M999" s="84"/>
      <x:c r="N999" s="84"/>
      <x:c r="O999" s="84"/>
      <x:c r="P999" s="84"/>
      <x:c r="Q999" s="84"/>
      <x:c r="R999" s="84"/>
      <x:c r="S999" s="84"/>
      <x:c r="T999" s="84"/>
      <x:c r="U999" s="84"/>
      <x:c r="V999" s="84"/>
      <x:c r="W999" s="84"/>
      <x:c r="X999" s="84"/>
      <x:c r="Y999" s="84"/>
      <x:c r="Z999" s="84"/>
    </x:row>
    <x:row r="1000">
      <x:c r="A1000" s="84"/>
      <x:c r="B1000" s="84"/>
      <x:c r="C1000" s="84"/>
      <x:c r="D1000" s="84"/>
      <x:c r="E1000" s="84"/>
      <x:c r="F1000" s="84"/>
      <x:c r="G1000" s="84"/>
      <x:c r="H1000" s="84"/>
      <x:c r="I1000" s="84"/>
      <x:c r="J1000" s="84"/>
      <x:c r="K1000" s="84"/>
      <x:c r="L1000" s="84"/>
      <x:c r="M1000" s="84"/>
      <x:c r="N1000" s="84"/>
      <x:c r="O1000" s="84"/>
      <x:c r="P1000" s="84"/>
      <x:c r="Q1000" s="84"/>
      <x:c r="R1000" s="84"/>
      <x:c r="S1000" s="84"/>
      <x:c r="T1000" s="84"/>
      <x:c r="U1000" s="84"/>
      <x:c r="V1000" s="84"/>
      <x:c r="W1000" s="84"/>
      <x:c r="X1000" s="84"/>
      <x:c r="Y1000" s="84"/>
      <x:c r="Z1000" s="84"/>
    </x:row>
  </x:sheetData>
  <x:mergeCells>
    <x:mergeCell ref="A1:Z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1" max="11" width="14" hidden="0" customWidth="1"/>
    <x:col min="12" max="12" width="12" hidden="0" customWidth="1"/>
    <x:col min="10" max="10" width="4" hidden="0" customWidth="1"/>
  </x:cols>
  <x:sheetData>
    <x:row r="1" ht="32" customHeight="1">
      <x:c r="A1" s="238" t="str">
        <x:v>CONTROLE GERENCIAL | ANDAMENTO DA PRODUÇÃO</x:v>
      </x:c>
      <x:c r="B1" s="238"/>
      <x:c r="C1" s="238"/>
      <x:c r="D1" s="238"/>
      <x:c r="E1" s="238"/>
      <x:c r="F1" s="238"/>
      <x:c r="G1" s="238"/>
      <x:c r="H1" s="238"/>
      <x:c r="I1" s="238"/>
      <x:c r="J1" s="238"/>
      <x:c r="K1" s="238"/>
      <x:c r="L1" s="238"/>
    </x:row>
    <x:row r="3">
      <x:c r="A3" s="240" t="str">
        <x:v>Pedidos</x:v>
      </x:c>
      <x:c r="B3" s="240" t="n">
        <x:v>21</x:v>
      </x:c>
      <x:c r="C3" s="240" t="str">
        <x:v>Linhas</x:v>
      </x:c>
      <x:c r="D3" s="240" t="n">
        <x:v>841</x:v>
      </x:c>
      <x:c r="E3" s="240" t="str">
        <x:v>Peças</x:v>
      </x:c>
      <x:c r="F3" s="240" t="n">
        <x:v>44296</x:v>
      </x:c>
      <x:c r="G3" s="240" t="str">
        <x:v>Volume m³</x:v>
      </x:c>
      <x:c r="H3" s="240" t="n">
        <x:v>553.895</x:v>
      </x:c>
    </x:row>
    <x:row r="4">
      <x:c r="A4" s="240" t="str">
        <x:v>Fonte</x:v>
      </x:c>
      <x:c r="B4" s="240" t="str">
        <x:v>Consistem CSV</x:v>
      </x:c>
      <x:c r="C4" s="240" t="str">
        <x:v>Ordem</x:v>
      </x:c>
      <x:c r="D4" s="240" t="str">
        <x:v>Maior → menor</x:v>
      </x:c>
      <x:c r="E4" s="240" t="str">
        <x:v>Atualização</x:v>
      </x:c>
      <x:c r="F4" s="240" t="str">
        <x:v>Por líder</x:v>
      </x:c>
      <x:c r="G4" s="240" t="str">
        <x:v>Controle</x:v>
      </x:c>
      <x:c r="H4" s="240" t="str">
        <x:v>Por setor</x:v>
      </x:c>
    </x:row>
    <x:row r="7">
      <x:c r="A7" s="161" t="str">
        <x:v>Setor</x:v>
      </x:c>
      <x:c r="B7" s="162" t="str">
        <x:v>Programado</x:v>
      </x:c>
      <x:c r="C7" s="162" t="str">
        <x:v>Produzido</x:v>
      </x:c>
      <x:c r="D7" s="162" t="str">
        <x:v>Saldo</x:v>
      </x:c>
      <x:c r="E7" s="162" t="str">
        <x:v>%</x:v>
      </x:c>
      <x:c r="F7" s="162" t="str">
        <x:v>Andamento</x:v>
      </x:c>
      <x:c r="G7" s="162" t="str">
        <x:v>Concluídos</x:v>
      </x:c>
      <x:c r="H7" s="162" t="str">
        <x:v>Parciais</x:v>
      </x:c>
      <x:c r="I7" s="163" t="str">
        <x:v>Não iniciados</x:v>
      </x:c>
      <x:c r="J7" s="251"/>
      <x:c r="K7" s="251" t="str">
        <x:v>Indicador</x:v>
      </x:c>
      <x:c r="L7" s="251" t="str">
        <x:v>Total</x:v>
      </x:c>
    </x:row>
    <x:row r="8" ht="24" customHeight="1">
      <x:c r="A8" s="267" t="str">
        <x:v>PREPARAÇÃO</x:v>
      </x:c>
      <x:c r="B8" s="268" t="n">
        <x:f>SUM('PREPARAÇÃO'!M5:M1000)</x:f>
        <x:v>867</x:v>
      </x:c>
      <x:c r="C8" s="268" t="n">
        <x:f>SUM('PREPARAÇÃO'!U5:U1000)</x:f>
        <x:v>344</x:v>
      </x:c>
      <x:c r="D8" s="268" t="n">
        <x:f>SUM('PREPARAÇÃO'!V5:V1000)</x:f>
        <x:v>523</x:v>
      </x:c>
      <x:c r="E8" s="269" t="n">
        <x:f>IFERROR(C8/B8,0)</x:f>
        <x:v>0.39677047289504036</x:v>
      </x:c>
      <x:c r="F8" s="270" t="str">
        <x:f>REPT("■",ROUND(E8*20,0))</x:f>
        <x:v>■■■■■■■■</x:v>
      </x:c>
      <x:c r="G8" s="268" t="n">
        <x:f>COUNTIF('PREPARAÇÃO'!X5:X1000,"Concluído")</x:f>
        <x:v>35</x:v>
      </x:c>
      <x:c r="H8" s="268" t="n">
        <x:f>COUNTIF('PREPARAÇÃO'!X5:X1000,"Parcial")</x:f>
        <x:v>0</x:v>
      </x:c>
      <x:c r="I8" s="271" t="n">
        <x:f>COUNTIF('PREPARAÇÃO'!X5:X1000,"Não iniciado")</x:f>
        <x:v>14</x:v>
      </x:c>
      <x:c r="J8" s="272"/>
      <x:c r="K8" s="272" t="str">
        <x:v>Turno A</x:v>
      </x:c>
      <x:c r="L8" s="272" t="n">
        <x:f>COUNTIF('PREPARAÇÃO'!R5:R1000,"A")+COUNTIF('USINAGEM 1'!R5:R1000,"A")+COUNTIF('LIXAR'!R5:R1000,"A")+COUNTIF('RECOBRIDORA'!R5:R1000,"A")+COUNTIF('USINAGEM 2'!R5:R1000,"A")+COUNTIF('LUSTRAÇÃO'!R5:R1000,"A")+COUNTIF('TERCEIROS'!R5:R1000,"A")+COUNTIF('EMBALAGEM'!R5:R1000,"A")+COUNTIF('EXPEDIÇÃO'!R5:R1000,"A")</x:f>
        <x:v>0</x:v>
      </x:c>
    </x:row>
    <x:row r="9" ht="24" customHeight="1">
      <x:c r="A9" s="273" t="str">
        <x:v>USINAGEM 1</x:v>
      </x:c>
      <x:c r="B9" s="272" t="n">
        <x:f>SUM('USINAGEM 1'!M5:M1000)</x:f>
        <x:v>28590</x:v>
      </x:c>
      <x:c r="C9" s="272" t="n">
        <x:f>SUM('USINAGEM 1'!U5:U1000)</x:f>
        <x:v>8211.84</x:v>
      </x:c>
      <x:c r="D9" s="272" t="n">
        <x:f>SUM('USINAGEM 1'!V5:V1000)</x:f>
        <x:v>20378.16</x:v>
      </x:c>
      <x:c r="E9" s="274" t="n">
        <x:f>IFERROR(C9/B9,0)</x:f>
        <x:v>0.2872277019937041</x:v>
      </x:c>
      <x:c r="F9" s="275" t="str">
        <x:f>REPT("■",ROUND(E9*20,0))</x:f>
        <x:v>■■■■■■</x:v>
      </x:c>
      <x:c r="G9" s="272" t="n">
        <x:f>COUNTIF('USINAGEM 1'!X5:X1000,"Concluído")</x:f>
        <x:v>163</x:v>
      </x:c>
      <x:c r="H9" s="272" t="n">
        <x:f>COUNTIF('USINAGEM 1'!X5:X1000,"Parcial")</x:f>
        <x:v>14</x:v>
      </x:c>
      <x:c r="I9" s="276" t="n">
        <x:f>COUNTIF('USINAGEM 1'!X5:X1000,"Não iniciado")</x:f>
        <x:v>402</x:v>
      </x:c>
      <x:c r="J9" s="272"/>
      <x:c r="K9" s="272" t="str">
        <x:v>Turno B</x:v>
      </x:c>
      <x:c r="L9" s="272" t="n">
        <x:f>COUNTIF('PREPARAÇÃO'!R5:R1000,"B")+COUNTIF('USINAGEM 1'!R5:R1000,"B")+COUNTIF('LIXAR'!R5:R1000,"B")+COUNTIF('RECOBRIDORA'!R5:R1000,"B")+COUNTIF('USINAGEM 2'!R5:R1000,"B")+COUNTIF('LUSTRAÇÃO'!R5:R1000,"B")+COUNTIF('TERCEIROS'!R5:R1000,"B")+COUNTIF('EMBALAGEM'!R5:R1000,"B")+COUNTIF('EXPEDIÇÃO'!R5:R1000,"B")</x:f>
        <x:v>0</x:v>
      </x:c>
    </x:row>
    <x:row r="10" ht="24" customHeight="1">
      <x:c r="A10" s="267" t="str">
        <x:v>LIXAR</x:v>
      </x:c>
      <x:c r="B10" s="268" t="n">
        <x:f>SUM('LIXAR'!M5:M1000)</x:f>
        <x:v>23154</x:v>
      </x:c>
      <x:c r="C10" s="268" t="n">
        <x:f>SUM('LIXAR'!U5:U1000)</x:f>
        <x:v>0</x:v>
      </x:c>
      <x:c r="D10" s="268" t="n">
        <x:f>SUM('LIXAR'!V5:V1000)</x:f>
        <x:v>23154</x:v>
      </x:c>
      <x:c r="E10" s="269" t="n">
        <x:f>IFERROR(C10/B10,0)</x:f>
        <x:v>0</x:v>
      </x:c>
      <x:c r="F10" s="270" t="str">
        <x:f>REPT("■",ROUND(E10*20,0))</x:f>
      </x:c>
      <x:c r="G10" s="268" t="n">
        <x:f>COUNTIF('LIXAR'!X5:X1000,"Concluído")</x:f>
        <x:v>0</x:v>
      </x:c>
      <x:c r="H10" s="268" t="n">
        <x:f>COUNTIF('LIXAR'!X5:X1000,"Parcial")</x:f>
        <x:v>0</x:v>
      </x:c>
      <x:c r="I10" s="271" t="n">
        <x:f>COUNTIF('LIXAR'!X5:X1000,"Não iniciado")</x:f>
        <x:v>449</x:v>
      </x:c>
      <x:c r="J10" s="272"/>
      <x:c r="K10" s="272" t="str">
        <x:v>Urgente</x:v>
      </x:c>
      <x:c r="L10" s="272" t="n">
        <x:f>COUNTIF('PREPARAÇÃO'!Z5:Z1000,"Urgente")+COUNTIF('USINAGEM 1'!Z5:Z1000,"Urgente")+COUNTIF('LIXAR'!Z5:Z1000,"Urgente")+COUNTIF('RECOBRIDORA'!Z5:Z1000,"Urgente")+COUNTIF('USINAGEM 2'!Z5:Z1000,"Urgente")+COUNTIF('LUSTRAÇÃO'!Z5:Z1000,"Urgente")+COUNTIF('TERCEIROS'!Z5:Z1000,"Urgente")+COUNTIF('EMBALAGEM'!Z5:Z1000,"Urgente")+COUNTIF('EXPEDIÇÃO'!Z5:Z1000,"Urgente")</x:f>
        <x:v>0</x:v>
      </x:c>
    </x:row>
    <x:row r="11" ht="24" customHeight="1">
      <x:c r="A11" s="273" t="str">
        <x:v>RECOBRIDORA</x:v>
      </x:c>
      <x:c r="B11" s="272" t="n">
        <x:f>SUM('RECOBRIDORA'!M5:M1000)</x:f>
        <x:v>34988</x:v>
      </x:c>
      <x:c r="C11" s="272" t="n">
        <x:f>SUM('RECOBRIDORA'!U5:U1000)</x:f>
        <x:v>0</x:v>
      </x:c>
      <x:c r="D11" s="272" t="n">
        <x:f>SUM('RECOBRIDORA'!V5:V1000)</x:f>
        <x:v>34988</x:v>
      </x:c>
      <x:c r="E11" s="274" t="n">
        <x:f>IFERROR(C11/B11,0)</x:f>
        <x:v>0</x:v>
      </x:c>
      <x:c r="F11" s="275" t="str">
        <x:f>REPT("■",ROUND(E11*20,0))</x:f>
      </x:c>
      <x:c r="G11" s="272" t="n">
        <x:f>COUNTIF('RECOBRIDORA'!X5:X1000,"Concluído")</x:f>
        <x:v>0</x:v>
      </x:c>
      <x:c r="H11" s="272" t="n">
        <x:f>COUNTIF('RECOBRIDORA'!X5:X1000,"Parcial")</x:f>
        <x:v>0</x:v>
      </x:c>
      <x:c r="I11" s="276" t="n">
        <x:f>COUNTIF('RECOBRIDORA'!X5:X1000,"Não iniciado")</x:f>
        <x:v>682</x:v>
      </x:c>
      <x:c r="J11" s="272"/>
      <x:c r="K11" s="272" t="str">
        <x:v>Alta</x:v>
      </x:c>
      <x:c r="L11" s="272" t="n">
        <x:f>COUNTIF('PREPARAÇÃO'!Z5:Z1000,"Alta")+COUNTIF('USINAGEM 1'!Z5:Z1000,"Alta")+COUNTIF('LIXAR'!Z5:Z1000,"Alta")+COUNTIF('RECOBRIDORA'!Z5:Z1000,"Alta")+COUNTIF('USINAGEM 2'!Z5:Z1000,"Alta")+COUNTIF('LUSTRAÇÃO'!Z5:Z1000,"Alta")+COUNTIF('TERCEIROS'!Z5:Z1000,"Alta")+COUNTIF('EMBALAGEM'!Z5:Z1000,"Alta")+COUNTIF('EXPEDIÇÃO'!Z5:Z1000,"Alta")</x:f>
        <x:v>0</x:v>
      </x:c>
    </x:row>
    <x:row r="12" ht="24" customHeight="1">
      <x:c r="A12" s="267" t="str">
        <x:v>USINAGEM 2</x:v>
      </x:c>
      <x:c r="B12" s="268" t="n">
        <x:f>SUM('USINAGEM 2'!M5:M1000)</x:f>
        <x:v>18090</x:v>
      </x:c>
      <x:c r="C12" s="268" t="n">
        <x:f>SUM('USINAGEM 2'!U5:U1000)</x:f>
        <x:v>0</x:v>
      </x:c>
      <x:c r="D12" s="268" t="n">
        <x:f>SUM('USINAGEM 2'!V5:V1000)</x:f>
        <x:v>18090</x:v>
      </x:c>
      <x:c r="E12" s="269" t="n">
        <x:f>IFERROR(C12/B12,0)</x:f>
        <x:v>0</x:v>
      </x:c>
      <x:c r="F12" s="270" t="str">
        <x:f>REPT("■",ROUND(E12*20,0))</x:f>
      </x:c>
      <x:c r="G12" s="268" t="n">
        <x:f>COUNTIF('USINAGEM 2'!X5:X1000,"Concluído")</x:f>
        <x:v>0</x:v>
      </x:c>
      <x:c r="H12" s="268" t="n">
        <x:f>COUNTIF('USINAGEM 2'!X5:X1000,"Parcial")</x:f>
        <x:v>0</x:v>
      </x:c>
      <x:c r="I12" s="271" t="n">
        <x:f>COUNTIF('USINAGEM 2'!X5:X1000,"Não iniciado")</x:f>
        <x:v>430</x:v>
      </x:c>
      <x:c r="J12" s="272"/>
      <x:c r="K12" s="272" t="str">
        <x:v>Concluído</x:v>
      </x:c>
      <x:c r="L12" s="272" t="n">
        <x:f>COUNTIF('PREPARAÇÃO'!X5:X1000,"Concluído")+COUNTIF('USINAGEM 1'!X5:X1000,"Concluído")+COUNTIF('LIXAR'!X5:X1000,"Concluído")+COUNTIF('RECOBRIDORA'!X5:X1000,"Concluído")+COUNTIF('USINAGEM 2'!X5:X1000,"Concluído")+COUNTIF('LUSTRAÇÃO'!X5:X1000,"Concluído")+COUNTIF('TERCEIROS'!X5:X1000,"Concluído")+COUNTIF('EMBALAGEM'!X5:X1000,"Concluído")+COUNTIF('EXPEDIÇÃO'!X5:X1000,"Concluído")</x:f>
        <x:v>238</x:v>
      </x:c>
    </x:row>
    <x:row r="13" ht="24" customHeight="1">
      <x:c r="A13" s="273" t="str">
        <x:v>LUSTRAÇÃO</x:v>
      </x:c>
      <x:c r="B13" s="272" t="n">
        <x:f>SUM('LUSTRAÇÃO'!M5:M1000)</x:f>
        <x:v>3946</x:v>
      </x:c>
      <x:c r="C13" s="272" t="n">
        <x:f>SUM('LUSTRAÇÃO'!U5:U1000)</x:f>
        <x:v>1842.0800000000002</x:v>
      </x:c>
      <x:c r="D13" s="272" t="n">
        <x:f>SUM('LUSTRAÇÃO'!V5:V1000)</x:f>
        <x:v>2103.92</x:v>
      </x:c>
      <x:c r="E13" s="274" t="n">
        <x:f>IFERROR(C13/B13,0)</x:f>
        <x:v>0.4668220983274202</x:v>
      </x:c>
      <x:c r="F13" s="275" t="str">
        <x:f>REPT("■",ROUND(E13*20,0))</x:f>
        <x:v>■■■■■■■■■</x:v>
      </x:c>
      <x:c r="G13" s="272" t="n">
        <x:f>COUNTIF('LUSTRAÇÃO'!X5:X1000,"Concluído")</x:f>
        <x:v>40</x:v>
      </x:c>
      <x:c r="H13" s="272" t="n">
        <x:f>COUNTIF('LUSTRAÇÃO'!X5:X1000,"Parcial")</x:f>
        <x:v>21</x:v>
      </x:c>
      <x:c r="I13" s="276" t="n">
        <x:f>COUNTIF('LUSTRAÇÃO'!X5:X1000,"Não iniciado")</x:f>
        <x:v>35</x:v>
      </x:c>
      <x:c r="J13" s="272"/>
      <x:c r="K13" s="272" t="str">
        <x:v>Parcial</x:v>
      </x:c>
      <x:c r="L13" s="272" t="n">
        <x:f>COUNTIF('PREPARAÇÃO'!X5:X1000,"Parcial")+COUNTIF('USINAGEM 1'!X5:X1000,"Parcial")+COUNTIF('LIXAR'!X5:X1000,"Parcial")+COUNTIF('RECOBRIDORA'!X5:X1000,"Parcial")+COUNTIF('USINAGEM 2'!X5:X1000,"Parcial")+COUNTIF('LUSTRAÇÃO'!X5:X1000,"Parcial")+COUNTIF('TERCEIROS'!X5:X1000,"Parcial")+COUNTIF('EMBALAGEM'!X5:X1000,"Parcial")+COUNTIF('EXPEDIÇÃO'!X5:X1000,"Parcial")</x:f>
        <x:v>35</x:v>
      </x:c>
    </x:row>
    <x:row r="14" ht="24" customHeight="1">
      <x:c r="A14" s="267" t="str">
        <x:v>TERCEIROS</x:v>
      </x:c>
      <x:c r="B14" s="268" t="n">
        <x:f>SUM('TERCEIROS'!M5:M1000)</x:f>
        <x:v>73</x:v>
      </x:c>
      <x:c r="C14" s="268" t="n">
        <x:f>SUM('TERCEIROS'!U5:U1000)</x:f>
        <x:v>0</x:v>
      </x:c>
      <x:c r="D14" s="268" t="n">
        <x:f>SUM('TERCEIROS'!V5:V1000)</x:f>
        <x:v>73</x:v>
      </x:c>
      <x:c r="E14" s="269" t="n">
        <x:f>IFERROR(C14/B14,0)</x:f>
        <x:v>0</x:v>
      </x:c>
      <x:c r="F14" s="270" t="str">
        <x:f>REPT("■",ROUND(E14*20,0))</x:f>
      </x:c>
      <x:c r="G14" s="268" t="n">
        <x:f>COUNTIF('TERCEIROS'!X5:X1000,"Concluído")</x:f>
        <x:v>0</x:v>
      </x:c>
      <x:c r="H14" s="268" t="n">
        <x:f>COUNTIF('TERCEIROS'!X5:X1000,"Parcial")</x:f>
        <x:v>0</x:v>
      </x:c>
      <x:c r="I14" s="271" t="n">
        <x:f>COUNTIF('TERCEIROS'!X5:X1000,"Não iniciado")</x:f>
        <x:v>11</x:v>
      </x:c>
      <x:c r="J14" s="272"/>
      <x:c r="K14" s="272"/>
      <x:c r="L14" s="272"/>
    </x:row>
    <x:row r="15" ht="24" customHeight="1">
      <x:c r="A15" s="273" t="str">
        <x:v>EMBALAGEM</x:v>
      </x:c>
      <x:c r="B15" s="272" t="n">
        <x:f>SUM('EMBALAGEM'!M5:M1000)</x:f>
        <x:v>4859</x:v>
      </x:c>
      <x:c r="C15" s="272" t="n">
        <x:f>SUM('EMBALAGEM'!U5:U1000)</x:f>
        <x:v>0</x:v>
      </x:c>
      <x:c r="D15" s="272" t="n">
        <x:f>SUM('EMBALAGEM'!V5:V1000)</x:f>
        <x:v>4859</x:v>
      </x:c>
      <x:c r="E15" s="274" t="n">
        <x:f>IFERROR(C15/B15,0)</x:f>
        <x:v>0</x:v>
      </x:c>
      <x:c r="F15" s="275" t="str">
        <x:f>REPT("■",ROUND(E15*20,0))</x:f>
      </x:c>
      <x:c r="G15" s="272" t="n">
        <x:f>COUNTIF('EMBALAGEM'!X5:X1000,"Concluído")</x:f>
        <x:v>0</x:v>
      </x:c>
      <x:c r="H15" s="272" t="n">
        <x:f>COUNTIF('EMBALAGEM'!X5:X1000,"Parcial")</x:f>
        <x:v>0</x:v>
      </x:c>
      <x:c r="I15" s="276" t="n">
        <x:f>COUNTIF('EMBALAGEM'!X5:X1000,"Não iniciado")</x:f>
        <x:v>146</x:v>
      </x:c>
      <x:c r="J15" s="272"/>
      <x:c r="K15" s="272"/>
      <x:c r="L15" s="272"/>
    </x:row>
    <x:row r="16" ht="24" customHeight="1">
      <x:c r="A16" s="277" t="str">
        <x:v>EXPEDIÇÃO</x:v>
      </x:c>
      <x:c r="B16" s="278" t="n">
        <x:f>SUM('EXPEDIÇÃO'!M5:M1000)</x:f>
        <x:v>0</x:v>
      </x:c>
      <x:c r="C16" s="278" t="n">
        <x:f>SUM('EXPEDIÇÃO'!U5:U1000)</x:f>
        <x:v>0</x:v>
      </x:c>
      <x:c r="D16" s="278" t="n">
        <x:f>SUM('EXPEDIÇÃO'!V5:V1000)</x:f>
        <x:v>0</x:v>
      </x:c>
      <x:c r="E16" s="279" t="n">
        <x:f>IFERROR(C16/B16,0)</x:f>
        <x:v>0</x:v>
      </x:c>
      <x:c r="F16" s="280" t="str">
        <x:f>REPT("■",ROUND(E16*20,0))</x:f>
      </x:c>
      <x:c r="G16" s="278" t="n">
        <x:f>COUNTIF('EXPEDIÇÃO'!X5:X1000,"Concluído")</x:f>
        <x:v>0</x:v>
      </x:c>
      <x:c r="H16" s="278" t="n">
        <x:f>COUNTIF('EXPEDIÇÃO'!X5:X1000,"Parcial")</x:f>
        <x:v>0</x:v>
      </x:c>
      <x:c r="I16" s="281" t="n">
        <x:f>COUNTIF('EXPEDIÇÃO'!X5:X1000,"Não iniciado")</x:f>
        <x:v>0</x:v>
      </x:c>
      <x:c r="J16" s="272"/>
      <x:c r="K16" s="272"/>
      <x:c r="L16" s="272"/>
    </x:row>
  </x:sheetData>
  <x:mergeCells>
    <x:mergeCell ref="A1:L1"/>
  </x:mergeCells>
  <x:pageMargins left="0.7" right="0.7" top="0.75" bottom="0.75" header="0.3" footer="0.3"/>
</x:worksheet>
</file>