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TIQUETAS - ROMANEIOS 2026\03 - Março\Filtro - 14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G11" i="1"/>
  <c r="G12" i="1" s="1"/>
  <c r="H12" i="1" l="1"/>
</calcChain>
</file>

<file path=xl/sharedStrings.xml><?xml version="1.0" encoding="utf-8"?>
<sst xmlns="http://schemas.openxmlformats.org/spreadsheetml/2006/main" count="17" uniqueCount="17">
  <si>
    <t>Pedido:</t>
  </si>
  <si>
    <t>Destino:</t>
  </si>
  <si>
    <t>Pallet</t>
  </si>
  <si>
    <t>DE</t>
  </si>
  <si>
    <t>Pacote nº</t>
  </si>
  <si>
    <t>Jgs.</t>
  </si>
  <si>
    <t>Qtde Pçs.</t>
  </si>
  <si>
    <t>Comp.</t>
  </si>
  <si>
    <t>Larg.</t>
  </si>
  <si>
    <t>Esp.</t>
  </si>
  <si>
    <t>m³</t>
  </si>
  <si>
    <t>Produto</t>
  </si>
  <si>
    <t>OBS.</t>
  </si>
  <si>
    <t>Total m³</t>
  </si>
  <si>
    <t>Rua A - Quadra 04 - Lote 29 a 34, 34 - Distrito Industrial, Estância/SE
(79)3522-1228 - www.famossul.com.br</t>
  </si>
  <si>
    <t>PRODUZIDO NO BRASIL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</si>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</sst>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6"/>
      <color theme="1"/>
      <name val="Arial"/>
      <family val="2"/>
    </font>
    <font>
      <sz val="14"/>
      <color theme="1"/>
      <name val="Arial"/>
      <family val="2"/>
    </font>
    <font>
      <sz val="15"/>
      <color theme="1"/>
      <name val="Arial"/>
      <family val="2"/>
    </font>
    <font>
      <sz val="18"/>
      <color theme="1"/>
      <name val="Arial"/>
      <family val="2"/>
    </font>
    <font>
      <b/>
      <i/>
      <sz val="18"/>
      <color theme="1"/>
      <name val="Arial"/>
      <family val="2"/>
    </font>
    <font>
      <b/>
      <i/>
      <sz val="22"/>
      <color theme="1"/>
      <name val="Arial"/>
      <family val="2"/>
    </font>
    <font>
      <sz val="10"/>
      <name val="Arial"/>
      <family val="2"/>
    </font>
    <font>
      <b/>
      <i/>
      <sz val="24"/>
      <color rgb="FFFF000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color theme="1"/>
      <name val="Arial"/>
      <family val="2"/>
    </font>
    <font>
      <b/>
      <sz val="8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82"/>
      <name val="Arial"/>
      <family val="2"/>
    </font>
    <font>
      <b/>
      <i/>
      <sz val="48"/>
      <name val="Arial"/>
      <family val="2"/>
    </font>
    <font>
      <b/>
      <i/>
      <sz val="44"/>
      <name val="Arial"/>
      <family val="2"/>
    </font>
    <font>
      <b/>
      <sz val="10"/>
      <color theme="1"/>
      <name val="Arial"/>
      <family val="2"/>
    </font>
    <font>
      <b/>
      <i/>
      <u/>
      <sz val="54"/>
      <color theme="1"/>
      <name val="Arial"/>
      <family val="2"/>
    </font>
    <font>
      <b/>
      <i/>
      <sz val="6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</borders>
  <cellStyleXfs count="4">
    <xf numFmtId="0" fontId="0" fillId="0" borderId="0"/>
    <xf numFmtId="0" fontId="1" fillId="0" borderId="0"/>
    <xf numFmtId="164" fontId="9" fillId="0" borderId="0" applyFont="0" applyFill="0" applyBorder="0" applyAlignment="0" applyProtection="0"/>
    <xf numFmtId="0" fontId="9" fillId="0" borderId="0"/>
  </cellStyleXfs>
  <cellXfs count="7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6" fillId="0" borderId="7" xfId="0" applyFont="1" applyBorder="1"/>
    <xf numFmtId="0" fontId="6" fillId="0" borderId="0" xfId="0" applyFont="1"/>
    <xf numFmtId="0" fontId="6" fillId="0" borderId="8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165" fontId="13" fillId="0" borderId="24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165" fontId="17" fillId="0" borderId="26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8" xfId="0" applyFont="1" applyBorder="1" applyAlignment="1">
      <alignment horizontal="left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0" fontId="25" fillId="0" borderId="12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49" fontId="22" fillId="0" borderId="1" xfId="2" applyNumberFormat="1" applyFont="1" applyBorder="1" applyAlignment="1">
      <alignment horizontal="center" vertical="center"/>
    </xf>
    <xf numFmtId="49" fontId="22" fillId="0" borderId="2" xfId="2" applyNumberFormat="1" applyFont="1" applyBorder="1" applyAlignment="1">
      <alignment horizontal="center" vertical="center"/>
    </xf>
    <xf numFmtId="49" fontId="10" fillId="0" borderId="1" xfId="2" applyNumberFormat="1" applyFont="1" applyBorder="1" applyAlignment="1">
      <alignment horizontal="center" vertical="center"/>
    </xf>
    <xf numFmtId="49" fontId="10" fillId="0" borderId="3" xfId="2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</cellXfs>
  <cellStyles count="4">
    <cellStyle name="Normal" xfId="0" builtinId="0"/>
    <cellStyle name="Normal 2" xfId="3"/>
    <cellStyle name="Normal 3" xfId="1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561975</xdr:colOff>
      <xdr:row>2</xdr:row>
      <xdr:rowOff>76200</xdr:rowOff>
    </xdr:from>
    <xdr:to>
      <xdr:col>9</xdr:col>
      <xdr:colOff>590549</xdr:colOff>
      <xdr:row>3</xdr:row>
      <xdr:rowOff>285749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95325"/>
          <a:ext cx="638174" cy="447674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</xdr:row>
      <xdr:rowOff>114301</xdr:rowOff>
    </xdr:from>
    <xdr:to>
      <xdr:col>4</xdr:col>
      <xdr:colOff>374533</xdr:colOff>
      <xdr:row>3</xdr:row>
      <xdr:rowOff>219076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BEFADA41-FE82-596D-07CE-42205EFF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14326"/>
          <a:ext cx="3165358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"/>
  <sheetViews>
    <sheetView tabSelected="1" topLeftCell="A4" workbookViewId="0">
      <selection activeCell="A11" sqref="A11"/>
    </sheetView>
  </sheetViews>
  <sheetFormatPr defaultRowHeight="23.25" customHeight="1" x14ac:dyDescent="0.25"/>
  <cols>
    <col min="1" max="1" width="15.85546875" customWidth="1"/>
    <col min="3" max="3" width="9.7109375" customWidth="1"/>
    <col min="7" max="7" width="9.7109375" customWidth="1"/>
    <col min="8" max="8" width="48.7109375" bestFit="1" customWidth="1"/>
  </cols>
  <sheetData>
    <row r="1" spans="1:10" ht="15.75" thickBot="1" x14ac:dyDescent="0.3">
      <c r="A1" s="1"/>
      <c r="B1" s="25"/>
      <c r="C1" s="25"/>
      <c r="D1" s="25"/>
      <c r="E1" s="25"/>
      <c r="F1" s="38"/>
      <c r="G1" s="38"/>
      <c r="H1" s="38"/>
      <c r="I1" s="38"/>
      <c r="J1" s="39"/>
    </row>
    <row r="2" spans="1:10" ht="33" x14ac:dyDescent="0.45">
      <c r="A2" s="2"/>
      <c r="B2" s="3"/>
      <c r="C2" s="4"/>
      <c r="D2" s="4"/>
      <c r="E2" s="5"/>
      <c r="F2" s="40" t="s">
        <v>14</v>
      </c>
      <c r="G2" s="41"/>
      <c r="H2" s="41"/>
      <c r="I2" s="41"/>
      <c r="J2" s="42"/>
    </row>
    <row r="3" spans="1:10" ht="18.75" x14ac:dyDescent="0.25">
      <c r="A3" s="6"/>
      <c r="B3" s="7"/>
      <c r="C3" s="7"/>
      <c r="D3" s="7"/>
      <c r="E3" s="8"/>
      <c r="F3" s="43"/>
      <c r="G3" s="44"/>
      <c r="H3" s="44"/>
      <c r="I3" s="44"/>
      <c r="J3" s="45"/>
    </row>
    <row r="4" spans="1:10" ht="24" thickBot="1" x14ac:dyDescent="0.4">
      <c r="A4" s="9"/>
      <c r="B4" s="10"/>
      <c r="C4" s="10"/>
      <c r="D4" s="10"/>
      <c r="E4" s="11"/>
      <c r="F4" s="46" t="s">
        <v>15</v>
      </c>
      <c r="G4" s="47"/>
      <c r="H4" s="47"/>
      <c r="I4" s="47"/>
      <c r="J4" s="48"/>
    </row>
    <row r="5" spans="1:10" ht="15.75" thickBot="1" x14ac:dyDescent="0.3">
      <c r="A5" s="12"/>
      <c r="B5" s="13"/>
      <c r="C5" s="13"/>
      <c r="D5" s="13"/>
      <c r="E5" s="13"/>
      <c r="F5" s="13"/>
      <c r="G5" s="13"/>
      <c r="H5" s="13"/>
      <c r="I5" s="25"/>
      <c r="J5" s="26"/>
    </row>
    <row r="6" spans="1:10" ht="73.5" customHeight="1" thickBot="1" x14ac:dyDescent="0.3">
      <c r="A6" s="49"/>
      <c r="B6" s="50"/>
      <c r="C6" s="50"/>
      <c r="D6" s="50"/>
      <c r="E6" s="50"/>
      <c r="F6" s="50"/>
      <c r="G6" s="50"/>
      <c r="H6" s="50"/>
      <c r="I6" s="50"/>
      <c r="J6" s="51"/>
    </row>
    <row r="7" spans="1:10" ht="25.5" customHeight="1" x14ac:dyDescent="0.25">
      <c r="A7" s="52" t="s">
        <v>0</v>
      </c>
      <c r="B7" s="54"/>
      <c r="C7" s="55"/>
      <c r="D7" s="56"/>
      <c r="E7" s="60" t="s">
        <v>1</v>
      </c>
      <c r="F7" s="60"/>
      <c r="G7" s="60"/>
      <c r="H7" s="62"/>
      <c r="I7" s="63"/>
      <c r="J7" s="64"/>
    </row>
    <row r="8" spans="1:10" ht="21.75" customHeight="1" thickBot="1" x14ac:dyDescent="0.3">
      <c r="A8" s="53"/>
      <c r="B8" s="57"/>
      <c r="C8" s="58"/>
      <c r="D8" s="59"/>
      <c r="E8" s="61"/>
      <c r="F8" s="61"/>
      <c r="G8" s="61"/>
      <c r="H8" s="65"/>
      <c r="I8" s="66"/>
      <c r="J8" s="67"/>
    </row>
    <row r="9" spans="1:10" ht="46.5" customHeight="1" thickBot="1" x14ac:dyDescent="0.3">
      <c r="A9" s="14" t="s">
        <v>2</v>
      </c>
      <c r="B9" s="71" t="s">
        <v>16</v>
      </c>
      <c r="C9" s="72"/>
      <c r="D9" s="73" t="s">
        <v>3</v>
      </c>
      <c r="E9" s="74"/>
      <c r="F9" s="75"/>
      <c r="G9" s="76"/>
      <c r="H9" s="68"/>
      <c r="I9" s="69"/>
      <c r="J9" s="70"/>
    </row>
    <row r="10" spans="1:10" ht="24" thickBot="1" x14ac:dyDescent="0.3">
      <c r="A10" s="15" t="s">
        <v>4</v>
      </c>
      <c r="B10" s="15" t="s">
        <v>5</v>
      </c>
      <c r="C10" s="16" t="s">
        <v>6</v>
      </c>
      <c r="D10" s="15" t="s">
        <v>7</v>
      </c>
      <c r="E10" s="15" t="s">
        <v>8</v>
      </c>
      <c r="F10" s="15" t="s">
        <v>9</v>
      </c>
      <c r="G10" s="17" t="s">
        <v>10</v>
      </c>
      <c r="H10" s="18" t="s">
        <v>11</v>
      </c>
      <c r="I10" s="34" t="s">
        <v>12</v>
      </c>
      <c r="J10" s="35"/>
    </row>
    <row r="11" spans="1:10" ht="68.25" customHeight="1" thickBot="1" x14ac:dyDescent="0.3">
      <c r="A11" s="77">
        <v>1</v>
      </c>
      <c r="B11" s="27"/>
      <c r="C11" s="28"/>
      <c r="D11" s="28"/>
      <c r="E11" s="28"/>
      <c r="F11" s="28"/>
      <c r="G11" s="29">
        <f>F11*E11*D11*C11/1000000000</f>
        <v>0</v>
      </c>
      <c r="H11" s="30"/>
      <c r="I11" s="36"/>
      <c r="J11" s="37"/>
    </row>
    <row r="12" spans="1:10" ht="23.25" customHeight="1" thickBot="1" x14ac:dyDescent="0.3">
      <c r="A12" s="24"/>
      <c r="B12" s="19"/>
      <c r="C12" s="20">
        <f>SUM(C11:C11)</f>
        <v>0</v>
      </c>
      <c r="D12" s="21"/>
      <c r="E12" s="21"/>
      <c r="F12" s="22" t="s">
        <v>13</v>
      </c>
      <c r="G12" s="23">
        <f>SUM(G11:G11)</f>
        <v>0</v>
      </c>
      <c r="H12" s="31" t="str">
        <f>ROUNDUP(((G12*420)/1000),1)&amp;" - toneladas"</f>
        <v>0 - toneladas</v>
      </c>
      <c r="I12" s="32"/>
      <c r="J12" s="33"/>
    </row>
  </sheetData>
  <mergeCells count="14">
    <mergeCell ref="H12:J12"/>
    <mergeCell ref="I10:J10"/>
    <mergeCell ref="I11:J11"/>
    <mergeCell ref="F1:J1"/>
    <mergeCell ref="F2:J3"/>
    <mergeCell ref="F4:J4"/>
    <mergeCell ref="A6:J6"/>
    <mergeCell ref="A7:A8"/>
    <mergeCell ref="B7:D8"/>
    <mergeCell ref="E7:G8"/>
    <mergeCell ref="H7:J9"/>
    <mergeCell ref="B9:C9"/>
    <mergeCell ref="D9:E9"/>
    <mergeCell ref="F9:G9"/>
  </mergeCells>
  <pageMargins left="0.51181102362204722" right="0.51181102362204722" top="0.78740157480314965" bottom="0.78740157480314965" header="0.31496062992125984" footer="0.31496062992125984"/>
  <pageSetup paperSize="9" scale="97" fitToHeight="0" orientation="landscape" verticalDpi="203" r:id="rId1"/>
  <headerFooter>
    <oddFooter>&amp;R&amp;D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nordeste</cp:lastModifiedBy>
  <cp:lastPrinted>2025-11-14T14:29:28Z</cp:lastPrinted>
  <dcterms:created xsi:type="dcterms:W3CDTF">2016-10-25T19:23:45Z</dcterms:created>
  <dcterms:modified xsi:type="dcterms:W3CDTF">2026-02-24T19:03:15Z</dcterms:modified>
</cp:coreProperties>
</file>